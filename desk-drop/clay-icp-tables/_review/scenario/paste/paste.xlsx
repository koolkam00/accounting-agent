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s" sheetId="1" state="visible" r:id="rId1"/>
    <sheet xmlns:r="http://schemas.openxmlformats.org/officeDocument/2006/relationships" name="Brands" sheetId="2" state="visible" r:id="rId2"/>
    <sheet xmlns:r="http://schemas.openxmlformats.org/officeDocument/2006/relationships" name="Daily view - Offices" sheetId="3" state="visible" r:id="rId3"/>
    <sheet xmlns:r="http://schemas.openxmlformats.org/officeDocument/2006/relationships" name="Daily view - Brands" sheetId="4" state="visible" r:id="rId4"/>
    <sheet xmlns:r="http://schemas.openxmlformats.org/officeDocument/2006/relationships" name="Dictionary" sheetId="5" state="visible" r:id="rId5"/>
    <sheet xmlns:r="http://schemas.openxmlformats.org/officeDocument/2006/relationships" name="Scoring" sheetId="6" state="visible" r:id="rId6"/>
    <sheet xmlns:r="http://schemas.openxmlformats.org/officeDocument/2006/relationships" name="Routine" sheetId="7" state="visible" r:id="rId7"/>
  </sheets>
  <definedNames>
    <definedName name="company_name">Routine!$B$1</definedName>
    <definedName name="_xlnm._FilterDatabase" localSheetId="0" hidden="1">'Offices'!$A$1:$EW$309</definedName>
    <definedName name="_xlnm._FilterDatabase" localSheetId="1" hidden="1">'Brands'!$A$1:$ED$312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FFFF"/>
      </patternFill>
    </fill>
    <fill>
      <patternFill patternType="solid">
        <fgColor rgb="00FFF2CC"/>
      </patternFill>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workstream A</author>
  </authors>
  <commentList>
    <comment ref="A1" authorId="0" shapeId="0">
      <text>
        <t>Live view: the 10 best-scored rows of Offices with status = new, do_not_contact = N, ready_for_outreach = Y, no opt-out and nobody in their company_group in flight; one row per group. It updates when you edit those columns. Uses SORT and FILTER (Google Sheets).</t>
      </text>
    </comment>
  </commentList>
</comments>
</file>

<file path=xl/comments/comment2.xml><?xml version="1.0" encoding="utf-8"?>
<comments xmlns="http://schemas.openxmlformats.org/spreadsheetml/2006/main">
  <authors>
    <author>workstream A</author>
  </authors>
  <commentList>
    <comment ref="A1" authorId="0" shapeId="0">
      <text>
        <t>Live view: the 10 best-scored rows of Brands with status = new, do_not_contact = N, ready_for_outreach = Y, no opt-out and nobody in their company_group in flight; one row per group. It updates when you edit those columns. Uses SORT and FILTER (Google Sheets).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EW30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40" customWidth="1" min="44" max="44"/>
    <col width="14" customWidth="1" min="45" max="45"/>
    <col width="14" customWidth="1" min="46" max="46"/>
    <col width="40" customWidth="1" min="47" max="47"/>
    <col width="14" customWidth="1" min="48" max="48"/>
    <col width="14" customWidth="1" min="49" max="49"/>
    <col width="14" customWidth="1" min="50" max="50"/>
    <col width="40"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40"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40" customWidth="1" min="115" max="115"/>
    <col width="14" customWidth="1" min="116" max="116"/>
    <col width="14" customWidth="1" min="117" max="117"/>
    <col width="14" customWidth="1" min="118" max="118"/>
    <col width="40"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s>
  <sheetData>
    <row r="1">
      <c r="A1" s="1" t="inlineStr">
        <is>
          <t>row_id</t>
        </is>
      </c>
      <c r="B1" s="1" t="inlineStr">
        <is>
          <t>company</t>
        </is>
      </c>
      <c r="C1" s="1" t="inlineStr">
        <is>
          <t>first_name</t>
        </is>
      </c>
      <c r="D1" s="1" t="inlineStr">
        <is>
          <t>last_name</t>
        </is>
      </c>
      <c r="E1" s="1" t="inlineStr">
        <is>
          <t>title</t>
        </is>
      </c>
      <c r="F1" s="2" t="inlineStr">
        <is>
          <t>contact_linkedin_url</t>
        </is>
      </c>
      <c r="G1" s="2" t="inlineStr">
        <is>
          <t>work_email</t>
        </is>
      </c>
      <c r="H1" s="2" t="inlineStr">
        <is>
          <t>email_status</t>
        </is>
      </c>
      <c r="I1" s="1" t="inlineStr">
        <is>
          <t>channel</t>
        </is>
      </c>
      <c r="J1" s="3" t="inlineStr">
        <is>
          <t>score</t>
        </is>
      </c>
      <c r="K1" s="1" t="inlineStr">
        <is>
          <t>score_reason</t>
        </is>
      </c>
      <c r="L1" s="1" t="inlineStr">
        <is>
          <t>onsite_band</t>
        </is>
      </c>
      <c r="M1" s="1" t="inlineStr">
        <is>
          <t>nearest_stocked_retailer</t>
        </is>
      </c>
      <c r="N1" s="1" t="inlineStr">
        <is>
          <t>nearest_retailer_grade</t>
        </is>
      </c>
      <c r="O1" s="1" t="inlineStr">
        <is>
          <t>why_now</t>
        </is>
      </c>
      <c r="P1" s="1" t="inlineStr">
        <is>
          <t>why_now_url</t>
        </is>
      </c>
      <c r="Q1" s="1" t="inlineStr">
        <is>
          <t>why_now_date</t>
        </is>
      </c>
      <c r="R1" s="2" t="inlineStr">
        <is>
          <t>known_to_founder</t>
        </is>
      </c>
      <c r="S1" s="1" t="inlineStr">
        <is>
          <t>startup_cpg_member</t>
        </is>
      </c>
      <c r="T1" s="4" t="inlineStr">
        <is>
          <t>do_not_contact</t>
        </is>
      </c>
      <c r="U1" s="4" t="inlineStr">
        <is>
          <t>status</t>
        </is>
      </c>
      <c r="V1" s="1" t="inlineStr">
        <is>
          <t>source_url</t>
        </is>
      </c>
      <c r="W1" s="1" t="inlineStr">
        <is>
          <t>found_date</t>
        </is>
      </c>
      <c r="X1" s="1" t="inlineStr">
        <is>
          <t>side</t>
        </is>
      </c>
      <c r="Y1" s="3" t="inlineStr">
        <is>
          <t>daily_view_rank</t>
        </is>
      </c>
      <c r="Z1" s="1" t="inlineStr">
        <is>
          <t>rank</t>
        </is>
      </c>
      <c r="AA1" s="1" t="inlineStr">
        <is>
          <t>top50</t>
        </is>
      </c>
      <c r="AB1" s="1" t="inlineStr">
        <is>
          <t>check_before_send</t>
        </is>
      </c>
      <c r="AC1" s="1" t="inlineStr">
        <is>
          <t>contact_role</t>
        </is>
      </c>
      <c r="AD1" s="1" t="inlineStr">
        <is>
          <t>contact_status</t>
        </is>
      </c>
      <c r="AE1" s="1" t="inlineStr">
        <is>
          <t>contact_evidence</t>
        </is>
      </c>
      <c r="AF1" s="1" t="inlineStr">
        <is>
          <t>contact_source_url</t>
        </is>
      </c>
      <c r="AG1" s="1" t="inlineStr">
        <is>
          <t>contact_source_date</t>
        </is>
      </c>
      <c r="AH1" s="2" t="inlineStr">
        <is>
          <t>title_match</t>
        </is>
      </c>
      <c r="AI1" s="1" t="inlineStr">
        <is>
          <t>street_address</t>
        </is>
      </c>
      <c r="AJ1" s="1" t="inlineStr">
        <is>
          <t>floor</t>
        </is>
      </c>
      <c r="AK1" s="1" t="inlineStr">
        <is>
          <t>lease_status</t>
        </is>
      </c>
      <c r="AL1" s="1" t="inlineStr">
        <is>
          <t>onsite_low</t>
        </is>
      </c>
      <c r="AM1" s="1" t="inlineStr">
        <is>
          <t>onsite_high</t>
        </is>
      </c>
      <c r="AN1" s="1" t="inlineStr">
        <is>
          <t>onsite_confidence</t>
        </is>
      </c>
      <c r="AO1" s="1" t="inlineStr">
        <is>
          <t>attendance_signal</t>
        </is>
      </c>
      <c r="AP1" s="1" t="inlineStr">
        <is>
          <t>company_group</t>
        </is>
      </c>
      <c r="AQ1" s="2" t="inlineStr">
        <is>
          <t>hold_before_outreach</t>
        </is>
      </c>
      <c r="AR1" s="1" t="inlineStr">
        <is>
          <t>hold_reason</t>
        </is>
      </c>
      <c r="AS1" s="4" t="inlineStr">
        <is>
          <t>opt_out_date</t>
        </is>
      </c>
      <c r="AT1" s="3" t="inlineStr">
        <is>
          <t>ready_for_outreach</t>
        </is>
      </c>
      <c r="AU1" s="3" t="inlineStr">
        <is>
          <t>ready_reason</t>
        </is>
      </c>
      <c r="AV1" s="2" t="inlineStr">
        <is>
          <t>founder_ok_to_queue</t>
        </is>
      </c>
      <c r="AW1" s="1" t="inlineStr">
        <is>
          <t>onsite_founder_call</t>
        </is>
      </c>
      <c r="AX1" s="1" t="inlineStr">
        <is>
          <t>gate_result</t>
        </is>
      </c>
      <c r="AY1" s="1" t="inlineStr">
        <is>
          <t>gate_reason</t>
        </is>
      </c>
      <c r="AZ1" s="1" t="inlineStr">
        <is>
          <t>org_type</t>
        </is>
      </c>
      <c r="BA1" s="1" t="inlineStr">
        <is>
          <t>b_id</t>
        </is>
      </c>
      <c r="BB1" s="1" t="inlineStr">
        <is>
          <t>website</t>
        </is>
      </c>
      <c r="BC1" s="1" t="inlineStr">
        <is>
          <t>industry</t>
        </is>
      </c>
      <c r="BD1" s="1" t="inlineStr">
        <is>
          <t>employee_count</t>
        </is>
      </c>
      <c r="BE1" s="1" t="inlineStr">
        <is>
          <t>employee_count_second</t>
        </is>
      </c>
      <c r="BF1" s="1" t="inlineStr">
        <is>
          <t>headcount_band</t>
        </is>
      </c>
      <c r="BG1" s="1" t="inlineStr">
        <is>
          <t>headcount_scope</t>
        </is>
      </c>
      <c r="BH1" s="1" t="inlineStr">
        <is>
          <t>headcount_check</t>
        </is>
      </c>
      <c r="BI1" s="1" t="inlineStr">
        <is>
          <t>headcount_source_url</t>
        </is>
      </c>
      <c r="BJ1" s="1" t="inlineStr">
        <is>
          <t>headcount_second_source_url</t>
        </is>
      </c>
      <c r="BK1" s="1" t="inlineStr">
        <is>
          <t>size_class</t>
        </is>
      </c>
      <c r="BL1" s="1" t="inlineStr">
        <is>
          <t>hq_city</t>
        </is>
      </c>
      <c r="BM1" s="1" t="inlineStr">
        <is>
          <t>hq_in_nyc</t>
        </is>
      </c>
      <c r="BN1" s="1" t="inlineStr">
        <is>
          <t>parent_company</t>
        </is>
      </c>
      <c r="BO1" s="1" t="inlineStr">
        <is>
          <t>linkedin_company_url</t>
        </is>
      </c>
      <c r="BP1" s="1" t="inlineStr">
        <is>
          <t>zip</t>
        </is>
      </c>
      <c r="BQ1" s="1" t="inlineStr">
        <is>
          <t>lat</t>
        </is>
      </c>
      <c r="BR1" s="1" t="inlineStr">
        <is>
          <t>lon</t>
        </is>
      </c>
      <c r="BS1" s="1" t="inlineStr">
        <is>
          <t>in_boundary</t>
        </is>
      </c>
      <c r="BT1" s="1" t="inlineStr">
        <is>
          <t>blocks_outside</t>
        </is>
      </c>
      <c r="BU1" s="1" t="inlineStr">
        <is>
          <t>building_id</t>
        </is>
      </c>
      <c r="BV1" s="1" t="inlineStr">
        <is>
          <t>building_name</t>
        </is>
      </c>
      <c r="BW1" s="1" t="inlineStr">
        <is>
          <t>address_source_url</t>
        </is>
      </c>
      <c r="BX1" s="1" t="inlineStr">
        <is>
          <t>address_source_date</t>
        </is>
      </c>
      <c r="BY1" s="1" t="inlineStr">
        <is>
          <t>address_source_type</t>
        </is>
      </c>
      <c r="BZ1" s="1" t="inlineStr">
        <is>
          <t>second_source_url</t>
        </is>
      </c>
      <c r="CA1" s="1" t="inlineStr">
        <is>
          <t>second_source_date</t>
        </is>
      </c>
      <c r="CB1" s="1" t="inlineStr">
        <is>
          <t>source_note</t>
        </is>
      </c>
      <c r="CC1" s="1" t="inlineStr">
        <is>
          <t>confidence</t>
        </is>
      </c>
      <c r="CD1" s="1" t="inlineStr">
        <is>
          <t>move_in_date</t>
        </is>
      </c>
      <c r="CE1" s="1" t="inlineStr">
        <is>
          <t>in_coworking</t>
        </is>
      </c>
      <c r="CF1" s="1" t="inlineStr">
        <is>
          <t>coworking_id</t>
        </is>
      </c>
      <c r="CG1" s="1" t="inlineStr">
        <is>
          <t>pantry_control</t>
        </is>
      </c>
      <c r="CH1" s="1" t="inlineStr">
        <is>
          <t>lobby_type</t>
        </is>
      </c>
      <c r="CI1" s="1" t="inlineStr">
        <is>
          <t>lobby_source_url</t>
        </is>
      </c>
      <c r="CJ1" s="1" t="inlineStr">
        <is>
          <t>coi_required</t>
        </is>
      </c>
      <c r="CK1" s="1" t="inlineStr">
        <is>
          <t>tuesday_named_in_policy</t>
        </is>
      </c>
      <c r="CL1" s="1" t="inlineStr">
        <is>
          <t>attendance_evidence</t>
        </is>
      </c>
      <c r="CM1" s="1" t="inlineStr">
        <is>
          <t>attendance_source_url</t>
        </is>
      </c>
      <c r="CN1" s="1" t="inlineStr">
        <is>
          <t>attendance_source_date</t>
        </is>
      </c>
      <c r="CO1" s="1" t="inlineStr">
        <is>
          <t>onsite_central</t>
        </is>
      </c>
      <c r="CP1" s="1" t="inlineStr">
        <is>
          <t>onsite_flags</t>
        </is>
      </c>
      <c r="CQ1" s="1" t="inlineStr">
        <is>
          <t>onsite_basis</t>
        </is>
      </c>
      <c r="CR1" s="1" t="inlineStr">
        <is>
          <t>onsite_label</t>
        </is>
      </c>
      <c r="CS1" s="1" t="inlineStr">
        <is>
          <t>onsite_fit_share</t>
        </is>
      </c>
      <c r="CT1" s="1" t="inlineStr">
        <is>
          <t>score_raw</t>
        </is>
      </c>
      <c r="CU1" s="1" t="inlineStr">
        <is>
          <t>score_onsite</t>
        </is>
      </c>
      <c r="CV1" s="1" t="inlineStr">
        <is>
          <t>score_size</t>
        </is>
      </c>
      <c r="CW1" s="1" t="inlineStr">
        <is>
          <t>score_attendance</t>
        </is>
      </c>
      <c r="CX1" s="1" t="inlineStr">
        <is>
          <t>score_address</t>
        </is>
      </c>
      <c r="CY1" s="3" t="inlineStr">
        <is>
          <t>score_title</t>
        </is>
      </c>
      <c r="CZ1" s="3" t="inlineStr">
        <is>
          <t>score_known</t>
        </is>
      </c>
      <c r="DA1" s="1" t="inlineStr">
        <is>
          <t>backup_first_name</t>
        </is>
      </c>
      <c r="DB1" s="1" t="inlineStr">
        <is>
          <t>backup_last_name</t>
        </is>
      </c>
      <c r="DC1" s="1" t="inlineStr">
        <is>
          <t>backup_title</t>
        </is>
      </c>
      <c r="DD1" s="2" t="inlineStr">
        <is>
          <t>backup_linkedin_url</t>
        </is>
      </c>
      <c r="DE1" s="2" t="inlineStr">
        <is>
          <t>backup_work_email</t>
        </is>
      </c>
      <c r="DF1" s="2" t="inlineStr">
        <is>
          <t>backup_email_status</t>
        </is>
      </c>
      <c r="DG1" s="1" t="inlineStr">
        <is>
          <t>b_candidate_status</t>
        </is>
      </c>
      <c r="DH1" s="1" t="inlineStr">
        <is>
          <t>near_miss_class</t>
        </is>
      </c>
      <c r="DI1" s="1" t="inlineStr">
        <is>
          <t>nyc_office_may_fit</t>
        </is>
      </c>
      <c r="DJ1" s="1" t="inlineStr">
        <is>
          <t>leased_sf_mentioned</t>
        </is>
      </c>
      <c r="DK1" s="1" t="inlineStr">
        <is>
          <t>b_notes</t>
        </is>
      </c>
      <c r="DL1" s="1" t="inlineStr">
        <is>
          <t>a_corrections</t>
        </is>
      </c>
      <c r="DM1" s="1" t="inlineStr">
        <is>
          <t>contact_name_as_found</t>
        </is>
      </c>
      <c r="DN1" s="1" t="inlineStr">
        <is>
          <t>contact_record_date</t>
        </is>
      </c>
      <c r="DO1" s="1" t="inlineStr">
        <is>
          <t>contact_note</t>
        </is>
      </c>
      <c r="DP1" s="1" t="inlineStr">
        <is>
          <t>linkedin_status</t>
        </is>
      </c>
      <c r="DQ1" s="1" t="inlineStr">
        <is>
          <t>backup_contact_role</t>
        </is>
      </c>
      <c r="DR1" s="1" t="inlineStr">
        <is>
          <t>backup_contact_name_as_found</t>
        </is>
      </c>
      <c r="DS1" s="1" t="inlineStr">
        <is>
          <t>backup_contact_status</t>
        </is>
      </c>
      <c r="DT1" s="1" t="inlineStr">
        <is>
          <t>backup_contact_evidence</t>
        </is>
      </c>
      <c r="DU1" s="1" t="inlineStr">
        <is>
          <t>backup_contact_source_url</t>
        </is>
      </c>
      <c r="DV1" s="1" t="inlineStr">
        <is>
          <t>backup_contact_record_date</t>
        </is>
      </c>
      <c r="DW1" s="1" t="inlineStr">
        <is>
          <t>backup_contact_note</t>
        </is>
      </c>
      <c r="DX1" s="1" t="inlineStr">
        <is>
          <t>contacts_researched</t>
        </is>
      </c>
      <c r="DY1" s="1" t="inlineStr">
        <is>
          <t>contact_ny_base</t>
        </is>
      </c>
      <c r="DZ1" s="1" t="inlineStr">
        <is>
          <t>company_group_reason</t>
        </is>
      </c>
      <c r="EA1" s="4" t="inlineStr">
        <is>
          <t>sequence</t>
        </is>
      </c>
      <c r="EB1" s="4" t="inlineStr">
        <is>
          <t>touch_1_date</t>
        </is>
      </c>
      <c r="EC1" s="4" t="inlineStr">
        <is>
          <t>touch_2_date</t>
        </is>
      </c>
      <c r="ED1" s="4" t="inlineStr">
        <is>
          <t>touch_3_date</t>
        </is>
      </c>
      <c r="EE1" s="4" t="inlineStr">
        <is>
          <t>last_reply_date</t>
        </is>
      </c>
      <c r="EF1" s="4" t="inlineStr">
        <is>
          <t>reply_type</t>
        </is>
      </c>
      <c r="EG1" s="4" t="inlineStr">
        <is>
          <t>call_date</t>
        </is>
      </c>
      <c r="EH1" s="4" t="inlineStr">
        <is>
          <t>call_notes</t>
        </is>
      </c>
      <c r="EI1" s="4" t="inlineStr">
        <is>
          <t>yes_in_principle</t>
        </is>
      </c>
      <c r="EJ1" s="4" t="inlineStr">
        <is>
          <t>next_action</t>
        </is>
      </c>
      <c r="EK1" s="4" t="inlineStr">
        <is>
          <t>next_action_date</t>
        </is>
      </c>
      <c r="EL1" s="4" t="inlineStr">
        <is>
          <t>referral_from</t>
        </is>
      </c>
      <c r="EM1" s="4" t="inlineStr">
        <is>
          <t>street_short</t>
        </is>
      </c>
      <c r="EN1" s="4" t="inlineStr">
        <is>
          <t>why_now_hook</t>
        </is>
      </c>
      <c r="EO1" s="4" t="inlineStr">
        <is>
          <t>call_note_hook</t>
        </is>
      </c>
      <c r="EP1" s="4" t="inlineStr">
        <is>
          <t>how_we_know</t>
        </is>
      </c>
      <c r="EQ1" s="4" t="inlineStr">
        <is>
          <t>referrer_ok_to_name</t>
        </is>
      </c>
      <c r="ER1" s="3" t="inlineStr">
        <is>
          <t>in_flight</t>
        </is>
      </c>
      <c r="ES1" s="3" t="inlineStr">
        <is>
          <t>group_blocked</t>
        </is>
      </c>
      <c r="ET1" s="3" t="inlineStr">
        <is>
          <t>eligible</t>
        </is>
      </c>
      <c r="EU1" s="3" t="inlineStr">
        <is>
          <t>view_pick</t>
        </is>
      </c>
      <c r="EV1" s="3" t="inlineStr">
        <is>
          <t>in_daily_view</t>
        </is>
      </c>
      <c r="EW1" s="3" t="inlineStr">
        <is>
          <t>row_order</t>
        </is>
      </c>
    </row>
    <row r="2">
      <c r="A2" t="inlineStr">
        <is>
          <t>AO-C-035</t>
        </is>
      </c>
      <c r="B2" t="inlineStr">
        <is>
          <t>Global Strategy Group</t>
        </is>
      </c>
      <c r="C2" t="inlineStr">
        <is>
          <t>Joan</t>
        </is>
      </c>
      <c r="D2" t="inlineStr">
        <is>
          <t>McHugh-Ward</t>
        </is>
      </c>
      <c r="E2" t="inlineStr">
        <is>
          <t>Manager, HQ-Office Services</t>
        </is>
      </c>
      <c r="F2" t="inlineStr"/>
      <c r="G2" t="inlineStr"/>
      <c r="H2" t="inlineStr">
        <is>
          <t>none</t>
        </is>
      </c>
      <c r="I2" t="inlineStr">
        <is>
          <t>linkedin</t>
        </is>
      </c>
      <c r="J2" t="n">
        <v>80</v>
      </c>
      <c r="K2" t="inlineStr">
        <is>
          <t>Tuesday estimate 63 to 125 (low confidence), under 500 staff company-wide, on-site 5 days a week per its profile, occupied at a high-confidence address; contact in the target titles named (Manager, HQ-Office Services).</t>
        </is>
      </c>
      <c r="L2" t="inlineStr">
        <is>
          <t>76-150</t>
        </is>
      </c>
      <c r="M2" t="inlineStr"/>
      <c r="N2" t="inlineStr"/>
      <c r="O2" t="inlineStr"/>
      <c r="P2" t="inlineStr"/>
      <c r="Q2" t="inlineStr"/>
      <c r="R2" t="inlineStr">
        <is>
          <t>N</t>
        </is>
      </c>
      <c r="S2" t="inlineStr">
        <is>
          <t>unknown</t>
        </is>
      </c>
      <c r="T2" t="inlineStr">
        <is>
          <t>Y</t>
        </is>
      </c>
      <c r="U2" t="inlineStr">
        <is>
          <t>do_not_contact</t>
        </is>
      </c>
      <c r="V2" t="inlineStr">
        <is>
          <t>https://www.globalstrategygroup.com/locations/</t>
        </is>
      </c>
      <c r="W2" t="inlineStr">
        <is>
          <t>2026-10-23</t>
        </is>
      </c>
      <c r="X2" t="inlineStr">
        <is>
          <t>office</t>
        </is>
      </c>
      <c r="Y2" t="n">
        <v>1</v>
      </c>
      <c r="Z2" t="n">
        <v>1</v>
      </c>
      <c r="AA2" t="inlineStr">
        <is>
          <t>Y</t>
        </is>
      </c>
      <c r="AB2" t="inlineStr">
        <is>
          <t>find Joan McHugh-Ward at Global Strategy Group on LinkedIn and paste the profile URL</t>
        </is>
      </c>
      <c r="AC2" t="inlineStr">
        <is>
          <t>pantry or office lead (primary)</t>
        </is>
      </c>
      <c r="AD2" t="inlineStr">
        <is>
          <t>verified-page</t>
        </is>
      </c>
      <c r="AE2" t="inlineStr">
        <is>
          <t>employer's own site</t>
        </is>
      </c>
      <c r="AF2" t="inlineStr">
        <is>
          <t>https://globalstrategygroup.com/team/</t>
        </is>
      </c>
      <c r="AG2" t="inlineStr">
        <is>
          <t>2026-10-24</t>
        </is>
      </c>
      <c r="AH2" t="inlineStr">
        <is>
          <t>exact</t>
        </is>
      </c>
      <c r="AI2" t="inlineStr">
        <is>
          <t>215 Park Avenue South</t>
        </is>
      </c>
      <c r="AJ2" t="n">
        <v>15</v>
      </c>
      <c r="AK2" t="inlineStr">
        <is>
          <t>occupied</t>
        </is>
      </c>
      <c r="AL2" t="n">
        <v>63</v>
      </c>
      <c r="AM2" t="n">
        <v>125</v>
      </c>
      <c r="AN2" t="inlineStr">
        <is>
          <t>low</t>
        </is>
      </c>
      <c r="AO2" t="inlineStr">
        <is>
          <t>in-office-5</t>
        </is>
      </c>
      <c r="AP2" t="inlineStr">
        <is>
          <t>AO-C-035</t>
        </is>
      </c>
      <c r="AQ2" t="inlineStr">
        <is>
          <t>N</t>
        </is>
      </c>
      <c r="AR2" t="inlineStr"/>
      <c r="AS2" t="inlineStr">
        <is>
          <t>2026-10-30</t>
        </is>
      </c>
      <c r="AT2" t="inlineStr">
        <is>
          <t>Y</t>
        </is>
      </c>
      <c r="AU2" t="inlineStr"/>
      <c r="AV2" t="inlineStr"/>
      <c r="AW2" t="inlineStr">
        <is>
          <t>N</t>
        </is>
      </c>
      <c r="AX2" t="inlineStr">
        <is>
          <t>pass</t>
        </is>
      </c>
      <c r="AY2" t="inlineStr">
        <is>
          <t>passes all hard gates</t>
        </is>
      </c>
      <c r="AZ2" t="inlineStr">
        <is>
          <t>company</t>
        </is>
      </c>
      <c r="BA2" t="inlineStr">
        <is>
          <t>B-C-035</t>
        </is>
      </c>
      <c r="BB2" t="inlineStr">
        <is>
          <t>https://www.globalstrategygroup.com</t>
        </is>
      </c>
      <c r="BC2" t="inlineStr">
        <is>
          <t>public affairs, research and communications consulting</t>
        </is>
      </c>
      <c r="BD2" t="n">
        <v>187</v>
      </c>
      <c r="BE2" t="inlineStr"/>
      <c r="BF2" t="inlineStr">
        <is>
          <t>151-250</t>
        </is>
      </c>
      <c r="BG2" t="inlineStr">
        <is>
          <t>whole-company</t>
        </is>
      </c>
      <c r="BH2" t="inlineStr">
        <is>
          <t>single-source</t>
        </is>
      </c>
      <c r="BI2" t="inlineStr">
        <is>
          <t>https://www.builtinnyc.com/company/global-strategy-group</t>
        </is>
      </c>
      <c r="BJ2" t="inlineStr"/>
      <c r="BK2" t="inlineStr">
        <is>
          <t>le500</t>
        </is>
      </c>
      <c r="BL2" t="inlineStr">
        <is>
          <t>New York</t>
        </is>
      </c>
      <c r="BM2" t="inlineStr">
        <is>
          <t>Y</t>
        </is>
      </c>
      <c r="BN2" t="inlineStr">
        <is>
          <t>unknown</t>
        </is>
      </c>
      <c r="BO2" t="inlineStr">
        <is>
          <t>unknown</t>
        </is>
      </c>
      <c r="BP2" t="n">
        <v>10003</v>
      </c>
      <c r="BQ2" t="n">
        <v>40.73686</v>
      </c>
      <c r="BR2" t="n">
        <v>-73.988546</v>
      </c>
      <c r="BS2" t="inlineStr">
        <is>
          <t>Y</t>
        </is>
      </c>
      <c r="BT2" t="n">
        <v>0</v>
      </c>
      <c r="BU2" t="inlineStr">
        <is>
          <t>B-B-016</t>
        </is>
      </c>
      <c r="BV2" t="inlineStr">
        <is>
          <t>215 Park Avenue South (SL Green managed)</t>
        </is>
      </c>
      <c r="BW2" t="inlineStr">
        <is>
          <t>https://www.globalstrategygroup.com/locations/</t>
        </is>
      </c>
      <c r="BX2" t="inlineStr">
        <is>
          <t>2026-10-23</t>
        </is>
      </c>
      <c r="BY2" t="inlineStr">
        <is>
          <t>company-site</t>
        </is>
      </c>
      <c r="BZ2" t="inlineStr">
        <is>
          <t>https://www.sec.gov/Archives/edgar/data/1013454/000153949726000704/n5676_x5-424h.htm</t>
        </is>
      </c>
      <c r="CA2" t="inlineStr">
        <is>
          <t>2026-02</t>
        </is>
      </c>
      <c r="CB2" t="inlineStr">
        <is>
          <t>cites a sec.gov filing: agents do not open it (EDGAR demands a contact email); the founder may open it in a browser</t>
        </is>
      </c>
      <c r="CC2" t="inlineStr">
        <is>
          <t>high</t>
        </is>
      </c>
      <c r="CD2" t="inlineStr"/>
      <c r="CE2" t="inlineStr">
        <is>
          <t>N</t>
        </is>
      </c>
      <c r="CF2" t="inlineStr"/>
      <c r="CG2" t="inlineStr"/>
      <c r="CH2" t="inlineStr">
        <is>
          <t>security desk</t>
        </is>
      </c>
      <c r="CI2" t="inlineStr">
        <is>
          <t>https://www.metro-manhattan.com/buildings/215-park-avenue-south/</t>
        </is>
      </c>
      <c r="CJ2" t="inlineStr">
        <is>
          <t>unknown</t>
        </is>
      </c>
      <c r="CK2" t="inlineStr">
        <is>
          <t>N</t>
        </is>
      </c>
      <c r="CL2" t="inlineStr">
        <is>
          <t>Built In workplace type: OnSite Workplace; typical time on-site: 5 days a week; recent job tags: 1 Hybrid</t>
        </is>
      </c>
      <c r="CM2" t="inlineStr">
        <is>
          <t>https://www.builtinnyc.com/company/global-strategy-group/offices</t>
        </is>
      </c>
      <c r="CN2" t="inlineStr">
        <is>
          <t>2026-10-24</t>
        </is>
      </c>
      <c r="CO2" t="n">
        <v>89</v>
      </c>
      <c r="CP2" t="inlineStr"/>
      <c r="CQ2" t="inlineStr">
        <is>
          <t>187 (Built In) staff (whole-company count) x 50% to 100% of them in the New York office (HQ New York; share assumed) x 67% (Partnership for NYC, firms under 500) in on a weekday = 63 to 125, central 89; low confidence; estimate until intake replaces it.</t>
        </is>
      </c>
      <c r="CR2" t="inlineStr">
        <is>
          <t>estimate until intake replaces it</t>
        </is>
      </c>
      <c r="CS2" t="n">
        <v>1</v>
      </c>
      <c r="CT2" t="n">
        <v>80</v>
      </c>
      <c r="CU2" t="n">
        <v>25</v>
      </c>
      <c r="CV2" t="n">
        <v>15</v>
      </c>
      <c r="CW2" t="n">
        <v>15</v>
      </c>
      <c r="CX2" t="n">
        <v>15</v>
      </c>
      <c r="CY2" t="n">
        <v>10</v>
      </c>
      <c r="CZ2" t="n">
        <v>0</v>
      </c>
      <c r="DA2" t="inlineStr">
        <is>
          <t>Liana</t>
        </is>
      </c>
      <c r="DB2" t="inlineStr">
        <is>
          <t>Kane</t>
        </is>
      </c>
      <c r="DC2" t="inlineStr">
        <is>
          <t>Senior Executive Assistant to the CEO</t>
        </is>
      </c>
      <c r="DD2" t="inlineStr">
        <is>
          <t>https://www.linkedin.com/in/liana-kane-ba771b29/</t>
        </is>
      </c>
      <c r="DE2" t="inlineStr"/>
      <c r="DF2" t="inlineStr">
        <is>
          <t>none</t>
        </is>
      </c>
      <c r="DG2" t="inlineStr">
        <is>
          <t>candidate</t>
        </is>
      </c>
      <c r="DH2" t="inlineStr"/>
      <c r="DI2" t="inlineStr"/>
      <c r="DJ2" t="inlineStr">
        <is>
          <t>21,974 sf</t>
        </is>
      </c>
      <c r="DK2" t="inlineStr">
        <is>
          <t>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L2" t="inlineStr"/>
      <c r="DM2" t="inlineStr">
        <is>
          <t>Joan McHugh-Ward</t>
        </is>
      </c>
      <c r="DN2" t="inlineStr"/>
      <c r="DO2" t="inlineStr">
        <is>
          <t>ny_base=confirmed; title_fit=family (office services manager). Company team page lists 'Manager, HQ-Office Services'; her profile page https://globalstrategygroup.com/team/joan-mchugh/ is titled 'HQ Office Services'. GSG HQ is New York (215 Park Avenue South). No LinkedIn URL on the company page.</t>
        </is>
      </c>
      <c r="DP2" t="inlineStr"/>
      <c r="DQ2" t="inlineStr">
        <is>
          <t>pantry or office lead (backup)</t>
        </is>
      </c>
      <c r="DR2" t="inlineStr">
        <is>
          <t>Liana Kane</t>
        </is>
      </c>
      <c r="DS2" t="inlineStr">
        <is>
          <t>verified-page</t>
        </is>
      </c>
      <c r="DT2" t="inlineStr">
        <is>
          <t>employer's own site</t>
        </is>
      </c>
      <c r="DU2" t="inlineStr">
        <is>
          <t>https://globalstrategygroup.com/team/liana-kane/</t>
        </is>
      </c>
      <c r="DV2" t="inlineStr">
        <is>
          <t>2026-09-07</t>
        </is>
      </c>
      <c r="DW2" t="inlineStr">
        <is>
          <t>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is>
      </c>
      <c r="DX2" t="inlineStr">
        <is>
          <t>Y</t>
        </is>
      </c>
      <c r="DY2" t="inlineStr">
        <is>
          <t>confirmed</t>
        </is>
      </c>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f>IF(ISNUMBER(MATCH(U2,{"queued","contacted","replied","call_booked","call_done","yes_in_principle","materials_sent"},0)),"Y","N")</f>
        <v/>
      </c>
      <c r="ES2">
        <f>IF(COUNTIFS($AP$2:$AP$1000,AP2,$ER$2:$ER$1000,"Y")+COUNTIFS($AP$2:$AP$1000,AP2,$T$2:$T$1000,"Y")&gt;0,"Y","N")</f>
        <v/>
      </c>
      <c r="ET2">
        <f>IF(AND(U2="new",T2="N",AT2="Y",AS2="",ES2="N"),"Y","N")</f>
        <v/>
      </c>
      <c r="EU2">
        <f>IF(ET2&lt;&gt;"Y","N",IF(COUNTIFS($AP$2:$AP$1000,AP2,$ET$2:$ET$1000,"Y",$J$2:$J$1000,"&gt;"&amp;J2)+COUNTIFS($AP$2:$AP$1000,AP2,$ET$2:$ET$1000,"Y",$J$2:$J$1000,J2,$EW$2:$EW$1000,"&lt;"&amp;EW2)=0,"Y","N"))</f>
        <v/>
      </c>
      <c r="EV2">
        <f>IF(Y2="","N",IF(Y2&lt;=10,"Y","N"))</f>
        <v/>
      </c>
      <c r="EW2">
        <f>ROW()-1</f>
        <v/>
      </c>
    </row>
    <row r="3">
      <c r="A3" t="inlineStr">
        <is>
          <t>AO-C-160</t>
        </is>
      </c>
      <c r="B3" t="inlineStr">
        <is>
          <t>K Health</t>
        </is>
      </c>
      <c r="C3" t="inlineStr">
        <is>
          <t>Naomy</t>
        </is>
      </c>
      <c r="D3" t="inlineStr">
        <is>
          <t>Ambroise</t>
        </is>
      </c>
      <c r="E3" t="inlineStr">
        <is>
          <t>People Operations Generalist</t>
        </is>
      </c>
      <c r="F3" t="inlineStr"/>
      <c r="G3" t="inlineStr"/>
      <c r="H3" t="inlineStr">
        <is>
          <t>none</t>
        </is>
      </c>
      <c r="I3" t="inlineStr">
        <is>
          <t>linkedin</t>
        </is>
      </c>
      <c r="J3" t="n">
        <v>76.5</v>
      </c>
      <c r="K3" t="inlineStr">
        <is>
          <t>Tuesday estimate 122 to 281 (low confidence), under 500 staff company-wide, on-site 5 days a week per its profile, occupied at a high-confidence address; contact in the target titles named (People Operations Generalist).</t>
        </is>
      </c>
      <c r="L3" t="inlineStr">
        <is>
          <t>151-250</t>
        </is>
      </c>
      <c r="M3" t="inlineStr"/>
      <c r="N3" t="inlineStr"/>
      <c r="O3" t="inlineStr"/>
      <c r="P3" t="inlineStr"/>
      <c r="Q3" t="inlineStr"/>
      <c r="R3" t="inlineStr">
        <is>
          <t>N</t>
        </is>
      </c>
      <c r="S3" t="inlineStr">
        <is>
          <t>unknown</t>
        </is>
      </c>
      <c r="T3" t="inlineStr">
        <is>
          <t>N</t>
        </is>
      </c>
      <c r="U3" t="inlineStr">
        <is>
          <t>contacted</t>
        </is>
      </c>
      <c r="V3" t="inlineStr">
        <is>
          <t>https://www.connectcre.com/stories/ai-native-hanover-park-leases-full-floor-at-387-park-ave-south/</t>
        </is>
      </c>
      <c r="W3" t="inlineStr">
        <is>
          <t>2026-10-23</t>
        </is>
      </c>
      <c r="X3" t="inlineStr">
        <is>
          <t>office</t>
        </is>
      </c>
      <c r="Y3" t="n">
        <v>2</v>
      </c>
      <c r="Z3" t="n">
        <v>2</v>
      </c>
      <c r="AA3" t="inlineStr">
        <is>
          <t>Y</t>
        </is>
      </c>
      <c r="AB3" t="inlineStr">
        <is>
          <t>find Naomy Ambroise at K Health on LinkedIn and paste the profile URL (this also confirms the name: The Org is crowd-edited)</t>
        </is>
      </c>
      <c r="AC3" t="inlineStr">
        <is>
          <t>pantry or office lead (primary)</t>
        </is>
      </c>
      <c r="AD3" t="inlineStr">
        <is>
          <t>verified-page</t>
        </is>
      </c>
      <c r="AE3" t="inlineStr">
        <is>
          <t>The Org (crowd-edited org chart)</t>
        </is>
      </c>
      <c r="AF3" t="inlineStr">
        <is>
          <t>https://theorg.com/org/k-health/person/naomy-ambroise</t>
        </is>
      </c>
      <c r="AG3" t="inlineStr">
        <is>
          <t>2026-10-24</t>
        </is>
      </c>
      <c r="AH3" t="inlineStr">
        <is>
          <t>exact</t>
        </is>
      </c>
      <c r="AI3" t="inlineStr">
        <is>
          <t>387 Park Avenue South</t>
        </is>
      </c>
      <c r="AJ3" t="n">
        <v>9</v>
      </c>
      <c r="AK3" t="inlineStr">
        <is>
          <t>occupied</t>
        </is>
      </c>
      <c r="AL3" t="n">
        <v>122</v>
      </c>
      <c r="AM3" t="n">
        <v>281</v>
      </c>
      <c r="AN3" t="inlineStr">
        <is>
          <t>low</t>
        </is>
      </c>
      <c r="AO3" t="inlineStr">
        <is>
          <t>in-office-5</t>
        </is>
      </c>
      <c r="AP3" t="inlineStr">
        <is>
          <t>AO-C-160</t>
        </is>
      </c>
      <c r="AQ3" t="inlineStr">
        <is>
          <t>N</t>
        </is>
      </c>
      <c r="AR3" t="inlineStr"/>
      <c r="AS3" t="inlineStr"/>
      <c r="AT3" t="inlineStr">
        <is>
          <t>Y</t>
        </is>
      </c>
      <c r="AU3" t="inlineStr"/>
      <c r="AV3" t="inlineStr"/>
      <c r="AW3" t="inlineStr">
        <is>
          <t>N</t>
        </is>
      </c>
      <c r="AX3" t="inlineStr">
        <is>
          <t>pass</t>
        </is>
      </c>
      <c r="AY3" t="inlineStr">
        <is>
          <t>passes all hard gates</t>
        </is>
      </c>
      <c r="AZ3" t="inlineStr">
        <is>
          <t>company</t>
        </is>
      </c>
      <c r="BA3" t="inlineStr">
        <is>
          <t>B-C-160</t>
        </is>
      </c>
      <c r="BB3" t="inlineStr">
        <is>
          <t>https://khealth.com</t>
        </is>
      </c>
      <c r="BC3" t="inlineStr">
        <is>
          <t>healthtech (AI primary care)</t>
        </is>
      </c>
      <c r="BD3" t="n">
        <v>363</v>
      </c>
      <c r="BE3" t="n">
        <v>419</v>
      </c>
      <c r="BF3" t="inlineStr">
        <is>
          <t>251-500</t>
        </is>
      </c>
      <c r="BG3" t="inlineStr">
        <is>
          <t>whole-company</t>
        </is>
      </c>
      <c r="BH3" t="inlineStr">
        <is>
          <t>agree</t>
        </is>
      </c>
      <c r="BI3" t="inlineStr">
        <is>
          <t>https://www.builtinnyc.com/company/k-health/offices</t>
        </is>
      </c>
      <c r="BJ3" t="inlineStr">
        <is>
          <t>https://www.reveliolabs.com/companies/k-health/employees</t>
        </is>
      </c>
      <c r="BK3" t="inlineStr">
        <is>
          <t>le500</t>
        </is>
      </c>
      <c r="BL3" t="inlineStr">
        <is>
          <t>New York</t>
        </is>
      </c>
      <c r="BM3" t="inlineStr">
        <is>
          <t>Y</t>
        </is>
      </c>
      <c r="BN3" t="inlineStr">
        <is>
          <t>unknown</t>
        </is>
      </c>
      <c r="BO3" t="inlineStr">
        <is>
          <t>unknown</t>
        </is>
      </c>
      <c r="BP3" t="n">
        <v>10016</v>
      </c>
      <c r="BQ3" t="n">
        <v>40.742833</v>
      </c>
      <c r="BR3" t="n">
        <v>-73.984174</v>
      </c>
      <c r="BS3" t="inlineStr">
        <is>
          <t>Y</t>
        </is>
      </c>
      <c r="BT3" t="n">
        <v>0</v>
      </c>
      <c r="BU3" t="inlineStr">
        <is>
          <t>B-B-073</t>
        </is>
      </c>
      <c r="BV3" t="inlineStr">
        <is>
          <t>387 Park Avenue South (TF Cornerstone)</t>
        </is>
      </c>
      <c r="BW3" t="inlineStr">
        <is>
          <t>https://www.connectcre.com/stories/ai-native-hanover-park-leases-full-floor-at-387-park-ave-south/</t>
        </is>
      </c>
      <c r="BX3" t="inlineStr">
        <is>
          <t>2026-08-14</t>
        </is>
      </c>
      <c r="BY3" t="inlineStr">
        <is>
          <t>leasing-press</t>
        </is>
      </c>
      <c r="BZ3" t="inlineStr">
        <is>
          <t>https://khealth.com/terms-of-use/</t>
        </is>
      </c>
      <c r="CA3" t="inlineStr">
        <is>
          <t>2026-10-24</t>
        </is>
      </c>
      <c r="CB3" t="inlineStr"/>
      <c r="CC3" t="inlineStr">
        <is>
          <t>high</t>
        </is>
      </c>
      <c r="CD3" t="inlineStr"/>
      <c r="CE3" t="inlineStr">
        <is>
          <t>N</t>
        </is>
      </c>
      <c r="CF3" t="inlineStr"/>
      <c r="CG3" t="inlineStr"/>
      <c r="CH3" t="inlineStr">
        <is>
          <t>unknown</t>
        </is>
      </c>
      <c r="CI3" t="inlineStr"/>
      <c r="CJ3" t="inlineStr">
        <is>
          <t>unknown</t>
        </is>
      </c>
      <c r="CK3" t="inlineStr">
        <is>
          <t>N</t>
        </is>
      </c>
      <c r="CL3" t="inlineStr">
        <is>
          <t>completed a long-term renewal at 387 PAS in late 2025. CONFLICT: Built In (363 employees, on-site 5 days) lists HQ at 298 5th Ave, 7th</t>
        </is>
      </c>
      <c r="CM3" t="inlineStr">
        <is>
          <t>https://www.builtinnyc.com/company/k-health/offices</t>
        </is>
      </c>
      <c r="CN3" t="inlineStr">
        <is>
          <t>2026-10-23</t>
        </is>
      </c>
      <c r="CO3" t="n">
        <v>185</v>
      </c>
      <c r="CP3" t="inlineStr">
        <is>
          <t>may exceed 250</t>
        </is>
      </c>
      <c r="CQ3" t="inlineStr">
        <is>
          <t>363 (Built In) and 419 (Revelio Labs) staff (whole-company count) x 50% to 100% of them in the New York office (HQ New York; share assumed) x 67% (Partnership for NYC, firms under 500) in on a weekday = 122 to 281, central 185; low confidence; estimate until intake replaces it.</t>
        </is>
      </c>
      <c r="CR3" t="inlineStr">
        <is>
          <t>estimate until intake replaces it</t>
        </is>
      </c>
      <c r="CS3" t="n">
        <v>0.86</v>
      </c>
      <c r="CT3" t="n">
        <v>76.5</v>
      </c>
      <c r="CU3" t="n">
        <v>21.5</v>
      </c>
      <c r="CV3" t="n">
        <v>15</v>
      </c>
      <c r="CW3" t="n">
        <v>15</v>
      </c>
      <c r="CX3" t="n">
        <v>15</v>
      </c>
      <c r="CY3" t="n">
        <v>10</v>
      </c>
      <c r="CZ3" t="n">
        <v>0</v>
      </c>
      <c r="DA3" t="inlineStr">
        <is>
          <t>Ana</t>
        </is>
      </c>
      <c r="DB3" t="inlineStr">
        <is>
          <t>Ramos</t>
        </is>
      </c>
      <c r="DC3" t="inlineStr">
        <is>
          <t>VP of Operations</t>
        </is>
      </c>
      <c r="DD3" t="inlineStr"/>
      <c r="DE3" t="inlineStr"/>
      <c r="DF3" t="inlineStr">
        <is>
          <t>none</t>
        </is>
      </c>
      <c r="DG3" t="inlineStr">
        <is>
          <t>candidate</t>
        </is>
      </c>
      <c r="DH3" t="inlineStr"/>
      <c r="DI3" t="inlineStr"/>
      <c r="DJ3" t="inlineStr"/>
      <c r="DK3" t="inlineStr">
        <is>
          <t>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is>
      </c>
      <c r="DL3" t="inlineStr"/>
      <c r="DM3" t="inlineStr">
        <is>
          <t>Naomy Ambroise</t>
        </is>
      </c>
      <c r="DN3" t="inlineStr">
        <is>
          <t>2026-02-14</t>
        </is>
      </c>
      <c r="DO3" t="inlineStr">
        <is>
          <t>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is>
      </c>
      <c r="DP3" t="inlineStr"/>
      <c r="DQ3" t="inlineStr">
        <is>
          <t>pantry or office lead (backup)</t>
        </is>
      </c>
      <c r="DR3" t="inlineStr">
        <is>
          <t>Ana Ramos</t>
        </is>
      </c>
      <c r="DS3" t="inlineStr">
        <is>
          <t>verified-page</t>
        </is>
      </c>
      <c r="DT3" t="inlineStr">
        <is>
          <t>The Org (crowd-edited org chart)</t>
        </is>
      </c>
      <c r="DU3" t="inlineStr">
        <is>
          <t>https://theorg.com/org/k-health/person/ana-ramos</t>
        </is>
      </c>
      <c r="DV3" t="inlineStr">
        <is>
          <t>2026-01-19</t>
        </is>
      </c>
      <c r="DW3" t="inlineStr">
        <is>
          <t>ny_base=confirmed (The Org attaches the role to K Health's New York HQ office); title_fit=adjacent (operations lead, team 'Finance and Operations'). The Org updated 2026-01-19.</t>
        </is>
      </c>
      <c r="DX3" t="inlineStr">
        <is>
          <t>Y</t>
        </is>
      </c>
      <c r="DY3" t="inlineStr">
        <is>
          <t>likely</t>
        </is>
      </c>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f>IF(ISNUMBER(MATCH(U3,{"queued","contacted","replied","call_booked","call_done","yes_in_principle","materials_sent"},0)),"Y","N")</f>
        <v/>
      </c>
      <c r="ES3">
        <f>IF(COUNTIFS($AP$2:$AP$1000,AP3,$ER$2:$ER$1000,"Y")+COUNTIFS($AP$2:$AP$1000,AP3,$T$2:$T$1000,"Y")&gt;0,"Y","N")</f>
        <v/>
      </c>
      <c r="ET3">
        <f>IF(AND(U3="new",T3="N",AT3="Y",AS3="",ES3="N"),"Y","N")</f>
        <v/>
      </c>
      <c r="EU3">
        <f>IF(ET3&lt;&gt;"Y","N",IF(COUNTIFS($AP$2:$AP$1000,AP3,$ET$2:$ET$1000,"Y",$J$2:$J$1000,"&gt;"&amp;J3)+COUNTIFS($AP$2:$AP$1000,AP3,$ET$2:$ET$1000,"Y",$J$2:$J$1000,J3,$EW$2:$EW$1000,"&lt;"&amp;EW3)=0,"Y","N"))</f>
        <v/>
      </c>
      <c r="EV3">
        <f>IF(Y3="","N",IF(Y3&lt;=10,"Y","N"))</f>
        <v/>
      </c>
      <c r="EW3">
        <f>ROW()-1</f>
        <v/>
      </c>
    </row>
    <row r="4">
      <c r="A4" t="inlineStr">
        <is>
          <t>AO-C-037</t>
        </is>
      </c>
      <c r="B4" t="inlineStr">
        <is>
          <t>Nayya</t>
        </is>
      </c>
      <c r="C4" t="inlineStr">
        <is>
          <t>Phoebe</t>
        </is>
      </c>
      <c r="D4" t="inlineStr">
        <is>
          <t>Waxman</t>
        </is>
      </c>
      <c r="E4" t="inlineStr">
        <is>
          <t>Senior People Operations Analyst</t>
        </is>
      </c>
      <c r="F4" t="inlineStr"/>
      <c r="G4" t="inlineStr"/>
      <c r="H4" t="inlineStr">
        <is>
          <t>none</t>
        </is>
      </c>
      <c r="I4" t="inlineStr">
        <is>
          <t>linkedin</t>
        </is>
      </c>
      <c r="J4" t="n">
        <v>75</v>
      </c>
      <c r="K4" t="inlineStr">
        <is>
          <t>Tuesday estimate 50 to 134 (low confidence), under 500 staff company-wide, hybrid 3 days, occupied at a high-confidence address; contact in the target titles named (Senior People Operations Analyst).</t>
        </is>
      </c>
      <c r="L4" t="inlineStr">
        <is>
          <t>76-150</t>
        </is>
      </c>
      <c r="M4" t="inlineStr"/>
      <c r="N4" t="inlineStr"/>
      <c r="O4" t="inlineStr"/>
      <c r="P4" t="inlineStr"/>
      <c r="Q4" t="inlineStr"/>
      <c r="R4" t="inlineStr">
        <is>
          <t>N</t>
        </is>
      </c>
      <c r="S4" t="inlineStr">
        <is>
          <t>unknown</t>
        </is>
      </c>
      <c r="T4" t="inlineStr">
        <is>
          <t>N</t>
        </is>
      </c>
      <c r="U4" t="inlineStr">
        <is>
          <t>new</t>
        </is>
      </c>
      <c r="V4" t="inlineStr">
        <is>
          <t>https://www.sec.gov/Archives/edgar/data/1013454/000153949726000704/n5676_x5-424h.htm</t>
        </is>
      </c>
      <c r="W4" t="inlineStr">
        <is>
          <t>2026-10-23</t>
        </is>
      </c>
      <c r="X4" t="inlineStr">
        <is>
          <t>office</t>
        </is>
      </c>
      <c r="Y4" t="n">
        <v>3</v>
      </c>
      <c r="Z4" t="n">
        <v>3</v>
      </c>
      <c r="AA4" t="inlineStr">
        <is>
          <t>Y</t>
        </is>
      </c>
      <c r="AB4" t="inlineStr">
        <is>
          <t>find Phoebe Waxman at Nayya on LinkedIn and paste the profile URL (this also confirms the name: The Org is crowd-edited)</t>
        </is>
      </c>
      <c r="AC4" t="inlineStr">
        <is>
          <t>pantry or office lead (primary)</t>
        </is>
      </c>
      <c r="AD4" t="inlineStr">
        <is>
          <t>verified-page</t>
        </is>
      </c>
      <c r="AE4" t="inlineStr">
        <is>
          <t>The Org (crowd-edited org chart)</t>
        </is>
      </c>
      <c r="AF4" t="inlineStr">
        <is>
          <t>https://theorg.com/org/nayya/person/phoebe-waxman</t>
        </is>
      </c>
      <c r="AG4" t="inlineStr">
        <is>
          <t>2026-10-24</t>
        </is>
      </c>
      <c r="AH4" t="inlineStr">
        <is>
          <t>exact</t>
        </is>
      </c>
      <c r="AI4" t="inlineStr">
        <is>
          <t>215 Park Avenue South</t>
        </is>
      </c>
      <c r="AJ4" t="n">
        <v>4</v>
      </c>
      <c r="AK4" t="inlineStr">
        <is>
          <t>occupied</t>
        </is>
      </c>
      <c r="AL4" t="n">
        <v>50</v>
      </c>
      <c r="AM4" t="n">
        <v>134</v>
      </c>
      <c r="AN4" t="inlineStr">
        <is>
          <t>low</t>
        </is>
      </c>
      <c r="AO4" t="inlineStr">
        <is>
          <t>hybrid-3</t>
        </is>
      </c>
      <c r="AP4" t="inlineStr">
        <is>
          <t>AO-C-037</t>
        </is>
      </c>
      <c r="AQ4" t="inlineStr">
        <is>
          <t>N</t>
        </is>
      </c>
      <c r="AR4" t="inlineStr"/>
      <c r="AS4" t="inlineStr"/>
      <c r="AT4" t="inlineStr">
        <is>
          <t>Y</t>
        </is>
      </c>
      <c r="AU4" t="inlineStr"/>
      <c r="AV4" t="inlineStr"/>
      <c r="AW4" t="inlineStr">
        <is>
          <t>N</t>
        </is>
      </c>
      <c r="AX4" t="inlineStr">
        <is>
          <t>pass</t>
        </is>
      </c>
      <c r="AY4" t="inlineStr">
        <is>
          <t>passes all hard gates</t>
        </is>
      </c>
      <c r="AZ4" t="inlineStr">
        <is>
          <t>company</t>
        </is>
      </c>
      <c r="BA4" t="inlineStr">
        <is>
          <t>B-C-037</t>
        </is>
      </c>
      <c r="BB4" t="inlineStr">
        <is>
          <t>https://www.nayya.com</t>
        </is>
      </c>
      <c r="BC4" t="inlineStr">
        <is>
          <t>benefits software (health tech)</t>
        </is>
      </c>
      <c r="BD4" t="n">
        <v>150</v>
      </c>
      <c r="BE4" t="n">
        <v>200</v>
      </c>
      <c r="BF4" t="inlineStr">
        <is>
          <t>unknown</t>
        </is>
      </c>
      <c r="BG4" t="inlineStr">
        <is>
          <t>unknown</t>
        </is>
      </c>
      <c r="BH4" t="inlineStr">
        <is>
          <t>disagree</t>
        </is>
      </c>
      <c r="BI4" t="inlineStr">
        <is>
          <t>https://www.builtinnyc.com/company/nayya</t>
        </is>
      </c>
      <c r="BJ4" t="inlineStr">
        <is>
          <t>https://www.reveliolabs.com/companies/nayya-health/employees</t>
        </is>
      </c>
      <c r="BK4" t="inlineStr">
        <is>
          <t>le500</t>
        </is>
      </c>
      <c r="BL4" t="inlineStr">
        <is>
          <t>New York</t>
        </is>
      </c>
      <c r="BM4" t="inlineStr">
        <is>
          <t>Y</t>
        </is>
      </c>
      <c r="BN4" t="inlineStr">
        <is>
          <t>unknown</t>
        </is>
      </c>
      <c r="BO4" t="inlineStr">
        <is>
          <t>unknown</t>
        </is>
      </c>
      <c r="BP4" t="n">
        <v>10003</v>
      </c>
      <c r="BQ4" t="n">
        <v>40.73686</v>
      </c>
      <c r="BR4" t="n">
        <v>-73.988546</v>
      </c>
      <c r="BS4" t="inlineStr">
        <is>
          <t>Y</t>
        </is>
      </c>
      <c r="BT4" t="n">
        <v>0</v>
      </c>
      <c r="BU4" t="inlineStr">
        <is>
          <t>B-B-016</t>
        </is>
      </c>
      <c r="BV4" t="inlineStr">
        <is>
          <t>215 Park Avenue South (SL Green managed)</t>
        </is>
      </c>
      <c r="BW4" t="inlineStr">
        <is>
          <t>https://www.sec.gov/Archives/edgar/data/1013454/000153949726000704/n5676_x5-424h.htm</t>
        </is>
      </c>
      <c r="BX4" t="inlineStr">
        <is>
          <t>2026-02</t>
        </is>
      </c>
      <c r="BY4" t="inlineStr">
        <is>
          <t>other</t>
        </is>
      </c>
      <c r="BZ4" t="inlineStr">
        <is>
          <t>https://www.nyrej.com/sl-green-signs-29-915-s-f-lease-with-nayya-health-at-215-park-ave-south</t>
        </is>
      </c>
      <c r="CA4" t="inlineStr">
        <is>
          <t>2024-12-10</t>
        </is>
      </c>
      <c r="CB4" t="inlineStr">
        <is>
          <t>cites a sec.gov filing: agents do not open it (EDGAR demands a contact email); the founder may open it in a browser</t>
        </is>
      </c>
      <c r="CC4" t="inlineStr">
        <is>
          <t>high</t>
        </is>
      </c>
      <c r="CD4" t="inlineStr"/>
      <c r="CE4" t="inlineStr">
        <is>
          <t>N</t>
        </is>
      </c>
      <c r="CF4" t="inlineStr"/>
      <c r="CG4" t="inlineStr"/>
      <c r="CH4" t="inlineStr">
        <is>
          <t>security desk</t>
        </is>
      </c>
      <c r="CI4" t="inlineStr">
        <is>
          <t>https://www.metro-manhattan.com/buildings/215-park-avenue-south/</t>
        </is>
      </c>
      <c r="CJ4" t="inlineStr">
        <is>
          <t>unknown</t>
        </is>
      </c>
      <c r="CK4" t="inlineStr">
        <is>
          <t>N</t>
        </is>
      </c>
      <c r="CL4" t="inlineStr">
        <is>
          <t>Built In workplace type: Hybrid Workplace; typical time on-site: 3 days a week; recent job tags: 3 Hybrid</t>
        </is>
      </c>
      <c r="CM4" t="inlineStr">
        <is>
          <t>https://www.builtinnyc.com/company/nayya/offices</t>
        </is>
      </c>
      <c r="CN4" t="inlineStr">
        <is>
          <t>2026-10-24</t>
        </is>
      </c>
      <c r="CO4" t="n">
        <v>82</v>
      </c>
      <c r="CP4" t="inlineStr"/>
      <c r="CQ4" t="inlineStr">
        <is>
          <t>150 (Built In) and 200 (Revelio Labs) staff (whole-company count) x 50% to 100% of them in the New York office (HQ New York; share assumed) x 67% (Partnership for NYC, firms under 500) in on a weekday = 50 to 134, central 82; low confidence; estimate until intake replaces it.</t>
        </is>
      </c>
      <c r="CR4" t="inlineStr">
        <is>
          <t>estimate until intake replaces it</t>
        </is>
      </c>
      <c r="CS4" t="n">
        <v>1</v>
      </c>
      <c r="CT4" t="n">
        <v>75</v>
      </c>
      <c r="CU4" t="n">
        <v>25</v>
      </c>
      <c r="CV4" t="n">
        <v>15</v>
      </c>
      <c r="CW4" t="n">
        <v>10</v>
      </c>
      <c r="CX4" t="n">
        <v>15</v>
      </c>
      <c r="CY4" t="n">
        <v>10</v>
      </c>
      <c r="CZ4" t="n">
        <v>0</v>
      </c>
      <c r="DA4" t="inlineStr">
        <is>
          <t>Amber</t>
        </is>
      </c>
      <c r="DB4" t="inlineStr">
        <is>
          <t>Hewko</t>
        </is>
      </c>
      <c r="DC4" t="inlineStr">
        <is>
          <t>Executive Assistant</t>
        </is>
      </c>
      <c r="DD4" t="inlineStr"/>
      <c r="DE4" t="inlineStr"/>
      <c r="DF4" t="inlineStr">
        <is>
          <t>none</t>
        </is>
      </c>
      <c r="DG4" t="inlineStr">
        <is>
          <t>candidate</t>
        </is>
      </c>
      <c r="DH4" t="inlineStr"/>
      <c r="DI4" t="inlineStr"/>
      <c r="DJ4" t="inlineStr">
        <is>
          <t>29,915 sf;12,660 sf</t>
        </is>
      </c>
      <c r="DK4" t="inlineStr">
        <is>
          <t>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is>
      </c>
      <c r="DL4" t="inlineStr"/>
      <c r="DM4" t="inlineStr">
        <is>
          <t>Phoebe Waxman</t>
        </is>
      </c>
      <c r="DN4" t="inlineStr">
        <is>
          <t>2026-01-24</t>
        </is>
      </c>
      <c r="DO4" t="inlineStr">
        <is>
          <t>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is>
      </c>
      <c r="DP4" t="inlineStr"/>
      <c r="DQ4" t="inlineStr">
        <is>
          <t>pantry or office lead (backup)</t>
        </is>
      </c>
      <c r="DR4" t="inlineStr">
        <is>
          <t>Amber Hewko</t>
        </is>
      </c>
      <c r="DS4" t="inlineStr">
        <is>
          <t>verified-page</t>
        </is>
      </c>
      <c r="DT4" t="inlineStr">
        <is>
          <t>The Org (crowd-edited org chart)</t>
        </is>
      </c>
      <c r="DU4" t="inlineStr">
        <is>
          <t>https://theorg.com/org/nayya/person/amber-hewko</t>
        </is>
      </c>
      <c r="DV4" t="inlineStr">
        <is>
          <t>2025-05-30</t>
        </is>
      </c>
      <c r="DW4" t="inlineStr">
        <is>
          <t>ny_base=unconfirmed (no location or office on The Org); title_fit=variant (The Org shows her reporting to the CEO, Sarah Liebel). The Org updated 2025-05-30.</t>
        </is>
      </c>
      <c r="DX4" t="inlineStr">
        <is>
          <t>Y</t>
        </is>
      </c>
      <c r="DY4" t="inlineStr">
        <is>
          <t>likely</t>
        </is>
      </c>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f>IF(ISNUMBER(MATCH(U4,{"queued","contacted","replied","call_booked","call_done","yes_in_principle","materials_sent"},0)),"Y","N")</f>
        <v/>
      </c>
      <c r="ES4">
        <f>IF(COUNTIFS($AP$2:$AP$1000,AP4,$ER$2:$ER$1000,"Y")+COUNTIFS($AP$2:$AP$1000,AP4,$T$2:$T$1000,"Y")&gt;0,"Y","N")</f>
        <v/>
      </c>
      <c r="ET4">
        <f>IF(AND(U4="new",T4="N",AT4="Y",AS4="",ES4="N"),"Y","N")</f>
        <v/>
      </c>
      <c r="EU4">
        <f>IF(ET4&lt;&gt;"Y","N",IF(COUNTIFS($AP$2:$AP$1000,AP4,$ET$2:$ET$1000,"Y",$J$2:$J$1000,"&gt;"&amp;J4)+COUNTIFS($AP$2:$AP$1000,AP4,$ET$2:$ET$1000,"Y",$J$2:$J$1000,J4,$EW$2:$EW$1000,"&lt;"&amp;EW4)=0,"Y","N"))</f>
        <v/>
      </c>
      <c r="EV4">
        <f>IF(Y4="","N",IF(Y4&lt;=10,"Y","N"))</f>
        <v/>
      </c>
      <c r="EW4">
        <f>ROW()-1</f>
        <v/>
      </c>
    </row>
    <row r="5">
      <c r="A5" t="inlineStr">
        <is>
          <t>AO-C-034</t>
        </is>
      </c>
      <c r="B5" t="inlineStr">
        <is>
          <t>Cognitiv</t>
        </is>
      </c>
      <c r="C5" t="inlineStr">
        <is>
          <t>Jason</t>
        </is>
      </c>
      <c r="D5" t="inlineStr">
        <is>
          <t>Pellegrino</t>
        </is>
      </c>
      <c r="E5" t="inlineStr">
        <is>
          <t>SVP, People</t>
        </is>
      </c>
      <c r="F5" t="inlineStr"/>
      <c r="G5" t="inlineStr"/>
      <c r="H5" t="inlineStr">
        <is>
          <t>none</t>
        </is>
      </c>
      <c r="I5" t="inlineStr">
        <is>
          <t>linkedin</t>
        </is>
      </c>
      <c r="J5" t="n">
        <v>73</v>
      </c>
      <c r="K5" t="inlineStr">
        <is>
          <t>Tuesday estimate 56 to 114 (low confidence), under 500 staff company-wide, hybrid 3 days with Tuesday named as an office day, occupied at a high-confidence address; adjacent contact named (SVP, People).</t>
        </is>
      </c>
      <c r="L5" t="inlineStr">
        <is>
          <t>76-150</t>
        </is>
      </c>
      <c r="M5" t="inlineStr"/>
      <c r="N5" t="inlineStr"/>
      <c r="O5" t="inlineStr"/>
      <c r="P5" t="inlineStr"/>
      <c r="Q5" t="inlineStr"/>
      <c r="R5" t="inlineStr">
        <is>
          <t>N</t>
        </is>
      </c>
      <c r="S5" t="inlineStr">
        <is>
          <t>unknown</t>
        </is>
      </c>
      <c r="T5" t="inlineStr">
        <is>
          <t>N</t>
        </is>
      </c>
      <c r="U5" t="inlineStr">
        <is>
          <t>new</t>
        </is>
      </c>
      <c r="V5" t="inlineStr">
        <is>
          <t>https://cognitiv.ai/contact/</t>
        </is>
      </c>
      <c r="W5" t="inlineStr">
        <is>
          <t>2026-10-23</t>
        </is>
      </c>
      <c r="X5" t="inlineStr">
        <is>
          <t>office</t>
        </is>
      </c>
      <c r="Y5" t="n">
        <v>4</v>
      </c>
      <c r="Z5" t="n">
        <v>4</v>
      </c>
      <c r="AA5" t="inlineStr">
        <is>
          <t>Y</t>
        </is>
      </c>
      <c r="AB5" t="inlineStr">
        <is>
          <t>find Jason Pellegrino at Cognitiv on LinkedIn and paste the profile URL; adjacent title: ask who runs the pantry</t>
        </is>
      </c>
      <c r="AC5" t="inlineStr">
        <is>
          <t>pantry or office lead (primary)</t>
        </is>
      </c>
      <c r="AD5" t="inlineStr">
        <is>
          <t>verified-page</t>
        </is>
      </c>
      <c r="AE5" t="inlineStr">
        <is>
          <t>employer's own site</t>
        </is>
      </c>
      <c r="AF5" t="inlineStr">
        <is>
          <t>https://cognitiv.ai/about-us</t>
        </is>
      </c>
      <c r="AG5" t="inlineStr">
        <is>
          <t>2026-10-24</t>
        </is>
      </c>
      <c r="AH5" t="inlineStr">
        <is>
          <t>adjacent</t>
        </is>
      </c>
      <c r="AI5" t="inlineStr">
        <is>
          <t>215 Park Avenue South</t>
        </is>
      </c>
      <c r="AJ5" t="n">
        <v>16</v>
      </c>
      <c r="AK5" t="inlineStr">
        <is>
          <t>occupied</t>
        </is>
      </c>
      <c r="AL5" t="n">
        <v>56</v>
      </c>
      <c r="AM5" t="n">
        <v>114</v>
      </c>
      <c r="AN5" t="inlineStr">
        <is>
          <t>low</t>
        </is>
      </c>
      <c r="AO5" t="inlineStr">
        <is>
          <t>hybrid-3</t>
        </is>
      </c>
      <c r="AP5" t="inlineStr">
        <is>
          <t>AO-C-034</t>
        </is>
      </c>
      <c r="AQ5" t="inlineStr">
        <is>
          <t>N</t>
        </is>
      </c>
      <c r="AR5" t="inlineStr"/>
      <c r="AS5" t="inlineStr"/>
      <c r="AT5" t="inlineStr">
        <is>
          <t>Y</t>
        </is>
      </c>
      <c r="AU5" t="inlineStr"/>
      <c r="AV5" t="inlineStr"/>
      <c r="AW5" t="inlineStr">
        <is>
          <t>N</t>
        </is>
      </c>
      <c r="AX5" t="inlineStr">
        <is>
          <t>pass</t>
        </is>
      </c>
      <c r="AY5" t="inlineStr">
        <is>
          <t>passes all hard gates</t>
        </is>
      </c>
      <c r="AZ5" t="inlineStr">
        <is>
          <t>company</t>
        </is>
      </c>
      <c r="BA5" t="inlineStr">
        <is>
          <t>B-C-034</t>
        </is>
      </c>
      <c r="BB5" t="inlineStr">
        <is>
          <t>https://cognitiv.ai</t>
        </is>
      </c>
      <c r="BC5" t="inlineStr">
        <is>
          <t>adtech (AI advertising)</t>
        </is>
      </c>
      <c r="BD5" t="n">
        <v>170</v>
      </c>
      <c r="BE5" t="n">
        <v>166</v>
      </c>
      <c r="BF5" t="inlineStr">
        <is>
          <t>151-250</t>
        </is>
      </c>
      <c r="BG5" t="inlineStr">
        <is>
          <t>whole-company</t>
        </is>
      </c>
      <c r="BH5" t="inlineStr">
        <is>
          <t>agree</t>
        </is>
      </c>
      <c r="BI5" t="inlineStr">
        <is>
          <t>https://www.builtinnyc.com/company/cognitiv</t>
        </is>
      </c>
      <c r="BJ5" t="inlineStr">
        <is>
          <t>https://www.reveliolabs.com/companies/cognitiv/employees</t>
        </is>
      </c>
      <c r="BK5" t="inlineStr">
        <is>
          <t>le500</t>
        </is>
      </c>
      <c r="BL5" t="inlineStr">
        <is>
          <t>New York</t>
        </is>
      </c>
      <c r="BM5" t="inlineStr">
        <is>
          <t>Y</t>
        </is>
      </c>
      <c r="BN5" t="inlineStr">
        <is>
          <t>unknown</t>
        </is>
      </c>
      <c r="BO5" t="inlineStr">
        <is>
          <t>unknown</t>
        </is>
      </c>
      <c r="BP5" t="n">
        <v>10003</v>
      </c>
      <c r="BQ5" t="n">
        <v>40.73686</v>
      </c>
      <c r="BR5" t="n">
        <v>-73.988546</v>
      </c>
      <c r="BS5" t="inlineStr">
        <is>
          <t>Y</t>
        </is>
      </c>
      <c r="BT5" t="n">
        <v>0</v>
      </c>
      <c r="BU5" t="inlineStr">
        <is>
          <t>B-B-016</t>
        </is>
      </c>
      <c r="BV5" t="inlineStr">
        <is>
          <t>215 Park Avenue South (SL Green managed)</t>
        </is>
      </c>
      <c r="BW5" t="inlineStr">
        <is>
          <t>https://cognitiv.ai/contact/</t>
        </is>
      </c>
      <c r="BX5" t="inlineStr">
        <is>
          <t>2026-10-23</t>
        </is>
      </c>
      <c r="BY5" t="inlineStr">
        <is>
          <t>company-site</t>
        </is>
      </c>
      <c r="BZ5" t="inlineStr">
        <is>
          <t>https://www.sec.gov/Archives/edgar/data/1013454/000153949726000704/n5676_x5-424h.htm</t>
        </is>
      </c>
      <c r="CA5" t="inlineStr">
        <is>
          <t>2026-02</t>
        </is>
      </c>
      <c r="CB5" t="inlineStr">
        <is>
          <t>cites a sec.gov filing: agents do not open it (EDGAR demands a contact email); the founder may open it in a browser</t>
        </is>
      </c>
      <c r="CC5" t="inlineStr">
        <is>
          <t>high</t>
        </is>
      </c>
      <c r="CD5" t="inlineStr"/>
      <c r="CE5" t="inlineStr">
        <is>
          <t>N</t>
        </is>
      </c>
      <c r="CF5" t="inlineStr"/>
      <c r="CG5" t="inlineStr"/>
      <c r="CH5" t="inlineStr">
        <is>
          <t>security desk</t>
        </is>
      </c>
      <c r="CI5" t="inlineStr">
        <is>
          <t>https://www.metro-manhattan.com/buildings/215-park-avenue-south/</t>
        </is>
      </c>
      <c r="CJ5" t="inlineStr">
        <is>
          <t>unknown</t>
        </is>
      </c>
      <c r="CK5" t="inlineStr">
        <is>
          <t>Y</t>
        </is>
      </c>
      <c r="CL5" t="inlineStr">
        <is>
          <t>Built In workplace type: Hybrid Workplace; typical time on-site: 3 days a week; recent job tags: 3 Hybrid</t>
        </is>
      </c>
      <c r="CM5" t="inlineStr">
        <is>
          <t>https://www.builtinnyc.com/company/cognitiv/offices</t>
        </is>
      </c>
      <c r="CN5" t="inlineStr">
        <is>
          <t>2026-10-24</t>
        </is>
      </c>
      <c r="CO5" t="n">
        <v>80</v>
      </c>
      <c r="CP5" t="inlineStr"/>
      <c r="CQ5" t="inlineStr">
        <is>
          <t>170 (Built In) and 166 (Revelio Labs) staff (whole-company count) x 50% to 100% of them in the New York office (HQ New York; share assumed) x 67% (Partnership for NYC, firms under 500) in on a weekday = 56 to 114, central 80; low confidence; estimate until intake replaces it.</t>
        </is>
      </c>
      <c r="CR5" t="inlineStr">
        <is>
          <t>estimate until intake replaces it</t>
        </is>
      </c>
      <c r="CS5" t="n">
        <v>1</v>
      </c>
      <c r="CT5" t="n">
        <v>73</v>
      </c>
      <c r="CU5" t="n">
        <v>25</v>
      </c>
      <c r="CV5" t="n">
        <v>15</v>
      </c>
      <c r="CW5" t="n">
        <v>13</v>
      </c>
      <c r="CX5" t="n">
        <v>15</v>
      </c>
      <c r="CY5" t="n">
        <v>5</v>
      </c>
      <c r="CZ5" t="n">
        <v>0</v>
      </c>
      <c r="DA5" t="inlineStr">
        <is>
          <t>Rebecca</t>
        </is>
      </c>
      <c r="DB5" t="inlineStr">
        <is>
          <t>Aliab D.</t>
        </is>
      </c>
      <c r="DC5" t="inlineStr">
        <is>
          <t>Vice President, Business Operations</t>
        </is>
      </c>
      <c r="DD5" t="inlineStr"/>
      <c r="DE5" t="inlineStr"/>
      <c r="DF5" t="inlineStr">
        <is>
          <t>none</t>
        </is>
      </c>
      <c r="DG5" t="inlineStr">
        <is>
          <t>candidate</t>
        </is>
      </c>
      <c r="DH5" t="inlineStr"/>
      <c r="DI5" t="inlineStr"/>
      <c r="DJ5" t="inlineStr">
        <is>
          <t>16,612 sf</t>
        </is>
      </c>
      <c r="DK5" t="inlineStr">
        <is>
          <t>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DL5" t="inlineStr"/>
      <c r="DM5" t="inlineStr">
        <is>
          <t>Jason Pellegrino</t>
        </is>
      </c>
      <c r="DN5" t="inlineStr">
        <is>
          <t>2026-03-04</t>
        </is>
      </c>
      <c r="DO5" t="inlineStr">
        <is>
          <t>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is>
      </c>
      <c r="DP5" t="inlineStr"/>
      <c r="DQ5" t="inlineStr">
        <is>
          <t>pantry or office lead (backup)</t>
        </is>
      </c>
      <c r="DR5" t="inlineStr">
        <is>
          <t>Rebecca Aliab D.</t>
        </is>
      </c>
      <c r="DS5" t="inlineStr">
        <is>
          <t>verified-page</t>
        </is>
      </c>
      <c r="DT5" t="inlineStr">
        <is>
          <t>The Org (crowd-edited org chart)</t>
        </is>
      </c>
      <c r="DU5" t="inlineStr">
        <is>
          <t>https://theorg.com/org/cognitiv/person/rebecca-aliab-d</t>
        </is>
      </c>
      <c r="DV5" t="inlineStr">
        <is>
          <t>2026-01-19</t>
        </is>
      </c>
      <c r="DW5" t="inlineStr">
        <is>
          <t>ny_base=confirmed; title_fit=adjacent (business operations lead). The Org attaches the role to Cognitiv's New York HQ office (updated 2026-01-19). Surname appears truncated on The Org ('Aliab D.'); founder to confirm the full name before outreach.</t>
        </is>
      </c>
      <c r="DX5" t="inlineStr">
        <is>
          <t>Y</t>
        </is>
      </c>
      <c r="DY5" t="inlineStr">
        <is>
          <t>confirmed</t>
        </is>
      </c>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f>IF(ISNUMBER(MATCH(U5,{"queued","contacted","replied","call_booked","call_done","yes_in_principle","materials_sent"},0)),"Y","N")</f>
        <v/>
      </c>
      <c r="ES5">
        <f>IF(COUNTIFS($AP$2:$AP$1000,AP5,$ER$2:$ER$1000,"Y")+COUNTIFS($AP$2:$AP$1000,AP5,$T$2:$T$1000,"Y")&gt;0,"Y","N")</f>
        <v/>
      </c>
      <c r="ET5">
        <f>IF(AND(U5="new",T5="N",AT5="Y",AS5="",ES5="N"),"Y","N")</f>
        <v/>
      </c>
      <c r="EU5">
        <f>IF(ET5&lt;&gt;"Y","N",IF(COUNTIFS($AP$2:$AP$1000,AP5,$ET$2:$ET$1000,"Y",$J$2:$J$1000,"&gt;"&amp;J5)+COUNTIFS($AP$2:$AP$1000,AP5,$ET$2:$ET$1000,"Y",$J$2:$J$1000,J5,$EW$2:$EW$1000,"&lt;"&amp;EW5)=0,"Y","N"))</f>
        <v/>
      </c>
      <c r="EV5">
        <f>IF(Y5="","N",IF(Y5&lt;=10,"Y","N"))</f>
        <v/>
      </c>
      <c r="EW5">
        <f>ROW()-1</f>
        <v/>
      </c>
    </row>
    <row r="6">
      <c r="A6" t="inlineStr">
        <is>
          <t>AO-C-085</t>
        </is>
      </c>
      <c r="B6" t="inlineStr">
        <is>
          <t>Empathy</t>
        </is>
      </c>
      <c r="C6" t="inlineStr">
        <is>
          <t>Nafissatou</t>
        </is>
      </c>
      <c r="D6" t="inlineStr">
        <is>
          <t>Babylas Ndiaye</t>
        </is>
      </c>
      <c r="E6" t="inlineStr">
        <is>
          <t>Head of People, US</t>
        </is>
      </c>
      <c r="F6" t="inlineStr"/>
      <c r="G6" t="inlineStr"/>
      <c r="H6" t="inlineStr">
        <is>
          <t>none</t>
        </is>
      </c>
      <c r="I6" t="inlineStr">
        <is>
          <t>linkedin</t>
        </is>
      </c>
      <c r="J6" t="n">
        <v>73</v>
      </c>
      <c r="K6" t="inlineStr">
        <is>
          <t>Tuesday estimate 67 to 134 (low confidence), under 500 staff company-wide, hybrid 3 days with Tuesday named as an office day, occupied at a high-confidence address; adjacent contact named (Head of People, US).</t>
        </is>
      </c>
      <c r="L6" t="inlineStr">
        <is>
          <t>76-150</t>
        </is>
      </c>
      <c r="M6" t="inlineStr"/>
      <c r="N6" t="inlineStr"/>
      <c r="O6" t="inlineStr"/>
      <c r="P6" t="inlineStr"/>
      <c r="Q6" t="inlineStr"/>
      <c r="R6" t="inlineStr">
        <is>
          <t>N</t>
        </is>
      </c>
      <c r="S6" t="inlineStr">
        <is>
          <t>unknown</t>
        </is>
      </c>
      <c r="T6" t="inlineStr">
        <is>
          <t>N</t>
        </is>
      </c>
      <c r="U6" t="inlineStr">
        <is>
          <t>new</t>
        </is>
      </c>
      <c r="V6" t="inlineStr">
        <is>
          <t>https://www.empathy.com/</t>
        </is>
      </c>
      <c r="W6" t="inlineStr">
        <is>
          <t>2026-10-23</t>
        </is>
      </c>
      <c r="X6" t="inlineStr">
        <is>
          <t>office</t>
        </is>
      </c>
      <c r="Y6" t="n">
        <v>5</v>
      </c>
      <c r="Z6" t="n">
        <v>5</v>
      </c>
      <c r="AA6" t="inlineStr">
        <is>
          <t>Y</t>
        </is>
      </c>
      <c r="AB6" t="inlineStr">
        <is>
          <t>find Nafissatou Babylas Ndiaye at Empathy on LinkedIn and paste the profile URL (this also confirms the name: The Org is crowd-edited); adjacent title: ask who runs the pantry</t>
        </is>
      </c>
      <c r="AC6" t="inlineStr">
        <is>
          <t>pantry or office lead (primary)</t>
        </is>
      </c>
      <c r="AD6" t="inlineStr">
        <is>
          <t>verified-page</t>
        </is>
      </c>
      <c r="AE6" t="inlineStr">
        <is>
          <t>The Org (crowd-edited org chart)</t>
        </is>
      </c>
      <c r="AF6" t="inlineStr">
        <is>
          <t>https://theorg.com/org/empathy/person/nafissatou-babylas-ndiaye</t>
        </is>
      </c>
      <c r="AG6" t="inlineStr">
        <is>
          <t>2026-10-24</t>
        </is>
      </c>
      <c r="AH6" t="inlineStr">
        <is>
          <t>adjacent</t>
        </is>
      </c>
      <c r="AI6" t="inlineStr">
        <is>
          <t>56 West 22nd Street</t>
        </is>
      </c>
      <c r="AJ6" t="inlineStr">
        <is>
          <t>PH</t>
        </is>
      </c>
      <c r="AK6" t="inlineStr">
        <is>
          <t>occupied</t>
        </is>
      </c>
      <c r="AL6" t="n">
        <v>67</v>
      </c>
      <c r="AM6" t="n">
        <v>134</v>
      </c>
      <c r="AN6" t="inlineStr">
        <is>
          <t>low</t>
        </is>
      </c>
      <c r="AO6" t="inlineStr">
        <is>
          <t>hybrid-3</t>
        </is>
      </c>
      <c r="AP6" t="inlineStr">
        <is>
          <t>AO-C-085</t>
        </is>
      </c>
      <c r="AQ6" t="inlineStr">
        <is>
          <t>N</t>
        </is>
      </c>
      <c r="AR6" t="inlineStr"/>
      <c r="AS6" t="inlineStr"/>
      <c r="AT6" t="inlineStr">
        <is>
          <t>Y</t>
        </is>
      </c>
      <c r="AU6" t="inlineStr"/>
      <c r="AV6" t="inlineStr"/>
      <c r="AW6" t="inlineStr">
        <is>
          <t>N</t>
        </is>
      </c>
      <c r="AX6" t="inlineStr">
        <is>
          <t>pass</t>
        </is>
      </c>
      <c r="AY6" t="inlineStr">
        <is>
          <t>passes all hard gates</t>
        </is>
      </c>
      <c r="AZ6" t="inlineStr">
        <is>
          <t>company</t>
        </is>
      </c>
      <c r="BA6" t="inlineStr">
        <is>
          <t>B-C-085</t>
        </is>
      </c>
      <c r="BB6" t="inlineStr">
        <is>
          <t>https://www.empathy.com</t>
        </is>
      </c>
      <c r="BC6" t="inlineStr">
        <is>
          <t>software and services (bereavement support, insurtech)</t>
        </is>
      </c>
      <c r="BD6" t="n">
        <v>200</v>
      </c>
      <c r="BE6" t="inlineStr"/>
      <c r="BF6" t="inlineStr">
        <is>
          <t>151-250</t>
        </is>
      </c>
      <c r="BG6" t="inlineStr">
        <is>
          <t>whole-company</t>
        </is>
      </c>
      <c r="BH6" t="inlineStr">
        <is>
          <t>single-source</t>
        </is>
      </c>
      <c r="BI6" t="inlineStr">
        <is>
          <t>https://www.builtinnyc.com/company/empathy</t>
        </is>
      </c>
      <c r="BJ6" t="inlineStr"/>
      <c r="BK6" t="inlineStr">
        <is>
          <t>le500</t>
        </is>
      </c>
      <c r="BL6" t="inlineStr">
        <is>
          <t>New York</t>
        </is>
      </c>
      <c r="BM6" t="inlineStr">
        <is>
          <t>Y</t>
        </is>
      </c>
      <c r="BN6" t="inlineStr">
        <is>
          <t>unknown</t>
        </is>
      </c>
      <c r="BO6" t="inlineStr">
        <is>
          <t>unknown</t>
        </is>
      </c>
      <c r="BP6" t="n">
        <v>10010</v>
      </c>
      <c r="BQ6" t="n">
        <v>40.741838</v>
      </c>
      <c r="BR6" t="n">
        <v>-73.992892</v>
      </c>
      <c r="BS6" t="inlineStr">
        <is>
          <t>Y</t>
        </is>
      </c>
      <c r="BT6" t="n">
        <v>0</v>
      </c>
      <c r="BU6" t="inlineStr">
        <is>
          <t>B-B-039</t>
        </is>
      </c>
      <c r="BV6" t="inlineStr">
        <is>
          <t>56 West 22nd Street (Kaufman Organization)</t>
        </is>
      </c>
      <c r="BW6" t="inlineStr">
        <is>
          <t>https://www.empathy.com/</t>
        </is>
      </c>
      <c r="BX6" t="inlineStr">
        <is>
          <t>2026-10-24</t>
        </is>
      </c>
      <c r="BY6" t="inlineStr">
        <is>
          <t>company-site</t>
        </is>
      </c>
      <c r="BZ6" t="inlineStr">
        <is>
          <t>https://commercialobserver.com/2024/03/nyu-langones-empathy-project-takes-6k-sf-in-flatiron-district/</t>
        </is>
      </c>
      <c r="CA6" t="inlineStr">
        <is>
          <t>2024-03-06</t>
        </is>
      </c>
      <c r="CB6" t="inlineStr"/>
      <c r="CC6" t="inlineStr">
        <is>
          <t>high</t>
        </is>
      </c>
      <c r="CD6" t="inlineStr"/>
      <c r="CE6" t="inlineStr">
        <is>
          <t>N</t>
        </is>
      </c>
      <c r="CF6" t="inlineStr"/>
      <c r="CG6" t="inlineStr"/>
      <c r="CH6" t="inlineStr">
        <is>
          <t>unknown</t>
        </is>
      </c>
      <c r="CI6" t="inlineStr"/>
      <c r="CJ6" t="inlineStr">
        <is>
          <t>unknown</t>
        </is>
      </c>
      <c r="CK6" t="inlineStr">
        <is>
          <t>Y</t>
        </is>
      </c>
      <c r="CL6" t="inlineStr">
        <is>
          <t>Built In workplace type: Hybrid Workplace; typical time on-site: 3 days a week; recent job tags: 2 Hybrid, 1 Remote</t>
        </is>
      </c>
      <c r="CM6" t="inlineStr">
        <is>
          <t>https://www.builtinnyc.com/company/empathy/offices</t>
        </is>
      </c>
      <c r="CN6" t="inlineStr">
        <is>
          <t>2026-10-24</t>
        </is>
      </c>
      <c r="CO6" t="n">
        <v>95</v>
      </c>
      <c r="CP6" t="inlineStr"/>
      <c r="CQ6" t="inlineStr">
        <is>
          <t>200 (Built In) staff (whole-company count) x 50% to 100% of them in the New York office (HQ New York; share assumed) x 67% (Partnership for NYC, firms under 500) in on a weekday = 67 to 134, central 95; low confidence; estimate until intake replaces it.</t>
        </is>
      </c>
      <c r="CR6" t="inlineStr">
        <is>
          <t>estimate until intake replaces it</t>
        </is>
      </c>
      <c r="CS6" t="n">
        <v>1</v>
      </c>
      <c r="CT6" t="n">
        <v>73</v>
      </c>
      <c r="CU6" t="n">
        <v>25</v>
      </c>
      <c r="CV6" t="n">
        <v>15</v>
      </c>
      <c r="CW6" t="n">
        <v>13</v>
      </c>
      <c r="CX6" t="n">
        <v>15</v>
      </c>
      <c r="CY6" t="n">
        <v>5</v>
      </c>
      <c r="CZ6" t="n">
        <v>0</v>
      </c>
      <c r="DA6" t="inlineStr"/>
      <c r="DB6" t="inlineStr"/>
      <c r="DC6" t="inlineStr"/>
      <c r="DD6" t="inlineStr"/>
      <c r="DE6" t="inlineStr"/>
      <c r="DF6" t="inlineStr">
        <is>
          <t>none</t>
        </is>
      </c>
      <c r="DG6" t="inlineStr">
        <is>
          <t>candidate</t>
        </is>
      </c>
      <c r="DH6" t="inlineStr"/>
      <c r="DI6" t="inlineStr"/>
      <c r="DJ6" t="inlineStr">
        <is>
          <t>5,508 sf</t>
        </is>
      </c>
      <c r="DK6" t="inlineStr">
        <is>
          <t>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is>
      </c>
      <c r="DL6" t="inlineStr"/>
      <c r="DM6" t="inlineStr">
        <is>
          <t>Nafissatou Babylas Ndiaye</t>
        </is>
      </c>
      <c r="DN6" t="inlineStr">
        <is>
          <t>2026-09-01</t>
        </is>
      </c>
      <c r="DO6" t="inlineStr">
        <is>
          <t>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is>
      </c>
      <c r="DP6" t="inlineStr"/>
      <c r="DQ6" t="inlineStr"/>
      <c r="DR6" t="inlineStr"/>
      <c r="DS6" t="inlineStr">
        <is>
          <t>none</t>
        </is>
      </c>
      <c r="DT6" t="inlineStr"/>
      <c r="DU6" t="inlineStr"/>
      <c r="DV6" t="inlineStr"/>
      <c r="DW6" t="inlineStr"/>
      <c r="DX6" t="inlineStr">
        <is>
          <t>Y</t>
        </is>
      </c>
      <c r="DY6" t="inlineStr">
        <is>
          <t>confirmed</t>
        </is>
      </c>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f>IF(ISNUMBER(MATCH(U6,{"queued","contacted","replied","call_booked","call_done","yes_in_principle","materials_sent"},0)),"Y","N")</f>
        <v/>
      </c>
      <c r="ES6">
        <f>IF(COUNTIFS($AP$2:$AP$1000,AP6,$ER$2:$ER$1000,"Y")+COUNTIFS($AP$2:$AP$1000,AP6,$T$2:$T$1000,"Y")&gt;0,"Y","N")</f>
        <v/>
      </c>
      <c r="ET6">
        <f>IF(AND(U6="new",T6="N",AT6="Y",AS6="",ES6="N"),"Y","N")</f>
        <v/>
      </c>
      <c r="EU6">
        <f>IF(ET6&lt;&gt;"Y","N",IF(COUNTIFS($AP$2:$AP$1000,AP6,$ET$2:$ET$1000,"Y",$J$2:$J$1000,"&gt;"&amp;J6)+COUNTIFS($AP$2:$AP$1000,AP6,$ET$2:$ET$1000,"Y",$J$2:$J$1000,J6,$EW$2:$EW$1000,"&lt;"&amp;EW6)=0,"Y","N"))</f>
        <v/>
      </c>
      <c r="EV6">
        <f>IF(Y6="","N",IF(Y6&lt;=10,"Y","N"))</f>
        <v/>
      </c>
      <c r="EW6">
        <f>ROW()-1</f>
        <v/>
      </c>
    </row>
    <row r="7">
      <c r="A7" t="inlineStr">
        <is>
          <t>AO-C-031</t>
        </is>
      </c>
      <c r="B7" t="inlineStr">
        <is>
          <t>Dashlane</t>
        </is>
      </c>
      <c r="C7" t="inlineStr">
        <is>
          <t>Caroline</t>
        </is>
      </c>
      <c r="D7" t="inlineStr">
        <is>
          <t>Lee</t>
        </is>
      </c>
      <c r="E7" t="inlineStr">
        <is>
          <t>Workplace Experience Specialist</t>
        </is>
      </c>
      <c r="F7" t="inlineStr"/>
      <c r="G7" t="inlineStr"/>
      <c r="H7" t="inlineStr">
        <is>
          <t>none</t>
        </is>
      </c>
      <c r="I7" t="inlineStr">
        <is>
          <t>linkedin</t>
        </is>
      </c>
      <c r="J7" t="n">
        <v>72</v>
      </c>
      <c r="K7" t="inlineStr">
        <is>
          <t>Tuesday estimate 95 to 214 (low confidence), under 500 staff company-wide, hybrid (days not stated), occupied at a high-confidence address; contact in the target titles named (Workplace Experience Specialist).</t>
        </is>
      </c>
      <c r="L7" t="inlineStr">
        <is>
          <t>76-150</t>
        </is>
      </c>
      <c r="M7" t="inlineStr"/>
      <c r="N7" t="inlineStr"/>
      <c r="O7" t="inlineStr"/>
      <c r="P7" t="inlineStr"/>
      <c r="Q7" t="inlineStr"/>
      <c r="R7" t="inlineStr">
        <is>
          <t>N</t>
        </is>
      </c>
      <c r="S7" t="inlineStr">
        <is>
          <t>unknown</t>
        </is>
      </c>
      <c r="T7" t="inlineStr">
        <is>
          <t>N</t>
        </is>
      </c>
      <c r="U7" t="inlineStr">
        <is>
          <t>new</t>
        </is>
      </c>
      <c r="V7" t="inlineStr">
        <is>
          <t>https://www.dashlane.com/terms</t>
        </is>
      </c>
      <c r="W7" t="inlineStr">
        <is>
          <t>2026-10-23</t>
        </is>
      </c>
      <c r="X7" t="inlineStr">
        <is>
          <t>office</t>
        </is>
      </c>
      <c r="Y7" t="n">
        <v>6</v>
      </c>
      <c r="Z7" t="n">
        <v>6</v>
      </c>
      <c r="AA7" t="inlineStr">
        <is>
          <t>Y</t>
        </is>
      </c>
      <c r="AB7" t="inlineStr">
        <is>
          <t>find Caroline Lee at Dashlane on LinkedIn and paste the profile URL (this also confirms the name: The Org is crowd-edited)</t>
        </is>
      </c>
      <c r="AC7" t="inlineStr">
        <is>
          <t>pantry or office lead (primary)</t>
        </is>
      </c>
      <c r="AD7" t="inlineStr">
        <is>
          <t>verified-page</t>
        </is>
      </c>
      <c r="AE7" t="inlineStr">
        <is>
          <t>The Org (crowd-edited org chart)</t>
        </is>
      </c>
      <c r="AF7" t="inlineStr">
        <is>
          <t>https://theorg.com/org/dashlane/person/caroline-lee</t>
        </is>
      </c>
      <c r="AG7" t="inlineStr">
        <is>
          <t>2026-10-24</t>
        </is>
      </c>
      <c r="AH7" t="inlineStr">
        <is>
          <t>exact</t>
        </is>
      </c>
      <c r="AI7" t="inlineStr">
        <is>
          <t>44 West 18th Street</t>
        </is>
      </c>
      <c r="AJ7" t="n">
        <v>4</v>
      </c>
      <c r="AK7" t="inlineStr">
        <is>
          <t>occupied</t>
        </is>
      </c>
      <c r="AL7" t="n">
        <v>95</v>
      </c>
      <c r="AM7" t="n">
        <v>214</v>
      </c>
      <c r="AN7" t="inlineStr">
        <is>
          <t>low</t>
        </is>
      </c>
      <c r="AO7" t="inlineStr">
        <is>
          <t>hybrid-unspecified</t>
        </is>
      </c>
      <c r="AP7" t="inlineStr">
        <is>
          <t>AO-C-031</t>
        </is>
      </c>
      <c r="AQ7" t="inlineStr">
        <is>
          <t>N</t>
        </is>
      </c>
      <c r="AR7" t="inlineStr"/>
      <c r="AS7" t="inlineStr"/>
      <c r="AT7" t="inlineStr">
        <is>
          <t>Y</t>
        </is>
      </c>
      <c r="AU7" t="inlineStr"/>
      <c r="AV7" t="inlineStr"/>
      <c r="AW7" t="inlineStr">
        <is>
          <t>N</t>
        </is>
      </c>
      <c r="AX7" t="inlineStr">
        <is>
          <t>pass</t>
        </is>
      </c>
      <c r="AY7" t="inlineStr">
        <is>
          <t>passes all hard gates</t>
        </is>
      </c>
      <c r="AZ7" t="inlineStr">
        <is>
          <t>company</t>
        </is>
      </c>
      <c r="BA7" t="inlineStr">
        <is>
          <t>B-C-031</t>
        </is>
      </c>
      <c r="BB7" t="inlineStr">
        <is>
          <t>https://www.dashlane.com</t>
        </is>
      </c>
      <c r="BC7" t="inlineStr">
        <is>
          <t>software (password management / security)</t>
        </is>
      </c>
      <c r="BD7" t="n">
        <v>284</v>
      </c>
      <c r="BE7" t="n">
        <v>319</v>
      </c>
      <c r="BF7" t="inlineStr">
        <is>
          <t>251-500</t>
        </is>
      </c>
      <c r="BG7" t="inlineStr">
        <is>
          <t>whole-company</t>
        </is>
      </c>
      <c r="BH7" t="inlineStr">
        <is>
          <t>agree</t>
        </is>
      </c>
      <c r="BI7" t="inlineStr">
        <is>
          <t>https://www.builtinnyc.com/company/dashlane</t>
        </is>
      </c>
      <c r="BJ7" t="inlineStr">
        <is>
          <t>https://www.reveliolabs.com/companies/dashlane/employees</t>
        </is>
      </c>
      <c r="BK7" t="inlineStr">
        <is>
          <t>le500</t>
        </is>
      </c>
      <c r="BL7" t="inlineStr">
        <is>
          <t>New York</t>
        </is>
      </c>
      <c r="BM7" t="inlineStr">
        <is>
          <t>Y</t>
        </is>
      </c>
      <c r="BN7" t="inlineStr">
        <is>
          <t>unknown</t>
        </is>
      </c>
      <c r="BO7" t="inlineStr">
        <is>
          <t>unknown</t>
        </is>
      </c>
      <c r="BP7" t="n">
        <v>10011</v>
      </c>
      <c r="BQ7" t="n">
        <v>40.739342</v>
      </c>
      <c r="BR7" t="n">
        <v>-73.994287</v>
      </c>
      <c r="BS7" t="inlineStr">
        <is>
          <t>Y</t>
        </is>
      </c>
      <c r="BT7" t="n">
        <v>0</v>
      </c>
      <c r="BU7" t="inlineStr">
        <is>
          <t>B-B-013</t>
        </is>
      </c>
      <c r="BV7" t="inlineStr">
        <is>
          <t>44 West 18th Street</t>
        </is>
      </c>
      <c r="BW7" t="inlineStr">
        <is>
          <t>https://www.dashlane.com/terms</t>
        </is>
      </c>
      <c r="BX7" t="inlineStr">
        <is>
          <t>2026-10-23</t>
        </is>
      </c>
      <c r="BY7" t="inlineStr">
        <is>
          <t>company-site</t>
        </is>
      </c>
      <c r="BZ7" t="inlineStr">
        <is>
          <t>https://commercialobserver.com/2019/04/dashlane-lease-44-west-18th-street-forty-four-eighteen-associates/</t>
        </is>
      </c>
      <c r="CA7" t="inlineStr">
        <is>
          <t>2019-04-22</t>
        </is>
      </c>
      <c r="CB7" t="inlineStr"/>
      <c r="CC7" t="inlineStr">
        <is>
          <t>high</t>
        </is>
      </c>
      <c r="CD7" t="inlineStr"/>
      <c r="CE7" t="inlineStr">
        <is>
          <t>N</t>
        </is>
      </c>
      <c r="CF7" t="inlineStr"/>
      <c r="CG7" t="inlineStr"/>
      <c r="CH7" t="inlineStr">
        <is>
          <t>unknown</t>
        </is>
      </c>
      <c r="CI7" t="inlineStr"/>
      <c r="CJ7" t="inlineStr">
        <is>
          <t>unknown</t>
        </is>
      </c>
      <c r="CK7" t="inlineStr">
        <is>
          <t>N</t>
        </is>
      </c>
      <c r="CL7" t="inlineStr">
        <is>
          <t>Built In workplace type: Hybrid Workplace; typical time on-site: Flexible; recent job tags: 3 Hybrid</t>
        </is>
      </c>
      <c r="CM7" t="inlineStr">
        <is>
          <t>https://www.builtinnyc.com/company/dashlane/offices</t>
        </is>
      </c>
      <c r="CN7" t="inlineStr">
        <is>
          <t>2026-10-24</t>
        </is>
      </c>
      <c r="CO7" t="n">
        <v>143</v>
      </c>
      <c r="CP7" t="inlineStr"/>
      <c r="CQ7" t="inlineStr">
        <is>
          <t>284 (Built In) and 319 (Revelio Labs) staff (whole-company count) x 50% to 100% of them in the New York office (HQ New York; share assumed) x 67% (Partnership for NYC, firms under 500) in on a weekday = 95 to 214, central 143; low confidence; estimate until intake replaces it.</t>
        </is>
      </c>
      <c r="CR7" t="inlineStr">
        <is>
          <t>estimate until intake replaces it</t>
        </is>
      </c>
      <c r="CS7" t="n">
        <v>1</v>
      </c>
      <c r="CT7" t="n">
        <v>72</v>
      </c>
      <c r="CU7" t="n">
        <v>25</v>
      </c>
      <c r="CV7" t="n">
        <v>15</v>
      </c>
      <c r="CW7" t="n">
        <v>7</v>
      </c>
      <c r="CX7" t="n">
        <v>15</v>
      </c>
      <c r="CY7" t="n">
        <v>10</v>
      </c>
      <c r="CZ7" t="n">
        <v>0</v>
      </c>
      <c r="DA7" t="inlineStr"/>
      <c r="DB7" t="inlineStr"/>
      <c r="DC7" t="inlineStr"/>
      <c r="DD7" t="inlineStr"/>
      <c r="DE7" t="inlineStr"/>
      <c r="DF7" t="inlineStr">
        <is>
          <t>none</t>
        </is>
      </c>
      <c r="DG7" t="inlineStr">
        <is>
          <t>candidate</t>
        </is>
      </c>
      <c r="DH7" t="inlineStr"/>
      <c r="DI7" t="inlineStr"/>
      <c r="DJ7" t="inlineStr"/>
      <c r="DK7" t="inlineStr">
        <is>
          <t>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is>
      </c>
      <c r="DL7" t="inlineStr"/>
      <c r="DM7" t="inlineStr">
        <is>
          <t>Caroline Lee</t>
        </is>
      </c>
      <c r="DN7" t="inlineStr">
        <is>
          <t>2026-01-17</t>
        </is>
      </c>
      <c r="DO7" t="inlineStr">
        <is>
          <t>ny_base=likely (The Org gives a New York location, no office attached); title_fit=family (workplace experience). The Org updated 2026-01-17. One name search found no LinkedIn URL.</t>
        </is>
      </c>
      <c r="DP7" t="inlineStr"/>
      <c r="DQ7" t="inlineStr"/>
      <c r="DR7" t="inlineStr"/>
      <c r="DS7" t="inlineStr">
        <is>
          <t>none</t>
        </is>
      </c>
      <c r="DT7" t="inlineStr"/>
      <c r="DU7" t="inlineStr"/>
      <c r="DV7" t="inlineStr"/>
      <c r="DW7" t="inlineStr"/>
      <c r="DX7" t="inlineStr">
        <is>
          <t>Y</t>
        </is>
      </c>
      <c r="DY7" t="inlineStr">
        <is>
          <t>likely</t>
        </is>
      </c>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f>IF(ISNUMBER(MATCH(U7,{"queued","contacted","replied","call_booked","call_done","yes_in_principle","materials_sent"},0)),"Y","N")</f>
        <v/>
      </c>
      <c r="ES7">
        <f>IF(COUNTIFS($AP$2:$AP$1000,AP7,$ER$2:$ER$1000,"Y")+COUNTIFS($AP$2:$AP$1000,AP7,$T$2:$T$1000,"Y")&gt;0,"Y","N")</f>
        <v/>
      </c>
      <c r="ET7">
        <f>IF(AND(U7="new",T7="N",AT7="Y",AS7="",ES7="N"),"Y","N")</f>
        <v/>
      </c>
      <c r="EU7">
        <f>IF(ET7&lt;&gt;"Y","N",IF(COUNTIFS($AP$2:$AP$1000,AP7,$ET$2:$ET$1000,"Y",$J$2:$J$1000,"&gt;"&amp;J7)+COUNTIFS($AP$2:$AP$1000,AP7,$ET$2:$ET$1000,"Y",$J$2:$J$1000,J7,$EW$2:$EW$1000,"&lt;"&amp;EW7)=0,"Y","N"))</f>
        <v/>
      </c>
      <c r="EV7">
        <f>IF(Y7="","N",IF(Y7&lt;=10,"Y","N"))</f>
        <v/>
      </c>
      <c r="EW7">
        <f>ROW()-1</f>
        <v/>
      </c>
    </row>
    <row r="8">
      <c r="A8" t="inlineStr">
        <is>
          <t>AO-C-083</t>
        </is>
      </c>
      <c r="B8" t="inlineStr">
        <is>
          <t>CompStak</t>
        </is>
      </c>
      <c r="C8" t="inlineStr">
        <is>
          <t>Maxine</t>
        </is>
      </c>
      <c r="D8" t="inlineStr">
        <is>
          <t>Swick</t>
        </is>
      </c>
      <c r="E8" t="inlineStr">
        <is>
          <t>VP, Head of People</t>
        </is>
      </c>
      <c r="F8" t="inlineStr"/>
      <c r="G8" t="inlineStr"/>
      <c r="H8" t="inlineStr">
        <is>
          <t>none</t>
        </is>
      </c>
      <c r="I8" t="inlineStr">
        <is>
          <t>linkedin</t>
        </is>
      </c>
      <c r="J8" t="n">
        <v>70</v>
      </c>
      <c r="K8" t="inlineStr">
        <is>
          <t>Tuesday estimate 50 to 105 (low confidence), under 500 staff company-wide, hybrid 3 days, occupied at a high-confidence address; adjacent contact named (VP, Head of People).</t>
        </is>
      </c>
      <c r="L8" t="inlineStr">
        <is>
          <t>40-75</t>
        </is>
      </c>
      <c r="M8" t="inlineStr"/>
      <c r="N8" t="inlineStr"/>
      <c r="O8" t="inlineStr"/>
      <c r="P8" t="inlineStr"/>
      <c r="Q8" t="inlineStr"/>
      <c r="R8" t="inlineStr">
        <is>
          <t>N</t>
        </is>
      </c>
      <c r="S8" t="inlineStr">
        <is>
          <t>unknown</t>
        </is>
      </c>
      <c r="T8" t="inlineStr">
        <is>
          <t>N</t>
        </is>
      </c>
      <c r="U8" t="inlineStr">
        <is>
          <t>new</t>
        </is>
      </c>
      <c r="V8" t="inlineStr">
        <is>
          <t>https://compstak.com/about</t>
        </is>
      </c>
      <c r="W8" t="inlineStr">
        <is>
          <t>2026-10-23</t>
        </is>
      </c>
      <c r="X8" t="inlineStr">
        <is>
          <t>office</t>
        </is>
      </c>
      <c r="Y8" t="n">
        <v>7</v>
      </c>
      <c r="Z8" t="n">
        <v>7</v>
      </c>
      <c r="AA8" t="inlineStr">
        <is>
          <t>Y</t>
        </is>
      </c>
      <c r="AB8" t="inlineStr">
        <is>
          <t>find Maxine Swick at CompStak on LinkedIn and paste the profile URL (this also confirms the name: The Org is crowd-edited); adjacent title: ask who runs the pantry</t>
        </is>
      </c>
      <c r="AC8" t="inlineStr">
        <is>
          <t>pantry or office lead (primary)</t>
        </is>
      </c>
      <c r="AD8" t="inlineStr">
        <is>
          <t>verified-page</t>
        </is>
      </c>
      <c r="AE8" t="inlineStr">
        <is>
          <t>The Org (crowd-edited org chart)</t>
        </is>
      </c>
      <c r="AF8" t="inlineStr">
        <is>
          <t>https://theorg.com/org/compstak/person/maxine-swick</t>
        </is>
      </c>
      <c r="AG8" t="inlineStr">
        <is>
          <t>2026-10-24</t>
        </is>
      </c>
      <c r="AH8" t="inlineStr">
        <is>
          <t>adjacent</t>
        </is>
      </c>
      <c r="AI8" t="inlineStr">
        <is>
          <t>675 Avenue of the Americas</t>
        </is>
      </c>
      <c r="AJ8" t="n">
        <v>4</v>
      </c>
      <c r="AK8" t="inlineStr">
        <is>
          <t>occupied</t>
        </is>
      </c>
      <c r="AL8" t="n">
        <v>50</v>
      </c>
      <c r="AM8" t="n">
        <v>105</v>
      </c>
      <c r="AN8" t="inlineStr">
        <is>
          <t>low</t>
        </is>
      </c>
      <c r="AO8" t="inlineStr">
        <is>
          <t>hybrid-3</t>
        </is>
      </c>
      <c r="AP8" t="inlineStr">
        <is>
          <t>AO-C-083</t>
        </is>
      </c>
      <c r="AQ8" t="inlineStr">
        <is>
          <t>N</t>
        </is>
      </c>
      <c r="AR8" t="inlineStr"/>
      <c r="AS8" t="inlineStr"/>
      <c r="AT8" t="inlineStr">
        <is>
          <t>Y</t>
        </is>
      </c>
      <c r="AU8" t="inlineStr"/>
      <c r="AV8" t="inlineStr"/>
      <c r="AW8" t="inlineStr">
        <is>
          <t>N</t>
        </is>
      </c>
      <c r="AX8" t="inlineStr">
        <is>
          <t>pass</t>
        </is>
      </c>
      <c r="AY8" t="inlineStr">
        <is>
          <t>passes all hard gates</t>
        </is>
      </c>
      <c r="AZ8" t="inlineStr">
        <is>
          <t>company</t>
        </is>
      </c>
      <c r="BA8" t="inlineStr">
        <is>
          <t>B-C-083</t>
        </is>
      </c>
      <c r="BB8" t="inlineStr">
        <is>
          <t>https://compstak.com</t>
        </is>
      </c>
      <c r="BC8" t="inlineStr">
        <is>
          <t>software (commercial real estate data)</t>
        </is>
      </c>
      <c r="BD8" t="n">
        <v>150</v>
      </c>
      <c r="BE8" t="n">
        <v>157</v>
      </c>
      <c r="BF8" t="inlineStr">
        <is>
          <t>unknown</t>
        </is>
      </c>
      <c r="BG8" t="inlineStr">
        <is>
          <t>unknown</t>
        </is>
      </c>
      <c r="BH8" t="inlineStr">
        <is>
          <t>disagree</t>
        </is>
      </c>
      <c r="BI8" t="inlineStr">
        <is>
          <t>https://www.builtinnyc.com/company/compstak</t>
        </is>
      </c>
      <c r="BJ8" t="inlineStr">
        <is>
          <t>https://www.reveliolabs.com/companies/compstak/employees</t>
        </is>
      </c>
      <c r="BK8" t="inlineStr">
        <is>
          <t>le500</t>
        </is>
      </c>
      <c r="BL8" t="inlineStr">
        <is>
          <t>New York</t>
        </is>
      </c>
      <c r="BM8" t="inlineStr">
        <is>
          <t>Y</t>
        </is>
      </c>
      <c r="BN8" t="inlineStr">
        <is>
          <t>unknown</t>
        </is>
      </c>
      <c r="BO8" t="inlineStr">
        <is>
          <t>unknown</t>
        </is>
      </c>
      <c r="BP8" t="n">
        <v>10010</v>
      </c>
      <c r="BQ8" t="n">
        <v>40.742014</v>
      </c>
      <c r="BR8" t="n">
        <v>-73.99370500000001</v>
      </c>
      <c r="BS8" t="inlineStr">
        <is>
          <t>Y</t>
        </is>
      </c>
      <c r="BT8" t="n">
        <v>0</v>
      </c>
      <c r="BU8" t="inlineStr">
        <is>
          <t>B-B-038</t>
        </is>
      </c>
      <c r="BV8" t="inlineStr">
        <is>
          <t>Adams Dry Goods / Mattel Building (GFP Real Estate)</t>
        </is>
      </c>
      <c r="BW8" t="inlineStr">
        <is>
          <t>https://compstak.com/about</t>
        </is>
      </c>
      <c r="BX8" t="inlineStr">
        <is>
          <t>2026-10-24</t>
        </is>
      </c>
      <c r="BY8" t="inlineStr">
        <is>
          <t>company-site</t>
        </is>
      </c>
      <c r="BZ8" t="inlineStr">
        <is>
          <t>https://commercialobserver.com/2022/12/compstak-leases-27k-sf-at-675-avenue-of-the-americas/</t>
        </is>
      </c>
      <c r="CA8" t="inlineStr">
        <is>
          <t>2022-12-20</t>
        </is>
      </c>
      <c r="CB8" t="inlineStr"/>
      <c r="CC8" t="inlineStr">
        <is>
          <t>high</t>
        </is>
      </c>
      <c r="CD8" t="inlineStr"/>
      <c r="CE8" t="inlineStr">
        <is>
          <t>N</t>
        </is>
      </c>
      <c r="CF8" t="inlineStr"/>
      <c r="CG8" t="inlineStr"/>
      <c r="CH8" t="inlineStr">
        <is>
          <t>unknown</t>
        </is>
      </c>
      <c r="CI8" t="inlineStr"/>
      <c r="CJ8" t="inlineStr">
        <is>
          <t>unknown</t>
        </is>
      </c>
      <c r="CK8" t="inlineStr">
        <is>
          <t>N</t>
        </is>
      </c>
      <c r="CL8" t="inlineStr">
        <is>
          <t>Built In workplace type: Hybrid Workplace; typical time on-site: 3 days a week; recent job tags: 3 Hybrid</t>
        </is>
      </c>
      <c r="CM8" t="inlineStr">
        <is>
          <t>https://www.builtinnyc.com/company/compstak/offices</t>
        </is>
      </c>
      <c r="CN8" t="inlineStr">
        <is>
          <t>2026-10-24</t>
        </is>
      </c>
      <c r="CO8" t="n">
        <v>72</v>
      </c>
      <c r="CP8" t="inlineStr"/>
      <c r="CQ8" t="inlineStr">
        <is>
          <t>150 (Built In) and 157 (Revelio Labs) staff (whole-company count) x 50% to 100% of them in the New York office (HQ New York; share assumed) x 67% (Partnership for NYC, firms under 500) in on a weekday = 50 to 105, central 72; low confidence; estimate until intake replaces it.</t>
        </is>
      </c>
      <c r="CR8" t="inlineStr">
        <is>
          <t>estimate until intake replaces it</t>
        </is>
      </c>
      <c r="CS8" t="n">
        <v>1</v>
      </c>
      <c r="CT8" t="n">
        <v>70</v>
      </c>
      <c r="CU8" t="n">
        <v>25</v>
      </c>
      <c r="CV8" t="n">
        <v>15</v>
      </c>
      <c r="CW8" t="n">
        <v>10</v>
      </c>
      <c r="CX8" t="n">
        <v>15</v>
      </c>
      <c r="CY8" t="n">
        <v>5</v>
      </c>
      <c r="CZ8" t="n">
        <v>0</v>
      </c>
      <c r="DA8" t="inlineStr">
        <is>
          <t>Alyssa</t>
        </is>
      </c>
      <c r="DB8" t="inlineStr">
        <is>
          <t>Murrett</t>
        </is>
      </c>
      <c r="DC8" t="inlineStr">
        <is>
          <t>VP, Operations</t>
        </is>
      </c>
      <c r="DD8" t="inlineStr"/>
      <c r="DE8" t="inlineStr"/>
      <c r="DF8" t="inlineStr">
        <is>
          <t>none</t>
        </is>
      </c>
      <c r="DG8" t="inlineStr">
        <is>
          <t>candidate</t>
        </is>
      </c>
      <c r="DH8" t="inlineStr"/>
      <c r="DI8" t="inlineStr"/>
      <c r="DJ8" t="inlineStr">
        <is>
          <t>25,644 sf</t>
        </is>
      </c>
      <c r="DK8" t="inlineStr">
        <is>
          <t>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DL8" t="inlineStr"/>
      <c r="DM8" t="inlineStr">
        <is>
          <t>Maxine Swick</t>
        </is>
      </c>
      <c r="DN8" t="inlineStr">
        <is>
          <t>2026-08-12</t>
        </is>
      </c>
      <c r="DO8" t="inlineStr">
        <is>
          <t>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is>
      </c>
      <c r="DP8" t="inlineStr"/>
      <c r="DQ8" t="inlineStr">
        <is>
          <t>pantry or office lead (backup)</t>
        </is>
      </c>
      <c r="DR8" t="inlineStr">
        <is>
          <t>Alyssa Murrett</t>
        </is>
      </c>
      <c r="DS8" t="inlineStr">
        <is>
          <t>verified-page</t>
        </is>
      </c>
      <c r="DT8" t="inlineStr">
        <is>
          <t>The Org (crowd-edited org chart)</t>
        </is>
      </c>
      <c r="DU8" t="inlineStr">
        <is>
          <t>https://theorg.com/org/compstak/person/alyssa-murrett</t>
        </is>
      </c>
      <c r="DV8" t="inlineStr">
        <is>
          <t>2023-02-26</t>
        </is>
      </c>
      <c r="DW8" t="inlineStr">
        <is>
          <t>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is>
      </c>
      <c r="DX8" t="inlineStr">
        <is>
          <t>Y</t>
        </is>
      </c>
      <c r="DY8" t="inlineStr">
        <is>
          <t>confirmed</t>
        </is>
      </c>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f>IF(ISNUMBER(MATCH(U8,{"queued","contacted","replied","call_booked","call_done","yes_in_principle","materials_sent"},0)),"Y","N")</f>
        <v/>
      </c>
      <c r="ES8">
        <f>IF(COUNTIFS($AP$2:$AP$1000,AP8,$ER$2:$ER$1000,"Y")+COUNTIFS($AP$2:$AP$1000,AP8,$T$2:$T$1000,"Y")&gt;0,"Y","N")</f>
        <v/>
      </c>
      <c r="ET8">
        <f>IF(AND(U8="new",T8="N",AT8="Y",AS8="",ES8="N"),"Y","N")</f>
        <v/>
      </c>
      <c r="EU8">
        <f>IF(ET8&lt;&gt;"Y","N",IF(COUNTIFS($AP$2:$AP$1000,AP8,$ET$2:$ET$1000,"Y",$J$2:$J$1000,"&gt;"&amp;J8)+COUNTIFS($AP$2:$AP$1000,AP8,$ET$2:$ET$1000,"Y",$J$2:$J$1000,J8,$EW$2:$EW$1000,"&lt;"&amp;EW8)=0,"Y","N"))</f>
        <v/>
      </c>
      <c r="EV8">
        <f>IF(Y8="","N",IF(Y8&lt;=10,"Y","N"))</f>
        <v/>
      </c>
      <c r="EW8">
        <f>ROW()-1</f>
        <v/>
      </c>
    </row>
    <row r="9">
      <c r="A9" t="inlineStr">
        <is>
          <t>AO-C-052</t>
        </is>
      </c>
      <c r="B9" t="inlineStr">
        <is>
          <t>Bombas</t>
        </is>
      </c>
      <c r="C9" t="inlineStr">
        <is>
          <t>Carlos</t>
        </is>
      </c>
      <c r="D9" t="inlineStr">
        <is>
          <t>Arellano</t>
        </is>
      </c>
      <c r="E9" t="inlineStr">
        <is>
          <t>Workplace Coordinator</t>
        </is>
      </c>
      <c r="F9" t="inlineStr"/>
      <c r="G9" t="inlineStr"/>
      <c r="H9" t="inlineStr">
        <is>
          <t>none</t>
        </is>
      </c>
      <c r="I9" t="inlineStr">
        <is>
          <t>linkedin</t>
        </is>
      </c>
      <c r="J9" t="n">
        <v>70</v>
      </c>
      <c r="K9" t="inlineStr">
        <is>
          <t>Tuesday estimate 75 to 203 (low confidence), under 500 staff company-wide, on-site 5 days a week per its profile, occupancy-unconfirmed at a low-confidence address; contact in the target titles named (Workplace Coordinator).</t>
        </is>
      </c>
      <c r="L9" t="inlineStr">
        <is>
          <t>76-150</t>
        </is>
      </c>
      <c r="M9" t="inlineStr"/>
      <c r="N9" t="inlineStr"/>
      <c r="O9" t="inlineStr"/>
      <c r="P9" t="inlineStr"/>
      <c r="Q9" t="inlineStr"/>
      <c r="R9" t="inlineStr">
        <is>
          <t>N</t>
        </is>
      </c>
      <c r="S9" t="inlineStr">
        <is>
          <t>unknown</t>
        </is>
      </c>
      <c r="T9" t="inlineStr">
        <is>
          <t>N</t>
        </is>
      </c>
      <c r="U9" t="inlineStr">
        <is>
          <t>new</t>
        </is>
      </c>
      <c r="V9" t="inlineStr">
        <is>
          <t>https://www.builtinnyc.com/company/bombas/offices</t>
        </is>
      </c>
      <c r="W9" t="inlineStr">
        <is>
          <t>2026-10-23</t>
        </is>
      </c>
      <c r="X9" t="inlineStr">
        <is>
          <t>office</t>
        </is>
      </c>
      <c r="Y9" t="n">
        <v>8</v>
      </c>
      <c r="Z9" t="n">
        <v>8</v>
      </c>
      <c r="AA9" t="inlineStr">
        <is>
          <t>Y</t>
        </is>
      </c>
      <c r="AB9" t="inlineStr">
        <is>
          <t>find Carlos Arellano at Bombas on LinkedIn and paste the profile URL (this also confirms the name: The Org is crowd-edited); the source is dated 2024-11-14: check Carlos still holds the role</t>
        </is>
      </c>
      <c r="AC9" t="inlineStr">
        <is>
          <t>pantry or office lead (primary)</t>
        </is>
      </c>
      <c r="AD9" t="inlineStr">
        <is>
          <t>verified-page</t>
        </is>
      </c>
      <c r="AE9" t="inlineStr">
        <is>
          <t>The Org (crowd-edited org chart)</t>
        </is>
      </c>
      <c r="AF9" t="inlineStr">
        <is>
          <t>https://theorg.com/org/bombas/person/carlos-arellano</t>
        </is>
      </c>
      <c r="AG9" t="inlineStr">
        <is>
          <t>2026-10-24</t>
        </is>
      </c>
      <c r="AH9" t="inlineStr">
        <is>
          <t>exact</t>
        </is>
      </c>
      <c r="AI9" t="inlineStr">
        <is>
          <t>881 Broadway</t>
        </is>
      </c>
      <c r="AJ9" t="n">
        <v>2</v>
      </c>
      <c r="AK9" t="inlineStr">
        <is>
          <t>occupancy-unconfirmed</t>
        </is>
      </c>
      <c r="AL9" t="n">
        <v>75</v>
      </c>
      <c r="AM9" t="n">
        <v>203</v>
      </c>
      <c r="AN9" t="inlineStr">
        <is>
          <t>low</t>
        </is>
      </c>
      <c r="AO9" t="inlineStr">
        <is>
          <t>in-office-5</t>
        </is>
      </c>
      <c r="AP9" t="inlineStr">
        <is>
          <t>AO-C-052</t>
        </is>
      </c>
      <c r="AQ9" t="inlineStr">
        <is>
          <t>N</t>
        </is>
      </c>
      <c r="AR9" t="inlineStr"/>
      <c r="AS9" t="inlineStr"/>
      <c r="AT9" t="inlineStr">
        <is>
          <t>Y</t>
        </is>
      </c>
      <c r="AU9" t="inlineStr"/>
      <c r="AV9" t="inlineStr"/>
      <c r="AW9" t="inlineStr">
        <is>
          <t>N</t>
        </is>
      </c>
      <c r="AX9" t="inlineStr">
        <is>
          <t>pass</t>
        </is>
      </c>
      <c r="AY9" t="inlineStr">
        <is>
          <t>passes all hard gates</t>
        </is>
      </c>
      <c r="AZ9" t="inlineStr">
        <is>
          <t>company</t>
        </is>
      </c>
      <c r="BA9" t="inlineStr">
        <is>
          <t>B-C-052</t>
        </is>
      </c>
      <c r="BB9" t="inlineStr">
        <is>
          <t>https://bombas.com</t>
        </is>
      </c>
      <c r="BC9" t="inlineStr">
        <is>
          <t>apparel brand (socks and basics)</t>
        </is>
      </c>
      <c r="BD9" t="n">
        <v>223</v>
      </c>
      <c r="BE9" t="n">
        <v>303</v>
      </c>
      <c r="BF9" t="inlineStr">
        <is>
          <t>unknown</t>
        </is>
      </c>
      <c r="BG9" t="inlineStr">
        <is>
          <t>unknown</t>
        </is>
      </c>
      <c r="BH9" t="inlineStr">
        <is>
          <t>disagree</t>
        </is>
      </c>
      <c r="BI9" t="inlineStr">
        <is>
          <t>https://www.builtinnyc.com/company/bombas</t>
        </is>
      </c>
      <c r="BJ9" t="inlineStr">
        <is>
          <t>https://www.reveliolabs.com/companies/bombas/employees</t>
        </is>
      </c>
      <c r="BK9" t="inlineStr">
        <is>
          <t>le500</t>
        </is>
      </c>
      <c r="BL9" t="inlineStr">
        <is>
          <t>New York</t>
        </is>
      </c>
      <c r="BM9" t="inlineStr">
        <is>
          <t>Y</t>
        </is>
      </c>
      <c r="BN9" t="inlineStr">
        <is>
          <t>unknown</t>
        </is>
      </c>
      <c r="BO9" t="inlineStr">
        <is>
          <t>unknown</t>
        </is>
      </c>
      <c r="BP9" t="n">
        <v>10003</v>
      </c>
      <c r="BQ9" t="n">
        <v>40.738311</v>
      </c>
      <c r="BR9" t="n">
        <v>-73.990185</v>
      </c>
      <c r="BS9" t="inlineStr">
        <is>
          <t>Y</t>
        </is>
      </c>
      <c r="BT9" t="n">
        <v>0</v>
      </c>
      <c r="BU9" t="inlineStr">
        <is>
          <t>B-B-023</t>
        </is>
      </c>
      <c r="BV9" t="inlineStr">
        <is>
          <t>115 Fifth Avenue / 881 Broadway (Arnold Constable block)</t>
        </is>
      </c>
      <c r="BW9" t="inlineStr">
        <is>
          <t>https://www.builtinnyc.com/company/bombas/offices</t>
        </is>
      </c>
      <c r="BX9" t="inlineStr">
        <is>
          <t>2026-10-23</t>
        </is>
      </c>
      <c r="BY9" t="inlineStr">
        <is>
          <t>builtin</t>
        </is>
      </c>
      <c r="BZ9" t="inlineStr">
        <is>
          <t>https://commercialobserver.com/2019/04/bombas-lease-881-broadway-the-winter-organization/</t>
        </is>
      </c>
      <c r="CA9" t="inlineStr">
        <is>
          <t>2019-04-10</t>
        </is>
      </c>
      <c r="CB9" t="inlineStr"/>
      <c r="CC9" t="inlineStr">
        <is>
          <t>low</t>
        </is>
      </c>
      <c r="CD9" t="inlineStr"/>
      <c r="CE9" t="inlineStr">
        <is>
          <t>N</t>
        </is>
      </c>
      <c r="CF9" t="inlineStr"/>
      <c r="CG9" t="inlineStr"/>
      <c r="CH9" t="inlineStr">
        <is>
          <t>security desk</t>
        </is>
      </c>
      <c r="CI9" t="inlineStr">
        <is>
          <t>https://www.metro-manhattan.com/buildings/115-fifth-avenue/</t>
        </is>
      </c>
      <c r="CJ9" t="inlineStr">
        <is>
          <t>unknown</t>
        </is>
      </c>
      <c r="CK9" t="inlineStr">
        <is>
          <t>N</t>
        </is>
      </c>
      <c r="CL9" t="inlineStr">
        <is>
          <t>Built In workplace type: OnSite Workplace; typical time on-site: 5 days a week; recent job tags: 3 In-Office</t>
        </is>
      </c>
      <c r="CM9" t="inlineStr">
        <is>
          <t>https://www.builtinnyc.com/company/bombas/offices</t>
        </is>
      </c>
      <c r="CN9" t="inlineStr">
        <is>
          <t>2026-10-24</t>
        </is>
      </c>
      <c r="CO9" t="n">
        <v>123</v>
      </c>
      <c r="CP9" t="inlineStr"/>
      <c r="CQ9" t="inlineStr">
        <is>
          <t>223 (Built In) and 303 (Revelio Labs) staff (whole-company count) x 50% to 100% of them in the New York office (HQ New York; share assumed) x 67% (Partnership for NYC, firms under 500) in on a weekday = 75 to 203, central 123; low confidence; estimate until intake replaces it.</t>
        </is>
      </c>
      <c r="CR9" t="inlineStr">
        <is>
          <t>estimate until intake replaces it</t>
        </is>
      </c>
      <c r="CS9" t="n">
        <v>1</v>
      </c>
      <c r="CT9" t="n">
        <v>70</v>
      </c>
      <c r="CU9" t="n">
        <v>25</v>
      </c>
      <c r="CV9" t="n">
        <v>15</v>
      </c>
      <c r="CW9" t="n">
        <v>15</v>
      </c>
      <c r="CX9" t="n">
        <v>5</v>
      </c>
      <c r="CY9" t="n">
        <v>10</v>
      </c>
      <c r="CZ9" t="n">
        <v>0</v>
      </c>
      <c r="DA9" t="inlineStr">
        <is>
          <t>Melissa</t>
        </is>
      </c>
      <c r="DB9" t="inlineStr">
        <is>
          <t>King</t>
        </is>
      </c>
      <c r="DC9" t="inlineStr">
        <is>
          <t>Executive Assistant</t>
        </is>
      </c>
      <c r="DD9" t="inlineStr"/>
      <c r="DE9" t="inlineStr"/>
      <c r="DF9" t="inlineStr">
        <is>
          <t>none</t>
        </is>
      </c>
      <c r="DG9" t="inlineStr">
        <is>
          <t>candidate</t>
        </is>
      </c>
      <c r="DH9" t="inlineStr"/>
      <c r="DI9" t="inlineStr"/>
      <c r="DJ9" t="inlineStr">
        <is>
          <t>33,300 sf</t>
        </is>
      </c>
      <c r="DK9" t="inlineStr">
        <is>
          <t>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is>
      </c>
      <c r="DL9" t="inlineStr"/>
      <c r="DM9" t="inlineStr">
        <is>
          <t>Carlos Arellano</t>
        </is>
      </c>
      <c r="DN9" t="inlineStr">
        <is>
          <t>2024-11-14</t>
        </is>
      </c>
      <c r="DO9" t="inlineStr">
        <is>
          <t>ny_base=likely (The Org gives a New York location, no office attached); title_fit=variant (workplace coordinator). The Org updated 2024-11-14, so the role may be stale: founder to confirm.</t>
        </is>
      </c>
      <c r="DP9" t="inlineStr"/>
      <c r="DQ9" t="inlineStr">
        <is>
          <t>pantry or office lead (backup)</t>
        </is>
      </c>
      <c r="DR9" t="inlineStr">
        <is>
          <t>Melissa King</t>
        </is>
      </c>
      <c r="DS9" t="inlineStr">
        <is>
          <t>verified-page</t>
        </is>
      </c>
      <c r="DT9" t="inlineStr">
        <is>
          <t>The Org (crowd-edited org chart)</t>
        </is>
      </c>
      <c r="DU9" t="inlineStr">
        <is>
          <t>https://theorg.com/org/bombas/person/melissa-king</t>
        </is>
      </c>
      <c r="DV9" t="inlineStr">
        <is>
          <t>2025-05-15</t>
        </is>
      </c>
      <c r="DW9" t="inlineStr">
        <is>
          <t>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is>
      </c>
      <c r="DX9" t="inlineStr">
        <is>
          <t>Y</t>
        </is>
      </c>
      <c r="DY9" t="inlineStr">
        <is>
          <t>likely</t>
        </is>
      </c>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f>IF(ISNUMBER(MATCH(U9,{"queued","contacted","replied","call_booked","call_done","yes_in_principle","materials_sent"},0)),"Y","N")</f>
        <v/>
      </c>
      <c r="ES9">
        <f>IF(COUNTIFS($AP$2:$AP$1000,AP9,$ER$2:$ER$1000,"Y")+COUNTIFS($AP$2:$AP$1000,AP9,$T$2:$T$1000,"Y")&gt;0,"Y","N")</f>
        <v/>
      </c>
      <c r="ET9">
        <f>IF(AND(U9="new",T9="N",AT9="Y",AS9="",ES9="N"),"Y","N")</f>
        <v/>
      </c>
      <c r="EU9">
        <f>IF(ET9&lt;&gt;"Y","N",IF(COUNTIFS($AP$2:$AP$1000,AP9,$ET$2:$ET$1000,"Y",$J$2:$J$1000,"&gt;"&amp;J9)+COUNTIFS($AP$2:$AP$1000,AP9,$ET$2:$ET$1000,"Y",$J$2:$J$1000,J9,$EW$2:$EW$1000,"&lt;"&amp;EW9)=0,"Y","N"))</f>
        <v/>
      </c>
      <c r="EV9">
        <f>IF(Y9="","N",IF(Y9&lt;=10,"Y","N"))</f>
        <v/>
      </c>
      <c r="EW9">
        <f>ROW()-1</f>
        <v/>
      </c>
    </row>
    <row r="10">
      <c r="A10" t="inlineStr">
        <is>
          <t>AO-C-091</t>
        </is>
      </c>
      <c r="B10" t="inlineStr">
        <is>
          <t>1stDibs</t>
        </is>
      </c>
      <c r="C10" t="inlineStr">
        <is>
          <t>Lindsay</t>
        </is>
      </c>
      <c r="D10" t="inlineStr">
        <is>
          <t>Cusatis</t>
        </is>
      </c>
      <c r="E10" t="inlineStr">
        <is>
          <t>Executive Assistant to Chief Executive Officer; Manager</t>
        </is>
      </c>
      <c r="F10" t="inlineStr"/>
      <c r="G10" t="inlineStr"/>
      <c r="H10" t="inlineStr">
        <is>
          <t>none</t>
        </is>
      </c>
      <c r="I10" t="inlineStr">
        <is>
          <t>linkedin</t>
        </is>
      </c>
      <c r="J10" t="n">
        <v>67.8</v>
      </c>
      <c r="K10" t="inlineStr">
        <is>
          <t>Tuesday estimate 94 to 305 (low confidence), under 500 staff company-wide, hybrid (days not stated), occupied at a high-confidence address; contact in the target titles named (Executive Assistant to Chief Executive Officer; Manager).</t>
        </is>
      </c>
      <c r="L10" t="inlineStr">
        <is>
          <t>151-250</t>
        </is>
      </c>
      <c r="M10" t="inlineStr"/>
      <c r="N10" t="inlineStr"/>
      <c r="O10" t="inlineStr"/>
      <c r="P10" t="inlineStr"/>
      <c r="Q10" t="inlineStr"/>
      <c r="R10" t="inlineStr">
        <is>
          <t>N</t>
        </is>
      </c>
      <c r="S10" t="inlineStr">
        <is>
          <t>unknown</t>
        </is>
      </c>
      <c r="T10" t="inlineStr">
        <is>
          <t>N</t>
        </is>
      </c>
      <c r="U10" t="inlineStr">
        <is>
          <t>new</t>
        </is>
      </c>
      <c r="V10" t="inlineStr">
        <is>
          <t>https://www.1stdibs.com/about/user-agreement/</t>
        </is>
      </c>
      <c r="W10" t="inlineStr">
        <is>
          <t>2026-10-23</t>
        </is>
      </c>
      <c r="X10" t="inlineStr">
        <is>
          <t>office</t>
        </is>
      </c>
      <c r="Y10" t="n">
        <v>9</v>
      </c>
      <c r="Z10" t="n">
        <v>9</v>
      </c>
      <c r="AA10" t="inlineStr">
        <is>
          <t>Y</t>
        </is>
      </c>
      <c r="AB10" t="inlineStr">
        <is>
          <t>find Lindsay Cusatis at 1stDibs on LinkedIn and paste the profile URL (this also confirms the name: The Org is crowd-edited); the source is dated 2024-11-24: check Lindsay still holds the role</t>
        </is>
      </c>
      <c r="AC10" t="inlineStr">
        <is>
          <t>pantry or office lead (primary)</t>
        </is>
      </c>
      <c r="AD10" t="inlineStr">
        <is>
          <t>verified-page</t>
        </is>
      </c>
      <c r="AE10" t="inlineStr">
        <is>
          <t>The Org (crowd-edited org chart)</t>
        </is>
      </c>
      <c r="AF10" t="inlineStr">
        <is>
          <t>https://theorg.com/org/1stdibs/person/lindsay-cusatis</t>
        </is>
      </c>
      <c r="AG10" t="inlineStr">
        <is>
          <t>2026-10-24</t>
        </is>
      </c>
      <c r="AH10" t="inlineStr">
        <is>
          <t>exact</t>
        </is>
      </c>
      <c r="AI10" t="inlineStr">
        <is>
          <t>300 Park Avenue South</t>
        </is>
      </c>
      <c r="AJ10" t="n">
        <v>10</v>
      </c>
      <c r="AK10" t="inlineStr">
        <is>
          <t>occupied</t>
        </is>
      </c>
      <c r="AL10" t="n">
        <v>94</v>
      </c>
      <c r="AM10" t="n">
        <v>305</v>
      </c>
      <c r="AN10" t="inlineStr">
        <is>
          <t>low</t>
        </is>
      </c>
      <c r="AO10" t="inlineStr">
        <is>
          <t>hybrid-unspecified</t>
        </is>
      </c>
      <c r="AP10" t="inlineStr">
        <is>
          <t>AO-C-091</t>
        </is>
      </c>
      <c r="AQ10" t="inlineStr">
        <is>
          <t>N</t>
        </is>
      </c>
      <c r="AR10" t="inlineStr"/>
      <c r="AS10" t="inlineStr"/>
      <c r="AT10" t="inlineStr">
        <is>
          <t>Y</t>
        </is>
      </c>
      <c r="AU10" t="inlineStr"/>
      <c r="AV10" t="inlineStr"/>
      <c r="AW10" t="inlineStr">
        <is>
          <t>N</t>
        </is>
      </c>
      <c r="AX10" t="inlineStr">
        <is>
          <t>pass</t>
        </is>
      </c>
      <c r="AY10" t="inlineStr">
        <is>
          <t>passes all hard gates</t>
        </is>
      </c>
      <c r="AZ10" t="inlineStr">
        <is>
          <t>company</t>
        </is>
      </c>
      <c r="BA10" t="inlineStr">
        <is>
          <t>B-C-091</t>
        </is>
      </c>
      <c r="BB10" t="inlineStr">
        <is>
          <t>https://www.1stdibs.com/</t>
        </is>
      </c>
      <c r="BC10" t="inlineStr">
        <is>
          <t>Online marketplace (design, art, antiques)</t>
        </is>
      </c>
      <c r="BD10" t="n">
        <v>455</v>
      </c>
      <c r="BE10" t="n">
        <v>281</v>
      </c>
      <c r="BF10" t="inlineStr">
        <is>
          <t>251-500</t>
        </is>
      </c>
      <c r="BG10" t="inlineStr">
        <is>
          <t>whole-company</t>
        </is>
      </c>
      <c r="BH10" t="inlineStr">
        <is>
          <t>agree</t>
        </is>
      </c>
      <c r="BI10" t="inlineStr">
        <is>
          <t>https://www.builtinnyc.com/company/1stdibs/offices</t>
        </is>
      </c>
      <c r="BJ10" t="inlineStr">
        <is>
          <t>https://www.reveliolabs.com/companies/1stdibs/employees</t>
        </is>
      </c>
      <c r="BK10" t="inlineStr">
        <is>
          <t>le500</t>
        </is>
      </c>
      <c r="BL10" t="inlineStr">
        <is>
          <t>New York</t>
        </is>
      </c>
      <c r="BM10" t="inlineStr">
        <is>
          <t>Y</t>
        </is>
      </c>
      <c r="BN10" t="inlineStr">
        <is>
          <t>unknown</t>
        </is>
      </c>
      <c r="BO10" t="inlineStr">
        <is>
          <t>unknown</t>
        </is>
      </c>
      <c r="BP10" t="n">
        <v>10010</v>
      </c>
      <c r="BQ10" t="n">
        <v>40.739819</v>
      </c>
      <c r="BR10" t="n">
        <v>-73.986885</v>
      </c>
      <c r="BS10" t="inlineStr">
        <is>
          <t>Y</t>
        </is>
      </c>
      <c r="BT10" t="n">
        <v>0</v>
      </c>
      <c r="BU10" t="inlineStr">
        <is>
          <t>B-B-044</t>
        </is>
      </c>
      <c r="BV10" t="inlineStr">
        <is>
          <t>300 Park Avenue South (Rockrose); also addressed 290 Park Avenue South</t>
        </is>
      </c>
      <c r="BW10" t="inlineStr">
        <is>
          <t>https://www.1stdibs.com/about/user-agreement/</t>
        </is>
      </c>
      <c r="BX10" t="inlineStr">
        <is>
          <t>2026-10-23</t>
        </is>
      </c>
      <c r="BY10" t="inlineStr">
        <is>
          <t>company-site</t>
        </is>
      </c>
      <c r="BZ10" t="inlineStr">
        <is>
          <t>https://commercialobserver.com/2025/08/flexible-finance-relocating-41k-sf-300-park-avenue-south/</t>
        </is>
      </c>
      <c r="CA10" t="inlineStr">
        <is>
          <t>2025-08-18</t>
        </is>
      </c>
      <c r="CB10" t="inlineStr"/>
      <c r="CC10" t="inlineStr">
        <is>
          <t>high</t>
        </is>
      </c>
      <c r="CD10" t="inlineStr"/>
      <c r="CE10" t="inlineStr">
        <is>
          <t>N</t>
        </is>
      </c>
      <c r="CF10" t="inlineStr"/>
      <c r="CG10" t="inlineStr"/>
      <c r="CH10" t="inlineStr">
        <is>
          <t>security desk</t>
        </is>
      </c>
      <c r="CI10" t="inlineStr">
        <is>
          <t>https://rockrose.com/office/300-park-ave-s/</t>
        </is>
      </c>
      <c r="CJ10" t="inlineStr">
        <is>
          <t>unknown</t>
        </is>
      </c>
      <c r="CK10" t="inlineStr">
        <is>
          <t>N</t>
        </is>
      </c>
      <c r="CL10" t="inlineStr">
        <is>
          <t>Built In workplace type: OnSite Workplace; typical time on-site: 5 days a week (box) but policy text: teams set their own in-office days</t>
        </is>
      </c>
      <c r="CM10" t="inlineStr">
        <is>
          <t>https://www.builtinnyc.com/company/1stdibs/offices</t>
        </is>
      </c>
      <c r="CN10" t="inlineStr">
        <is>
          <t>2026-10-24</t>
        </is>
      </c>
      <c r="CO10" t="n">
        <v>169</v>
      </c>
      <c r="CP10" t="inlineStr">
        <is>
          <t>may exceed 250</t>
        </is>
      </c>
      <c r="CQ10" t="inlineStr">
        <is>
          <t>455 (Built In) and 281 (Revelio Labs) staff (whole-company count) x 50% to 100% of them in the New York office (HQ New York; share assumed) x 67% (Partnership for NYC, firms under 500) in on a weekday = 94 to 305, central 169; low confidence; estimate until intake replaces it.</t>
        </is>
      </c>
      <c r="CR10" t="inlineStr">
        <is>
          <t>estimate until intake replaces it</t>
        </is>
      </c>
      <c r="CS10" t="n">
        <v>0.83</v>
      </c>
      <c r="CT10" t="n">
        <v>67.8</v>
      </c>
      <c r="CU10" t="n">
        <v>20.8</v>
      </c>
      <c r="CV10" t="n">
        <v>15</v>
      </c>
      <c r="CW10" t="n">
        <v>7</v>
      </c>
      <c r="CX10" t="n">
        <v>15</v>
      </c>
      <c r="CY10" t="n">
        <v>10</v>
      </c>
      <c r="CZ10" t="n">
        <v>0</v>
      </c>
      <c r="DA10" t="inlineStr">
        <is>
          <t>Maura</t>
        </is>
      </c>
      <c r="DB10" t="inlineStr">
        <is>
          <t>Bermingham</t>
        </is>
      </c>
      <c r="DC10" t="inlineStr">
        <is>
          <t>People Business Partner</t>
        </is>
      </c>
      <c r="DD10" t="inlineStr"/>
      <c r="DE10" t="inlineStr"/>
      <c r="DF10" t="inlineStr">
        <is>
          <t>none</t>
        </is>
      </c>
      <c r="DG10" t="inlineStr">
        <is>
          <t>candidate</t>
        </is>
      </c>
      <c r="DH10" t="inlineStr"/>
      <c r="DI10" t="inlineStr"/>
      <c r="DJ10" t="inlineStr">
        <is>
          <t>13,671 sf</t>
        </is>
      </c>
      <c r="DK10" t="inlineStr">
        <is>
          <t>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is>
      </c>
      <c r="DL10" t="inlineStr"/>
      <c r="DM10" t="inlineStr">
        <is>
          <t>Lindsay Cusatis</t>
        </is>
      </c>
      <c r="DN10" t="inlineStr">
        <is>
          <t>2024-11-24</t>
        </is>
      </c>
      <c r="DO10" t="inlineStr">
        <is>
          <t>ny_base=confirmed (The Org attaches the role to 1stDibs's New York HQ office and shows her reporting to the CEO, David Rosenblatt); title_fit=family (EA to CEO). The Org updated 2024-11-24.</t>
        </is>
      </c>
      <c r="DP10" t="inlineStr"/>
      <c r="DQ10" t="inlineStr">
        <is>
          <t>pantry or office lead (backup)</t>
        </is>
      </c>
      <c r="DR10" t="inlineStr">
        <is>
          <t>Maura Bermingham</t>
        </is>
      </c>
      <c r="DS10" t="inlineStr">
        <is>
          <t>verified-page</t>
        </is>
      </c>
      <c r="DT10" t="inlineStr">
        <is>
          <t>The Org (crowd-edited org chart)</t>
        </is>
      </c>
      <c r="DU10" t="inlineStr">
        <is>
          <t>https://theorg.com/org/1stdibs/person/maura-bermingham</t>
        </is>
      </c>
      <c r="DV10" t="inlineStr">
        <is>
          <t>2025-05-23</t>
        </is>
      </c>
      <c r="DW10" t="inlineStr">
        <is>
          <t>ny_base=likely (The Org gives a New York location, no office attached); title_fit=variant (people). The Org updated 2025-05-23.</t>
        </is>
      </c>
      <c r="DX10" t="inlineStr">
        <is>
          <t>Y</t>
        </is>
      </c>
      <c r="DY10" t="inlineStr">
        <is>
          <t>confirmed</t>
        </is>
      </c>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f>IF(ISNUMBER(MATCH(U10,{"queued","contacted","replied","call_booked","call_done","yes_in_principle","materials_sent"},0)),"Y","N")</f>
        <v/>
      </c>
      <c r="ES10">
        <f>IF(COUNTIFS($AP$2:$AP$1000,AP10,$ER$2:$ER$1000,"Y")+COUNTIFS($AP$2:$AP$1000,AP10,$T$2:$T$1000,"Y")&gt;0,"Y","N")</f>
        <v/>
      </c>
      <c r="ET10">
        <f>IF(AND(U10="new",T10="N",AT10="Y",AS10="",ES10="N"),"Y","N")</f>
        <v/>
      </c>
      <c r="EU10">
        <f>IF(ET10&lt;&gt;"Y","N",IF(COUNTIFS($AP$2:$AP$1000,AP10,$ET$2:$ET$1000,"Y",$J$2:$J$1000,"&gt;"&amp;J10)+COUNTIFS($AP$2:$AP$1000,AP10,$ET$2:$ET$1000,"Y",$J$2:$J$1000,J10,$EW$2:$EW$1000,"&lt;"&amp;EW10)=0,"Y","N"))</f>
        <v/>
      </c>
      <c r="EV10">
        <f>IF(Y10="","N",IF(Y10&lt;=10,"Y","N"))</f>
        <v/>
      </c>
      <c r="EW10">
        <f>ROW()-1</f>
        <v/>
      </c>
    </row>
    <row r="11">
      <c r="A11" t="inlineStr">
        <is>
          <t>AO-C-096</t>
        </is>
      </c>
      <c r="B11" t="inlineStr">
        <is>
          <t>Inspiren</t>
        </is>
      </c>
      <c r="C11" t="inlineStr">
        <is>
          <t>Jared</t>
        </is>
      </c>
      <c r="D11" t="inlineStr">
        <is>
          <t>Zimmer</t>
        </is>
      </c>
      <c r="E11" t="inlineStr">
        <is>
          <t>Chief of Staff to CCO</t>
        </is>
      </c>
      <c r="F11" t="inlineStr"/>
      <c r="G11" t="inlineStr"/>
      <c r="H11" t="inlineStr">
        <is>
          <t>none</t>
        </is>
      </c>
      <c r="I11" t="inlineStr">
        <is>
          <t>linkedin</t>
        </is>
      </c>
      <c r="J11" t="n">
        <v>67</v>
      </c>
      <c r="K11" t="inlineStr">
        <is>
          <t>Tuesday estimate 50 to 100 (low confidence), under 500 staff company-wide, hybrid (days not stated), occupied at a high-confidence address; adjacent contact named (Chief of Staff to CCO).</t>
        </is>
      </c>
      <c r="L11" t="inlineStr">
        <is>
          <t>40-75</t>
        </is>
      </c>
      <c r="M11" t="inlineStr"/>
      <c r="N11" t="inlineStr"/>
      <c r="O11" t="inlineStr">
        <is>
          <t>New or renewed lease at 61 West 23rd Street reported 2026-09-21</t>
        </is>
      </c>
      <c r="P11" t="inlineStr">
        <is>
          <t>https://commercialobserver.com/2026/09/normal-computing-inspiren-leases-61-west-23rd-street/</t>
        </is>
      </c>
      <c r="Q11" t="inlineStr">
        <is>
          <t>2026-09-21</t>
        </is>
      </c>
      <c r="R11" t="inlineStr">
        <is>
          <t>N</t>
        </is>
      </c>
      <c r="S11" t="inlineStr">
        <is>
          <t>unknown</t>
        </is>
      </c>
      <c r="T11" t="inlineStr">
        <is>
          <t>N</t>
        </is>
      </c>
      <c r="U11" t="inlineStr">
        <is>
          <t>new</t>
        </is>
      </c>
      <c r="V11" t="inlineStr">
        <is>
          <t>https://commercialobserver.com/2026/09/normal-computing-inspiren-leases-61-west-23rd-street/</t>
        </is>
      </c>
      <c r="W11" t="inlineStr">
        <is>
          <t>2026-10-23</t>
        </is>
      </c>
      <c r="X11" t="inlineStr">
        <is>
          <t>office</t>
        </is>
      </c>
      <c r="Y11" t="n">
        <v>10</v>
      </c>
      <c r="Z11" t="n">
        <v>10</v>
      </c>
      <c r="AA11" t="inlineStr">
        <is>
          <t>Y</t>
        </is>
      </c>
      <c r="AB11" t="inlineStr">
        <is>
          <t>find Jared Zimmer at Inspiren on LinkedIn and paste the profile URL (this also confirms the name: The Org is crowd-edited); adjacent title: ask who runs the pantry</t>
        </is>
      </c>
      <c r="AC11" t="inlineStr">
        <is>
          <t>pantry or office lead (primary)</t>
        </is>
      </c>
      <c r="AD11" t="inlineStr">
        <is>
          <t>verified-page</t>
        </is>
      </c>
      <c r="AE11" t="inlineStr">
        <is>
          <t>The Org (crowd-edited org chart)</t>
        </is>
      </c>
      <c r="AF11" t="inlineStr">
        <is>
          <t>https://theorg.com/org/inspiren/person/jared-zimmer</t>
        </is>
      </c>
      <c r="AG11" t="inlineStr">
        <is>
          <t>2026-10-24</t>
        </is>
      </c>
      <c r="AH11" t="inlineStr">
        <is>
          <t>adjacent</t>
        </is>
      </c>
      <c r="AI11" t="inlineStr">
        <is>
          <t>61 West 23rd Street</t>
        </is>
      </c>
      <c r="AJ11" t="inlineStr">
        <is>
          <t>full floor (floor number not stated)</t>
        </is>
      </c>
      <c r="AK11" t="inlineStr">
        <is>
          <t>occupied</t>
        </is>
      </c>
      <c r="AL11" t="n">
        <v>50</v>
      </c>
      <c r="AM11" t="n">
        <v>100</v>
      </c>
      <c r="AN11" t="inlineStr">
        <is>
          <t>low</t>
        </is>
      </c>
      <c r="AO11" t="inlineStr">
        <is>
          <t>hybrid-unspecified</t>
        </is>
      </c>
      <c r="AP11" t="inlineStr">
        <is>
          <t>AO-C-096</t>
        </is>
      </c>
      <c r="AQ11" t="inlineStr">
        <is>
          <t>N</t>
        </is>
      </c>
      <c r="AR11" t="inlineStr"/>
      <c r="AS11" t="inlineStr"/>
      <c r="AT11" t="inlineStr">
        <is>
          <t>Y</t>
        </is>
      </c>
      <c r="AU11" t="inlineStr"/>
      <c r="AV11" t="inlineStr"/>
      <c r="AW11" t="inlineStr">
        <is>
          <t>N</t>
        </is>
      </c>
      <c r="AX11" t="inlineStr">
        <is>
          <t>pass</t>
        </is>
      </c>
      <c r="AY11" t="inlineStr">
        <is>
          <t>passes all hard gates</t>
        </is>
      </c>
      <c r="AZ11" t="inlineStr">
        <is>
          <t>company</t>
        </is>
      </c>
      <c r="BA11" t="inlineStr">
        <is>
          <t>B-C-096</t>
        </is>
      </c>
      <c r="BB11" t="inlineStr">
        <is>
          <t>https://www.inspiren.com/</t>
        </is>
      </c>
      <c r="BC11" t="inlineStr">
        <is>
          <t>Healthcare technology (AI for senior living)</t>
        </is>
      </c>
      <c r="BD11" t="n">
        <v>150</v>
      </c>
      <c r="BE11" t="inlineStr"/>
      <c r="BF11" t="inlineStr">
        <is>
          <t>76-150</t>
        </is>
      </c>
      <c r="BG11" t="inlineStr">
        <is>
          <t>whole-company</t>
        </is>
      </c>
      <c r="BH11" t="inlineStr">
        <is>
          <t>single-source</t>
        </is>
      </c>
      <c r="BI11" t="inlineStr">
        <is>
          <t>https://www.builtinnyc.com/company/inspiren/offices</t>
        </is>
      </c>
      <c r="BJ11" t="inlineStr"/>
      <c r="BK11" t="inlineStr">
        <is>
          <t>le500</t>
        </is>
      </c>
      <c r="BL11" t="inlineStr">
        <is>
          <t>New York</t>
        </is>
      </c>
      <c r="BM11" t="inlineStr">
        <is>
          <t>Y</t>
        </is>
      </c>
      <c r="BN11" t="inlineStr">
        <is>
          <t>unknown</t>
        </is>
      </c>
      <c r="BO11" t="inlineStr">
        <is>
          <t>unknown</t>
        </is>
      </c>
      <c r="BP11" t="n">
        <v>10010</v>
      </c>
      <c r="BQ11" t="n">
        <v>40.742771</v>
      </c>
      <c r="BR11" t="n">
        <v>-73.991782</v>
      </c>
      <c r="BS11" t="inlineStr">
        <is>
          <t>Y</t>
        </is>
      </c>
      <c r="BT11" t="n">
        <v>0</v>
      </c>
      <c r="BU11" t="inlineStr">
        <is>
          <t>B-B-047</t>
        </is>
      </c>
      <c r="BV11" t="inlineStr">
        <is>
          <t>61 West 23rd Street (Zegna family; Taconic development partner)</t>
        </is>
      </c>
      <c r="BW11" t="inlineStr">
        <is>
          <t>https://commercialobserver.com/2026/09/normal-computing-inspiren-leases-61-west-23rd-street/</t>
        </is>
      </c>
      <c r="BX11" t="inlineStr">
        <is>
          <t>2026-09-21</t>
        </is>
      </c>
      <c r="BY11" t="inlineStr">
        <is>
          <t>leasing-press</t>
        </is>
      </c>
      <c r="BZ11" t="inlineStr">
        <is>
          <t>https://www.builtinnyc.com/company/inspiren/offices</t>
        </is>
      </c>
      <c r="CA11" t="inlineStr">
        <is>
          <t>2026-10-23</t>
        </is>
      </c>
      <c r="CB11" t="inlineStr"/>
      <c r="CC11" t="inlineStr">
        <is>
          <t>high</t>
        </is>
      </c>
      <c r="CD11" t="inlineStr"/>
      <c r="CE11" t="inlineStr">
        <is>
          <t>N</t>
        </is>
      </c>
      <c r="CF11" t="inlineStr"/>
      <c r="CG11" t="inlineStr"/>
      <c r="CH11" t="inlineStr">
        <is>
          <t>unknown</t>
        </is>
      </c>
      <c r="CI11" t="inlineStr"/>
      <c r="CJ11" t="inlineStr">
        <is>
          <t>unknown</t>
        </is>
      </c>
      <c r="CK11" t="inlineStr">
        <is>
          <t>N</t>
        </is>
      </c>
      <c r="CL11" t="inlineStr">
        <is>
          <t>Built In workplace type: Hybrid Workplace; typical time on-site: Flexible; recent job tags: 3 In-Office</t>
        </is>
      </c>
      <c r="CM11" t="inlineStr">
        <is>
          <t>https://www.builtinnyc.com/company/inspiren/offices</t>
        </is>
      </c>
      <c r="CN11" t="inlineStr">
        <is>
          <t>2026-10-24</t>
        </is>
      </c>
      <c r="CO11" t="n">
        <v>71</v>
      </c>
      <c r="CP11" t="inlineStr"/>
      <c r="CQ11" t="inlineStr">
        <is>
          <t>150 (Built In) staff (whole-company count) x 50% to 100% of them in the New York office (HQ New York; share assumed) x 67% (Partnership for NYC, firms under 500) in on a weekday = 50 to 100, central 71; low confidence; estimate until intake replaces it.</t>
        </is>
      </c>
      <c r="CR11" t="inlineStr">
        <is>
          <t>estimate until intake replaces it</t>
        </is>
      </c>
      <c r="CS11" t="n">
        <v>1</v>
      </c>
      <c r="CT11" t="n">
        <v>67</v>
      </c>
      <c r="CU11" t="n">
        <v>25</v>
      </c>
      <c r="CV11" t="n">
        <v>15</v>
      </c>
      <c r="CW11" t="n">
        <v>7</v>
      </c>
      <c r="CX11" t="n">
        <v>15</v>
      </c>
      <c r="CY11" t="n">
        <v>5</v>
      </c>
      <c r="CZ11" t="n">
        <v>0</v>
      </c>
      <c r="DA11" t="inlineStr"/>
      <c r="DB11" t="inlineStr"/>
      <c r="DC11" t="inlineStr"/>
      <c r="DD11" t="inlineStr"/>
      <c r="DE11" t="inlineStr"/>
      <c r="DF11" t="inlineStr">
        <is>
          <t>none</t>
        </is>
      </c>
      <c r="DG11" t="inlineStr">
        <is>
          <t>candidate</t>
        </is>
      </c>
      <c r="DH11" t="inlineStr"/>
      <c r="DI11" t="inlineStr"/>
      <c r="DJ11" t="inlineStr">
        <is>
          <t>8,367 sf</t>
        </is>
      </c>
      <c r="DK11" t="inlineStr">
        <is>
          <t>CO: moved into 8,367 sf in early Sept 2026, first permanent NYC office (previously Brooklyn Navy Yard). Built In lists HQ 61 W 23rd St and 150 total employees (live profile, undated).</t>
        </is>
      </c>
      <c r="DL11" t="inlineStr"/>
      <c r="DM11" t="inlineStr">
        <is>
          <t>Jared Zimmer</t>
        </is>
      </c>
      <c r="DN11" t="inlineStr">
        <is>
          <t>2026-03-09</t>
        </is>
      </c>
      <c r="DO11" t="inlineStr">
        <is>
          <t>ny_base=likely (The Org gives a New York location, no office attached); title_fit=adjacent (chief of staff at a small firm, but to the chief commercial officer, not the CEO). The Org updated 2026-03-09. Inspiren's HR coordinator on The Org is not placed in New York.</t>
        </is>
      </c>
      <c r="DP11" t="inlineStr"/>
      <c r="DQ11" t="inlineStr"/>
      <c r="DR11" t="inlineStr"/>
      <c r="DS11" t="inlineStr">
        <is>
          <t>none</t>
        </is>
      </c>
      <c r="DT11" t="inlineStr"/>
      <c r="DU11" t="inlineStr"/>
      <c r="DV11" t="inlineStr"/>
      <c r="DW11" t="inlineStr"/>
      <c r="DX11" t="inlineStr">
        <is>
          <t>Y</t>
        </is>
      </c>
      <c r="DY11" t="inlineStr">
        <is>
          <t>likely</t>
        </is>
      </c>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f>IF(ISNUMBER(MATCH(U11,{"queued","contacted","replied","call_booked","call_done","yes_in_principle","materials_sent"},0)),"Y","N")</f>
        <v/>
      </c>
      <c r="ES11">
        <f>IF(COUNTIFS($AP$2:$AP$1000,AP11,$ER$2:$ER$1000,"Y")+COUNTIFS($AP$2:$AP$1000,AP11,$T$2:$T$1000,"Y")&gt;0,"Y","N")</f>
        <v/>
      </c>
      <c r="ET11">
        <f>IF(AND(U11="new",T11="N",AT11="Y",AS11="",ES11="N"),"Y","N")</f>
        <v/>
      </c>
      <c r="EU11">
        <f>IF(ET11&lt;&gt;"Y","N",IF(COUNTIFS($AP$2:$AP$1000,AP11,$ET$2:$ET$1000,"Y",$J$2:$J$1000,"&gt;"&amp;J11)+COUNTIFS($AP$2:$AP$1000,AP11,$ET$2:$ET$1000,"Y",$J$2:$J$1000,J11,$EW$2:$EW$1000,"&lt;"&amp;EW11)=0,"Y","N"))</f>
        <v/>
      </c>
      <c r="EV11">
        <f>IF(Y11="","N",IF(Y11&lt;=10,"Y","N"))</f>
        <v/>
      </c>
      <c r="EW11">
        <f>ROW()-1</f>
        <v/>
      </c>
    </row>
    <row r="12">
      <c r="A12" t="inlineStr">
        <is>
          <t>AO-C-038</t>
        </is>
      </c>
      <c r="B12" t="inlineStr">
        <is>
          <t>Stellar Health</t>
        </is>
      </c>
      <c r="C12" t="inlineStr">
        <is>
          <t>Stavroula</t>
        </is>
      </c>
      <c r="D12" t="inlineStr">
        <is>
          <t>Zimaras</t>
        </is>
      </c>
      <c r="E12" t="inlineStr">
        <is>
          <t>Chief of Staff to CEO</t>
        </is>
      </c>
      <c r="F12" t="inlineStr"/>
      <c r="G12" t="inlineStr"/>
      <c r="H12" t="inlineStr">
        <is>
          <t>none</t>
        </is>
      </c>
      <c r="I12" t="inlineStr">
        <is>
          <t>linkedin</t>
        </is>
      </c>
      <c r="J12" t="n">
        <v>67</v>
      </c>
      <c r="K12" t="inlineStr">
        <is>
          <t>Tuesday estimate 55 to 126 (low confidence), under 500 staff company-wide, hybrid (days not stated), occupied at a high-confidence address; adjacent contact named (Chief of Staff to CEO).</t>
        </is>
      </c>
      <c r="L12" t="inlineStr">
        <is>
          <t>76-150</t>
        </is>
      </c>
      <c r="M12" t="inlineStr"/>
      <c r="N12" t="inlineStr"/>
      <c r="O12" t="inlineStr"/>
      <c r="P12" t="inlineStr"/>
      <c r="Q12" t="inlineStr"/>
      <c r="R12" t="inlineStr">
        <is>
          <t>N</t>
        </is>
      </c>
      <c r="S12" t="inlineStr">
        <is>
          <t>unknown</t>
        </is>
      </c>
      <c r="T12" t="inlineStr">
        <is>
          <t>N</t>
        </is>
      </c>
      <c r="U12" t="inlineStr">
        <is>
          <t>new</t>
        </is>
      </c>
      <c r="V12" t="inlineStr">
        <is>
          <t>https://www.sec.gov/Archives/edgar/data/1013454/000153949726000704/n5676_x5-424h.htm</t>
        </is>
      </c>
      <c r="W12" t="inlineStr">
        <is>
          <t>2026-10-23</t>
        </is>
      </c>
      <c r="X12" t="inlineStr">
        <is>
          <t>office</t>
        </is>
      </c>
      <c r="Y12" t="n">
        <v>11</v>
      </c>
      <c r="Z12" t="n">
        <v>11</v>
      </c>
      <c r="AA12" t="inlineStr">
        <is>
          <t>Y</t>
        </is>
      </c>
      <c r="AB12" t="inlineStr">
        <is>
          <t>find Stavroula Zimaras at Stellar Health on LinkedIn and paste the profile URL (this also confirms the name: The Org is crowd-edited); adjacent title: ask who runs the pantry</t>
        </is>
      </c>
      <c r="AC12" t="inlineStr">
        <is>
          <t>pantry or office lead (primary)</t>
        </is>
      </c>
      <c r="AD12" t="inlineStr">
        <is>
          <t>verified-page</t>
        </is>
      </c>
      <c r="AE12" t="inlineStr">
        <is>
          <t>The Org (crowd-edited org chart)</t>
        </is>
      </c>
      <c r="AF12" t="inlineStr">
        <is>
          <t>https://theorg.com/org/stellar-health/person/stavroula-zimaras</t>
        </is>
      </c>
      <c r="AG12" t="inlineStr">
        <is>
          <t>2026-10-24</t>
        </is>
      </c>
      <c r="AH12" t="inlineStr">
        <is>
          <t>adjacent</t>
        </is>
      </c>
      <c r="AI12" t="inlineStr">
        <is>
          <t>215 Park Avenue South</t>
        </is>
      </c>
      <c r="AJ12" t="inlineStr">
        <is>
          <t>unknown</t>
        </is>
      </c>
      <c r="AK12" t="inlineStr">
        <is>
          <t>occupied</t>
        </is>
      </c>
      <c r="AL12" t="n">
        <v>55</v>
      </c>
      <c r="AM12" t="n">
        <v>126</v>
      </c>
      <c r="AN12" t="inlineStr">
        <is>
          <t>low</t>
        </is>
      </c>
      <c r="AO12" t="inlineStr">
        <is>
          <t>hybrid-unspecified</t>
        </is>
      </c>
      <c r="AP12" t="inlineStr">
        <is>
          <t>AO-C-038</t>
        </is>
      </c>
      <c r="AQ12" t="inlineStr">
        <is>
          <t>N</t>
        </is>
      </c>
      <c r="AR12" t="inlineStr"/>
      <c r="AS12" t="inlineStr"/>
      <c r="AT12" t="inlineStr">
        <is>
          <t>Y</t>
        </is>
      </c>
      <c r="AU12" t="inlineStr"/>
      <c r="AV12" t="inlineStr"/>
      <c r="AW12" t="inlineStr">
        <is>
          <t>N</t>
        </is>
      </c>
      <c r="AX12" t="inlineStr">
        <is>
          <t>pass</t>
        </is>
      </c>
      <c r="AY12" t="inlineStr">
        <is>
          <t>passes all hard gates</t>
        </is>
      </c>
      <c r="AZ12" t="inlineStr">
        <is>
          <t>company</t>
        </is>
      </c>
      <c r="BA12" t="inlineStr">
        <is>
          <t>B-C-038</t>
        </is>
      </c>
      <c r="BB12" t="inlineStr">
        <is>
          <t>https://www.stellarhealth.net</t>
        </is>
      </c>
      <c r="BC12" t="inlineStr">
        <is>
          <t>health tech (value-based care software)</t>
        </is>
      </c>
      <c r="BD12" t="n">
        <v>165</v>
      </c>
      <c r="BE12" t="n">
        <v>188</v>
      </c>
      <c r="BF12" t="inlineStr">
        <is>
          <t>151-250</t>
        </is>
      </c>
      <c r="BG12" t="inlineStr">
        <is>
          <t>whole-company</t>
        </is>
      </c>
      <c r="BH12" t="inlineStr">
        <is>
          <t>agree</t>
        </is>
      </c>
      <c r="BI12" t="inlineStr">
        <is>
          <t>https://www.builtinnyc.com/company/stellar-health</t>
        </is>
      </c>
      <c r="BJ12" t="inlineStr">
        <is>
          <t>https://www.reveliolabs.com/companies/stellar-health-group/employees</t>
        </is>
      </c>
      <c r="BK12" t="inlineStr">
        <is>
          <t>le500</t>
        </is>
      </c>
      <c r="BL12" t="inlineStr">
        <is>
          <t>New York</t>
        </is>
      </c>
      <c r="BM12" t="inlineStr">
        <is>
          <t>Y</t>
        </is>
      </c>
      <c r="BN12" t="inlineStr">
        <is>
          <t>unknown</t>
        </is>
      </c>
      <c r="BO12" t="inlineStr">
        <is>
          <t>unknown</t>
        </is>
      </c>
      <c r="BP12" t="n">
        <v>10003</v>
      </c>
      <c r="BQ12" t="n">
        <v>40.73686</v>
      </c>
      <c r="BR12" t="n">
        <v>-73.988546</v>
      </c>
      <c r="BS12" t="inlineStr">
        <is>
          <t>Y</t>
        </is>
      </c>
      <c r="BT12" t="n">
        <v>0</v>
      </c>
      <c r="BU12" t="inlineStr">
        <is>
          <t>B-B-016</t>
        </is>
      </c>
      <c r="BV12" t="inlineStr">
        <is>
          <t>215 Park Avenue South (SL Green managed)</t>
        </is>
      </c>
      <c r="BW12" t="inlineStr">
        <is>
          <t>https://www.sec.gov/Archives/edgar/data/1013454/000153949726000704/n5676_x5-424h.htm</t>
        </is>
      </c>
      <c r="BX12" t="inlineStr">
        <is>
          <t>2026-02</t>
        </is>
      </c>
      <c r="BY12" t="inlineStr">
        <is>
          <t>other</t>
        </is>
      </c>
      <c r="BZ12" t="inlineStr">
        <is>
          <t>https://www.nyrej.com/sl-green-signs-29-915-s-f-lease-with-nayya-health-at-215-park-ave-south</t>
        </is>
      </c>
      <c r="CA12" t="inlineStr">
        <is>
          <t>2024-12-10</t>
        </is>
      </c>
      <c r="CB12" t="inlineStr">
        <is>
          <t>cites a sec.gov filing: agents do not open it (EDGAR demands a contact email); the founder may open it in a browser</t>
        </is>
      </c>
      <c r="CC12" t="inlineStr">
        <is>
          <t>high</t>
        </is>
      </c>
      <c r="CD12" t="inlineStr"/>
      <c r="CE12" t="inlineStr">
        <is>
          <t>N</t>
        </is>
      </c>
      <c r="CF12" t="inlineStr"/>
      <c r="CG12" t="inlineStr"/>
      <c r="CH12" t="inlineStr">
        <is>
          <t>security desk</t>
        </is>
      </c>
      <c r="CI12" t="inlineStr">
        <is>
          <t>https://www.metro-manhattan.com/buildings/215-park-avenue-south/</t>
        </is>
      </c>
      <c r="CJ12" t="inlineStr">
        <is>
          <t>unknown</t>
        </is>
      </c>
      <c r="CK12" t="inlineStr">
        <is>
          <t>N</t>
        </is>
      </c>
      <c r="CL12" t="inlineStr">
        <is>
          <t>Built In workplace type: Hybrid Workplace; typical time on-site: Not Specified</t>
        </is>
      </c>
      <c r="CM12" t="inlineStr">
        <is>
          <t>https://www.builtinnyc.com/company/stellar-health/offices</t>
        </is>
      </c>
      <c r="CN12" t="inlineStr">
        <is>
          <t>2026-10-24</t>
        </is>
      </c>
      <c r="CO12" t="n">
        <v>83</v>
      </c>
      <c r="CP12" t="inlineStr"/>
      <c r="CQ12" t="inlineStr">
        <is>
          <t>165 (Built In) and 188 (Revelio Labs) staff (whole-company count) x 50% to 100% of them in the New York office (HQ New York; share assumed) x 67% (Partnership for NYC, firms under 500) in on a weekday = 55 to 126, central 83; low confidence; estimate until intake replaces it.</t>
        </is>
      </c>
      <c r="CR12" t="inlineStr">
        <is>
          <t>estimate until intake replaces it</t>
        </is>
      </c>
      <c r="CS12" t="n">
        <v>1</v>
      </c>
      <c r="CT12" t="n">
        <v>67</v>
      </c>
      <c r="CU12" t="n">
        <v>25</v>
      </c>
      <c r="CV12" t="n">
        <v>15</v>
      </c>
      <c r="CW12" t="n">
        <v>7</v>
      </c>
      <c r="CX12" t="n">
        <v>15</v>
      </c>
      <c r="CY12" t="n">
        <v>5</v>
      </c>
      <c r="CZ12" t="n">
        <v>0</v>
      </c>
      <c r="DA12" t="inlineStr">
        <is>
          <t>Paul</t>
        </is>
      </c>
      <c r="DB12" t="inlineStr">
        <is>
          <t>Savary</t>
        </is>
      </c>
      <c r="DC12" t="inlineStr">
        <is>
          <t>Director HR Business Partner</t>
        </is>
      </c>
      <c r="DD12" t="inlineStr"/>
      <c r="DE12" t="inlineStr"/>
      <c r="DF12" t="inlineStr">
        <is>
          <t>none</t>
        </is>
      </c>
      <c r="DG12" t="inlineStr">
        <is>
          <t>candidate</t>
        </is>
      </c>
      <c r="DH12" t="inlineStr"/>
      <c r="DI12" t="inlineStr"/>
      <c r="DJ12" t="inlineStr">
        <is>
          <t>33,224 sf</t>
        </is>
      </c>
      <c r="DK12" t="inlineStr">
        <is>
          <t>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DL12" t="inlineStr"/>
      <c r="DM12" t="inlineStr">
        <is>
          <t>Stavroula Zimaras</t>
        </is>
      </c>
      <c r="DN12" t="inlineStr">
        <is>
          <t>2026-06-30</t>
        </is>
      </c>
      <c r="DO12" t="inlineStr">
        <is>
          <t>ny_base=confirmed (The Org attaches the role to Stellar Health's New York HQ office; that record shows 127 West 26th Street while B has 215 Park Avenue South); title_fit=variant (chief of staff to the CEO at a 76-150 office). The Org updated 2026-06-30.</t>
        </is>
      </c>
      <c r="DP12" t="inlineStr"/>
      <c r="DQ12" t="inlineStr">
        <is>
          <t>pantry or office lead (backup)</t>
        </is>
      </c>
      <c r="DR12" t="inlineStr">
        <is>
          <t>Paul Savary</t>
        </is>
      </c>
      <c r="DS12" t="inlineStr">
        <is>
          <t>verified-page</t>
        </is>
      </c>
      <c r="DT12" t="inlineStr">
        <is>
          <t>The Org (crowd-edited org chart)</t>
        </is>
      </c>
      <c r="DU12" t="inlineStr">
        <is>
          <t>https://theorg.com/org/stellar-health/person/paul-savary-1</t>
        </is>
      </c>
      <c r="DV12" t="inlineStr">
        <is>
          <t>2026-09-19</t>
        </is>
      </c>
      <c r="DW12" t="inlineStr">
        <is>
          <t>ny_base=likely (The Org gives a New York location, no office attached); title_fit=variant (HR). The Org updated 2026-09-19. Alternate: Katy Huber, Chief Human Resources Officer (https://theorg.com/org/stellar-health/person/katy-huber, NY HQ office, but last updated 2024-10-29).</t>
        </is>
      </c>
      <c r="DX12" t="inlineStr">
        <is>
          <t>Y</t>
        </is>
      </c>
      <c r="DY12" t="inlineStr">
        <is>
          <t>confirmed</t>
        </is>
      </c>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f>IF(ISNUMBER(MATCH(U12,{"queued","contacted","replied","call_booked","call_done","yes_in_principle","materials_sent"},0)),"Y","N")</f>
        <v/>
      </c>
      <c r="ES12">
        <f>IF(COUNTIFS($AP$2:$AP$1000,AP12,$ER$2:$ER$1000,"Y")+COUNTIFS($AP$2:$AP$1000,AP12,$T$2:$T$1000,"Y")&gt;0,"Y","N")</f>
        <v/>
      </c>
      <c r="ET12">
        <f>IF(AND(U12="new",T12="N",AT12="Y",AS12="",ES12="N"),"Y","N")</f>
        <v/>
      </c>
      <c r="EU12">
        <f>IF(ET12&lt;&gt;"Y","N",IF(COUNTIFS($AP$2:$AP$1000,AP12,$ET$2:$ET$1000,"Y",$J$2:$J$1000,"&gt;"&amp;J12)+COUNTIFS($AP$2:$AP$1000,AP12,$ET$2:$ET$1000,"Y",$J$2:$J$1000,J12,$EW$2:$EW$1000,"&lt;"&amp;EW12)=0,"Y","N"))</f>
        <v/>
      </c>
      <c r="EV12">
        <f>IF(Y12="","N",IF(Y12&lt;=10,"Y","N"))</f>
        <v/>
      </c>
      <c r="EW12">
        <f>ROW()-1</f>
        <v/>
      </c>
    </row>
    <row r="13">
      <c r="A13" t="inlineStr">
        <is>
          <t>AO-C-171</t>
        </is>
      </c>
      <c r="B13" t="inlineStr">
        <is>
          <t>Signal AI</t>
        </is>
      </c>
      <c r="C13" t="inlineStr">
        <is>
          <t>Hannah</t>
        </is>
      </c>
      <c r="D13" t="inlineStr">
        <is>
          <t>Grow</t>
        </is>
      </c>
      <c r="E13" t="inlineStr">
        <is>
          <t>Senior People Operations Coordinator</t>
        </is>
      </c>
      <c r="F13" t="inlineStr"/>
      <c r="G13" t="inlineStr"/>
      <c r="H13" t="inlineStr">
        <is>
          <t>none</t>
        </is>
      </c>
      <c r="I13" t="inlineStr">
        <is>
          <t>linkedin</t>
        </is>
      </c>
      <c r="J13" t="n">
        <v>66.3</v>
      </c>
      <c r="K13" t="inlineStr">
        <is>
          <t>Tuesday estimate 8 to 151 (low confidence), under 500 staff company-wide, on-site 5 days a week per its profile, occupied at a high-confidence address; contact in the target titles named (Senior People Operations Coordinator).</t>
        </is>
      </c>
      <c r="L13" t="inlineStr">
        <is>
          <t>under-40</t>
        </is>
      </c>
      <c r="M13" t="inlineStr"/>
      <c r="N13" t="inlineStr"/>
      <c r="O13" t="inlineStr"/>
      <c r="P13" t="inlineStr"/>
      <c r="Q13" t="inlineStr"/>
      <c r="R13" t="inlineStr">
        <is>
          <t>N</t>
        </is>
      </c>
      <c r="S13" t="inlineStr">
        <is>
          <t>unknown</t>
        </is>
      </c>
      <c r="T13" t="inlineStr">
        <is>
          <t>N</t>
        </is>
      </c>
      <c r="U13" t="inlineStr">
        <is>
          <t>new</t>
        </is>
      </c>
      <c r="V13" t="inlineStr">
        <is>
          <t>https://www.signal-ai.com/</t>
        </is>
      </c>
      <c r="W13" t="inlineStr">
        <is>
          <t>2026-10-23</t>
        </is>
      </c>
      <c r="X13" t="inlineStr">
        <is>
          <t>office</t>
        </is>
      </c>
      <c r="Y13" t="inlineStr"/>
      <c r="Z13" t="n">
        <v>12</v>
      </c>
      <c r="AA13" t="inlineStr">
        <is>
          <t>Y</t>
        </is>
      </c>
      <c r="AB13" t="inlineStr">
        <is>
          <t>find Hannah Grow at Signal AI on LinkedIn and paste the profile URL (this also confirms the name: The Org is crowd-edited); Tuesday estimate band under-40: founder's call (set founder_ok_to_queue = Y to queue)</t>
        </is>
      </c>
      <c r="AC13" t="inlineStr">
        <is>
          <t>pantry or office lead (primary)</t>
        </is>
      </c>
      <c r="AD13" t="inlineStr">
        <is>
          <t>verified-page</t>
        </is>
      </c>
      <c r="AE13" t="inlineStr">
        <is>
          <t>The Org (crowd-edited org chart)</t>
        </is>
      </c>
      <c r="AF13" t="inlineStr">
        <is>
          <t>https://theorg.com/org/signal-ai/person/hannah-grow</t>
        </is>
      </c>
      <c r="AG13" t="inlineStr">
        <is>
          <t>2026-10-24</t>
        </is>
      </c>
      <c r="AH13" t="inlineStr">
        <is>
          <t>exact</t>
        </is>
      </c>
      <c r="AI13" t="inlineStr">
        <is>
          <t>440 Park Avenue South</t>
        </is>
      </c>
      <c r="AJ13" t="n">
        <v>14</v>
      </c>
      <c r="AK13" t="inlineStr">
        <is>
          <t>occupied</t>
        </is>
      </c>
      <c r="AL13" t="n">
        <v>8</v>
      </c>
      <c r="AM13" t="n">
        <v>151</v>
      </c>
      <c r="AN13" t="inlineStr">
        <is>
          <t>low</t>
        </is>
      </c>
      <c r="AO13" t="inlineStr">
        <is>
          <t>in-office-5</t>
        </is>
      </c>
      <c r="AP13" t="inlineStr">
        <is>
          <t>AO-C-171</t>
        </is>
      </c>
      <c r="AQ13" t="inlineStr">
        <is>
          <t>N</t>
        </is>
      </c>
      <c r="AR13" t="inlineStr"/>
      <c r="AS13" t="inlineStr"/>
      <c r="AT13" t="inlineStr">
        <is>
          <t>N</t>
        </is>
      </c>
      <c r="AU13" t="inlineStr">
        <is>
          <t>Tuesday estimate band under-40: founder's call</t>
        </is>
      </c>
      <c r="AV13" t="inlineStr"/>
      <c r="AW13" t="inlineStr">
        <is>
          <t>Y</t>
        </is>
      </c>
      <c r="AX13" t="inlineStr">
        <is>
          <t>pass</t>
        </is>
      </c>
      <c r="AY13" t="inlineStr">
        <is>
          <t>passes all hard gates</t>
        </is>
      </c>
      <c r="AZ13" t="inlineStr">
        <is>
          <t>company</t>
        </is>
      </c>
      <c r="BA13" t="inlineStr">
        <is>
          <t>B-C-171</t>
        </is>
      </c>
      <c r="BB13" t="inlineStr">
        <is>
          <t>https://www.signal-ai.com</t>
        </is>
      </c>
      <c r="BC13" t="inlineStr">
        <is>
          <t>software (AI risk and reputation intelligence)</t>
        </is>
      </c>
      <c r="BD13" t="n">
        <v>226</v>
      </c>
      <c r="BE13" t="inlineStr"/>
      <c r="BF13" t="inlineStr">
        <is>
          <t>151-250</t>
        </is>
      </c>
      <c r="BG13" t="inlineStr">
        <is>
          <t>whole-company</t>
        </is>
      </c>
      <c r="BH13" t="inlineStr">
        <is>
          <t>single-source</t>
        </is>
      </c>
      <c r="BI13" t="inlineStr">
        <is>
          <t>https://www.builtinnyc.com/company/signal-ai/offices</t>
        </is>
      </c>
      <c r="BJ13" t="inlineStr"/>
      <c r="BK13" t="inlineStr">
        <is>
          <t>le500</t>
        </is>
      </c>
      <c r="BL13" t="inlineStr">
        <is>
          <t>London</t>
        </is>
      </c>
      <c r="BM13" t="inlineStr">
        <is>
          <t>N</t>
        </is>
      </c>
      <c r="BN13" t="inlineStr">
        <is>
          <t>unknown</t>
        </is>
      </c>
      <c r="BO13" t="inlineStr">
        <is>
          <t>unknown</t>
        </is>
      </c>
      <c r="BP13" t="n">
        <v>10016</v>
      </c>
      <c r="BQ13" t="n">
        <v>40.744442</v>
      </c>
      <c r="BR13" t="n">
        <v>-73.983525</v>
      </c>
      <c r="BS13" t="inlineStr">
        <is>
          <t>Y</t>
        </is>
      </c>
      <c r="BT13" t="n">
        <v>0</v>
      </c>
      <c r="BU13" t="inlineStr">
        <is>
          <t>B-B-080</t>
        </is>
      </c>
      <c r="BV13" t="inlineStr">
        <is>
          <t>440 Park Avenue South (Samco Properties)</t>
        </is>
      </c>
      <c r="BW13" t="inlineStr">
        <is>
          <t>https://www.signal-ai.com/</t>
        </is>
      </c>
      <c r="BX13" t="inlineStr">
        <is>
          <t>2026-10-24</t>
        </is>
      </c>
      <c r="BY13" t="inlineStr">
        <is>
          <t>company-site</t>
        </is>
      </c>
      <c r="BZ13" t="inlineStr">
        <is>
          <t>https://commercialobserver.com/2022/12/signal-ai-doubles-offices-in-move-to-440-park-avenue-south/</t>
        </is>
      </c>
      <c r="CA13" t="inlineStr">
        <is>
          <t>2022-12-19</t>
        </is>
      </c>
      <c r="CB13" t="inlineStr"/>
      <c r="CC13" t="inlineStr">
        <is>
          <t>high</t>
        </is>
      </c>
      <c r="CD13" t="inlineStr"/>
      <c r="CE13" t="inlineStr">
        <is>
          <t>N</t>
        </is>
      </c>
      <c r="CF13" t="inlineStr"/>
      <c r="CG13" t="inlineStr"/>
      <c r="CH13" t="inlineStr">
        <is>
          <t>unknown</t>
        </is>
      </c>
      <c r="CI13" t="inlineStr"/>
      <c r="CJ13" t="inlineStr">
        <is>
          <t>unknown</t>
        </is>
      </c>
      <c r="CK13" t="inlineStr">
        <is>
          <t>N</t>
        </is>
      </c>
      <c r="CL13" t="inlineStr">
        <is>
          <t>Built In workplace type: OnSite Workplace; typical time on-site: 5 days a week</t>
        </is>
      </c>
      <c r="CM13" t="inlineStr">
        <is>
          <t>https://www.builtinnyc.com/company/signal-ai/offices</t>
        </is>
      </c>
      <c r="CN13" t="inlineStr">
        <is>
          <t>2026-10-24</t>
        </is>
      </c>
      <c r="CO13" t="n">
        <v>35</v>
      </c>
      <c r="CP13" t="inlineStr">
        <is>
          <t>may be under 30;30 to 39 is the founder's call</t>
        </is>
      </c>
      <c r="CQ13" t="inlineStr">
        <is>
          <t>226 (Built In) staff (whole-company count) x 5% to 100% of them in the New York office (HQ outside New York; share assumed) x 67% (Partnership for NYC, firms under 500) in on a weekday = 8 to 151, central 35; low confidence; estimate until intake replaces it.</t>
        </is>
      </c>
      <c r="CR13" t="inlineStr">
        <is>
          <t>estimate until intake replaces it</t>
        </is>
      </c>
      <c r="CS13" t="n">
        <v>0.45</v>
      </c>
      <c r="CT13" t="n">
        <v>66.3</v>
      </c>
      <c r="CU13" t="n">
        <v>11.3</v>
      </c>
      <c r="CV13" t="n">
        <v>15</v>
      </c>
      <c r="CW13" t="n">
        <v>15</v>
      </c>
      <c r="CX13" t="n">
        <v>15</v>
      </c>
      <c r="CY13" t="n">
        <v>10</v>
      </c>
      <c r="CZ13" t="n">
        <v>0</v>
      </c>
      <c r="DA13" t="inlineStr">
        <is>
          <t>Lauren</t>
        </is>
      </c>
      <c r="DB13" t="inlineStr">
        <is>
          <t>Stone</t>
        </is>
      </c>
      <c r="DC13" t="inlineStr">
        <is>
          <t>Head Of People</t>
        </is>
      </c>
      <c r="DD13" t="inlineStr"/>
      <c r="DE13" t="inlineStr"/>
      <c r="DF13" t="inlineStr">
        <is>
          <t>none</t>
        </is>
      </c>
      <c r="DG13" t="inlineStr">
        <is>
          <t>candidate</t>
        </is>
      </c>
      <c r="DH13" t="inlineStr"/>
      <c r="DI13" t="inlineStr"/>
      <c r="DJ13" t="inlineStr">
        <is>
          <t>11,140 sf</t>
        </is>
      </c>
      <c r="DK13" t="inlineStr">
        <is>
          <t>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is>
      </c>
      <c r="DL13" t="inlineStr"/>
      <c r="DM13" t="inlineStr">
        <is>
          <t>Hannah Grow</t>
        </is>
      </c>
      <c r="DN13" t="inlineStr">
        <is>
          <t>2026-02-09</t>
        </is>
      </c>
      <c r="DO13" t="inlineStr">
        <is>
          <t>ny_base=confirmed (The Org attaches the role to Signal AI's New York office; that record shows 154 W 14th St while B's company-site address is 440 Park Avenue South); title_fit=family (people operations). The Org updated 2026-02-09.</t>
        </is>
      </c>
      <c r="DP13" t="inlineStr"/>
      <c r="DQ13" t="inlineStr">
        <is>
          <t>pantry or office lead (backup)</t>
        </is>
      </c>
      <c r="DR13" t="inlineStr">
        <is>
          <t>Lauren Stone</t>
        </is>
      </c>
      <c r="DS13" t="inlineStr">
        <is>
          <t>verified-page</t>
        </is>
      </c>
      <c r="DT13" t="inlineStr">
        <is>
          <t>The Org (crowd-edited org chart)</t>
        </is>
      </c>
      <c r="DU13" t="inlineStr">
        <is>
          <t>https://theorg.com/org/signal-ai/person/lauren-stone</t>
        </is>
      </c>
      <c r="DV13" t="inlineStr">
        <is>
          <t>2025-05-01</t>
        </is>
      </c>
      <c r="DW13" t="inlineStr">
        <is>
          <t>ny_base=confirmed (same New York office record); title_fit=variant (people lead). The Org updated 2025-05-01.</t>
        </is>
      </c>
      <c r="DX13" t="inlineStr">
        <is>
          <t>Y</t>
        </is>
      </c>
      <c r="DY13" t="inlineStr">
        <is>
          <t>confirmed</t>
        </is>
      </c>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f>IF(ISNUMBER(MATCH(U13,{"queued","contacted","replied","call_booked","call_done","yes_in_principle","materials_sent"},0)),"Y","N")</f>
        <v/>
      </c>
      <c r="ES13">
        <f>IF(COUNTIFS($AP$2:$AP$1000,AP13,$ER$2:$ER$1000,"Y")+COUNTIFS($AP$2:$AP$1000,AP13,$T$2:$T$1000,"Y")&gt;0,"Y","N")</f>
        <v/>
      </c>
      <c r="ET13">
        <f>IF(AND(U13="new",T13="N",AT13="Y",AS13="",ES13="N"),"Y","N")</f>
        <v/>
      </c>
      <c r="EU13">
        <f>IF(ET13&lt;&gt;"Y","N",IF(COUNTIFS($AP$2:$AP$1000,AP13,$ET$2:$ET$1000,"Y",$J$2:$J$1000,"&gt;"&amp;J13)+COUNTIFS($AP$2:$AP$1000,AP13,$ET$2:$ET$1000,"Y",$J$2:$J$1000,J13,$EW$2:$EW$1000,"&lt;"&amp;EW13)=0,"Y","N"))</f>
        <v/>
      </c>
      <c r="EV13">
        <f>IF(Y13="","N",IF(Y13&lt;=10,"Y","N"))</f>
        <v/>
      </c>
      <c r="EW13">
        <f>ROW()-1</f>
        <v/>
      </c>
    </row>
    <row r="14">
      <c r="A14" t="inlineStr">
        <is>
          <t>AO-C-047</t>
        </is>
      </c>
      <c r="B14" t="inlineStr">
        <is>
          <t>The Vita Coco Company</t>
        </is>
      </c>
      <c r="C14" t="inlineStr"/>
      <c r="D14" t="inlineStr"/>
      <c r="E14" t="inlineStr"/>
      <c r="F14" t="inlineStr"/>
      <c r="G14" t="inlineStr"/>
      <c r="H14" t="inlineStr">
        <is>
          <t>none</t>
        </is>
      </c>
      <c r="I14" t="inlineStr">
        <is>
          <t>walk-in</t>
        </is>
      </c>
      <c r="J14" t="n">
        <v>66</v>
      </c>
      <c r="K14" t="inlineStr">
        <is>
          <t>Tuesday estimate 113 to 247 (low confidence), under 500 staff company-wide, no attendance signal, occupied at a high-confidence address; contact seen only in a search snippet.</t>
        </is>
      </c>
      <c r="L14" t="inlineStr">
        <is>
          <t>151-250</t>
        </is>
      </c>
      <c r="M14" t="inlineStr"/>
      <c r="N14" t="inlineStr"/>
      <c r="O14" t="inlineStr"/>
      <c r="P14" t="inlineStr"/>
      <c r="Q14" t="inlineStr"/>
      <c r="R14" t="inlineStr">
        <is>
          <t>N</t>
        </is>
      </c>
      <c r="S14" t="inlineStr">
        <is>
          <t>unknown</t>
        </is>
      </c>
      <c r="T14" t="inlineStr">
        <is>
          <t>N</t>
        </is>
      </c>
      <c r="U14" t="inlineStr">
        <is>
          <t>new</t>
        </is>
      </c>
      <c r="V14" t="inlineStr">
        <is>
          <t>https://www.sec.gov/Archives/edgar/data/1482981/000148298126000022/coco-20251231.htm</t>
        </is>
      </c>
      <c r="W14" t="inlineStr">
        <is>
          <t>2026-10-23</t>
        </is>
      </c>
      <c r="X14" t="inlineStr">
        <is>
          <t>office</t>
        </is>
      </c>
      <c r="Y14" t="inlineStr"/>
      <c r="Z14" t="n">
        <v>13</v>
      </c>
      <c r="AA14" t="inlineStr">
        <is>
          <t>Y</t>
        </is>
      </c>
      <c r="AB14" t="inlineStr">
        <is>
          <t>no named contact: walk in and ask for whoever runs the pantry, or use the company contact form</t>
        </is>
      </c>
      <c r="AC14" t="inlineStr">
        <is>
          <t>pantry or office lead (primary)</t>
        </is>
      </c>
      <c r="AD14" t="inlineStr">
        <is>
          <t>unverified</t>
        </is>
      </c>
      <c r="AE14" t="inlineStr">
        <is>
          <t>search snippet only (not opened)</t>
        </is>
      </c>
      <c r="AF14" t="inlineStr">
        <is>
          <t>https://www.datanyze.com/people/Andy-Ng/2966944280</t>
        </is>
      </c>
      <c r="AG14" t="inlineStr">
        <is>
          <t>2026-10-24</t>
        </is>
      </c>
      <c r="AH14" t="inlineStr">
        <is>
          <t>adjacent</t>
        </is>
      </c>
      <c r="AI14" t="inlineStr">
        <is>
          <t>111 Fifth Avenue</t>
        </is>
      </c>
      <c r="AJ14" t="n">
        <v>2</v>
      </c>
      <c r="AK14" t="inlineStr">
        <is>
          <t>occupied</t>
        </is>
      </c>
      <c r="AL14" t="n">
        <v>113</v>
      </c>
      <c r="AM14" t="n">
        <v>247</v>
      </c>
      <c r="AN14" t="inlineStr">
        <is>
          <t>low</t>
        </is>
      </c>
      <c r="AO14" t="inlineStr">
        <is>
          <t>unknown</t>
        </is>
      </c>
      <c r="AP14" t="inlineStr">
        <is>
          <t>AO-C-047</t>
        </is>
      </c>
      <c r="AQ14" t="inlineStr">
        <is>
          <t>N</t>
        </is>
      </c>
      <c r="AR14" t="inlineStr"/>
      <c r="AS14" t="inlineStr"/>
      <c r="AT14" t="inlineStr">
        <is>
          <t>N</t>
        </is>
      </c>
      <c r="AU14" t="inlineStr">
        <is>
          <t>no contact named on an opened page</t>
        </is>
      </c>
      <c r="AV14" t="inlineStr"/>
      <c r="AW14" t="inlineStr">
        <is>
          <t>N</t>
        </is>
      </c>
      <c r="AX14" t="inlineStr">
        <is>
          <t>pass</t>
        </is>
      </c>
      <c r="AY14" t="inlineStr">
        <is>
          <t>passes all hard gates</t>
        </is>
      </c>
      <c r="AZ14" t="inlineStr">
        <is>
          <t>company</t>
        </is>
      </c>
      <c r="BA14" t="inlineStr">
        <is>
          <t>B-C-047</t>
        </is>
      </c>
      <c r="BB14" t="inlineStr">
        <is>
          <t>https://thevitacococompany.com</t>
        </is>
      </c>
      <c r="BC14" t="inlineStr">
        <is>
          <t>beverage brand (coconut water)</t>
        </is>
      </c>
      <c r="BD14" t="n">
        <v>336</v>
      </c>
      <c r="BE14" t="n">
        <v>368</v>
      </c>
      <c r="BF14" t="inlineStr">
        <is>
          <t>251-500</t>
        </is>
      </c>
      <c r="BG14" t="inlineStr">
        <is>
          <t>whole-company</t>
        </is>
      </c>
      <c r="BH14" t="inlineStr">
        <is>
          <t>agree</t>
        </is>
      </c>
      <c r="BI14" t="inlineStr">
        <is>
          <t>https://www.sec.gov/Archives/edgar/data/1482981/000148298126000022/coco-20251231.htm</t>
        </is>
      </c>
      <c r="BJ14" t="inlineStr">
        <is>
          <t>https://www.reveliolabs.com/companies/vita-coco/employees</t>
        </is>
      </c>
      <c r="BK14" t="inlineStr">
        <is>
          <t>le500</t>
        </is>
      </c>
      <c r="BL14" t="inlineStr">
        <is>
          <t>New York</t>
        </is>
      </c>
      <c r="BM14" t="inlineStr">
        <is>
          <t>Y</t>
        </is>
      </c>
      <c r="BN14" t="inlineStr">
        <is>
          <t>unknown</t>
        </is>
      </c>
      <c r="BO14" t="inlineStr">
        <is>
          <t>unknown</t>
        </is>
      </c>
      <c r="BP14" t="n">
        <v>10003</v>
      </c>
      <c r="BQ14" t="n">
        <v>40.73865</v>
      </c>
      <c r="BR14" t="n">
        <v>-73.991471</v>
      </c>
      <c r="BS14" t="inlineStr">
        <is>
          <t>Y</t>
        </is>
      </c>
      <c r="BT14" t="n">
        <v>0</v>
      </c>
      <c r="BU14" t="inlineStr">
        <is>
          <t>B-B-018</t>
        </is>
      </c>
      <c r="BV14" t="inlineStr">
        <is>
          <t>111 Fifth Avenue (Winter Organization)</t>
        </is>
      </c>
      <c r="BW14" t="inlineStr">
        <is>
          <t>https://www.sec.gov/Archives/edgar/data/1482981/000148298126000022/coco-20251231.htm</t>
        </is>
      </c>
      <c r="BX14" t="inlineStr">
        <is>
          <t>2026-02-18</t>
        </is>
      </c>
      <c r="BY14" t="inlineStr">
        <is>
          <t>other</t>
        </is>
      </c>
      <c r="BZ14" t="inlineStr">
        <is>
          <t>https://commercialobserver.com/2024/09/vita-coco-111-fifth-avenue/</t>
        </is>
      </c>
      <c r="CA14" t="inlineStr">
        <is>
          <t>2024-09-10</t>
        </is>
      </c>
      <c r="CB14" t="inlineStr">
        <is>
          <t>cites a sec.gov filing: agents do not open it (EDGAR demands a contact email); the founder may open it in a browser</t>
        </is>
      </c>
      <c r="CC14" t="inlineStr">
        <is>
          <t>high</t>
        </is>
      </c>
      <c r="CD14" t="inlineStr"/>
      <c r="CE14" t="inlineStr">
        <is>
          <t>N</t>
        </is>
      </c>
      <c r="CF14" t="inlineStr"/>
      <c r="CG14" t="inlineStr"/>
      <c r="CH14" t="inlineStr">
        <is>
          <t>unknown</t>
        </is>
      </c>
      <c r="CI14" t="inlineStr"/>
      <c r="CJ14" t="inlineStr">
        <is>
          <t>unknown</t>
        </is>
      </c>
      <c r="CK14" t="inlineStr">
        <is>
          <t>N</t>
        </is>
      </c>
      <c r="CL14" t="inlineStr">
        <is>
          <t>unknown</t>
        </is>
      </c>
      <c r="CM14" t="inlineStr"/>
      <c r="CN14" t="inlineStr"/>
      <c r="CO14" t="n">
        <v>167</v>
      </c>
      <c r="CP14" t="inlineStr"/>
      <c r="CQ14" t="inlineStr">
        <is>
          <t>336 (sec.gov) and 368 (Revelio Labs) staff (whole-company count) x 50% to 100% of them in the New York office (HQ New York; share assumed) x 67% (Partnership for NYC, firms under 500) in on a weekday = 113 to 247, central 167; low confidence; estimate until intake replaces it.</t>
        </is>
      </c>
      <c r="CR14" t="inlineStr">
        <is>
          <t>estimate until intake replaces it</t>
        </is>
      </c>
      <c r="CS14" t="n">
        <v>1</v>
      </c>
      <c r="CT14" t="n">
        <v>66</v>
      </c>
      <c r="CU14" t="n">
        <v>25</v>
      </c>
      <c r="CV14" t="n">
        <v>15</v>
      </c>
      <c r="CW14" t="n">
        <v>6</v>
      </c>
      <c r="CX14" t="n">
        <v>15</v>
      </c>
      <c r="CY14" t="n">
        <v>5</v>
      </c>
      <c r="CZ14" t="n">
        <v>0</v>
      </c>
      <c r="DA14" t="inlineStr"/>
      <c r="DB14" t="inlineStr"/>
      <c r="DC14" t="inlineStr"/>
      <c r="DD14" t="inlineStr"/>
      <c r="DE14" t="inlineStr"/>
      <c r="DF14" t="inlineStr">
        <is>
          <t>none</t>
        </is>
      </c>
      <c r="DG14" t="inlineStr">
        <is>
          <t>candidate</t>
        </is>
      </c>
      <c r="DH14" t="inlineStr"/>
      <c r="DI14" t="inlineStr"/>
      <c r="DJ14" t="inlineStr">
        <is>
          <t>22,530 sf</t>
        </is>
      </c>
      <c r="DK14" t="inlineStr">
        <is>
          <t>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is>
      </c>
      <c r="DL14" t="inlineStr"/>
      <c r="DM14" t="inlineStr">
        <is>
          <t>Andy Ng</t>
        </is>
      </c>
      <c r="DN14" t="inlineStr"/>
      <c r="DO14" t="inlineStr">
        <is>
          <t>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is>
      </c>
      <c r="DP14" t="inlineStr"/>
      <c r="DQ14" t="inlineStr"/>
      <c r="DR14" t="inlineStr"/>
      <c r="DS14" t="inlineStr">
        <is>
          <t>none</t>
        </is>
      </c>
      <c r="DT14" t="inlineStr"/>
      <c r="DU14" t="inlineStr"/>
      <c r="DV14" t="inlineStr"/>
      <c r="DW14" t="inlineStr"/>
      <c r="DX14" t="inlineStr">
        <is>
          <t>Y</t>
        </is>
      </c>
      <c r="DY14" t="inlineStr">
        <is>
          <t>unconfirmed</t>
        </is>
      </c>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f>IF(ISNUMBER(MATCH(U14,{"queued","contacted","replied","call_booked","call_done","yes_in_principle","materials_sent"},0)),"Y","N")</f>
        <v/>
      </c>
      <c r="ES14">
        <f>IF(COUNTIFS($AP$2:$AP$1000,AP14,$ER$2:$ER$1000,"Y")+COUNTIFS($AP$2:$AP$1000,AP14,$T$2:$T$1000,"Y")&gt;0,"Y","N")</f>
        <v/>
      </c>
      <c r="ET14">
        <f>IF(AND(U14="new",T14="N",AT14="Y",AS14="",ES14="N"),"Y","N")</f>
        <v/>
      </c>
      <c r="EU14">
        <f>IF(ET14&lt;&gt;"Y","N",IF(COUNTIFS($AP$2:$AP$1000,AP14,$ET$2:$ET$1000,"Y",$J$2:$J$1000,"&gt;"&amp;J14)+COUNTIFS($AP$2:$AP$1000,AP14,$ET$2:$ET$1000,"Y",$J$2:$J$1000,J14,$EW$2:$EW$1000,"&lt;"&amp;EW14)=0,"Y","N"))</f>
        <v/>
      </c>
      <c r="EV14">
        <f>IF(Y14="","N",IF(Y14&lt;=10,"Y","N"))</f>
        <v/>
      </c>
      <c r="EW14">
        <f>ROW()-1</f>
        <v/>
      </c>
    </row>
    <row r="15">
      <c r="A15" t="inlineStr">
        <is>
          <t>AO-C-050</t>
        </is>
      </c>
      <c r="B15" t="inlineStr">
        <is>
          <t>Global Trading Systems (GTS)</t>
        </is>
      </c>
      <c r="C15" t="inlineStr"/>
      <c r="D15" t="inlineStr"/>
      <c r="E15" t="inlineStr"/>
      <c r="F15" t="inlineStr"/>
      <c r="G15" t="inlineStr"/>
      <c r="H15" t="inlineStr">
        <is>
          <t>none</t>
        </is>
      </c>
      <c r="I15" t="inlineStr">
        <is>
          <t>walk-in</t>
        </is>
      </c>
      <c r="J15" t="n">
        <v>65.90000000000001</v>
      </c>
      <c r="K15" t="inlineStr">
        <is>
          <t>Tuesday estimate 137 to 281 (low confidence), under 500 staff company-wide, on-site 5 days a week per its profile, occupied at a high-confidence address; no contact found in public sources (walk-in).</t>
        </is>
      </c>
      <c r="L15" t="inlineStr">
        <is>
          <t>151-250</t>
        </is>
      </c>
      <c r="M15" t="inlineStr"/>
      <c r="N15" t="inlineStr"/>
      <c r="O15" t="inlineStr"/>
      <c r="P15" t="inlineStr"/>
      <c r="Q15" t="inlineStr"/>
      <c r="R15" t="inlineStr">
        <is>
          <t>N</t>
        </is>
      </c>
      <c r="S15" t="inlineStr">
        <is>
          <t>unknown</t>
        </is>
      </c>
      <c r="T15" t="inlineStr">
        <is>
          <t>N</t>
        </is>
      </c>
      <c r="U15" t="inlineStr">
        <is>
          <t>new</t>
        </is>
      </c>
      <c r="V15" t="inlineStr">
        <is>
          <t>https://commercialobserver.com/2024/11/trading-firm-gts-lease-625-avenue-of-the-americas/</t>
        </is>
      </c>
      <c r="W15" t="inlineStr">
        <is>
          <t>2026-10-23</t>
        </is>
      </c>
      <c r="X15" t="inlineStr">
        <is>
          <t>office</t>
        </is>
      </c>
      <c r="Y15" t="inlineStr"/>
      <c r="Z15" t="n">
        <v>14</v>
      </c>
      <c r="AA15" t="inlineStr">
        <is>
          <t>Y</t>
        </is>
      </c>
      <c r="AB15" t="inlineStr">
        <is>
          <t>no named contact: walk in and ask for whoever runs the pantry, or use the company contact form</t>
        </is>
      </c>
      <c r="AC15" t="inlineStr"/>
      <c r="AD15" t="inlineStr">
        <is>
          <t>none</t>
        </is>
      </c>
      <c r="AE15" t="inlineStr"/>
      <c r="AF15" t="inlineStr"/>
      <c r="AG15" t="inlineStr"/>
      <c r="AH15" t="inlineStr">
        <is>
          <t>none</t>
        </is>
      </c>
      <c r="AI15" t="inlineStr">
        <is>
          <t>625 Avenue of the Americas</t>
        </is>
      </c>
      <c r="AJ15" t="n">
        <v>3</v>
      </c>
      <c r="AK15" t="inlineStr">
        <is>
          <t>occupied</t>
        </is>
      </c>
      <c r="AL15" t="n">
        <v>137</v>
      </c>
      <c r="AM15" t="n">
        <v>281</v>
      </c>
      <c r="AN15" t="inlineStr">
        <is>
          <t>low</t>
        </is>
      </c>
      <c r="AO15" t="inlineStr">
        <is>
          <t>in-office-5</t>
        </is>
      </c>
      <c r="AP15" t="inlineStr">
        <is>
          <t>AO-C-050</t>
        </is>
      </c>
      <c r="AQ15" t="inlineStr">
        <is>
          <t>N</t>
        </is>
      </c>
      <c r="AR15" t="inlineStr"/>
      <c r="AS15" t="inlineStr"/>
      <c r="AT15" t="inlineStr">
        <is>
          <t>N</t>
        </is>
      </c>
      <c r="AU15" t="inlineStr">
        <is>
          <t>no contact named on an opened page</t>
        </is>
      </c>
      <c r="AV15" t="inlineStr"/>
      <c r="AW15" t="inlineStr">
        <is>
          <t>N</t>
        </is>
      </c>
      <c r="AX15" t="inlineStr">
        <is>
          <t>pass</t>
        </is>
      </c>
      <c r="AY15" t="inlineStr">
        <is>
          <t>passes all hard gates</t>
        </is>
      </c>
      <c r="AZ15" t="inlineStr">
        <is>
          <t>company</t>
        </is>
      </c>
      <c r="BA15" t="inlineStr">
        <is>
          <t>B-C-050</t>
        </is>
      </c>
      <c r="BB15" t="inlineStr">
        <is>
          <t>https://gtsx.com</t>
        </is>
      </c>
      <c r="BC15" t="inlineStr">
        <is>
          <t>electronic trading / market making</t>
        </is>
      </c>
      <c r="BD15" t="n">
        <v>420</v>
      </c>
      <c r="BE15" t="n">
        <v>410</v>
      </c>
      <c r="BF15" t="inlineStr">
        <is>
          <t>251-500</t>
        </is>
      </c>
      <c r="BG15" t="inlineStr">
        <is>
          <t>whole-company</t>
        </is>
      </c>
      <c r="BH15" t="inlineStr">
        <is>
          <t>agree</t>
        </is>
      </c>
      <c r="BI15" t="inlineStr">
        <is>
          <t>https://www.builtinnyc.com/company/gts</t>
        </is>
      </c>
      <c r="BJ15" t="inlineStr">
        <is>
          <t>https://www.reveliolabs.com/companies/global-trading-systems/employees</t>
        </is>
      </c>
      <c r="BK15" t="inlineStr">
        <is>
          <t>le500</t>
        </is>
      </c>
      <c r="BL15" t="inlineStr">
        <is>
          <t>New York</t>
        </is>
      </c>
      <c r="BM15" t="inlineStr">
        <is>
          <t>Y</t>
        </is>
      </c>
      <c r="BN15" t="inlineStr">
        <is>
          <t>unknown</t>
        </is>
      </c>
      <c r="BO15" t="inlineStr">
        <is>
          <t>unknown</t>
        </is>
      </c>
      <c r="BP15" t="n">
        <v>10011</v>
      </c>
      <c r="BQ15" t="n">
        <v>40.74024</v>
      </c>
      <c r="BR15" t="n">
        <v>-73.994996</v>
      </c>
      <c r="BS15" t="inlineStr">
        <is>
          <t>Y</t>
        </is>
      </c>
      <c r="BT15" t="n">
        <v>0</v>
      </c>
      <c r="BU15" t="inlineStr">
        <is>
          <t>B-B-020</t>
        </is>
      </c>
      <c r="BV15" t="inlineStr">
        <is>
          <t>625 Avenue of the Americas (Taub family)</t>
        </is>
      </c>
      <c r="BW15" t="inlineStr">
        <is>
          <t>https://commercialobserver.com/2024/11/trading-firm-gts-lease-625-avenue-of-the-americas/</t>
        </is>
      </c>
      <c r="BX15" t="inlineStr">
        <is>
          <t>2024-11-21</t>
        </is>
      </c>
      <c r="BY15" t="inlineStr">
        <is>
          <t>leasing-press</t>
        </is>
      </c>
      <c r="BZ15" t="inlineStr">
        <is>
          <t>https://gtsx.com/locations/</t>
        </is>
      </c>
      <c r="CA15" t="inlineStr">
        <is>
          <t>2026-10-24</t>
        </is>
      </c>
      <c r="CB15" t="inlineStr"/>
      <c r="CC15" t="inlineStr">
        <is>
          <t>high</t>
        </is>
      </c>
      <c r="CD15" t="inlineStr"/>
      <c r="CE15" t="inlineStr">
        <is>
          <t>N</t>
        </is>
      </c>
      <c r="CF15" t="inlineStr"/>
      <c r="CG15" t="inlineStr"/>
      <c r="CH15" t="inlineStr">
        <is>
          <t>unknown</t>
        </is>
      </c>
      <c r="CI15" t="inlineStr"/>
      <c r="CJ15" t="inlineStr">
        <is>
          <t>unknown</t>
        </is>
      </c>
      <c r="CK15" t="inlineStr">
        <is>
          <t>N</t>
        </is>
      </c>
      <c r="CL15" t="inlineStr">
        <is>
          <t>Built In workplace type: OnSite Workplace; typical time on-site: 5 days a week</t>
        </is>
      </c>
      <c r="CM15" t="inlineStr">
        <is>
          <t>https://www.builtinnyc.com/company/gts/offices</t>
        </is>
      </c>
      <c r="CN15" t="inlineStr">
        <is>
          <t>2026-10-24</t>
        </is>
      </c>
      <c r="CO15" t="n">
        <v>196</v>
      </c>
      <c r="CP15" t="inlineStr">
        <is>
          <t>may exceed 250</t>
        </is>
      </c>
      <c r="CQ15" t="inlineStr">
        <is>
          <t>420 (Built In) and 410 (Revelio Labs) staff (whole-company count) x 50% to 100% of them in the New York office (HQ New York; share assumed) x 67% (Partnership for NYC, firms under 500) in on a weekday = 137 to 281, central 196; low confidence; estimate until intake replaces it.</t>
        </is>
      </c>
      <c r="CR15" t="inlineStr">
        <is>
          <t>estimate until intake replaces it</t>
        </is>
      </c>
      <c r="CS15" t="n">
        <v>0.84</v>
      </c>
      <c r="CT15" t="n">
        <v>65.90000000000001</v>
      </c>
      <c r="CU15" t="n">
        <v>20.9</v>
      </c>
      <c r="CV15" t="n">
        <v>15</v>
      </c>
      <c r="CW15" t="n">
        <v>15</v>
      </c>
      <c r="CX15" t="n">
        <v>15</v>
      </c>
      <c r="CY15" t="n">
        <v>0</v>
      </c>
      <c r="CZ15" t="n">
        <v>0</v>
      </c>
      <c r="DA15" t="inlineStr"/>
      <c r="DB15" t="inlineStr"/>
      <c r="DC15" t="inlineStr"/>
      <c r="DD15" t="inlineStr"/>
      <c r="DE15" t="inlineStr"/>
      <c r="DF15" t="inlineStr">
        <is>
          <t>none</t>
        </is>
      </c>
      <c r="DG15" t="inlineStr">
        <is>
          <t>candidate</t>
        </is>
      </c>
      <c r="DH15" t="inlineStr"/>
      <c r="DI15" t="inlineStr"/>
      <c r="DJ15" t="inlineStr">
        <is>
          <t>35,156 sf</t>
        </is>
      </c>
      <c r="DK15" t="inlineStr">
        <is>
          <t>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DL15" t="inlineStr"/>
      <c r="DM15" t="inlineStr"/>
      <c r="DN15" t="inlineStr"/>
      <c r="DO15" t="inlineStr"/>
      <c r="DP15" t="inlineStr"/>
      <c r="DQ15" t="inlineStr"/>
      <c r="DR15" t="inlineStr"/>
      <c r="DS15" t="inlineStr">
        <is>
          <t>none</t>
        </is>
      </c>
      <c r="DT15" t="inlineStr"/>
      <c r="DU15" t="inlineStr"/>
      <c r="DV15" t="inlineStr"/>
      <c r="DW15" t="inlineStr"/>
      <c r="DX15" t="inlineStr">
        <is>
          <t>Y</t>
        </is>
      </c>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f>IF(ISNUMBER(MATCH(U15,{"queued","contacted","replied","call_booked","call_done","yes_in_principle","materials_sent"},0)),"Y","N")</f>
        <v/>
      </c>
      <c r="ES15">
        <f>IF(COUNTIFS($AP$2:$AP$1000,AP15,$ER$2:$ER$1000,"Y")+COUNTIFS($AP$2:$AP$1000,AP15,$T$2:$T$1000,"Y")&gt;0,"Y","N")</f>
        <v/>
      </c>
      <c r="ET15">
        <f>IF(AND(U15="new",T15="N",AT15="Y",AS15="",ES15="N"),"Y","N")</f>
        <v/>
      </c>
      <c r="EU15">
        <f>IF(ET15&lt;&gt;"Y","N",IF(COUNTIFS($AP$2:$AP$1000,AP15,$ET$2:$ET$1000,"Y",$J$2:$J$1000,"&gt;"&amp;J15)+COUNTIFS($AP$2:$AP$1000,AP15,$ET$2:$ET$1000,"Y",$J$2:$J$1000,J15,$EW$2:$EW$1000,"&lt;"&amp;EW15)=0,"Y","N"))</f>
        <v/>
      </c>
      <c r="EV15">
        <f>IF(Y15="","N",IF(Y15&lt;=10,"Y","N"))</f>
        <v/>
      </c>
      <c r="EW15">
        <f>ROW()-1</f>
        <v/>
      </c>
    </row>
    <row r="16">
      <c r="A16" t="inlineStr">
        <is>
          <t>AO-C-009</t>
        </is>
      </c>
      <c r="B16" t="inlineStr">
        <is>
          <t>Alpine Investors</t>
        </is>
      </c>
      <c r="C16" t="inlineStr">
        <is>
          <t>Jake</t>
        </is>
      </c>
      <c r="D16" t="inlineStr">
        <is>
          <t>Jones</t>
        </is>
      </c>
      <c r="E16" t="inlineStr">
        <is>
          <t>Office Coordinator, New York office</t>
        </is>
      </c>
      <c r="F16" t="inlineStr"/>
      <c r="G16" t="inlineStr"/>
      <c r="H16" t="inlineStr">
        <is>
          <t>none</t>
        </is>
      </c>
      <c r="I16" t="inlineStr">
        <is>
          <t>linkedin</t>
        </is>
      </c>
      <c r="J16" t="n">
        <v>65.3</v>
      </c>
      <c r="K16" t="inlineStr">
        <is>
          <t>Tuesday estimate 7 to 136 (low confidence), under 500 staff company-wide, on-site 5 days a week per its profile, occupied at a high-confidence address; contact in the target titles named (Office Coordinator, New York office).</t>
        </is>
      </c>
      <c r="L16" t="inlineStr">
        <is>
          <t>under-40</t>
        </is>
      </c>
      <c r="M16" t="inlineStr"/>
      <c r="N16" t="inlineStr"/>
      <c r="O16" t="inlineStr"/>
      <c r="P16" t="inlineStr"/>
      <c r="Q16" t="inlineStr"/>
      <c r="R16" t="inlineStr">
        <is>
          <t>N</t>
        </is>
      </c>
      <c r="S16" t="inlineStr">
        <is>
          <t>unknown</t>
        </is>
      </c>
      <c r="T16" t="inlineStr">
        <is>
          <t>N</t>
        </is>
      </c>
      <c r="U16" t="inlineStr">
        <is>
          <t>new</t>
        </is>
      </c>
      <c r="V16" t="inlineStr">
        <is>
          <t>https://www.alpineinvestors.com/contact/</t>
        </is>
      </c>
      <c r="W16" t="inlineStr">
        <is>
          <t>2026-10-23</t>
        </is>
      </c>
      <c r="X16" t="inlineStr">
        <is>
          <t>office</t>
        </is>
      </c>
      <c r="Y16" t="inlineStr"/>
      <c r="Z16" t="n">
        <v>15</v>
      </c>
      <c r="AA16" t="inlineStr">
        <is>
          <t>Y</t>
        </is>
      </c>
      <c r="AB16" t="inlineStr">
        <is>
          <t>find Jake Jones at Alpine Investors on LinkedIn and paste the profile URL; the source is dated 2025-09-15: check Jake still holds the role; Tuesday estimate band under-40: founder's call (set founder_ok_to_queue = Y to queue)</t>
        </is>
      </c>
      <c r="AC16" t="inlineStr">
        <is>
          <t>pantry or office lead (primary)</t>
        </is>
      </c>
      <c r="AD16" t="inlineStr">
        <is>
          <t>verified-page</t>
        </is>
      </c>
      <c r="AE16" t="inlineStr">
        <is>
          <t>employer's own site</t>
        </is>
      </c>
      <c r="AF16" t="inlineStr">
        <is>
          <t>https://alpineinvestors.com/group/alpine-management/page/4/</t>
        </is>
      </c>
      <c r="AG16" t="inlineStr">
        <is>
          <t>2026-10-24</t>
        </is>
      </c>
      <c r="AH16" t="inlineStr">
        <is>
          <t>exact</t>
        </is>
      </c>
      <c r="AI16" t="inlineStr">
        <is>
          <t>124 East 14th Street</t>
        </is>
      </c>
      <c r="AJ16" t="n">
        <v>12</v>
      </c>
      <c r="AK16" t="inlineStr">
        <is>
          <t>occupied</t>
        </is>
      </c>
      <c r="AL16" t="n">
        <v>7</v>
      </c>
      <c r="AM16" t="n">
        <v>136</v>
      </c>
      <c r="AN16" t="inlineStr">
        <is>
          <t>low</t>
        </is>
      </c>
      <c r="AO16" t="inlineStr">
        <is>
          <t>in-office-5</t>
        </is>
      </c>
      <c r="AP16" t="inlineStr">
        <is>
          <t>AO-C-009</t>
        </is>
      </c>
      <c r="AQ16" t="inlineStr">
        <is>
          <t>N</t>
        </is>
      </c>
      <c r="AR16" t="inlineStr"/>
      <c r="AS16" t="inlineStr"/>
      <c r="AT16" t="inlineStr">
        <is>
          <t>N</t>
        </is>
      </c>
      <c r="AU16" t="inlineStr">
        <is>
          <t>Tuesday estimate band under-40: founder's call</t>
        </is>
      </c>
      <c r="AV16" t="inlineStr"/>
      <c r="AW16" t="inlineStr">
        <is>
          <t>Y</t>
        </is>
      </c>
      <c r="AX16" t="inlineStr">
        <is>
          <t>pass</t>
        </is>
      </c>
      <c r="AY16" t="inlineStr">
        <is>
          <t>passes all hard gates</t>
        </is>
      </c>
      <c r="AZ16" t="inlineStr">
        <is>
          <t>company</t>
        </is>
      </c>
      <c r="BA16" t="inlineStr">
        <is>
          <t>B-C-009</t>
        </is>
      </c>
      <c r="BB16" t="inlineStr">
        <is>
          <t>https://www.alpineinvestors.com</t>
        </is>
      </c>
      <c r="BC16" t="inlineStr">
        <is>
          <t>private equity</t>
        </is>
      </c>
      <c r="BD16" t="n">
        <v>203</v>
      </c>
      <c r="BE16" t="inlineStr"/>
      <c r="BF16" t="inlineStr">
        <is>
          <t>151-250</t>
        </is>
      </c>
      <c r="BG16" t="inlineStr">
        <is>
          <t>whole-company</t>
        </is>
      </c>
      <c r="BH16" t="inlineStr">
        <is>
          <t>single-source</t>
        </is>
      </c>
      <c r="BI16" t="inlineStr">
        <is>
          <t>https://www.builtinnyc.com/company/alpine-investors</t>
        </is>
      </c>
      <c r="BJ16" t="inlineStr"/>
      <c r="BK16" t="inlineStr">
        <is>
          <t>le500</t>
        </is>
      </c>
      <c r="BL16" t="inlineStr">
        <is>
          <t>San Francisco</t>
        </is>
      </c>
      <c r="BM16" t="inlineStr">
        <is>
          <t>N</t>
        </is>
      </c>
      <c r="BN16" t="inlineStr">
        <is>
          <t>unknown</t>
        </is>
      </c>
      <c r="BO16" t="inlineStr">
        <is>
          <t>unknown</t>
        </is>
      </c>
      <c r="BP16" t="n">
        <v>10003</v>
      </c>
      <c r="BQ16" t="n">
        <v>40.733674</v>
      </c>
      <c r="BR16" t="n">
        <v>-73.988766</v>
      </c>
      <c r="BS16" t="inlineStr">
        <is>
          <t>Y</t>
        </is>
      </c>
      <c r="BT16" t="n">
        <v>0</v>
      </c>
      <c r="BU16" t="inlineStr">
        <is>
          <t>B-B-002</t>
        </is>
      </c>
      <c r="BV16" t="inlineStr">
        <is>
          <t>Zero Irving</t>
        </is>
      </c>
      <c r="BW16" t="inlineStr">
        <is>
          <t>https://www.alpineinvestors.com/contact/</t>
        </is>
      </c>
      <c r="BX16" t="inlineStr">
        <is>
          <t>2026-10-24</t>
        </is>
      </c>
      <c r="BY16" t="inlineStr">
        <is>
          <t>company-site</t>
        </is>
      </c>
      <c r="BZ16" t="inlineStr">
        <is>
          <t>https://commercialobserver.com/2022/11/alpine-investors-lease-zero-irving/</t>
        </is>
      </c>
      <c r="CA16" t="inlineStr">
        <is>
          <t>2022-11-17</t>
        </is>
      </c>
      <c r="CB16" t="inlineStr"/>
      <c r="CC16" t="inlineStr">
        <is>
          <t>high</t>
        </is>
      </c>
      <c r="CD16" t="inlineStr"/>
      <c r="CE16" t="inlineStr">
        <is>
          <t>N</t>
        </is>
      </c>
      <c r="CF16" t="inlineStr"/>
      <c r="CG16" t="inlineStr"/>
      <c r="CH16" t="inlineStr">
        <is>
          <t>unknown</t>
        </is>
      </c>
      <c r="CI16" t="inlineStr"/>
      <c r="CJ16" t="inlineStr">
        <is>
          <t>unknown</t>
        </is>
      </c>
      <c r="CK16" t="inlineStr">
        <is>
          <t>N</t>
        </is>
      </c>
      <c r="CL16" t="inlineStr">
        <is>
          <t>Built In workplace type: OnSite Workplace; typical time on-site: 5 days a week</t>
        </is>
      </c>
      <c r="CM16" t="inlineStr">
        <is>
          <t>https://www.builtinnyc.com/company/alpine-investors/offices</t>
        </is>
      </c>
      <c r="CN16" t="inlineStr">
        <is>
          <t>2026-10-24</t>
        </is>
      </c>
      <c r="CO16" t="n">
        <v>31</v>
      </c>
      <c r="CP16" t="inlineStr">
        <is>
          <t>may be under 30;30 to 39 is the founder's call</t>
        </is>
      </c>
      <c r="CQ16" t="inlineStr">
        <is>
          <t>203 (Built In) staff (whole-company count) x 5% to 100% of them in the New York office (HQ outside New York; share assumed) x 67% (Partnership for NYC, firms under 500) in on a weekday = 7 to 136, central 31; low confidence; estimate until intake replaces it.</t>
        </is>
      </c>
      <c r="CR16" t="inlineStr">
        <is>
          <t>estimate until intake replaces it</t>
        </is>
      </c>
      <c r="CS16" t="n">
        <v>0.41</v>
      </c>
      <c r="CT16" t="n">
        <v>65.3</v>
      </c>
      <c r="CU16" t="n">
        <v>10.3</v>
      </c>
      <c r="CV16" t="n">
        <v>15</v>
      </c>
      <c r="CW16" t="n">
        <v>15</v>
      </c>
      <c r="CX16" t="n">
        <v>15</v>
      </c>
      <c r="CY16" t="n">
        <v>10</v>
      </c>
      <c r="CZ16" t="n">
        <v>0</v>
      </c>
      <c r="DA16" t="inlineStr">
        <is>
          <t>Katira</t>
        </is>
      </c>
      <c r="DB16" t="inlineStr">
        <is>
          <t>Getzen</t>
        </is>
      </c>
      <c r="DC16" t="inlineStr">
        <is>
          <t>Office Coordinator, New York City office</t>
        </is>
      </c>
      <c r="DD16" t="inlineStr"/>
      <c r="DE16" t="inlineStr"/>
      <c r="DF16" t="inlineStr">
        <is>
          <t>none</t>
        </is>
      </c>
      <c r="DG16" t="inlineStr">
        <is>
          <t>candidate</t>
        </is>
      </c>
      <c r="DH16" t="inlineStr"/>
      <c r="DI16" t="inlineStr"/>
      <c r="DJ16" t="inlineStr">
        <is>
          <t>22,000 sf</t>
        </is>
      </c>
      <c r="DK16" t="inlineStr">
        <is>
          <t>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is>
      </c>
      <c r="DL16" t="inlineStr"/>
      <c r="DM16" t="inlineStr">
        <is>
          <t>Jake Jones</t>
        </is>
      </c>
      <c r="DN16" t="inlineStr">
        <is>
          <t>2025-09-15</t>
        </is>
      </c>
      <c r="DO16" t="inlineStr">
        <is>
          <t>title_match=target; Alpine team page bio: "Jake is an Office Coordinator at Alpine’s New York office"; bio posted 2025-09-15; also listed under Finance &amp; Operations on alpineinvestors.com/team/. LinkedIn profile not searched.</t>
        </is>
      </c>
      <c r="DP16" t="inlineStr"/>
      <c r="DQ16" t="inlineStr">
        <is>
          <t>pantry or office lead (backup)</t>
        </is>
      </c>
      <c r="DR16" t="inlineStr">
        <is>
          <t>Katira Getzen</t>
        </is>
      </c>
      <c r="DS16" t="inlineStr">
        <is>
          <t>verified-page</t>
        </is>
      </c>
      <c r="DT16" t="inlineStr">
        <is>
          <t>employer's own site</t>
        </is>
      </c>
      <c r="DU16" t="inlineStr">
        <is>
          <t>https://alpineinvestors.com/group/alpine-management/page/4/</t>
        </is>
      </c>
      <c r="DV16" t="inlineStr">
        <is>
          <t>2025-03-11</t>
        </is>
      </c>
      <c r="DW16" t="inlineStr">
        <is>
          <t>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is>
      </c>
      <c r="DX16" t="inlineStr">
        <is>
          <t>Y</t>
        </is>
      </c>
      <c r="DY16" t="inlineStr">
        <is>
          <t>confirmed</t>
        </is>
      </c>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f>IF(ISNUMBER(MATCH(U16,{"queued","contacted","replied","call_booked","call_done","yes_in_principle","materials_sent"},0)),"Y","N")</f>
        <v/>
      </c>
      <c r="ES16">
        <f>IF(COUNTIFS($AP$2:$AP$1000,AP16,$ER$2:$ER$1000,"Y")+COUNTIFS($AP$2:$AP$1000,AP16,$T$2:$T$1000,"Y")&gt;0,"Y","N")</f>
        <v/>
      </c>
      <c r="ET16">
        <f>IF(AND(U16="new",T16="N",AT16="Y",AS16="",ES16="N"),"Y","N")</f>
        <v/>
      </c>
      <c r="EU16">
        <f>IF(ET16&lt;&gt;"Y","N",IF(COUNTIFS($AP$2:$AP$1000,AP16,$ET$2:$ET$1000,"Y",$J$2:$J$1000,"&gt;"&amp;J16)+COUNTIFS($AP$2:$AP$1000,AP16,$ET$2:$ET$1000,"Y",$J$2:$J$1000,J16,$EW$2:$EW$1000,"&lt;"&amp;EW16)=0,"Y","N"))</f>
        <v/>
      </c>
      <c r="EV16">
        <f>IF(Y16="","N",IF(Y16&lt;=10,"Y","N"))</f>
        <v/>
      </c>
      <c r="EW16">
        <f>ROW()-1</f>
        <v/>
      </c>
    </row>
    <row r="17">
      <c r="A17" t="inlineStr">
        <is>
          <t>AO-C-048</t>
        </is>
      </c>
      <c r="B17" t="inlineStr">
        <is>
          <t>Aterian</t>
        </is>
      </c>
      <c r="C17" t="inlineStr"/>
      <c r="D17" t="inlineStr"/>
      <c r="E17" t="inlineStr"/>
      <c r="F17" t="inlineStr"/>
      <c r="G17" t="inlineStr"/>
      <c r="H17" t="inlineStr">
        <is>
          <t>none</t>
        </is>
      </c>
      <c r="I17" t="inlineStr">
        <is>
          <t>walk-in</t>
        </is>
      </c>
      <c r="J17" t="n">
        <v>63.4</v>
      </c>
      <c r="K17" t="inlineStr">
        <is>
          <t>Tuesday estimate 31 to 82 (low confidence), under 500 staff company-wide, on-site 5 days a week per its profile, occupied at a high-confidence address; no contact found in public sources (walk-in).</t>
        </is>
      </c>
      <c r="L17" t="inlineStr">
        <is>
          <t>40-75</t>
        </is>
      </c>
      <c r="M17" t="inlineStr"/>
      <c r="N17" t="inlineStr"/>
      <c r="O17" t="inlineStr"/>
      <c r="P17" t="inlineStr"/>
      <c r="Q17" t="inlineStr"/>
      <c r="R17" t="inlineStr">
        <is>
          <t>N</t>
        </is>
      </c>
      <c r="S17" t="inlineStr">
        <is>
          <t>unknown</t>
        </is>
      </c>
      <c r="T17" t="inlineStr">
        <is>
          <t>N</t>
        </is>
      </c>
      <c r="U17" t="inlineStr">
        <is>
          <t>new</t>
        </is>
      </c>
      <c r="V17" t="inlineStr">
        <is>
          <t>https://www.builtinnyc.com/company/aterian/offices</t>
        </is>
      </c>
      <c r="W17" t="inlineStr">
        <is>
          <t>2026-10-23</t>
        </is>
      </c>
      <c r="X17" t="inlineStr">
        <is>
          <t>office</t>
        </is>
      </c>
      <c r="Y17" t="inlineStr"/>
      <c r="Z17" t="n">
        <v>16</v>
      </c>
      <c r="AA17" t="inlineStr">
        <is>
          <t>Y</t>
        </is>
      </c>
      <c r="AB17" t="inlineStr">
        <is>
          <t>no named contact: walk in and ask for whoever runs the pantry, or use the company contact form</t>
        </is>
      </c>
      <c r="AC17" t="inlineStr"/>
      <c r="AD17" t="inlineStr">
        <is>
          <t>none</t>
        </is>
      </c>
      <c r="AE17" t="inlineStr"/>
      <c r="AF17" t="inlineStr"/>
      <c r="AG17" t="inlineStr"/>
      <c r="AH17" t="inlineStr">
        <is>
          <t>none</t>
        </is>
      </c>
      <c r="AI17" t="inlineStr">
        <is>
          <t>37 East 18th Street</t>
        </is>
      </c>
      <c r="AJ17" t="inlineStr">
        <is>
          <t>unknown</t>
        </is>
      </c>
      <c r="AK17" t="inlineStr">
        <is>
          <t>occupied</t>
        </is>
      </c>
      <c r="AL17" t="n">
        <v>31</v>
      </c>
      <c r="AM17" t="n">
        <v>82</v>
      </c>
      <c r="AN17" t="inlineStr">
        <is>
          <t>low</t>
        </is>
      </c>
      <c r="AO17" t="inlineStr">
        <is>
          <t>in-office-5</t>
        </is>
      </c>
      <c r="AP17" t="inlineStr">
        <is>
          <t>AO-C-048</t>
        </is>
      </c>
      <c r="AQ17" t="inlineStr">
        <is>
          <t>N</t>
        </is>
      </c>
      <c r="AR17" t="inlineStr"/>
      <c r="AS17" t="inlineStr"/>
      <c r="AT17" t="inlineStr">
        <is>
          <t>N</t>
        </is>
      </c>
      <c r="AU17" t="inlineStr">
        <is>
          <t>no contact named on an opened page</t>
        </is>
      </c>
      <c r="AV17" t="inlineStr"/>
      <c r="AW17" t="inlineStr">
        <is>
          <t>N</t>
        </is>
      </c>
      <c r="AX17" t="inlineStr">
        <is>
          <t>pass</t>
        </is>
      </c>
      <c r="AY17" t="inlineStr">
        <is>
          <t>passes all hard gates</t>
        </is>
      </c>
      <c r="AZ17" t="inlineStr">
        <is>
          <t>company</t>
        </is>
      </c>
      <c r="BA17" t="inlineStr">
        <is>
          <t>B-C-048</t>
        </is>
      </c>
      <c r="BB17" t="inlineStr">
        <is>
          <t>https://aterian.io</t>
        </is>
      </c>
      <c r="BC17" t="inlineStr">
        <is>
          <t>consumer products (e-commerce brands)</t>
        </is>
      </c>
      <c r="BD17" t="n">
        <v>122</v>
      </c>
      <c r="BE17" t="n">
        <v>94</v>
      </c>
      <c r="BF17" t="inlineStr">
        <is>
          <t>76-150</t>
        </is>
      </c>
      <c r="BG17" t="inlineStr">
        <is>
          <t>whole-company</t>
        </is>
      </c>
      <c r="BH17" t="inlineStr">
        <is>
          <t>agree</t>
        </is>
      </c>
      <c r="BI17" t="inlineStr">
        <is>
          <t>https://www.builtinnyc.com/company/aterian</t>
        </is>
      </c>
      <c r="BJ17" t="inlineStr">
        <is>
          <t>https://www.reveliolabs.com/companies/aterian-group/employees</t>
        </is>
      </c>
      <c r="BK17" t="inlineStr">
        <is>
          <t>le500</t>
        </is>
      </c>
      <c r="BL17" t="inlineStr">
        <is>
          <t>New York</t>
        </is>
      </c>
      <c r="BM17" t="inlineStr">
        <is>
          <t>Y</t>
        </is>
      </c>
      <c r="BN17" t="inlineStr">
        <is>
          <t>unknown</t>
        </is>
      </c>
      <c r="BO17" t="inlineStr">
        <is>
          <t>unknown</t>
        </is>
      </c>
      <c r="BP17" t="n">
        <v>10003</v>
      </c>
      <c r="BQ17" t="n">
        <v>40.737722</v>
      </c>
      <c r="BR17" t="n">
        <v>-73.989367</v>
      </c>
      <c r="BS17" t="inlineStr">
        <is>
          <t>Y</t>
        </is>
      </c>
      <c r="BT17" t="n">
        <v>0</v>
      </c>
      <c r="BU17" t="inlineStr">
        <is>
          <t>B-B-019</t>
        </is>
      </c>
      <c r="BV17" t="inlineStr">
        <is>
          <t>37 East 18th Street (Zar Property NY)</t>
        </is>
      </c>
      <c r="BW17" t="inlineStr">
        <is>
          <t>https://www.builtinnyc.com/company/aterian/offices</t>
        </is>
      </c>
      <c r="BX17" t="inlineStr">
        <is>
          <t>2026-10-23</t>
        </is>
      </c>
      <c r="BY17" t="inlineStr">
        <is>
          <t>builtin</t>
        </is>
      </c>
      <c r="BZ17" t="inlineStr">
        <is>
          <t>https://commercialobserver.com/2026/06/phia-lease-zar-property-37-east-18th-street/</t>
        </is>
      </c>
      <c r="CA17" t="inlineStr">
        <is>
          <t>2026-06-03</t>
        </is>
      </c>
      <c r="CB17" t="inlineStr"/>
      <c r="CC17" t="inlineStr">
        <is>
          <t>high</t>
        </is>
      </c>
      <c r="CD17" t="inlineStr"/>
      <c r="CE17" t="inlineStr">
        <is>
          <t>N</t>
        </is>
      </c>
      <c r="CF17" t="inlineStr"/>
      <c r="CG17" t="inlineStr"/>
      <c r="CH17" t="inlineStr">
        <is>
          <t>unknown</t>
        </is>
      </c>
      <c r="CI17" t="inlineStr"/>
      <c r="CJ17" t="inlineStr">
        <is>
          <t>unknown</t>
        </is>
      </c>
      <c r="CK17" t="inlineStr">
        <is>
          <t>N</t>
        </is>
      </c>
      <c r="CL17" t="inlineStr">
        <is>
          <t>Built In workplace type: OnSite Workplace; typical time on-site: 5 days a week</t>
        </is>
      </c>
      <c r="CM17" t="inlineStr">
        <is>
          <t>https://www.builtinnyc.com/company/aterian/offices</t>
        </is>
      </c>
      <c r="CN17" t="inlineStr">
        <is>
          <t>2026-10-24</t>
        </is>
      </c>
      <c r="CO17" t="n">
        <v>50</v>
      </c>
      <c r="CP17" t="inlineStr"/>
      <c r="CQ17" t="inlineStr">
        <is>
          <t>122 (Built In) and 94 (Revelio Labs) staff (whole-company count) x 50% to 100% of them in the New York office (HQ New York; share assumed) x 67% (Partnership for NYC, firms under 500) in on a weekday = 31 to 82, central 50; low confidence; estimate until intake replaces it.</t>
        </is>
      </c>
      <c r="CR17" t="inlineStr">
        <is>
          <t>estimate until intake replaces it</t>
        </is>
      </c>
      <c r="CS17" t="n">
        <v>0.74</v>
      </c>
      <c r="CT17" t="n">
        <v>63.4</v>
      </c>
      <c r="CU17" t="n">
        <v>18.4</v>
      </c>
      <c r="CV17" t="n">
        <v>15</v>
      </c>
      <c r="CW17" t="n">
        <v>15</v>
      </c>
      <c r="CX17" t="n">
        <v>15</v>
      </c>
      <c r="CY17" t="n">
        <v>0</v>
      </c>
      <c r="CZ17" t="n">
        <v>0</v>
      </c>
      <c r="DA17" t="inlineStr"/>
      <c r="DB17" t="inlineStr"/>
      <c r="DC17" t="inlineStr"/>
      <c r="DD17" t="inlineStr"/>
      <c r="DE17" t="inlineStr"/>
      <c r="DF17" t="inlineStr">
        <is>
          <t>none</t>
        </is>
      </c>
      <c r="DG17" t="inlineStr">
        <is>
          <t>candidate</t>
        </is>
      </c>
      <c r="DH17" t="inlineStr"/>
      <c r="DI17" t="inlineStr"/>
      <c r="DJ17" t="inlineStr"/>
      <c r="DK17" t="inlineStr">
        <is>
          <t>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is>
      </c>
      <c r="DL17" t="inlineStr"/>
      <c r="DM17" t="inlineStr"/>
      <c r="DN17" t="inlineStr"/>
      <c r="DO17" t="inlineStr"/>
      <c r="DP17" t="inlineStr"/>
      <c r="DQ17" t="inlineStr"/>
      <c r="DR17" t="inlineStr"/>
      <c r="DS17" t="inlineStr">
        <is>
          <t>none</t>
        </is>
      </c>
      <c r="DT17" t="inlineStr"/>
      <c r="DU17" t="inlineStr"/>
      <c r="DV17" t="inlineStr"/>
      <c r="DW17" t="inlineStr"/>
      <c r="DX17" t="inlineStr">
        <is>
          <t>Y</t>
        </is>
      </c>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f>IF(ISNUMBER(MATCH(U17,{"queued","contacted","replied","call_booked","call_done","yes_in_principle","materials_sent"},0)),"Y","N")</f>
        <v/>
      </c>
      <c r="ES17">
        <f>IF(COUNTIFS($AP$2:$AP$1000,AP17,$ER$2:$ER$1000,"Y")+COUNTIFS($AP$2:$AP$1000,AP17,$T$2:$T$1000,"Y")&gt;0,"Y","N")</f>
        <v/>
      </c>
      <c r="ET17">
        <f>IF(AND(U17="new",T17="N",AT17="Y",AS17="",ES17="N"),"Y","N")</f>
        <v/>
      </c>
      <c r="EU17">
        <f>IF(ET17&lt;&gt;"Y","N",IF(COUNTIFS($AP$2:$AP$1000,AP17,$ET$2:$ET$1000,"Y",$J$2:$J$1000,"&gt;"&amp;J17)+COUNTIFS($AP$2:$AP$1000,AP17,$ET$2:$ET$1000,"Y",$J$2:$J$1000,J17,$EW$2:$EW$1000,"&lt;"&amp;EW17)=0,"Y","N"))</f>
        <v/>
      </c>
      <c r="EV17">
        <f>IF(Y17="","N",IF(Y17&lt;=10,"Y","N"))</f>
        <v/>
      </c>
      <c r="EW17">
        <f>ROW()-1</f>
        <v/>
      </c>
    </row>
    <row r="18">
      <c r="A18" t="inlineStr">
        <is>
          <t>AO-C-151</t>
        </is>
      </c>
      <c r="B18" t="inlineStr">
        <is>
          <t>Carbyne</t>
        </is>
      </c>
      <c r="C18" t="inlineStr">
        <is>
          <t>Tami</t>
        </is>
      </c>
      <c r="D18" t="inlineStr">
        <is>
          <t>Golan</t>
        </is>
      </c>
      <c r="E18" t="inlineStr">
        <is>
          <t>Chief People Officer</t>
        </is>
      </c>
      <c r="F18" t="inlineStr"/>
      <c r="G18" t="inlineStr"/>
      <c r="H18" t="inlineStr">
        <is>
          <t>none</t>
        </is>
      </c>
      <c r="I18" t="inlineStr">
        <is>
          <t>linkedin</t>
        </is>
      </c>
      <c r="J18" t="n">
        <v>63</v>
      </c>
      <c r="K18" t="inlineStr">
        <is>
          <t>Tuesday estimate 49 to 121 (low confidence), under 500 staff company-wide with a named parent (Axon Enterprise), hybrid (days not stated), occupied at a high-confidence address; adjacent contact named (Chief People Officer).</t>
        </is>
      </c>
      <c r="L18" t="inlineStr">
        <is>
          <t>76-150</t>
        </is>
      </c>
      <c r="M18" t="inlineStr"/>
      <c r="N18" t="inlineStr"/>
      <c r="O18" t="inlineStr"/>
      <c r="P18" t="inlineStr"/>
      <c r="Q18" t="inlineStr"/>
      <c r="R18" t="inlineStr">
        <is>
          <t>N</t>
        </is>
      </c>
      <c r="S18" t="inlineStr">
        <is>
          <t>unknown</t>
        </is>
      </c>
      <c r="T18" t="inlineStr">
        <is>
          <t>N</t>
        </is>
      </c>
      <c r="U18" t="inlineStr">
        <is>
          <t>new</t>
        </is>
      </c>
      <c r="V18" t="inlineStr">
        <is>
          <t>https://carbyne.com/company/about-us/</t>
        </is>
      </c>
      <c r="W18" t="inlineStr">
        <is>
          <t>2026-10-23</t>
        </is>
      </c>
      <c r="X18" t="inlineStr">
        <is>
          <t>office</t>
        </is>
      </c>
      <c r="Y18" t="n">
        <v>12</v>
      </c>
      <c r="Z18" t="n">
        <v>17</v>
      </c>
      <c r="AA18" t="inlineStr">
        <is>
          <t>Y</t>
        </is>
      </c>
      <c r="AB18" t="inlineStr">
        <is>
          <t>find Tami Golan at Carbyne on LinkedIn and paste the profile URL; check Tami works from the New York office; adjacent title: ask who runs the pantry</t>
        </is>
      </c>
      <c r="AC18" t="inlineStr">
        <is>
          <t>pantry or office lead (primary)</t>
        </is>
      </c>
      <c r="AD18" t="inlineStr">
        <is>
          <t>verified-page</t>
        </is>
      </c>
      <c r="AE18" t="inlineStr">
        <is>
          <t>employer's own site</t>
        </is>
      </c>
      <c r="AF18" t="inlineStr">
        <is>
          <t>https://carbyne.com/company/our-team/</t>
        </is>
      </c>
      <c r="AG18" t="inlineStr">
        <is>
          <t>2026-10-24</t>
        </is>
      </c>
      <c r="AH18" t="inlineStr">
        <is>
          <t>adjacent</t>
        </is>
      </c>
      <c r="AI18" t="inlineStr">
        <is>
          <t>45 West 27th Street</t>
        </is>
      </c>
      <c r="AJ18" t="n">
        <v>2</v>
      </c>
      <c r="AK18" t="inlineStr">
        <is>
          <t>occupied</t>
        </is>
      </c>
      <c r="AL18" t="n">
        <v>49</v>
      </c>
      <c r="AM18" t="n">
        <v>121</v>
      </c>
      <c r="AN18" t="inlineStr">
        <is>
          <t>low</t>
        </is>
      </c>
      <c r="AO18" t="inlineStr">
        <is>
          <t>hybrid-unspecified</t>
        </is>
      </c>
      <c r="AP18" t="inlineStr">
        <is>
          <t>grp-C030-C151</t>
        </is>
      </c>
      <c r="AQ18" t="inlineStr">
        <is>
          <t>N</t>
        </is>
      </c>
      <c r="AR18" t="inlineStr"/>
      <c r="AS18" t="inlineStr"/>
      <c r="AT18" t="inlineStr">
        <is>
          <t>Y</t>
        </is>
      </c>
      <c r="AU18" t="inlineStr"/>
      <c r="AV18" t="inlineStr"/>
      <c r="AW18" t="inlineStr">
        <is>
          <t>N</t>
        </is>
      </c>
      <c r="AX18" t="inlineStr">
        <is>
          <t>pass</t>
        </is>
      </c>
      <c r="AY18" t="inlineStr">
        <is>
          <t>passes all hard gates</t>
        </is>
      </c>
      <c r="AZ18" t="inlineStr">
        <is>
          <t>company</t>
        </is>
      </c>
      <c r="BA18" t="inlineStr">
        <is>
          <t>B-C-151</t>
        </is>
      </c>
      <c r="BB18" t="inlineStr">
        <is>
          <t>https://carbyne.com</t>
        </is>
      </c>
      <c r="BC18" t="inlineStr">
        <is>
          <t>public safety software (emergency communications)</t>
        </is>
      </c>
      <c r="BD18" t="n">
        <v>180</v>
      </c>
      <c r="BE18" t="n">
        <v>146</v>
      </c>
      <c r="BF18" t="inlineStr">
        <is>
          <t>unknown</t>
        </is>
      </c>
      <c r="BG18" t="inlineStr">
        <is>
          <t>unknown</t>
        </is>
      </c>
      <c r="BH18" t="inlineStr">
        <is>
          <t>disagree</t>
        </is>
      </c>
      <c r="BI18" t="inlineStr">
        <is>
          <t>https://www.builtinnyc.com/company/carbyne/offices</t>
        </is>
      </c>
      <c r="BJ18" t="inlineStr">
        <is>
          <t>https://www.reveliolabs.com/companies/carbyne/employees</t>
        </is>
      </c>
      <c r="BK18" t="inlineStr">
        <is>
          <t>le500</t>
        </is>
      </c>
      <c r="BL18" t="inlineStr">
        <is>
          <t>New York</t>
        </is>
      </c>
      <c r="BM18" t="inlineStr">
        <is>
          <t>Y</t>
        </is>
      </c>
      <c r="BN18" t="inlineStr">
        <is>
          <t>Axon Enterprise</t>
        </is>
      </c>
      <c r="BO18" t="inlineStr">
        <is>
          <t>unknown</t>
        </is>
      </c>
      <c r="BP18" t="n">
        <v>10001</v>
      </c>
      <c r="BQ18" t="n">
        <v>40.745243</v>
      </c>
      <c r="BR18" t="n">
        <v>-73.989968</v>
      </c>
      <c r="BS18" t="inlineStr">
        <is>
          <t>Y</t>
        </is>
      </c>
      <c r="BT18" t="n">
        <v>0</v>
      </c>
      <c r="BU18" t="inlineStr">
        <is>
          <t>B-B-069</t>
        </is>
      </c>
      <c r="BV18" t="inlineStr">
        <is>
          <t>45 West 27th Street</t>
        </is>
      </c>
      <c r="BW18" t="inlineStr">
        <is>
          <t>https://carbyne.com/company/about-us/</t>
        </is>
      </c>
      <c r="BX18" t="inlineStr">
        <is>
          <t>2026-10-23</t>
        </is>
      </c>
      <c r="BY18" t="inlineStr">
        <is>
          <t>company-site</t>
        </is>
      </c>
      <c r="BZ18" t="inlineStr">
        <is>
          <t>https://www.connectcre.com/stories/software-company-carbyne-911-inks-downtown-lease/</t>
        </is>
      </c>
      <c r="CA18" t="inlineStr">
        <is>
          <t>2023-08-18</t>
        </is>
      </c>
      <c r="CB18" t="inlineStr"/>
      <c r="CC18" t="inlineStr">
        <is>
          <t>high</t>
        </is>
      </c>
      <c r="CD18" t="inlineStr"/>
      <c r="CE18" t="inlineStr">
        <is>
          <t>N</t>
        </is>
      </c>
      <c r="CF18" t="inlineStr"/>
      <c r="CG18" t="inlineStr"/>
      <c r="CH18" t="inlineStr">
        <is>
          <t>unknown</t>
        </is>
      </c>
      <c r="CI18" t="inlineStr"/>
      <c r="CJ18" t="inlineStr">
        <is>
          <t>unknown</t>
        </is>
      </c>
      <c r="CK18" t="inlineStr">
        <is>
          <t>N</t>
        </is>
      </c>
      <c r="CL18" t="inlineStr">
        <is>
          <t>Built In workplace type: Hybrid Workplace; typical time on-site: Flexible</t>
        </is>
      </c>
      <c r="CM18" t="inlineStr">
        <is>
          <t>https://www.builtinnyc.com/company/carbyne/offices</t>
        </is>
      </c>
      <c r="CN18" t="inlineStr">
        <is>
          <t>2026-10-24</t>
        </is>
      </c>
      <c r="CO18" t="n">
        <v>77</v>
      </c>
      <c r="CP18" t="inlineStr"/>
      <c r="CQ18" t="inlineStr">
        <is>
          <t>180 (Built In) and 146 (Revelio Labs) staff (whole-company count) x 50% to 100% of them in the New York office (HQ New York; share assumed) x 67% (Partnership for NYC, firms under 500) in on a weekday = 49 to 121, central 77; low confidence; estimate until intake replaces it.</t>
        </is>
      </c>
      <c r="CR18" t="inlineStr">
        <is>
          <t>estimate until intake replaces it</t>
        </is>
      </c>
      <c r="CS18" t="n">
        <v>1</v>
      </c>
      <c r="CT18" t="n">
        <v>63</v>
      </c>
      <c r="CU18" t="n">
        <v>25</v>
      </c>
      <c r="CV18" t="n">
        <v>11</v>
      </c>
      <c r="CW18" t="n">
        <v>7</v>
      </c>
      <c r="CX18" t="n">
        <v>15</v>
      </c>
      <c r="CY18" t="n">
        <v>5</v>
      </c>
      <c r="CZ18" t="n">
        <v>0</v>
      </c>
      <c r="DA18" t="inlineStr"/>
      <c r="DB18" t="inlineStr"/>
      <c r="DC18" t="inlineStr"/>
      <c r="DD18" t="inlineStr"/>
      <c r="DE18" t="inlineStr"/>
      <c r="DF18" t="inlineStr">
        <is>
          <t>none</t>
        </is>
      </c>
      <c r="DG18" t="inlineStr">
        <is>
          <t>candidate</t>
        </is>
      </c>
      <c r="DH18" t="inlineStr"/>
      <c r="DI18" t="inlineStr"/>
      <c r="DJ18" t="inlineStr">
        <is>
          <t>5,700 sf;5,702 sf</t>
        </is>
      </c>
      <c r="DK18" t="inlineStr">
        <is>
          <t>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is>
      </c>
      <c r="DL18" t="inlineStr">
        <is>
          <t>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is>
      </c>
      <c r="DM18" t="inlineStr">
        <is>
          <t>Tami Golan</t>
        </is>
      </c>
      <c r="DN18" t="inlineStr"/>
      <c r="DO18" t="inlineStr">
        <is>
          <t>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t>
        </is>
      </c>
      <c r="DP18" t="inlineStr"/>
      <c r="DQ18" t="inlineStr"/>
      <c r="DR18" t="inlineStr"/>
      <c r="DS18" t="inlineStr">
        <is>
          <t>none</t>
        </is>
      </c>
      <c r="DT18" t="inlineStr"/>
      <c r="DU18" t="inlineStr"/>
      <c r="DV18" t="inlineStr"/>
      <c r="DW18" t="inlineStr"/>
      <c r="DX18" t="inlineStr">
        <is>
          <t>Y</t>
        </is>
      </c>
      <c r="DY18" t="inlineStr">
        <is>
          <t>unconfirmed</t>
        </is>
      </c>
      <c r="DZ18" t="inlineStr">
        <is>
          <t>parent 'axon enterprise' shared with AO-C-030</t>
        </is>
      </c>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f>IF(ISNUMBER(MATCH(U18,{"queued","contacted","replied","call_booked","call_done","yes_in_principle","materials_sent"},0)),"Y","N")</f>
        <v/>
      </c>
      <c r="ES18">
        <f>IF(COUNTIFS($AP$2:$AP$1000,AP18,$ER$2:$ER$1000,"Y")+COUNTIFS($AP$2:$AP$1000,AP18,$T$2:$T$1000,"Y")&gt;0,"Y","N")</f>
        <v/>
      </c>
      <c r="ET18">
        <f>IF(AND(U18="new",T18="N",AT18="Y",AS18="",ES18="N"),"Y","N")</f>
        <v/>
      </c>
      <c r="EU18">
        <f>IF(ET18&lt;&gt;"Y","N",IF(COUNTIFS($AP$2:$AP$1000,AP18,$ET$2:$ET$1000,"Y",$J$2:$J$1000,"&gt;"&amp;J18)+COUNTIFS($AP$2:$AP$1000,AP18,$ET$2:$ET$1000,"Y",$J$2:$J$1000,J18,$EW$2:$EW$1000,"&lt;"&amp;EW18)=0,"Y","N"))</f>
        <v/>
      </c>
      <c r="EV18">
        <f>IF(Y18="","N",IF(Y18&lt;=10,"Y","N"))</f>
        <v/>
      </c>
      <c r="EW18">
        <f>ROW()-1</f>
        <v/>
      </c>
    </row>
    <row r="19">
      <c r="A19" t="inlineStr">
        <is>
          <t>AO-C-007</t>
        </is>
      </c>
      <c r="B19" t="inlineStr">
        <is>
          <t>Personetics</t>
        </is>
      </c>
      <c r="C19" t="inlineStr"/>
      <c r="D19" t="inlineStr"/>
      <c r="E19" t="inlineStr"/>
      <c r="F19" t="inlineStr"/>
      <c r="G19" t="inlineStr"/>
      <c r="H19" t="inlineStr">
        <is>
          <t>none</t>
        </is>
      </c>
      <c r="I19" t="inlineStr">
        <is>
          <t>walk-in</t>
        </is>
      </c>
      <c r="J19" t="n">
        <v>63</v>
      </c>
      <c r="K19" t="inlineStr">
        <is>
          <t>Tuesday estimate 113 to 249 (low confidence), under 500 staff company-wide, on-site 5 days a week per its profile, occupancy-unconfirmed at a medium-confidence address; no contact found in public sources (walk-in).</t>
        </is>
      </c>
      <c r="L19" t="inlineStr">
        <is>
          <t>151-250</t>
        </is>
      </c>
      <c r="M19" t="inlineStr"/>
      <c r="N19" t="inlineStr"/>
      <c r="O19" t="inlineStr"/>
      <c r="P19" t="inlineStr"/>
      <c r="Q19" t="inlineStr"/>
      <c r="R19" t="inlineStr">
        <is>
          <t>N</t>
        </is>
      </c>
      <c r="S19" t="inlineStr">
        <is>
          <t>unknown</t>
        </is>
      </c>
      <c r="T19" t="inlineStr">
        <is>
          <t>N</t>
        </is>
      </c>
      <c r="U19" t="inlineStr">
        <is>
          <t>new</t>
        </is>
      </c>
      <c r="V19" t="inlineStr">
        <is>
          <t>https://nyrej.com/print/54591</t>
        </is>
      </c>
      <c r="W19" t="inlineStr">
        <is>
          <t>2026-10-23</t>
        </is>
      </c>
      <c r="X19" t="inlineStr">
        <is>
          <t>office</t>
        </is>
      </c>
      <c r="Y19" t="inlineStr"/>
      <c r="Z19" t="n">
        <v>18</v>
      </c>
      <c r="AA19" t="inlineStr">
        <is>
          <t>Y</t>
        </is>
      </c>
      <c r="AB19" t="inlineStr">
        <is>
          <t>no named contact: walk in and ask for whoever runs the pantry, or use the company contact form</t>
        </is>
      </c>
      <c r="AC19" t="inlineStr"/>
      <c r="AD19" t="inlineStr">
        <is>
          <t>none</t>
        </is>
      </c>
      <c r="AE19" t="inlineStr"/>
      <c r="AF19" t="inlineStr"/>
      <c r="AG19" t="inlineStr"/>
      <c r="AH19" t="inlineStr">
        <is>
          <t>none</t>
        </is>
      </c>
      <c r="AI19" t="inlineStr">
        <is>
          <t>853 Broadway</t>
        </is>
      </c>
      <c r="AJ19" t="n">
        <v>19</v>
      </c>
      <c r="AK19" t="inlineStr">
        <is>
          <t>occupancy-unconfirmed</t>
        </is>
      </c>
      <c r="AL19" t="n">
        <v>113</v>
      </c>
      <c r="AM19" t="n">
        <v>249</v>
      </c>
      <c r="AN19" t="inlineStr">
        <is>
          <t>low</t>
        </is>
      </c>
      <c r="AO19" t="inlineStr">
        <is>
          <t>in-office-5</t>
        </is>
      </c>
      <c r="AP19" t="inlineStr">
        <is>
          <t>AO-C-007</t>
        </is>
      </c>
      <c r="AQ19" t="inlineStr">
        <is>
          <t>N</t>
        </is>
      </c>
      <c r="AR19" t="inlineStr"/>
      <c r="AS19" t="inlineStr"/>
      <c r="AT19" t="inlineStr">
        <is>
          <t>N</t>
        </is>
      </c>
      <c r="AU19" t="inlineStr">
        <is>
          <t>no contact named on an opened page</t>
        </is>
      </c>
      <c r="AV19" t="inlineStr"/>
      <c r="AW19" t="inlineStr">
        <is>
          <t>N</t>
        </is>
      </c>
      <c r="AX19" t="inlineStr">
        <is>
          <t>pass</t>
        </is>
      </c>
      <c r="AY19" t="inlineStr">
        <is>
          <t>passes all hard gates</t>
        </is>
      </c>
      <c r="AZ19" t="inlineStr">
        <is>
          <t>company</t>
        </is>
      </c>
      <c r="BA19" t="inlineStr">
        <is>
          <t>B-C-007</t>
        </is>
      </c>
      <c r="BB19" t="inlineStr">
        <is>
          <t>https://personetics.com</t>
        </is>
      </c>
      <c r="BC19" t="inlineStr">
        <is>
          <t>fintech software (banking AI)</t>
        </is>
      </c>
      <c r="BD19" t="n">
        <v>371</v>
      </c>
      <c r="BE19" t="n">
        <v>336</v>
      </c>
      <c r="BF19" t="inlineStr">
        <is>
          <t>251-500</t>
        </is>
      </c>
      <c r="BG19" t="inlineStr">
        <is>
          <t>whole-company</t>
        </is>
      </c>
      <c r="BH19" t="inlineStr">
        <is>
          <t>agree</t>
        </is>
      </c>
      <c r="BI19" t="inlineStr">
        <is>
          <t>https://www.builtinnyc.com/company/personetics</t>
        </is>
      </c>
      <c r="BJ19" t="inlineStr">
        <is>
          <t>https://www.reveliolabs.com/companies/personetics/employees</t>
        </is>
      </c>
      <c r="BK19" t="inlineStr">
        <is>
          <t>le500</t>
        </is>
      </c>
      <c r="BL19" t="inlineStr">
        <is>
          <t>New York</t>
        </is>
      </c>
      <c r="BM19" t="inlineStr">
        <is>
          <t>Y</t>
        </is>
      </c>
      <c r="BN19" t="inlineStr">
        <is>
          <t>unknown</t>
        </is>
      </c>
      <c r="BO19" t="inlineStr">
        <is>
          <t>unknown</t>
        </is>
      </c>
      <c r="BP19" t="n">
        <v>10003</v>
      </c>
      <c r="BQ19" t="n">
        <v>40.734626</v>
      </c>
      <c r="BR19" t="n">
        <v>-73.9911</v>
      </c>
      <c r="BS19" t="inlineStr">
        <is>
          <t>Y</t>
        </is>
      </c>
      <c r="BT19" t="n">
        <v>0</v>
      </c>
      <c r="BU19" t="inlineStr">
        <is>
          <t>B-B-001</t>
        </is>
      </c>
      <c r="BV19" t="inlineStr">
        <is>
          <t>853 Broadway (Union Building)</t>
        </is>
      </c>
      <c r="BW19" t="inlineStr">
        <is>
          <t>https://nyrej.com/print/54591</t>
        </is>
      </c>
      <c r="BX19" t="inlineStr">
        <is>
          <t>2025-04-08</t>
        </is>
      </c>
      <c r="BY19" t="inlineStr">
        <is>
          <t>leasing-press</t>
        </is>
      </c>
      <c r="BZ19" t="inlineStr"/>
      <c r="CA19" t="inlineStr"/>
      <c r="CB19" t="inlineStr"/>
      <c r="CC19" t="inlineStr">
        <is>
          <t>medium</t>
        </is>
      </c>
      <c r="CD19" t="inlineStr"/>
      <c r="CE19" t="inlineStr">
        <is>
          <t>N</t>
        </is>
      </c>
      <c r="CF19" t="inlineStr"/>
      <c r="CG19" t="inlineStr"/>
      <c r="CH19" t="inlineStr">
        <is>
          <t>security desk</t>
        </is>
      </c>
      <c r="CI19" t="inlineStr">
        <is>
          <t>https://853broadway.sharplaunch.com/</t>
        </is>
      </c>
      <c r="CJ19" t="inlineStr">
        <is>
          <t>unknown</t>
        </is>
      </c>
      <c r="CK19" t="inlineStr">
        <is>
          <t>N</t>
        </is>
      </c>
      <c r="CL19" t="inlineStr">
        <is>
          <t>Built In workplace type: OnSite Workplace; typical time on-site: 5 days a week</t>
        </is>
      </c>
      <c r="CM19" t="inlineStr">
        <is>
          <t>https://www.builtinnyc.com/company/personetics/offices</t>
        </is>
      </c>
      <c r="CN19" t="inlineStr">
        <is>
          <t>2026-10-24</t>
        </is>
      </c>
      <c r="CO19" t="n">
        <v>168</v>
      </c>
      <c r="CP19" t="inlineStr"/>
      <c r="CQ19" t="inlineStr">
        <is>
          <t>371 (Built In) and 336 (Revelio Labs) staff (whole-company count) x 50% to 100% of them in the New York office (HQ New York; share assumed) x 67% (Partnership for NYC, firms under 500) in on a weekday = 113 to 249, central 168; low confidence; estimate until intake replaces it.</t>
        </is>
      </c>
      <c r="CR19" t="inlineStr">
        <is>
          <t>estimate until intake replaces it</t>
        </is>
      </c>
      <c r="CS19" t="n">
        <v>1</v>
      </c>
      <c r="CT19" t="n">
        <v>63</v>
      </c>
      <c r="CU19" t="n">
        <v>25</v>
      </c>
      <c r="CV19" t="n">
        <v>15</v>
      </c>
      <c r="CW19" t="n">
        <v>15</v>
      </c>
      <c r="CX19" t="n">
        <v>8</v>
      </c>
      <c r="CY19" t="n">
        <v>0</v>
      </c>
      <c r="CZ19" t="n">
        <v>0</v>
      </c>
      <c r="DA19" t="inlineStr"/>
      <c r="DB19" t="inlineStr"/>
      <c r="DC19" t="inlineStr"/>
      <c r="DD19" t="inlineStr"/>
      <c r="DE19" t="inlineStr"/>
      <c r="DF19" t="inlineStr">
        <is>
          <t>none</t>
        </is>
      </c>
      <c r="DG19" t="inlineStr">
        <is>
          <t>candidate</t>
        </is>
      </c>
      <c r="DH19" t="inlineStr"/>
      <c r="DI19" t="inlineStr"/>
      <c r="DJ19" t="inlineStr">
        <is>
          <t>7,004 sf</t>
        </is>
      </c>
      <c r="DK19" t="inlineStr">
        <is>
          <t>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is>
      </c>
      <c r="DL19" t="inlineStr"/>
      <c r="DM19" t="inlineStr"/>
      <c r="DN19" t="inlineStr"/>
      <c r="DO19" t="inlineStr"/>
      <c r="DP19" t="inlineStr"/>
      <c r="DQ19" t="inlineStr"/>
      <c r="DR19" t="inlineStr"/>
      <c r="DS19" t="inlineStr">
        <is>
          <t>none</t>
        </is>
      </c>
      <c r="DT19" t="inlineStr"/>
      <c r="DU19" t="inlineStr"/>
      <c r="DV19" t="inlineStr"/>
      <c r="DW19" t="inlineStr"/>
      <c r="DX19" t="inlineStr">
        <is>
          <t>Y</t>
        </is>
      </c>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f>IF(ISNUMBER(MATCH(U19,{"queued","contacted","replied","call_booked","call_done","yes_in_principle","materials_sent"},0)),"Y","N")</f>
        <v/>
      </c>
      <c r="ES19">
        <f>IF(COUNTIFS($AP$2:$AP$1000,AP19,$ER$2:$ER$1000,"Y")+COUNTIFS($AP$2:$AP$1000,AP19,$T$2:$T$1000,"Y")&gt;0,"Y","N")</f>
        <v/>
      </c>
      <c r="ET19">
        <f>IF(AND(U19="new",T19="N",AT19="Y",AS19="",ES19="N"),"Y","N")</f>
        <v/>
      </c>
      <c r="EU19">
        <f>IF(ET19&lt;&gt;"Y","N",IF(COUNTIFS($AP$2:$AP$1000,AP19,$ET$2:$ET$1000,"Y",$J$2:$J$1000,"&gt;"&amp;J19)+COUNTIFS($AP$2:$AP$1000,AP19,$ET$2:$ET$1000,"Y",$J$2:$J$1000,J19,$EW$2:$EW$1000,"&lt;"&amp;EW19)=0,"Y","N"))</f>
        <v/>
      </c>
      <c r="EV19">
        <f>IF(Y19="","N",IF(Y19&lt;=10,"Y","N"))</f>
        <v/>
      </c>
      <c r="EW19">
        <f>ROW()-1</f>
        <v/>
      </c>
    </row>
    <row r="20">
      <c r="A20" t="inlineStr">
        <is>
          <t>AO-C-130</t>
        </is>
      </c>
      <c r="B20" t="inlineStr">
        <is>
          <t>Butterfly Network</t>
        </is>
      </c>
      <c r="C20" t="inlineStr">
        <is>
          <t>Katie</t>
        </is>
      </c>
      <c r="D20" t="inlineStr">
        <is>
          <t>Gowryluk</t>
        </is>
      </c>
      <c r="E20" t="inlineStr">
        <is>
          <t>Chief Of Staff</t>
        </is>
      </c>
      <c r="F20" t="inlineStr"/>
      <c r="G20" t="inlineStr"/>
      <c r="H20" t="inlineStr">
        <is>
          <t>none</t>
        </is>
      </c>
      <c r="I20" t="inlineStr">
        <is>
          <t>linkedin</t>
        </is>
      </c>
      <c r="J20" t="n">
        <v>62.7</v>
      </c>
      <c r="K20" t="inlineStr">
        <is>
          <t>Tuesday estimate 8 to 297 (low confidence), under 500 staff company-wide, on-site 5 days a week per its profile, occupied at a high-confidence address; adjacent contact named (Chief Of Staff).</t>
        </is>
      </c>
      <c r="L20" t="inlineStr">
        <is>
          <t>40-75</t>
        </is>
      </c>
      <c r="M20" t="inlineStr"/>
      <c r="N20" t="inlineStr"/>
      <c r="O20" t="inlineStr"/>
      <c r="P20" t="inlineStr"/>
      <c r="Q20" t="inlineStr"/>
      <c r="R20" t="inlineStr">
        <is>
          <t>N</t>
        </is>
      </c>
      <c r="S20" t="inlineStr">
        <is>
          <t>unknown</t>
        </is>
      </c>
      <c r="T20" t="inlineStr">
        <is>
          <t>N</t>
        </is>
      </c>
      <c r="U20" t="inlineStr">
        <is>
          <t>new</t>
        </is>
      </c>
      <c r="V20" t="inlineStr">
        <is>
          <t>https://commercialobserver.com/2025/09/activate-consulting-doubles-its-nomad-footprint/</t>
        </is>
      </c>
      <c r="W20" t="inlineStr">
        <is>
          <t>2026-10-23</t>
        </is>
      </c>
      <c r="X20" t="inlineStr">
        <is>
          <t>office</t>
        </is>
      </c>
      <c r="Y20" t="n">
        <v>13</v>
      </c>
      <c r="Z20" t="n">
        <v>19</v>
      </c>
      <c r="AA20" t="inlineStr">
        <is>
          <t>Y</t>
        </is>
      </c>
      <c r="AB20" t="inlineStr">
        <is>
          <t>find Katie Gowryluk at Butterfly Network on LinkedIn and paste the profile URL (this also confirms the name: The Org is crowd-edited); the source is dated 2025-05-22: check Katie still holds the role; adjacent title: ask who runs the pantry</t>
        </is>
      </c>
      <c r="AC20" t="inlineStr">
        <is>
          <t>pantry or office lead (primary)</t>
        </is>
      </c>
      <c r="AD20" t="inlineStr">
        <is>
          <t>verified-page</t>
        </is>
      </c>
      <c r="AE20" t="inlineStr">
        <is>
          <t>The Org (crowd-edited org chart)</t>
        </is>
      </c>
      <c r="AF20" t="inlineStr">
        <is>
          <t>https://theorg.com/org/butterfly-network/person/katie-gowryluk</t>
        </is>
      </c>
      <c r="AG20" t="inlineStr">
        <is>
          <t>2026-10-24</t>
        </is>
      </c>
      <c r="AH20" t="inlineStr">
        <is>
          <t>adjacent</t>
        </is>
      </c>
      <c r="AI20" t="inlineStr">
        <is>
          <t>11 East 26th Street</t>
        </is>
      </c>
      <c r="AJ20" t="inlineStr">
        <is>
          <t>7-8</t>
        </is>
      </c>
      <c r="AK20" t="inlineStr">
        <is>
          <t>occupied</t>
        </is>
      </c>
      <c r="AL20" t="n">
        <v>8</v>
      </c>
      <c r="AM20" t="n">
        <v>297</v>
      </c>
      <c r="AN20" t="inlineStr">
        <is>
          <t>low</t>
        </is>
      </c>
      <c r="AO20" t="inlineStr">
        <is>
          <t>in-office-5</t>
        </is>
      </c>
      <c r="AP20" t="inlineStr">
        <is>
          <t>AO-C-130</t>
        </is>
      </c>
      <c r="AQ20" t="inlineStr">
        <is>
          <t>N</t>
        </is>
      </c>
      <c r="AR20" t="inlineStr"/>
      <c r="AS20" t="inlineStr"/>
      <c r="AT20" t="inlineStr">
        <is>
          <t>Y</t>
        </is>
      </c>
      <c r="AU20" t="inlineStr"/>
      <c r="AV20" t="inlineStr"/>
      <c r="AW20" t="inlineStr">
        <is>
          <t>N</t>
        </is>
      </c>
      <c r="AX20" t="inlineStr">
        <is>
          <t>pass</t>
        </is>
      </c>
      <c r="AY20" t="inlineStr">
        <is>
          <t>passes all hard gates</t>
        </is>
      </c>
      <c r="AZ20" t="inlineStr">
        <is>
          <t>company</t>
        </is>
      </c>
      <c r="BA20" t="inlineStr">
        <is>
          <t>B-C-130</t>
        </is>
      </c>
      <c r="BB20" t="inlineStr">
        <is>
          <t>https://www.butterflynetwork.com</t>
        </is>
      </c>
      <c r="BC20" t="inlineStr">
        <is>
          <t>medical devices (handheld ultrasound)</t>
        </is>
      </c>
      <c r="BD20" t="n">
        <v>443</v>
      </c>
      <c r="BE20" t="n">
        <v>236</v>
      </c>
      <c r="BF20" t="inlineStr">
        <is>
          <t>unknown</t>
        </is>
      </c>
      <c r="BG20" t="inlineStr">
        <is>
          <t>unknown</t>
        </is>
      </c>
      <c r="BH20" t="inlineStr">
        <is>
          <t>disagree</t>
        </is>
      </c>
      <c r="BI20" t="inlineStr">
        <is>
          <t>https://www.builtinnyc.com/company/butterfly-network-inc/offices</t>
        </is>
      </c>
      <c r="BJ20" t="inlineStr">
        <is>
          <t>https://www.reveliolabs.com/companies/butterfly-network/employees</t>
        </is>
      </c>
      <c r="BK20" t="inlineStr">
        <is>
          <t>le500</t>
        </is>
      </c>
      <c r="BL20" t="inlineStr">
        <is>
          <t>Burlington</t>
        </is>
      </c>
      <c r="BM20" t="inlineStr">
        <is>
          <t>N</t>
        </is>
      </c>
      <c r="BN20" t="inlineStr">
        <is>
          <t>unknown</t>
        </is>
      </c>
      <c r="BO20" t="inlineStr">
        <is>
          <t>unknown</t>
        </is>
      </c>
      <c r="BP20" t="n">
        <v>10010</v>
      </c>
      <c r="BQ20" t="n">
        <v>40.743309</v>
      </c>
      <c r="BR20" t="n">
        <v>-73.987329</v>
      </c>
      <c r="BS20" t="inlineStr">
        <is>
          <t>Y</t>
        </is>
      </c>
      <c r="BT20" t="n">
        <v>0</v>
      </c>
      <c r="BU20" t="inlineStr">
        <is>
          <t>B-B-065</t>
        </is>
      </c>
      <c r="BV20" t="inlineStr">
        <is>
          <t>11 East 26th Street (Rockrose; joined to 15 East 26th Street)</t>
        </is>
      </c>
      <c r="BW20" t="inlineStr">
        <is>
          <t>https://commercialobserver.com/2025/09/activate-consulting-doubles-its-nomad-footprint/</t>
        </is>
      </c>
      <c r="BX20" t="inlineStr">
        <is>
          <t>2025-09-30</t>
        </is>
      </c>
      <c r="BY20" t="inlineStr">
        <is>
          <t>leasing-press</t>
        </is>
      </c>
      <c r="BZ20" t="inlineStr">
        <is>
          <t>https://www.builtinnyc.com/company/butterfly-network-inc/offices</t>
        </is>
      </c>
      <c r="CA20" t="inlineStr">
        <is>
          <t>2026-10-23</t>
        </is>
      </c>
      <c r="CB20" t="inlineStr"/>
      <c r="CC20" t="inlineStr">
        <is>
          <t>high</t>
        </is>
      </c>
      <c r="CD20" t="inlineStr"/>
      <c r="CE20" t="inlineStr">
        <is>
          <t>N</t>
        </is>
      </c>
      <c r="CF20" t="inlineStr"/>
      <c r="CG20" t="inlineStr"/>
      <c r="CH20" t="inlineStr">
        <is>
          <t>unknown</t>
        </is>
      </c>
      <c r="CI20" t="inlineStr"/>
      <c r="CJ20" t="inlineStr">
        <is>
          <t>unknown</t>
        </is>
      </c>
      <c r="CK20" t="inlineStr">
        <is>
          <t>N</t>
        </is>
      </c>
      <c r="CL20" t="inlineStr">
        <is>
          <t>w York office at '11 E 26th Street, Floor 7 &amp; 8' (HQ Burlington MA), 443 total employees, on-site 5 days a week. CO lists it among building t</t>
        </is>
      </c>
      <c r="CM20" t="inlineStr">
        <is>
          <t>https://www.builtinnyc.com/company/butterfly-network-inc/offices</t>
        </is>
      </c>
      <c r="CN20" t="inlineStr">
        <is>
          <t>2026-10-23</t>
        </is>
      </c>
      <c r="CO20" t="n">
        <v>49</v>
      </c>
      <c r="CP20" t="inlineStr">
        <is>
          <t>may be under 30;may exceed 250</t>
        </is>
      </c>
      <c r="CQ20" t="inlineStr">
        <is>
          <t>443 (Built In) and 236 (Revelio Labs) staff (whole-company count) x 5% to 100% of them in the New York office (HQ outside New York; share assumed) x 67% (Partnership for NYC, firms under 500) in on a weekday = 8 to 297, central 49; low confidence; estimate until intake replaces it.</t>
        </is>
      </c>
      <c r="CR20" t="inlineStr">
        <is>
          <t>estimate until intake replaces it</t>
        </is>
      </c>
      <c r="CS20" t="n">
        <v>0.51</v>
      </c>
      <c r="CT20" t="n">
        <v>62.7</v>
      </c>
      <c r="CU20" t="n">
        <v>12.7</v>
      </c>
      <c r="CV20" t="n">
        <v>15</v>
      </c>
      <c r="CW20" t="n">
        <v>15</v>
      </c>
      <c r="CX20" t="n">
        <v>15</v>
      </c>
      <c r="CY20" t="n">
        <v>5</v>
      </c>
      <c r="CZ20" t="n">
        <v>0</v>
      </c>
      <c r="DA20" t="inlineStr"/>
      <c r="DB20" t="inlineStr"/>
      <c r="DC20" t="inlineStr"/>
      <c r="DD20" t="inlineStr"/>
      <c r="DE20" t="inlineStr"/>
      <c r="DF20" t="inlineStr">
        <is>
          <t>none</t>
        </is>
      </c>
      <c r="DG20" t="inlineStr">
        <is>
          <t>candidate</t>
        </is>
      </c>
      <c r="DH20" t="inlineStr"/>
      <c r="DI20" t="inlineStr"/>
      <c r="DJ20" t="inlineStr"/>
      <c r="DK20" t="inlineStr">
        <is>
          <t>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20" t="inlineStr"/>
      <c r="DM20" t="inlineStr">
        <is>
          <t>Katie Gowryluk</t>
        </is>
      </c>
      <c r="DN20" t="inlineStr">
        <is>
          <t>2025-05-22</t>
        </is>
      </c>
      <c r="DO20" t="inlineStr">
        <is>
          <t>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is>
      </c>
      <c r="DP20" t="inlineStr"/>
      <c r="DQ20" t="inlineStr"/>
      <c r="DR20" t="inlineStr"/>
      <c r="DS20" t="inlineStr">
        <is>
          <t>none</t>
        </is>
      </c>
      <c r="DT20" t="inlineStr"/>
      <c r="DU20" t="inlineStr"/>
      <c r="DV20" t="inlineStr"/>
      <c r="DW20" t="inlineStr"/>
      <c r="DX20" t="inlineStr">
        <is>
          <t>Y</t>
        </is>
      </c>
      <c r="DY20" t="inlineStr">
        <is>
          <t>likely</t>
        </is>
      </c>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f>IF(ISNUMBER(MATCH(U20,{"queued","contacted","replied","call_booked","call_done","yes_in_principle","materials_sent"},0)),"Y","N")</f>
        <v/>
      </c>
      <c r="ES20">
        <f>IF(COUNTIFS($AP$2:$AP$1000,AP20,$ER$2:$ER$1000,"Y")+COUNTIFS($AP$2:$AP$1000,AP20,$T$2:$T$1000,"Y")&gt;0,"Y","N")</f>
        <v/>
      </c>
      <c r="ET20">
        <f>IF(AND(U20="new",T20="N",AT20="Y",AS20="",ES20="N"),"Y","N")</f>
        <v/>
      </c>
      <c r="EU20">
        <f>IF(ET20&lt;&gt;"Y","N",IF(COUNTIFS($AP$2:$AP$1000,AP20,$ET$2:$ET$1000,"Y",$J$2:$J$1000,"&gt;"&amp;J20)+COUNTIFS($AP$2:$AP$1000,AP20,$ET$2:$ET$1000,"Y",$J$2:$J$1000,J20,$EW$2:$EW$1000,"&lt;"&amp;EW20)=0,"Y","N"))</f>
        <v/>
      </c>
      <c r="EV20">
        <f>IF(Y20="","N",IF(Y20&lt;=10,"Y","N"))</f>
        <v/>
      </c>
      <c r="EW20">
        <f>ROW()-1</f>
        <v/>
      </c>
    </row>
    <row r="21">
      <c r="A21" t="inlineStr">
        <is>
          <t>AO-C-098</t>
        </is>
      </c>
      <c r="B21" t="inlineStr">
        <is>
          <t>BrainPOP</t>
        </is>
      </c>
      <c r="C21" t="inlineStr">
        <is>
          <t>Lilly</t>
        </is>
      </c>
      <c r="D21" t="inlineStr">
        <is>
          <t>Santiago</t>
        </is>
      </c>
      <c r="E21" t="inlineStr">
        <is>
          <t>Executive Assistant to Chief Executive Officer/Office Coordinator</t>
        </is>
      </c>
      <c r="F21" t="inlineStr"/>
      <c r="G21" t="inlineStr"/>
      <c r="H21" t="inlineStr">
        <is>
          <t>none</t>
        </is>
      </c>
      <c r="I21" t="inlineStr">
        <is>
          <t>linkedin</t>
        </is>
      </c>
      <c r="J21" t="n">
        <v>61</v>
      </c>
      <c r="K21" t="inlineStr">
        <is>
          <t>Tuesday estimate 75 to 151 (low confidence), under 500 staff company-wide with a named parent (Kirkbi A/S), hybrid (days not stated), occupied at a medium-confidence address; adjacent contact named (Executive Assistant to Chief Executive Officer/Office Coordinator).</t>
        </is>
      </c>
      <c r="L21" t="inlineStr">
        <is>
          <t>76-150</t>
        </is>
      </c>
      <c r="M21" t="inlineStr"/>
      <c r="N21" t="inlineStr"/>
      <c r="O21" t="inlineStr"/>
      <c r="P21" t="inlineStr"/>
      <c r="Q21" t="inlineStr"/>
      <c r="R21" t="inlineStr">
        <is>
          <t>N</t>
        </is>
      </c>
      <c r="S21" t="inlineStr">
        <is>
          <t>unknown</t>
        </is>
      </c>
      <c r="T21" t="inlineStr">
        <is>
          <t>N</t>
        </is>
      </c>
      <c r="U21" t="inlineStr">
        <is>
          <t>new</t>
        </is>
      </c>
      <c r="V21" t="inlineStr">
        <is>
          <t>https://www.brainpop.com/discover/terms-of-use</t>
        </is>
      </c>
      <c r="W21" t="inlineStr">
        <is>
          <t>2026-10-23</t>
        </is>
      </c>
      <c r="X21" t="inlineStr">
        <is>
          <t>office</t>
        </is>
      </c>
      <c r="Y21" t="n">
        <v>14</v>
      </c>
      <c r="Z21" t="n">
        <v>20</v>
      </c>
      <c r="AA21" t="inlineStr">
        <is>
          <t>Y</t>
        </is>
      </c>
      <c r="AB21" t="inlineStr">
        <is>
          <t>find Lilly Santiago at BrainPOP on LinkedIn and paste the profile URL (this also confirms the name: The Org is crowd-edited); check Lilly works from the New York office; adjacent title: ask who runs the pantry</t>
        </is>
      </c>
      <c r="AC21" t="inlineStr">
        <is>
          <t>pantry or office lead (primary)</t>
        </is>
      </c>
      <c r="AD21" t="inlineStr">
        <is>
          <t>verified-page</t>
        </is>
      </c>
      <c r="AE21" t="inlineStr">
        <is>
          <t>The Org (crowd-edited org chart)</t>
        </is>
      </c>
      <c r="AF21" t="inlineStr">
        <is>
          <t>https://theorg.com/org/brainpop/person/lilly-santiago</t>
        </is>
      </c>
      <c r="AG21" t="inlineStr">
        <is>
          <t>2026-10-24</t>
        </is>
      </c>
      <c r="AH21" t="inlineStr">
        <is>
          <t>adjacent</t>
        </is>
      </c>
      <c r="AI21" t="inlineStr">
        <is>
          <t>71 West 23rd Street</t>
        </is>
      </c>
      <c r="AJ21" t="n">
        <v>17</v>
      </c>
      <c r="AK21" t="inlineStr">
        <is>
          <t>occupied</t>
        </is>
      </c>
      <c r="AL21" t="n">
        <v>75</v>
      </c>
      <c r="AM21" t="n">
        <v>151</v>
      </c>
      <c r="AN21" t="inlineStr">
        <is>
          <t>low</t>
        </is>
      </c>
      <c r="AO21" t="inlineStr">
        <is>
          <t>hybrid-unspecified</t>
        </is>
      </c>
      <c r="AP21" t="inlineStr">
        <is>
          <t>AO-C-098</t>
        </is>
      </c>
      <c r="AQ21" t="inlineStr">
        <is>
          <t>N</t>
        </is>
      </c>
      <c r="AR21" t="inlineStr"/>
      <c r="AS21" t="inlineStr"/>
      <c r="AT21" t="inlineStr">
        <is>
          <t>Y</t>
        </is>
      </c>
      <c r="AU21" t="inlineStr"/>
      <c r="AV21" t="inlineStr"/>
      <c r="AW21" t="inlineStr">
        <is>
          <t>N</t>
        </is>
      </c>
      <c r="AX21" t="inlineStr">
        <is>
          <t>pass</t>
        </is>
      </c>
      <c r="AY21" t="inlineStr">
        <is>
          <t>passes all hard gates</t>
        </is>
      </c>
      <c r="AZ21" t="inlineStr">
        <is>
          <t>company</t>
        </is>
      </c>
      <c r="BA21" t="inlineStr">
        <is>
          <t>B-C-098</t>
        </is>
      </c>
      <c r="BB21" t="inlineStr">
        <is>
          <t>https://www.brainpop.com/</t>
        </is>
      </c>
      <c r="BC21" t="inlineStr">
        <is>
          <t>Education technology</t>
        </is>
      </c>
      <c r="BD21" t="n">
        <v>225</v>
      </c>
      <c r="BE21" t="inlineStr"/>
      <c r="BF21" t="inlineStr">
        <is>
          <t>151-250</t>
        </is>
      </c>
      <c r="BG21" t="inlineStr">
        <is>
          <t>whole-company</t>
        </is>
      </c>
      <c r="BH21" t="inlineStr">
        <is>
          <t>single-source</t>
        </is>
      </c>
      <c r="BI21" t="inlineStr">
        <is>
          <t>https://www.builtinnyc.com/company/brainpop/offices</t>
        </is>
      </c>
      <c r="BJ21" t="inlineStr"/>
      <c r="BK21" t="inlineStr">
        <is>
          <t>le500</t>
        </is>
      </c>
      <c r="BL21" t="inlineStr">
        <is>
          <t>New York</t>
        </is>
      </c>
      <c r="BM21" t="inlineStr">
        <is>
          <t>Y</t>
        </is>
      </c>
      <c r="BN21" t="inlineStr">
        <is>
          <t>Kirkbi A/S</t>
        </is>
      </c>
      <c r="BO21" t="inlineStr">
        <is>
          <t>unknown</t>
        </is>
      </c>
      <c r="BP21" t="n">
        <v>10010</v>
      </c>
      <c r="BQ21" t="n">
        <v>40.743043</v>
      </c>
      <c r="BR21" t="n">
        <v>-73.99233</v>
      </c>
      <c r="BS21" t="inlineStr">
        <is>
          <t>Y</t>
        </is>
      </c>
      <c r="BT21" t="n">
        <v>0</v>
      </c>
      <c r="BU21" t="inlineStr">
        <is>
          <t>B-B-048</t>
        </is>
      </c>
      <c r="BV21" t="inlineStr">
        <is>
          <t>71 West 23rd Street</t>
        </is>
      </c>
      <c r="BW21" t="inlineStr">
        <is>
          <t>https://www.brainpop.com/discover/terms-of-use</t>
        </is>
      </c>
      <c r="BX21" t="inlineStr">
        <is>
          <t>2026-10-24</t>
        </is>
      </c>
      <c r="BY21" t="inlineStr">
        <is>
          <t>company-site</t>
        </is>
      </c>
      <c r="BZ21" t="inlineStr">
        <is>
          <t>https://www.builtinnyc.com/company/brainpop/offices</t>
        </is>
      </c>
      <c r="CA21" t="inlineStr">
        <is>
          <t>2026-10-24</t>
        </is>
      </c>
      <c r="CB21" t="inlineStr"/>
      <c r="CC21" t="inlineStr">
        <is>
          <t>medium</t>
        </is>
      </c>
      <c r="CD21" t="inlineStr"/>
      <c r="CE21" t="inlineStr">
        <is>
          <t>N</t>
        </is>
      </c>
      <c r="CF21" t="inlineStr"/>
      <c r="CG21" t="inlineStr"/>
      <c r="CH21" t="inlineStr">
        <is>
          <t>unknown</t>
        </is>
      </c>
      <c r="CI21" t="inlineStr"/>
      <c r="CJ21" t="inlineStr">
        <is>
          <t>unknown</t>
        </is>
      </c>
      <c r="CK21" t="inlineStr">
        <is>
          <t>N</t>
        </is>
      </c>
      <c r="CL21" t="inlineStr">
        <is>
          <t>Built In workplace type: Hybrid Workplace; typical time on-site: Flexible</t>
        </is>
      </c>
      <c r="CM21" t="inlineStr">
        <is>
          <t>https://www.builtinnyc.com/company/brainpop/offices</t>
        </is>
      </c>
      <c r="CN21" t="inlineStr">
        <is>
          <t>2026-10-24</t>
        </is>
      </c>
      <c r="CO21" t="n">
        <v>106</v>
      </c>
      <c r="CP21" t="inlineStr"/>
      <c r="CQ21" t="inlineStr">
        <is>
          <t>225 (Built In) staff (whole-company count) x 50% to 100% of them in the New York office (HQ New York; share assumed) x 67% (Partnership for NYC, firms under 500) in on a weekday = 75 to 151, central 106; low confidence; estimate until intake replaces it.</t>
        </is>
      </c>
      <c r="CR21" t="inlineStr">
        <is>
          <t>estimate until intake replaces it</t>
        </is>
      </c>
      <c r="CS21" t="n">
        <v>1</v>
      </c>
      <c r="CT21" t="n">
        <v>61</v>
      </c>
      <c r="CU21" t="n">
        <v>25</v>
      </c>
      <c r="CV21" t="n">
        <v>11</v>
      </c>
      <c r="CW21" t="n">
        <v>7</v>
      </c>
      <c r="CX21" t="n">
        <v>13</v>
      </c>
      <c r="CY21" t="n">
        <v>5</v>
      </c>
      <c r="CZ21" t="n">
        <v>0</v>
      </c>
      <c r="DA21" t="inlineStr">
        <is>
          <t>Crystal</t>
        </is>
      </c>
      <c r="DB21" t="inlineStr">
        <is>
          <t>Spence</t>
        </is>
      </c>
      <c r="DC21" t="inlineStr">
        <is>
          <t>Operations Lead, Office of CEO</t>
        </is>
      </c>
      <c r="DD21" t="inlineStr"/>
      <c r="DE21" t="inlineStr"/>
      <c r="DF21" t="inlineStr">
        <is>
          <t>none</t>
        </is>
      </c>
      <c r="DG21" t="inlineStr">
        <is>
          <t>candidate</t>
        </is>
      </c>
      <c r="DH21" t="inlineStr"/>
      <c r="DI21" t="inlineStr"/>
      <c r="DJ21" t="inlineStr"/>
      <c r="DK21" t="inlineStr">
        <is>
          <t>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is>
      </c>
      <c r="DL21" t="inlineStr"/>
      <c r="DM21" t="inlineStr">
        <is>
          <t>Lilly Santiago</t>
        </is>
      </c>
      <c r="DN21" t="inlineStr">
        <is>
          <t>2026-02-12</t>
        </is>
      </c>
      <c r="DO21" t="inlineStr">
        <is>
          <t>ny_base=unconfirmed (The Org location says only 'United States', no office attached; BrainPOP HQ is New York); title_fit=family (EA to CEO and office coordinator; The Org shows her reporting to the CEO, Lorin Thomas-Tavel). The Org updated 2026-02-12.</t>
        </is>
      </c>
      <c r="DP21" t="inlineStr"/>
      <c r="DQ21" t="inlineStr">
        <is>
          <t>pantry or office lead (backup)</t>
        </is>
      </c>
      <c r="DR21" t="inlineStr">
        <is>
          <t>Crystal Spence</t>
        </is>
      </c>
      <c r="DS21" t="inlineStr">
        <is>
          <t>verified-page</t>
        </is>
      </c>
      <c r="DT21" t="inlineStr">
        <is>
          <t>The Org (crowd-edited org chart)</t>
        </is>
      </c>
      <c r="DU21" t="inlineStr">
        <is>
          <t>https://theorg.com/org/brainpop/person/crystal-spence</t>
        </is>
      </c>
      <c r="DV21" t="inlineStr">
        <is>
          <t>2026-01-20</t>
        </is>
      </c>
      <c r="DW21" t="inlineStr">
        <is>
          <t>ny_base=confirmed (The Org attaches the role to BrainPOP's New York HQ office); title_fit=variant (office of the CEO). The Org updated 2026-01-20.</t>
        </is>
      </c>
      <c r="DX21" t="inlineStr">
        <is>
          <t>Y</t>
        </is>
      </c>
      <c r="DY21" t="inlineStr">
        <is>
          <t>unconfirmed</t>
        </is>
      </c>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f>IF(ISNUMBER(MATCH(U21,{"queued","contacted","replied","call_booked","call_done","yes_in_principle","materials_sent"},0)),"Y","N")</f>
        <v/>
      </c>
      <c r="ES21">
        <f>IF(COUNTIFS($AP$2:$AP$1000,AP21,$ER$2:$ER$1000,"Y")+COUNTIFS($AP$2:$AP$1000,AP21,$T$2:$T$1000,"Y")&gt;0,"Y","N")</f>
        <v/>
      </c>
      <c r="ET21">
        <f>IF(AND(U21="new",T21="N",AT21="Y",AS21="",ES21="N"),"Y","N")</f>
        <v/>
      </c>
      <c r="EU21">
        <f>IF(ET21&lt;&gt;"Y","N",IF(COUNTIFS($AP$2:$AP$1000,AP21,$ET$2:$ET$1000,"Y",$J$2:$J$1000,"&gt;"&amp;J21)+COUNTIFS($AP$2:$AP$1000,AP21,$ET$2:$ET$1000,"Y",$J$2:$J$1000,J21,$EW$2:$EW$1000,"&lt;"&amp;EW21)=0,"Y","N"))</f>
        <v/>
      </c>
      <c r="EV21">
        <f>IF(Y21="","N",IF(Y21&lt;=10,"Y","N"))</f>
        <v/>
      </c>
      <c r="EW21">
        <f>ROW()-1</f>
        <v/>
      </c>
    </row>
    <row r="22">
      <c r="A22" t="inlineStr">
        <is>
          <t>AO-C-061</t>
        </is>
      </c>
      <c r="B22" t="inlineStr">
        <is>
          <t>Daily Harvest</t>
        </is>
      </c>
      <c r="C22" t="inlineStr">
        <is>
          <t>Jessica</t>
        </is>
      </c>
      <c r="D22" t="inlineStr">
        <is>
          <t>Lawson</t>
        </is>
      </c>
      <c r="E22" t="inlineStr">
        <is>
          <t>Chief of Staff</t>
        </is>
      </c>
      <c r="F22" t="inlineStr"/>
      <c r="G22" t="inlineStr"/>
      <c r="H22" t="inlineStr">
        <is>
          <t>none</t>
        </is>
      </c>
      <c r="I22" t="inlineStr">
        <is>
          <t>linkedin</t>
        </is>
      </c>
      <c r="J22" t="n">
        <v>61</v>
      </c>
      <c r="K22" t="inlineStr">
        <is>
          <t>Tuesday estimate 89 to 179 (low confidence), under 500 staff company-wide with a named parent (Chobani), on-site 5 days a week per its profile, occupancy-unconfirmed at a low-confidence address; adjacent contact named (Chief of Staff).</t>
        </is>
      </c>
      <c r="L22" t="inlineStr">
        <is>
          <t>76-150</t>
        </is>
      </c>
      <c r="M22" t="inlineStr"/>
      <c r="N22" t="inlineStr"/>
      <c r="O22" t="inlineStr"/>
      <c r="P22" t="inlineStr"/>
      <c r="Q22" t="inlineStr"/>
      <c r="R22" t="inlineStr">
        <is>
          <t>N</t>
        </is>
      </c>
      <c r="S22" t="inlineStr">
        <is>
          <t>unknown</t>
        </is>
      </c>
      <c r="T22" t="inlineStr">
        <is>
          <t>N</t>
        </is>
      </c>
      <c r="U22" t="inlineStr">
        <is>
          <t>new</t>
        </is>
      </c>
      <c r="V22" t="inlineStr">
        <is>
          <t>https://www.builtinnyc.com/company/daily-harvest/offices</t>
        </is>
      </c>
      <c r="W22" t="inlineStr">
        <is>
          <t>2026-10-23</t>
        </is>
      </c>
      <c r="X22" t="inlineStr">
        <is>
          <t>office</t>
        </is>
      </c>
      <c r="Y22" t="n">
        <v>15</v>
      </c>
      <c r="Z22" t="n">
        <v>21</v>
      </c>
      <c r="AA22" t="inlineStr">
        <is>
          <t>Y</t>
        </is>
      </c>
      <c r="AB22" t="inlineStr">
        <is>
          <t>find Jessica Lawson at Daily Harvest on LinkedIn and paste the profile URL (this also confirms the name: The Org is crowd-edited); the source is dated 2024-03-04: check Jessica still holds the role; check Jessica works from the New York office; adjacent title: ask who runs the pantry</t>
        </is>
      </c>
      <c r="AC22" t="inlineStr">
        <is>
          <t>pantry or office lead (primary)</t>
        </is>
      </c>
      <c r="AD22" t="inlineStr">
        <is>
          <t>verified-page</t>
        </is>
      </c>
      <c r="AE22" t="inlineStr">
        <is>
          <t>The Org (crowd-edited org chart)</t>
        </is>
      </c>
      <c r="AF22" t="inlineStr">
        <is>
          <t>https://theorg.com/org/daily-harvest/person/jessica-lawson</t>
        </is>
      </c>
      <c r="AG22" t="inlineStr">
        <is>
          <t>2026-10-24</t>
        </is>
      </c>
      <c r="AH22" t="inlineStr">
        <is>
          <t>adjacent</t>
        </is>
      </c>
      <c r="AI22" t="inlineStr">
        <is>
          <t>37 West 20th Street</t>
        </is>
      </c>
      <c r="AJ22" t="inlineStr">
        <is>
          <t>unknown</t>
        </is>
      </c>
      <c r="AK22" t="inlineStr">
        <is>
          <t>occupancy-unconfirmed</t>
        </is>
      </c>
      <c r="AL22" t="n">
        <v>89</v>
      </c>
      <c r="AM22" t="n">
        <v>179</v>
      </c>
      <c r="AN22" t="inlineStr">
        <is>
          <t>low</t>
        </is>
      </c>
      <c r="AO22" t="inlineStr">
        <is>
          <t>in-office-5</t>
        </is>
      </c>
      <c r="AP22" t="inlineStr">
        <is>
          <t>AO-C-061</t>
        </is>
      </c>
      <c r="AQ22" t="inlineStr">
        <is>
          <t>N</t>
        </is>
      </c>
      <c r="AR22" t="inlineStr"/>
      <c r="AS22" t="inlineStr"/>
      <c r="AT22" t="inlineStr">
        <is>
          <t>Y</t>
        </is>
      </c>
      <c r="AU22" t="inlineStr"/>
      <c r="AV22" t="inlineStr"/>
      <c r="AW22" t="inlineStr">
        <is>
          <t>N</t>
        </is>
      </c>
      <c r="AX22" t="inlineStr">
        <is>
          <t>pass</t>
        </is>
      </c>
      <c r="AY22" t="inlineStr">
        <is>
          <t>passes all hard gates</t>
        </is>
      </c>
      <c r="AZ22" t="inlineStr">
        <is>
          <t>company</t>
        </is>
      </c>
      <c r="BA22" t="inlineStr">
        <is>
          <t>B-C-061</t>
        </is>
      </c>
      <c r="BB22" t="inlineStr">
        <is>
          <t>https://www.daily-harvest.com</t>
        </is>
      </c>
      <c r="BC22" t="inlineStr">
        <is>
          <t>food brand (frozen meals, DTC)</t>
        </is>
      </c>
      <c r="BD22" t="n">
        <v>267</v>
      </c>
      <c r="BE22" t="inlineStr"/>
      <c r="BF22" t="inlineStr">
        <is>
          <t>251-500</t>
        </is>
      </c>
      <c r="BG22" t="inlineStr">
        <is>
          <t>whole-company</t>
        </is>
      </c>
      <c r="BH22" t="inlineStr">
        <is>
          <t>single-source</t>
        </is>
      </c>
      <c r="BI22" t="inlineStr">
        <is>
          <t>https://www.builtinnyc.com/company/daily-harvest</t>
        </is>
      </c>
      <c r="BJ22" t="inlineStr"/>
      <c r="BK22" t="inlineStr">
        <is>
          <t>le500</t>
        </is>
      </c>
      <c r="BL22" t="inlineStr">
        <is>
          <t>New York</t>
        </is>
      </c>
      <c r="BM22" t="inlineStr">
        <is>
          <t>Y</t>
        </is>
      </c>
      <c r="BN22" t="inlineStr">
        <is>
          <t>Chobani</t>
        </is>
      </c>
      <c r="BO22" t="inlineStr">
        <is>
          <t>unknown</t>
        </is>
      </c>
      <c r="BP22" t="n">
        <v>10011</v>
      </c>
      <c r="BQ22" t="n">
        <v>40.740813</v>
      </c>
      <c r="BR22" t="n">
        <v>-73.99310699999999</v>
      </c>
      <c r="BS22" t="inlineStr">
        <is>
          <t>Y</t>
        </is>
      </c>
      <c r="BT22" t="n">
        <v>0</v>
      </c>
      <c r="BU22" t="inlineStr">
        <is>
          <t>B-B-030</t>
        </is>
      </c>
      <c r="BV22" t="inlineStr">
        <is>
          <t>37 West 20th Street</t>
        </is>
      </c>
      <c r="BW22" t="inlineStr">
        <is>
          <t>https://www.builtinnyc.com/company/daily-harvest/offices</t>
        </is>
      </c>
      <c r="BX22" t="inlineStr">
        <is>
          <t>2026-10-23</t>
        </is>
      </c>
      <c r="BY22" t="inlineStr">
        <is>
          <t>builtin</t>
        </is>
      </c>
      <c r="BZ22" t="inlineStr"/>
      <c r="CA22" t="inlineStr"/>
      <c r="CB22" t="inlineStr"/>
      <c r="CC22" t="inlineStr">
        <is>
          <t>low</t>
        </is>
      </c>
      <c r="CD22" t="inlineStr"/>
      <c r="CE22" t="inlineStr">
        <is>
          <t>N</t>
        </is>
      </c>
      <c r="CF22" t="inlineStr"/>
      <c r="CG22" t="inlineStr"/>
      <c r="CH22" t="inlineStr">
        <is>
          <t>security desk</t>
        </is>
      </c>
      <c r="CI22" t="inlineStr">
        <is>
          <t>https://www.metro-manhattan.com/buildings/37-west-20th-street-office-space-for-lease/</t>
        </is>
      </c>
      <c r="CJ22" t="inlineStr">
        <is>
          <t>unknown</t>
        </is>
      </c>
      <c r="CK22" t="inlineStr">
        <is>
          <t>N</t>
        </is>
      </c>
      <c r="CL22" t="inlineStr">
        <is>
          <t>Built In lists HQ at 37 West 20th Street and an on-site workplace, typical time on-site 5 days a week. Built In shows 267 total emp</t>
        </is>
      </c>
      <c r="CM22" t="inlineStr">
        <is>
          <t>https://www.builtinnyc.com/company/daily-harvest</t>
        </is>
      </c>
      <c r="CN22" t="inlineStr">
        <is>
          <t>2026-10-23</t>
        </is>
      </c>
      <c r="CO22" t="n">
        <v>126</v>
      </c>
      <c r="CP22" t="inlineStr"/>
      <c r="CQ22" t="inlineStr">
        <is>
          <t>267 (Built In) staff (whole-company count) x 50% to 100% of them in the New York office (HQ New York; share assumed) x 67% (Partnership for NYC, firms under 500) in on a weekday = 89 to 179, central 126; low confidence; estimate until intake replaces it.</t>
        </is>
      </c>
      <c r="CR22" t="inlineStr">
        <is>
          <t>estimate until intake replaces it</t>
        </is>
      </c>
      <c r="CS22" t="n">
        <v>1</v>
      </c>
      <c r="CT22" t="n">
        <v>61</v>
      </c>
      <c r="CU22" t="n">
        <v>25</v>
      </c>
      <c r="CV22" t="n">
        <v>11</v>
      </c>
      <c r="CW22" t="n">
        <v>15</v>
      </c>
      <c r="CX22" t="n">
        <v>5</v>
      </c>
      <c r="CY22" t="n">
        <v>5</v>
      </c>
      <c r="CZ22" t="n">
        <v>0</v>
      </c>
      <c r="DA22" t="inlineStr"/>
      <c r="DB22" t="inlineStr"/>
      <c r="DC22" t="inlineStr"/>
      <c r="DD22" t="inlineStr"/>
      <c r="DE22" t="inlineStr"/>
      <c r="DF22" t="inlineStr">
        <is>
          <t>none</t>
        </is>
      </c>
      <c r="DG22" t="inlineStr">
        <is>
          <t>candidate</t>
        </is>
      </c>
      <c r="DH22" t="inlineStr"/>
      <c r="DI22" t="inlineStr"/>
      <c r="DJ22" t="inlineStr"/>
      <c r="DK22" t="inlineStr">
        <is>
          <t>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L22" t="inlineStr"/>
      <c r="DM22" t="inlineStr">
        <is>
          <t>Jessica Lawson</t>
        </is>
      </c>
      <c r="DN22" t="inlineStr">
        <is>
          <t>2024-03-04</t>
        </is>
      </c>
      <c r="DO22" t="inlineStr">
        <is>
          <t>ny_base=unconfirmed (no location or office on The Org); title_fit=variant (chief of staff). The Org last updated 2024-03-04, so this may be stale: founder to confirm. The Org's Daily Harvest office record is 1115 Broadway; B has 37 West 20th Street (occupancy-unconfirmed).</t>
        </is>
      </c>
      <c r="DP22" t="inlineStr"/>
      <c r="DQ22" t="inlineStr"/>
      <c r="DR22" t="inlineStr"/>
      <c r="DS22" t="inlineStr">
        <is>
          <t>none</t>
        </is>
      </c>
      <c r="DT22" t="inlineStr"/>
      <c r="DU22" t="inlineStr"/>
      <c r="DV22" t="inlineStr"/>
      <c r="DW22" t="inlineStr"/>
      <c r="DX22" t="inlineStr">
        <is>
          <t>Y</t>
        </is>
      </c>
      <c r="DY22" t="inlineStr">
        <is>
          <t>unconfirmed</t>
        </is>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f>IF(ISNUMBER(MATCH(U22,{"queued","contacted","replied","call_booked","call_done","yes_in_principle","materials_sent"},0)),"Y","N")</f>
        <v/>
      </c>
      <c r="ES22">
        <f>IF(COUNTIFS($AP$2:$AP$1000,AP22,$ER$2:$ER$1000,"Y")+COUNTIFS($AP$2:$AP$1000,AP22,$T$2:$T$1000,"Y")&gt;0,"Y","N")</f>
        <v/>
      </c>
      <c r="ET22">
        <f>IF(AND(U22="new",T22="N",AT22="Y",AS22="",ES22="N"),"Y","N")</f>
        <v/>
      </c>
      <c r="EU22">
        <f>IF(ET22&lt;&gt;"Y","N",IF(COUNTIFS($AP$2:$AP$1000,AP22,$ET$2:$ET$1000,"Y",$J$2:$J$1000,"&gt;"&amp;J22)+COUNTIFS($AP$2:$AP$1000,AP22,$ET$2:$ET$1000,"Y",$J$2:$J$1000,J22,$EW$2:$EW$1000,"&lt;"&amp;EW22)=0,"Y","N"))</f>
        <v/>
      </c>
      <c r="EV22">
        <f>IF(Y22="","N",IF(Y22&lt;=10,"Y","N"))</f>
        <v/>
      </c>
      <c r="EW22">
        <f>ROW()-1</f>
        <v/>
      </c>
    </row>
    <row r="23">
      <c r="A23" t="inlineStr">
        <is>
          <t>AO-C-111</t>
        </is>
      </c>
      <c r="B23" t="inlineStr">
        <is>
          <t>Wellcom Worldwide</t>
        </is>
      </c>
      <c r="C23" t="inlineStr">
        <is>
          <t>Jillian</t>
        </is>
      </c>
      <c r="D23" t="inlineStr">
        <is>
          <t>Cruz</t>
        </is>
      </c>
      <c r="E23" t="inlineStr">
        <is>
          <t>Executive Assistant to Global CEO</t>
        </is>
      </c>
      <c r="F23" t="inlineStr"/>
      <c r="G23" t="inlineStr"/>
      <c r="H23" t="inlineStr">
        <is>
          <t>none</t>
        </is>
      </c>
      <c r="I23" t="inlineStr">
        <is>
          <t>linkedin</t>
        </is>
      </c>
      <c r="J23" t="n">
        <v>61</v>
      </c>
      <c r="K23" t="inlineStr">
        <is>
          <t>Tuesday estimate 113 to 225 (low confidence), under 500 staff company-wide with a named parent (Innocean Worldwide), on-site 5 days a week per its profile, occupancy-unconfirmed at a low-confidence address; adjacent contact named (Executive Assistant to Global CEO).</t>
        </is>
      </c>
      <c r="L23" t="inlineStr">
        <is>
          <t>151-250</t>
        </is>
      </c>
      <c r="M23" t="inlineStr"/>
      <c r="N23" t="inlineStr"/>
      <c r="O23" t="inlineStr"/>
      <c r="P23" t="inlineStr"/>
      <c r="Q23" t="inlineStr"/>
      <c r="R23" t="inlineStr">
        <is>
          <t>N</t>
        </is>
      </c>
      <c r="S23" t="inlineStr">
        <is>
          <t>unknown</t>
        </is>
      </c>
      <c r="T23" t="inlineStr">
        <is>
          <t>N</t>
        </is>
      </c>
      <c r="U23" t="inlineStr">
        <is>
          <t>new</t>
        </is>
      </c>
      <c r="V23" t="inlineStr">
        <is>
          <t>https://commercialobserver.com/2024/08/wellcom-worldwide-signs-24k-sf-lease-16-madison-square-west-manhattan/</t>
        </is>
      </c>
      <c r="W23" t="inlineStr">
        <is>
          <t>2026-10-23</t>
        </is>
      </c>
      <c r="X23" t="inlineStr">
        <is>
          <t>office</t>
        </is>
      </c>
      <c r="Y23" t="n">
        <v>16</v>
      </c>
      <c r="Z23" t="n">
        <v>22</v>
      </c>
      <c r="AA23" t="inlineStr">
        <is>
          <t>Y</t>
        </is>
      </c>
      <c r="AB23" t="inlineStr">
        <is>
          <t>find Jillian Cruz at Wellcom Worldwide on LinkedIn and paste the profile URL (this also confirms the name: The Org is crowd-edited); check Jillian works from the New York office; adjacent title: ask who runs the pantry</t>
        </is>
      </c>
      <c r="AC23" t="inlineStr">
        <is>
          <t>pantry or office lead (primary)</t>
        </is>
      </c>
      <c r="AD23" t="inlineStr">
        <is>
          <t>verified-page</t>
        </is>
      </c>
      <c r="AE23" t="inlineStr">
        <is>
          <t>The Org (crowd-edited org chart)</t>
        </is>
      </c>
      <c r="AF23" t="inlineStr">
        <is>
          <t>https://theorg.com/org/wellcom-worldwide/person/jillian-cruz</t>
        </is>
      </c>
      <c r="AG23" t="inlineStr">
        <is>
          <t>2026-10-24</t>
        </is>
      </c>
      <c r="AH23" t="inlineStr">
        <is>
          <t>adjacent</t>
        </is>
      </c>
      <c r="AI23" t="inlineStr">
        <is>
          <t>16 Madison Square West</t>
        </is>
      </c>
      <c r="AJ23" t="inlineStr">
        <is>
          <t>unknown</t>
        </is>
      </c>
      <c r="AK23" t="inlineStr">
        <is>
          <t>occupancy-unconfirmed</t>
        </is>
      </c>
      <c r="AL23" t="n">
        <v>113</v>
      </c>
      <c r="AM23" t="n">
        <v>225</v>
      </c>
      <c r="AN23" t="inlineStr">
        <is>
          <t>low</t>
        </is>
      </c>
      <c r="AO23" t="inlineStr">
        <is>
          <t>in-office-5</t>
        </is>
      </c>
      <c r="AP23" t="inlineStr">
        <is>
          <t>AO-C-111</t>
        </is>
      </c>
      <c r="AQ23" t="inlineStr">
        <is>
          <t>N</t>
        </is>
      </c>
      <c r="AR23" t="inlineStr"/>
      <c r="AS23" t="inlineStr"/>
      <c r="AT23" t="inlineStr">
        <is>
          <t>Y</t>
        </is>
      </c>
      <c r="AU23" t="inlineStr"/>
      <c r="AV23" t="inlineStr"/>
      <c r="AW23" t="inlineStr">
        <is>
          <t>N</t>
        </is>
      </c>
      <c r="AX23" t="inlineStr">
        <is>
          <t>pass</t>
        </is>
      </c>
      <c r="AY23" t="inlineStr">
        <is>
          <t>passes all hard gates</t>
        </is>
      </c>
      <c r="AZ23" t="inlineStr">
        <is>
          <t>company</t>
        </is>
      </c>
      <c r="BA23" t="inlineStr">
        <is>
          <t>B-C-111</t>
        </is>
      </c>
      <c r="BB23" t="inlineStr">
        <is>
          <t>https://www.wellcomworldwide.com/</t>
        </is>
      </c>
      <c r="BC23" t="inlineStr">
        <is>
          <t>Creative production agency</t>
        </is>
      </c>
      <c r="BD23" t="n">
        <v>336</v>
      </c>
      <c r="BE23" t="inlineStr"/>
      <c r="BF23" t="inlineStr">
        <is>
          <t>251-500</t>
        </is>
      </c>
      <c r="BG23" t="inlineStr">
        <is>
          <t>whole-company</t>
        </is>
      </c>
      <c r="BH23" t="inlineStr">
        <is>
          <t>single-source</t>
        </is>
      </c>
      <c r="BI23" t="inlineStr">
        <is>
          <t>https://www.builtinnyc.com/company/wellcom-worldwide/offices</t>
        </is>
      </c>
      <c r="BJ23" t="inlineStr"/>
      <c r="BK23" t="inlineStr">
        <is>
          <t>le500</t>
        </is>
      </c>
      <c r="BL23" t="inlineStr">
        <is>
          <t>New York</t>
        </is>
      </c>
      <c r="BM23" t="inlineStr">
        <is>
          <t>Y</t>
        </is>
      </c>
      <c r="BN23" t="inlineStr">
        <is>
          <t>Innocean Worldwide</t>
        </is>
      </c>
      <c r="BO23" t="inlineStr">
        <is>
          <t>unknown</t>
        </is>
      </c>
      <c r="BP23" t="n">
        <v>10010</v>
      </c>
      <c r="BQ23" t="n">
        <v>40.743006</v>
      </c>
      <c r="BR23" t="n">
        <v>-73.98947</v>
      </c>
      <c r="BS23" t="inlineStr">
        <is>
          <t>Y</t>
        </is>
      </c>
      <c r="BT23" t="n">
        <v>0</v>
      </c>
      <c r="BU23" t="inlineStr">
        <is>
          <t>B-B-056</t>
        </is>
      </c>
      <c r="BV23" t="inlineStr">
        <is>
          <t>16 Madison Square West / 1115 Broadway (Adams &amp; Company)</t>
        </is>
      </c>
      <c r="BW23" t="inlineStr">
        <is>
          <t>https://commercialobserver.com/2024/08/wellcom-worldwide-signs-24k-sf-lease-16-madison-square-west-manhattan/</t>
        </is>
      </c>
      <c r="BX23" t="inlineStr">
        <is>
          <t>2024-08-27</t>
        </is>
      </c>
      <c r="BY23" t="inlineStr">
        <is>
          <t>leasing-press</t>
        </is>
      </c>
      <c r="BZ23" t="inlineStr">
        <is>
          <t>https://www.builtinnyc.com/company/wellcom-worldwide/offices</t>
        </is>
      </c>
      <c r="CA23" t="inlineStr">
        <is>
          <t>2026-10-23</t>
        </is>
      </c>
      <c r="CB23" t="inlineStr"/>
      <c r="CC23" t="inlineStr">
        <is>
          <t>low</t>
        </is>
      </c>
      <c r="CD23" t="inlineStr"/>
      <c r="CE23" t="inlineStr">
        <is>
          <t>N</t>
        </is>
      </c>
      <c r="CF23" t="inlineStr"/>
      <c r="CG23" t="inlineStr"/>
      <c r="CH23" t="inlineStr">
        <is>
          <t>security desk</t>
        </is>
      </c>
      <c r="CI23" t="inlineStr">
        <is>
          <t>https://www.adamsre.com/collections/madison-square-park/products/16-madison-square-west</t>
        </is>
      </c>
      <c r="CJ23" t="inlineStr">
        <is>
          <t>unknown</t>
        </is>
      </c>
      <c r="CK23" t="inlineStr">
        <is>
          <t>N</t>
        </is>
      </c>
      <c r="CL23" t="inlineStr">
        <is>
          <t>Built In workplace type: OnSite Workplace; typical time on-site: 5 days a week; recent job tags: 2 Hybrid, 1 In-Office</t>
        </is>
      </c>
      <c r="CM23" t="inlineStr">
        <is>
          <t>https://www.builtinnyc.com/company/wellcom-worldwide/offices</t>
        </is>
      </c>
      <c r="CN23" t="inlineStr">
        <is>
          <t>2026-10-24</t>
        </is>
      </c>
      <c r="CO23" t="n">
        <v>159</v>
      </c>
      <c r="CP23" t="inlineStr"/>
      <c r="CQ23" t="inlineStr">
        <is>
          <t>336 (Built In) staff (whole-company count) x 50% to 100% of them in the New York office (HQ New York; share assumed) x 67% (Partnership for NYC, firms under 500) in on a weekday = 113 to 225, central 159; low confidence; estimate until intake replaces it.</t>
        </is>
      </c>
      <c r="CR23" t="inlineStr">
        <is>
          <t>estimate until intake replaces it</t>
        </is>
      </c>
      <c r="CS23" t="n">
        <v>1</v>
      </c>
      <c r="CT23" t="n">
        <v>61</v>
      </c>
      <c r="CU23" t="n">
        <v>25</v>
      </c>
      <c r="CV23" t="n">
        <v>11</v>
      </c>
      <c r="CW23" t="n">
        <v>15</v>
      </c>
      <c r="CX23" t="n">
        <v>5</v>
      </c>
      <c r="CY23" t="n">
        <v>5</v>
      </c>
      <c r="CZ23" t="n">
        <v>0</v>
      </c>
      <c r="DA23" t="inlineStr"/>
      <c r="DB23" t="inlineStr"/>
      <c r="DC23" t="inlineStr"/>
      <c r="DD23" t="inlineStr"/>
      <c r="DE23" t="inlineStr"/>
      <c r="DF23" t="inlineStr">
        <is>
          <t>none</t>
        </is>
      </c>
      <c r="DG23" t="inlineStr">
        <is>
          <t>candidate</t>
        </is>
      </c>
      <c r="DH23" t="inlineStr"/>
      <c r="DI23" t="inlineStr"/>
      <c r="DJ23" t="inlineStr">
        <is>
          <t>24,005 sf</t>
        </is>
      </c>
      <c r="DK23" t="inlineStr">
        <is>
          <t>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L23" t="inlineStr"/>
      <c r="DM23" t="inlineStr">
        <is>
          <t>Jillian Cruz</t>
        </is>
      </c>
      <c r="DN23" t="inlineStr">
        <is>
          <t>2026-08-12</t>
        </is>
      </c>
      <c r="DO23" t="inlineStr">
        <is>
          <t>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is>
      </c>
      <c r="DP23" t="inlineStr"/>
      <c r="DQ23" t="inlineStr"/>
      <c r="DR23" t="inlineStr"/>
      <c r="DS23" t="inlineStr">
        <is>
          <t>none</t>
        </is>
      </c>
      <c r="DT23" t="inlineStr"/>
      <c r="DU23" t="inlineStr"/>
      <c r="DV23" t="inlineStr"/>
      <c r="DW23" t="inlineStr"/>
      <c r="DX23" t="inlineStr">
        <is>
          <t>Y</t>
        </is>
      </c>
      <c r="DY23" t="inlineStr">
        <is>
          <t>unconfirmed</t>
        </is>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f>IF(ISNUMBER(MATCH(U23,{"queued","contacted","replied","call_booked","call_done","yes_in_principle","materials_sent"},0)),"Y","N")</f>
        <v/>
      </c>
      <c r="ES23">
        <f>IF(COUNTIFS($AP$2:$AP$1000,AP23,$ER$2:$ER$1000,"Y")+COUNTIFS($AP$2:$AP$1000,AP23,$T$2:$T$1000,"Y")&gt;0,"Y","N")</f>
        <v/>
      </c>
      <c r="ET23">
        <f>IF(AND(U23="new",T23="N",AT23="Y",AS23="",ES23="N"),"Y","N")</f>
        <v/>
      </c>
      <c r="EU23">
        <f>IF(ET23&lt;&gt;"Y","N",IF(COUNTIFS($AP$2:$AP$1000,AP23,$ET$2:$ET$1000,"Y",$J$2:$J$1000,"&gt;"&amp;J23)+COUNTIFS($AP$2:$AP$1000,AP23,$ET$2:$ET$1000,"Y",$J$2:$J$1000,J23,$EW$2:$EW$1000,"&lt;"&amp;EW23)=0,"Y","N"))</f>
        <v/>
      </c>
      <c r="EV23">
        <f>IF(Y23="","N",IF(Y23&lt;=10,"Y","N"))</f>
        <v/>
      </c>
      <c r="EW23">
        <f>ROW()-1</f>
        <v/>
      </c>
    </row>
    <row r="24">
      <c r="A24" t="inlineStr">
        <is>
          <t>AO-C-101</t>
        </is>
      </c>
      <c r="B24" t="inlineStr">
        <is>
          <t>TripleLift</t>
        </is>
      </c>
      <c r="C24" t="inlineStr">
        <is>
          <t>Abby</t>
        </is>
      </c>
      <c r="D24" t="inlineStr">
        <is>
          <t>Hamilton</t>
        </is>
      </c>
      <c r="E24" t="inlineStr">
        <is>
          <t>Chief People Officer</t>
        </is>
      </c>
      <c r="F24" t="inlineStr"/>
      <c r="G24" t="inlineStr"/>
      <c r="H24" t="inlineStr">
        <is>
          <t>none</t>
        </is>
      </c>
      <c r="I24" t="inlineStr">
        <is>
          <t>linkedin</t>
        </is>
      </c>
      <c r="J24" t="n">
        <v>60.1</v>
      </c>
      <c r="K24" t="inlineStr">
        <is>
          <t>Tuesday estimate 112 to 278 (low confidence), under 500 staff company-wide, hybrid 2 days or fewer, occupied at a medium-confidence address; adjacent contact named (Chief People Officer).</t>
        </is>
      </c>
      <c r="L24" t="inlineStr">
        <is>
          <t>151-250</t>
        </is>
      </c>
      <c r="M24" t="inlineStr"/>
      <c r="N24" t="inlineStr"/>
      <c r="O24" t="inlineStr"/>
      <c r="P24" t="inlineStr"/>
      <c r="Q24" t="inlineStr"/>
      <c r="R24" t="inlineStr">
        <is>
          <t>N</t>
        </is>
      </c>
      <c r="S24" t="inlineStr">
        <is>
          <t>unknown</t>
        </is>
      </c>
      <c r="T24" t="inlineStr">
        <is>
          <t>N</t>
        </is>
      </c>
      <c r="U24" t="inlineStr">
        <is>
          <t>new</t>
        </is>
      </c>
      <c r="V24" t="inlineStr">
        <is>
          <t>https://triplelift.com/contact-us/</t>
        </is>
      </c>
      <c r="W24" t="inlineStr">
        <is>
          <t>2026-10-23</t>
        </is>
      </c>
      <c r="X24" t="inlineStr">
        <is>
          <t>office</t>
        </is>
      </c>
      <c r="Y24" t="n">
        <v>17</v>
      </c>
      <c r="Z24" t="n">
        <v>23</v>
      </c>
      <c r="AA24" t="inlineStr">
        <is>
          <t>Y</t>
        </is>
      </c>
      <c r="AB24" t="inlineStr">
        <is>
          <t>find Abby Hamilton at TripleLift on LinkedIn and paste the profile URL; adjacent title: ask who runs the pantry</t>
        </is>
      </c>
      <c r="AC24" t="inlineStr">
        <is>
          <t>pantry or office lead (primary)</t>
        </is>
      </c>
      <c r="AD24" t="inlineStr">
        <is>
          <t>verified-page</t>
        </is>
      </c>
      <c r="AE24" t="inlineStr">
        <is>
          <t>employer's own site</t>
        </is>
      </c>
      <c r="AF24" t="inlineStr">
        <is>
          <t>https://triplelift.com/about/</t>
        </is>
      </c>
      <c r="AG24" t="inlineStr">
        <is>
          <t>2026-10-24</t>
        </is>
      </c>
      <c r="AH24" t="inlineStr">
        <is>
          <t>adjacent</t>
        </is>
      </c>
      <c r="AI24" t="inlineStr">
        <is>
          <t>53 West 23rd Street</t>
        </is>
      </c>
      <c r="AJ24" t="n">
        <v>12</v>
      </c>
      <c r="AK24" t="inlineStr">
        <is>
          <t>occupied</t>
        </is>
      </c>
      <c r="AL24" t="n">
        <v>112</v>
      </c>
      <c r="AM24" t="n">
        <v>278</v>
      </c>
      <c r="AN24" t="inlineStr">
        <is>
          <t>low</t>
        </is>
      </c>
      <c r="AO24" t="inlineStr">
        <is>
          <t>hybrid-2-or-less</t>
        </is>
      </c>
      <c r="AP24" t="inlineStr">
        <is>
          <t>AO-C-101</t>
        </is>
      </c>
      <c r="AQ24" t="inlineStr">
        <is>
          <t>N</t>
        </is>
      </c>
      <c r="AR24" t="inlineStr"/>
      <c r="AS24" t="inlineStr"/>
      <c r="AT24" t="inlineStr">
        <is>
          <t>Y</t>
        </is>
      </c>
      <c r="AU24" t="inlineStr"/>
      <c r="AV24" t="inlineStr"/>
      <c r="AW24" t="inlineStr">
        <is>
          <t>N</t>
        </is>
      </c>
      <c r="AX24" t="inlineStr">
        <is>
          <t>pass</t>
        </is>
      </c>
      <c r="AY24" t="inlineStr">
        <is>
          <t>passes all hard gates</t>
        </is>
      </c>
      <c r="AZ24" t="inlineStr">
        <is>
          <t>company</t>
        </is>
      </c>
      <c r="BA24" t="inlineStr">
        <is>
          <t>B-C-101</t>
        </is>
      </c>
      <c r="BB24" t="inlineStr">
        <is>
          <t>https://triplelift.com/</t>
        </is>
      </c>
      <c r="BC24" t="inlineStr">
        <is>
          <t>Advertising technology</t>
        </is>
      </c>
      <c r="BD24" t="n">
        <v>335</v>
      </c>
      <c r="BE24" t="n">
        <v>415</v>
      </c>
      <c r="BF24" t="inlineStr">
        <is>
          <t>251-500</t>
        </is>
      </c>
      <c r="BG24" t="inlineStr">
        <is>
          <t>whole-company</t>
        </is>
      </c>
      <c r="BH24" t="inlineStr">
        <is>
          <t>agree</t>
        </is>
      </c>
      <c r="BI24" t="inlineStr">
        <is>
          <t>https://www.builtinnyc.com/company/triplelift/offices</t>
        </is>
      </c>
      <c r="BJ24" t="inlineStr">
        <is>
          <t>https://www.reveliolabs.com/companies/triple-lift/employees</t>
        </is>
      </c>
      <c r="BK24" t="inlineStr">
        <is>
          <t>le500</t>
        </is>
      </c>
      <c r="BL24" t="inlineStr">
        <is>
          <t>New York</t>
        </is>
      </c>
      <c r="BM24" t="inlineStr">
        <is>
          <t>Y</t>
        </is>
      </c>
      <c r="BN24" t="inlineStr">
        <is>
          <t>unknown</t>
        </is>
      </c>
      <c r="BO24" t="inlineStr">
        <is>
          <t>unknown</t>
        </is>
      </c>
      <c r="BP24" t="n">
        <v>10010</v>
      </c>
      <c r="BQ24" t="n">
        <v>40.742654</v>
      </c>
      <c r="BR24" t="n">
        <v>-73.991559</v>
      </c>
      <c r="BS24" t="inlineStr">
        <is>
          <t>Y</t>
        </is>
      </c>
      <c r="BT24" t="n">
        <v>0</v>
      </c>
      <c r="BU24" t="inlineStr">
        <is>
          <t>B-B-050</t>
        </is>
      </c>
      <c r="BV24" t="inlineStr">
        <is>
          <t>49-53 West 23rd Street (Adams &amp; Company)</t>
        </is>
      </c>
      <c r="BW24" t="inlineStr">
        <is>
          <t>https://triplelift.com/contact-us/</t>
        </is>
      </c>
      <c r="BX24" t="inlineStr">
        <is>
          <t>2026-10-24</t>
        </is>
      </c>
      <c r="BY24" t="inlineStr">
        <is>
          <t>company-site</t>
        </is>
      </c>
      <c r="BZ24" t="inlineStr">
        <is>
          <t>https://www.builtinnyc.com/company/triplelift/offices</t>
        </is>
      </c>
      <c r="CA24" t="inlineStr">
        <is>
          <t>2026-10-23</t>
        </is>
      </c>
      <c r="CB24" t="inlineStr"/>
      <c r="CC24" t="inlineStr">
        <is>
          <t>medium</t>
        </is>
      </c>
      <c r="CD24" t="inlineStr"/>
      <c r="CE24" t="inlineStr">
        <is>
          <t>N</t>
        </is>
      </c>
      <c r="CF24" t="inlineStr"/>
      <c r="CG24" t="inlineStr"/>
      <c r="CH24" t="inlineStr">
        <is>
          <t>security desk</t>
        </is>
      </c>
      <c r="CI24" t="inlineStr">
        <is>
          <t>https://www.adamsre.com/collections/madison-square-park/products/53-west-23rd</t>
        </is>
      </c>
      <c r="CJ24" t="inlineStr">
        <is>
          <t>unknown</t>
        </is>
      </c>
      <c r="CK24" t="inlineStr">
        <is>
          <t>N</t>
        </is>
      </c>
      <c r="CL24" t="inlineStr">
        <is>
          <t>Built In workplace type: Hybrid Workplace; typical time on-site: 0 days a week; recent job tags: 3 In-Office</t>
        </is>
      </c>
      <c r="CM24" t="inlineStr">
        <is>
          <t>https://www.builtinnyc.com/company/triplelift/offices</t>
        </is>
      </c>
      <c r="CN24" t="inlineStr">
        <is>
          <t>2026-10-24</t>
        </is>
      </c>
      <c r="CO24" t="n">
        <v>176</v>
      </c>
      <c r="CP24" t="inlineStr">
        <is>
          <t>may exceed 250</t>
        </is>
      </c>
      <c r="CQ24" t="inlineStr">
        <is>
          <t>335 (Built In) and 415 (Revelio Labs) staff (whole-company count) x 50% to 100% of them in the New York office (HQ New York; share assumed) x 67% (Partnership for NYC, firms under 500) in on a weekday = 112 to 278, central 176; low confidence; estimate until intake replaces it.</t>
        </is>
      </c>
      <c r="CR24" t="inlineStr">
        <is>
          <t>estimate until intake replaces it</t>
        </is>
      </c>
      <c r="CS24" t="n">
        <v>0.88</v>
      </c>
      <c r="CT24" t="n">
        <v>60.1</v>
      </c>
      <c r="CU24" t="n">
        <v>22.1</v>
      </c>
      <c r="CV24" t="n">
        <v>15</v>
      </c>
      <c r="CW24" t="n">
        <v>5</v>
      </c>
      <c r="CX24" t="n">
        <v>13</v>
      </c>
      <c r="CY24" t="n">
        <v>5</v>
      </c>
      <c r="CZ24" t="n">
        <v>0</v>
      </c>
      <c r="DA24" t="inlineStr"/>
      <c r="DB24" t="inlineStr"/>
      <c r="DC24" t="inlineStr"/>
      <c r="DD24" t="inlineStr"/>
      <c r="DE24" t="inlineStr"/>
      <c r="DF24" t="inlineStr">
        <is>
          <t>none</t>
        </is>
      </c>
      <c r="DG24" t="inlineStr">
        <is>
          <t>candidate</t>
        </is>
      </c>
      <c r="DH24" t="inlineStr"/>
      <c r="DI24" t="inlineStr"/>
      <c r="DJ24" t="inlineStr"/>
      <c r="DK24" t="inlineStr">
        <is>
          <t>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DL24" t="inlineStr"/>
      <c r="DM24" t="inlineStr">
        <is>
          <t>Abby Hamilton</t>
        </is>
      </c>
      <c r="DN24" t="inlineStr"/>
      <c r="DO24" t="inlineStr">
        <is>
          <t>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is>
      </c>
      <c r="DP24" t="inlineStr"/>
      <c r="DQ24" t="inlineStr"/>
      <c r="DR24" t="inlineStr"/>
      <c r="DS24" t="inlineStr">
        <is>
          <t>none</t>
        </is>
      </c>
      <c r="DT24" t="inlineStr"/>
      <c r="DU24" t="inlineStr"/>
      <c r="DV24" t="inlineStr"/>
      <c r="DW24" t="inlineStr"/>
      <c r="DX24" t="inlineStr">
        <is>
          <t>Y</t>
        </is>
      </c>
      <c r="DY24" t="inlineStr">
        <is>
          <t>confirmed</t>
        </is>
      </c>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f>IF(ISNUMBER(MATCH(U24,{"queued","contacted","replied","call_booked","call_done","yes_in_principle","materials_sent"},0)),"Y","N")</f>
        <v/>
      </c>
      <c r="ES24">
        <f>IF(COUNTIFS($AP$2:$AP$1000,AP24,$ER$2:$ER$1000,"Y")+COUNTIFS($AP$2:$AP$1000,AP24,$T$2:$T$1000,"Y")&gt;0,"Y","N")</f>
        <v/>
      </c>
      <c r="ET24">
        <f>IF(AND(U24="new",T24="N",AT24="Y",AS24="",ES24="N"),"Y","N")</f>
        <v/>
      </c>
      <c r="EU24">
        <f>IF(ET24&lt;&gt;"Y","N",IF(COUNTIFS($AP$2:$AP$1000,AP24,$ET$2:$ET$1000,"Y",$J$2:$J$1000,"&gt;"&amp;J24)+COUNTIFS($AP$2:$AP$1000,AP24,$ET$2:$ET$1000,"Y",$J$2:$J$1000,J24,$EW$2:$EW$1000,"&lt;"&amp;EW24)=0,"Y","N"))</f>
        <v/>
      </c>
      <c r="EV24">
        <f>IF(Y24="","N",IF(Y24&lt;=10,"Y","N"))</f>
        <v/>
      </c>
      <c r="EW24">
        <f>ROW()-1</f>
        <v/>
      </c>
    </row>
    <row r="25">
      <c r="A25" t="inlineStr">
        <is>
          <t>AO-C-105</t>
        </is>
      </c>
      <c r="B25" t="inlineStr">
        <is>
          <t>Orbital</t>
        </is>
      </c>
      <c r="C25" t="inlineStr">
        <is>
          <t>Naomi</t>
        </is>
      </c>
      <c r="D25" t="inlineStr">
        <is>
          <t>Simpson</t>
        </is>
      </c>
      <c r="E25" t="inlineStr">
        <is>
          <t>Chief of Staff</t>
        </is>
      </c>
      <c r="F25" t="inlineStr"/>
      <c r="G25" t="inlineStr"/>
      <c r="H25" t="inlineStr">
        <is>
          <t>none</t>
        </is>
      </c>
      <c r="I25" t="inlineStr">
        <is>
          <t>linkedin</t>
        </is>
      </c>
      <c r="J25" t="n">
        <v>60.1</v>
      </c>
      <c r="K25" t="inlineStr">
        <is>
          <t>Tuesday estimate 32 to 100 (low confidence), under 500 staff company-wide, on-site 5 days a week per its profile, signed-not-occupied at a medium-confidence address (hold: lease signed, move not confirmed); adjacent contact named (Chief of Staff).</t>
        </is>
      </c>
      <c r="L25" t="inlineStr">
        <is>
          <t>40-75</t>
        </is>
      </c>
      <c r="M25" t="inlineStr"/>
      <c r="N25" t="inlineStr"/>
      <c r="O25" t="inlineStr">
        <is>
          <t>New or renewed lease at 40 West 25th Street reported 2026-09-09</t>
        </is>
      </c>
      <c r="P25" t="inlineStr">
        <is>
          <t>https://commercialobserver.com/2026/09/orbital-ai-lease-kaufman-organization-40-west-25th-street/</t>
        </is>
      </c>
      <c r="Q25" t="inlineStr">
        <is>
          <t>2026-09-09</t>
        </is>
      </c>
      <c r="R25" t="inlineStr">
        <is>
          <t>N</t>
        </is>
      </c>
      <c r="S25" t="inlineStr">
        <is>
          <t>unknown</t>
        </is>
      </c>
      <c r="T25" t="inlineStr">
        <is>
          <t>N</t>
        </is>
      </c>
      <c r="U25" t="inlineStr">
        <is>
          <t>new</t>
        </is>
      </c>
      <c r="V25" t="inlineStr">
        <is>
          <t>https://commercialobserver.com/2026/09/orbital-ai-lease-kaufman-organization-40-west-25th-street/</t>
        </is>
      </c>
      <c r="W25" t="inlineStr">
        <is>
          <t>2026-10-23</t>
        </is>
      </c>
      <c r="X25" t="inlineStr">
        <is>
          <t>office</t>
        </is>
      </c>
      <c r="Y25" t="inlineStr"/>
      <c r="Z25" t="n">
        <v>24</v>
      </c>
      <c r="AA25" t="inlineStr">
        <is>
          <t>Y</t>
        </is>
      </c>
      <c r="AB25" t="inlineStr">
        <is>
          <t>find Naomi Simpson at Orbital on LinkedIn and paste the profile URL (this also confirms the name: The Org is crowd-edited); check Naomi works from the New York office; adjacent title: ask who runs the pantry</t>
        </is>
      </c>
      <c r="AC25" t="inlineStr">
        <is>
          <t>pantry or office lead (primary)</t>
        </is>
      </c>
      <c r="AD25" t="inlineStr">
        <is>
          <t>verified-page</t>
        </is>
      </c>
      <c r="AE25" t="inlineStr">
        <is>
          <t>The Org (crowd-edited org chart)</t>
        </is>
      </c>
      <c r="AF25" t="inlineStr">
        <is>
          <t>https://theorg.com/org/orbital-4/org-chart/naomi-simpson</t>
        </is>
      </c>
      <c r="AG25" t="inlineStr">
        <is>
          <t>2026-10-24</t>
        </is>
      </c>
      <c r="AH25" t="inlineStr">
        <is>
          <t>adjacent</t>
        </is>
      </c>
      <c r="AI25" t="inlineStr">
        <is>
          <t>40 West 25th Street</t>
        </is>
      </c>
      <c r="AJ25" t="n">
        <v>6</v>
      </c>
      <c r="AK25" t="inlineStr">
        <is>
          <t>signed-not-occupied</t>
        </is>
      </c>
      <c r="AL25" t="n">
        <v>32</v>
      </c>
      <c r="AM25" t="n">
        <v>100</v>
      </c>
      <c r="AN25" t="inlineStr">
        <is>
          <t>low</t>
        </is>
      </c>
      <c r="AO25" t="inlineStr">
        <is>
          <t>in-office-5</t>
        </is>
      </c>
      <c r="AP25" t="inlineStr">
        <is>
          <t>AO-C-105</t>
        </is>
      </c>
      <c r="AQ25" t="inlineStr">
        <is>
          <t>Y</t>
        </is>
      </c>
      <c r="AR25" t="inlineStr">
        <is>
          <t>lease signed, move not confirmed: check the lobby directory before outreach (B)</t>
        </is>
      </c>
      <c r="AS25" t="inlineStr"/>
      <c r="AT25" t="inlineStr">
        <is>
          <t>N</t>
        </is>
      </c>
      <c r="AU25" t="inlineStr">
        <is>
          <t>on hold: lease signed, move not confirmed: check the lobby directory before outreach (B)</t>
        </is>
      </c>
      <c r="AV25" t="inlineStr"/>
      <c r="AW25" t="inlineStr">
        <is>
          <t>N</t>
        </is>
      </c>
      <c r="AX25" t="inlineStr">
        <is>
          <t>pass</t>
        </is>
      </c>
      <c r="AY25" t="inlineStr">
        <is>
          <t>passes all hard gates</t>
        </is>
      </c>
      <c r="AZ25" t="inlineStr">
        <is>
          <t>company</t>
        </is>
      </c>
      <c r="BA25" t="inlineStr">
        <is>
          <t>B-C-105</t>
        </is>
      </c>
      <c r="BB25" t="inlineStr">
        <is>
          <t>https://www.orbital.tech/</t>
        </is>
      </c>
      <c r="BC25" t="inlineStr">
        <is>
          <t>Software (AI for real estate legal due diligence)</t>
        </is>
      </c>
      <c r="BD25" t="n">
        <v>96</v>
      </c>
      <c r="BE25" t="inlineStr">
        <is>
          <t>150+</t>
        </is>
      </c>
      <c r="BF25" t="inlineStr">
        <is>
          <t>unknown</t>
        </is>
      </c>
      <c r="BG25" t="inlineStr">
        <is>
          <t>unknown</t>
        </is>
      </c>
      <c r="BH25" t="inlineStr">
        <is>
          <t>disagree</t>
        </is>
      </c>
      <c r="BI25" t="inlineStr">
        <is>
          <t>https://www.builtinnyc.com/company/orbital</t>
        </is>
      </c>
      <c r="BJ25" t="inlineStr">
        <is>
          <t>https://www.orbital.tech/about</t>
        </is>
      </c>
      <c r="BK25" t="inlineStr">
        <is>
          <t>le500</t>
        </is>
      </c>
      <c r="BL25" t="inlineStr">
        <is>
          <t>New York</t>
        </is>
      </c>
      <c r="BM25" t="inlineStr">
        <is>
          <t>Y</t>
        </is>
      </c>
      <c r="BN25" t="inlineStr">
        <is>
          <t>unknown</t>
        </is>
      </c>
      <c r="BO25" t="inlineStr">
        <is>
          <t>unknown</t>
        </is>
      </c>
      <c r="BP25" t="n">
        <v>10010</v>
      </c>
      <c r="BQ25" t="n">
        <v>40.743613</v>
      </c>
      <c r="BR25" t="n">
        <v>-73.991062</v>
      </c>
      <c r="BS25" t="inlineStr">
        <is>
          <t>Y</t>
        </is>
      </c>
      <c r="BT25" t="n">
        <v>0</v>
      </c>
      <c r="BU25" t="inlineStr">
        <is>
          <t>B-B-053</t>
        </is>
      </c>
      <c r="BV25" t="inlineStr">
        <is>
          <t>40 West 25th Street (Kaufman Investments / Two Sigma Real Estate)</t>
        </is>
      </c>
      <c r="BW25" t="inlineStr">
        <is>
          <t>https://commercialobserver.com/2026/09/orbital-ai-lease-kaufman-organization-40-west-25th-street/</t>
        </is>
      </c>
      <c r="BX25" t="inlineStr">
        <is>
          <t>2026-09-09</t>
        </is>
      </c>
      <c r="BY25" t="inlineStr">
        <is>
          <t>leasing-press</t>
        </is>
      </c>
      <c r="BZ25" t="inlineStr"/>
      <c r="CA25" t="inlineStr"/>
      <c r="CB25" t="inlineStr"/>
      <c r="CC25" t="inlineStr">
        <is>
          <t>medium</t>
        </is>
      </c>
      <c r="CD25" t="inlineStr">
        <is>
          <t>unknown</t>
        </is>
      </c>
      <c r="CE25" t="inlineStr">
        <is>
          <t>N</t>
        </is>
      </c>
      <c r="CF25" t="inlineStr"/>
      <c r="CG25" t="inlineStr"/>
      <c r="CH25" t="inlineStr">
        <is>
          <t>unknown</t>
        </is>
      </c>
      <c r="CI25" t="inlineStr"/>
      <c r="CJ25" t="inlineStr">
        <is>
          <t>unknown</t>
        </is>
      </c>
      <c r="CK25" t="inlineStr">
        <is>
          <t>N</t>
        </is>
      </c>
      <c r="CL25" t="inlineStr">
        <is>
          <t>Built In workplace type: OnSite Workplace; typical time on-site: 5 days a week; recent job tags: 3 Hybrid</t>
        </is>
      </c>
      <c r="CM25" t="inlineStr">
        <is>
          <t>https://www.builtinnyc.com/company/orbital/offices</t>
        </is>
      </c>
      <c r="CN25" t="inlineStr">
        <is>
          <t>2026-10-24</t>
        </is>
      </c>
      <c r="CO25" t="n">
        <v>57</v>
      </c>
      <c r="CP25" t="inlineStr"/>
      <c r="CQ25" t="inlineStr">
        <is>
          <t>96 (Built In) and 150+ (orbital.tech) staff (whole-company count) x 50% to 100% of them in the New York office (HQ New York; share assumed) x 67% (Partnership for NYC, firms under 500) in on a weekday = 32 to 100, central 57; low confidence; estimate until intake replaces it.</t>
        </is>
      </c>
      <c r="CR25" t="inlineStr">
        <is>
          <t>estimate until intake replaces it</t>
        </is>
      </c>
      <c r="CS25" t="n">
        <v>0.8</v>
      </c>
      <c r="CT25" t="n">
        <v>60.1</v>
      </c>
      <c r="CU25" t="n">
        <v>20.1</v>
      </c>
      <c r="CV25" t="n">
        <v>15</v>
      </c>
      <c r="CW25" t="n">
        <v>15</v>
      </c>
      <c r="CX25" t="n">
        <v>5</v>
      </c>
      <c r="CY25" t="n">
        <v>5</v>
      </c>
      <c r="CZ25" t="n">
        <v>0</v>
      </c>
      <c r="DA25" t="inlineStr"/>
      <c r="DB25" t="inlineStr"/>
      <c r="DC25" t="inlineStr"/>
      <c r="DD25" t="inlineStr"/>
      <c r="DE25" t="inlineStr"/>
      <c r="DF25" t="inlineStr">
        <is>
          <t>none</t>
        </is>
      </c>
      <c r="DG25" t="inlineStr">
        <is>
          <t>candidate</t>
        </is>
      </c>
      <c r="DH25" t="inlineStr"/>
      <c r="DI25" t="inlineStr"/>
      <c r="DJ25" t="inlineStr">
        <is>
          <t>11,185 sf</t>
        </is>
      </c>
      <c r="DK25" t="inlineStr">
        <is>
          <t>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is>
      </c>
      <c r="DL25" t="inlineStr"/>
      <c r="DM25" t="inlineStr">
        <is>
          <t>Naomi Simpson</t>
        </is>
      </c>
      <c r="DN25" t="inlineStr"/>
      <c r="DO25" t="inlineStr">
        <is>
          <t>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is>
      </c>
      <c r="DP25" t="inlineStr"/>
      <c r="DQ25" t="inlineStr"/>
      <c r="DR25" t="inlineStr"/>
      <c r="DS25" t="inlineStr">
        <is>
          <t>none</t>
        </is>
      </c>
      <c r="DT25" t="inlineStr"/>
      <c r="DU25" t="inlineStr"/>
      <c r="DV25" t="inlineStr"/>
      <c r="DW25" t="inlineStr"/>
      <c r="DX25" t="inlineStr">
        <is>
          <t>Y</t>
        </is>
      </c>
      <c r="DY25" t="inlineStr">
        <is>
          <t>unconfirmed</t>
        </is>
      </c>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f>IF(ISNUMBER(MATCH(U25,{"queued","contacted","replied","call_booked","call_done","yes_in_principle","materials_sent"},0)),"Y","N")</f>
        <v/>
      </c>
      <c r="ES25">
        <f>IF(COUNTIFS($AP$2:$AP$1000,AP25,$ER$2:$ER$1000,"Y")+COUNTIFS($AP$2:$AP$1000,AP25,$T$2:$T$1000,"Y")&gt;0,"Y","N")</f>
        <v/>
      </c>
      <c r="ET25">
        <f>IF(AND(U25="new",T25="N",AT25="Y",AS25="",ES25="N"),"Y","N")</f>
        <v/>
      </c>
      <c r="EU25">
        <f>IF(ET25&lt;&gt;"Y","N",IF(COUNTIFS($AP$2:$AP$1000,AP25,$ET$2:$ET$1000,"Y",$J$2:$J$1000,"&gt;"&amp;J25)+COUNTIFS($AP$2:$AP$1000,AP25,$ET$2:$ET$1000,"Y",$J$2:$J$1000,J25,$EW$2:$EW$1000,"&lt;"&amp;EW25)=0,"Y","N"))</f>
        <v/>
      </c>
      <c r="EV25">
        <f>IF(Y25="","N",IF(Y25&lt;=10,"Y","N"))</f>
        <v/>
      </c>
      <c r="EW25">
        <f>ROW()-1</f>
        <v/>
      </c>
    </row>
    <row r="26">
      <c r="A26" t="inlineStr">
        <is>
          <t>AO-C-082</t>
        </is>
      </c>
      <c r="B26" t="inlineStr">
        <is>
          <t>Candid Health</t>
        </is>
      </c>
      <c r="C26" t="inlineStr"/>
      <c r="D26" t="inlineStr"/>
      <c r="E26" t="inlineStr"/>
      <c r="F26" t="inlineStr"/>
      <c r="G26" t="inlineStr"/>
      <c r="H26" t="inlineStr">
        <is>
          <t>none</t>
        </is>
      </c>
      <c r="I26" t="inlineStr">
        <is>
          <t>walk-in</t>
        </is>
      </c>
      <c r="J26" t="n">
        <v>60</v>
      </c>
      <c r="K26" t="inlineStr">
        <is>
          <t>Tuesday estimate 44 to 172 (low confidence), under 500 staff company-wide, on-site 5 days a week per its profile, signed-not-occupied at a medium-confidence address (hold: lease signed, move not confirmed); no contact found in public sources (walk-in).</t>
        </is>
      </c>
      <c r="L26" t="inlineStr">
        <is>
          <t>76-150</t>
        </is>
      </c>
      <c r="M26" t="inlineStr"/>
      <c r="N26" t="inlineStr"/>
      <c r="O26" t="inlineStr">
        <is>
          <t>New or renewed lease at 675 Avenue of the Americas reported 2026-01-27</t>
        </is>
      </c>
      <c r="P26" t="inlineStr">
        <is>
          <t>https://commercialobserver.com/2026/01/candid-health-lease-675-avenue-of-the-americas/</t>
        </is>
      </c>
      <c r="Q26" t="inlineStr">
        <is>
          <t>2026-01-27</t>
        </is>
      </c>
      <c r="R26" t="inlineStr">
        <is>
          <t>N</t>
        </is>
      </c>
      <c r="S26" t="inlineStr">
        <is>
          <t>unknown</t>
        </is>
      </c>
      <c r="T26" t="inlineStr">
        <is>
          <t>N</t>
        </is>
      </c>
      <c r="U26" t="inlineStr">
        <is>
          <t>new</t>
        </is>
      </c>
      <c r="V26" t="inlineStr">
        <is>
          <t>https://commercialobserver.com/2026/01/candid-health-lease-675-avenue-of-the-americas/</t>
        </is>
      </c>
      <c r="W26" t="inlineStr">
        <is>
          <t>2026-10-23</t>
        </is>
      </c>
      <c r="X26" t="inlineStr">
        <is>
          <t>office</t>
        </is>
      </c>
      <c r="Y26" t="inlineStr"/>
      <c r="Z26" t="n">
        <v>25</v>
      </c>
      <c r="AA26" t="inlineStr">
        <is>
          <t>Y</t>
        </is>
      </c>
      <c r="AB26" t="inlineStr">
        <is>
          <t>no named contact: walk in and ask for whoever runs the pantry, or use the company contact form</t>
        </is>
      </c>
      <c r="AC26" t="inlineStr"/>
      <c r="AD26" t="inlineStr">
        <is>
          <t>none</t>
        </is>
      </c>
      <c r="AE26" t="inlineStr"/>
      <c r="AF26" t="inlineStr"/>
      <c r="AG26" t="inlineStr"/>
      <c r="AH26" t="inlineStr">
        <is>
          <t>none</t>
        </is>
      </c>
      <c r="AI26" t="inlineStr">
        <is>
          <t>675 Avenue of the Americas</t>
        </is>
      </c>
      <c r="AJ26" t="n">
        <v>3</v>
      </c>
      <c r="AK26" t="inlineStr">
        <is>
          <t>signed-not-occupied</t>
        </is>
      </c>
      <c r="AL26" t="n">
        <v>44</v>
      </c>
      <c r="AM26" t="n">
        <v>172</v>
      </c>
      <c r="AN26" t="inlineStr">
        <is>
          <t>low</t>
        </is>
      </c>
      <c r="AO26" t="inlineStr">
        <is>
          <t>in-office-5</t>
        </is>
      </c>
      <c r="AP26" t="inlineStr">
        <is>
          <t>AO-C-082</t>
        </is>
      </c>
      <c r="AQ26" t="inlineStr">
        <is>
          <t>Y</t>
        </is>
      </c>
      <c r="AR26" t="inlineStr">
        <is>
          <t>lease signed, move not confirmed: check the lobby directory before outreach (B)</t>
        </is>
      </c>
      <c r="AS26" t="inlineStr"/>
      <c r="AT26" t="inlineStr">
        <is>
          <t>N</t>
        </is>
      </c>
      <c r="AU26" t="inlineStr">
        <is>
          <t>on hold: lease signed, move not confirmed: check the lobby directory before outreach (B); no contact named on an opened page</t>
        </is>
      </c>
      <c r="AV26" t="inlineStr"/>
      <c r="AW26" t="inlineStr">
        <is>
          <t>N</t>
        </is>
      </c>
      <c r="AX26" t="inlineStr">
        <is>
          <t>pass</t>
        </is>
      </c>
      <c r="AY26" t="inlineStr">
        <is>
          <t>passes all hard gates</t>
        </is>
      </c>
      <c r="AZ26" t="inlineStr">
        <is>
          <t>company</t>
        </is>
      </c>
      <c r="BA26" t="inlineStr">
        <is>
          <t>B-C-082</t>
        </is>
      </c>
      <c r="BB26" t="inlineStr">
        <is>
          <t>https://www.candidhealth.com</t>
        </is>
      </c>
      <c r="BC26" t="inlineStr">
        <is>
          <t>software (healthcare billing)</t>
        </is>
      </c>
      <c r="BD26" t="n">
        <v>256</v>
      </c>
      <c r="BE26" t="inlineStr">
        <is>
          <t>130+</t>
        </is>
      </c>
      <c r="BF26" t="inlineStr">
        <is>
          <t>unknown</t>
        </is>
      </c>
      <c r="BG26" t="inlineStr">
        <is>
          <t>unknown</t>
        </is>
      </c>
      <c r="BH26" t="inlineStr">
        <is>
          <t>disagree</t>
        </is>
      </c>
      <c r="BI26" t="inlineStr">
        <is>
          <t>https://www.builtinnyc.com/company/candid</t>
        </is>
      </c>
      <c r="BJ26" t="inlineStr">
        <is>
          <t>https://www.candidhealth.com/about</t>
        </is>
      </c>
      <c r="BK26" t="inlineStr">
        <is>
          <t>le500</t>
        </is>
      </c>
      <c r="BL26" t="inlineStr">
        <is>
          <t>New York</t>
        </is>
      </c>
      <c r="BM26" t="inlineStr">
        <is>
          <t>Y</t>
        </is>
      </c>
      <c r="BN26" t="inlineStr">
        <is>
          <t>unknown</t>
        </is>
      </c>
      <c r="BO26" t="inlineStr">
        <is>
          <t>unknown</t>
        </is>
      </c>
      <c r="BP26" t="n">
        <v>10010</v>
      </c>
      <c r="BQ26" t="n">
        <v>40.742014</v>
      </c>
      <c r="BR26" t="n">
        <v>-73.99370500000001</v>
      </c>
      <c r="BS26" t="inlineStr">
        <is>
          <t>Y</t>
        </is>
      </c>
      <c r="BT26" t="n">
        <v>0</v>
      </c>
      <c r="BU26" t="inlineStr">
        <is>
          <t>B-B-038</t>
        </is>
      </c>
      <c r="BV26" t="inlineStr">
        <is>
          <t>Adams Dry Goods / Mattel Building (GFP Real Estate)</t>
        </is>
      </c>
      <c r="BW26" t="inlineStr">
        <is>
          <t>https://commercialobserver.com/2026/01/candid-health-lease-675-avenue-of-the-americas/</t>
        </is>
      </c>
      <c r="BX26" t="inlineStr">
        <is>
          <t>2026-01-27</t>
        </is>
      </c>
      <c r="BY26" t="inlineStr">
        <is>
          <t>leasing-press</t>
        </is>
      </c>
      <c r="BZ26" t="inlineStr">
        <is>
          <t>https://rebusinessonline.com/candid-health-signs-28687-sf-office-lease-in-midtown-manhattan/</t>
        </is>
      </c>
      <c r="CA26" t="inlineStr">
        <is>
          <t>2026-04-13</t>
        </is>
      </c>
      <c r="CB26" t="inlineStr"/>
      <c r="CC26" t="inlineStr">
        <is>
          <t>medium</t>
        </is>
      </c>
      <c r="CD26" t="inlineStr">
        <is>
          <t>unknown</t>
        </is>
      </c>
      <c r="CE26" t="inlineStr">
        <is>
          <t>N</t>
        </is>
      </c>
      <c r="CF26" t="inlineStr"/>
      <c r="CG26" t="inlineStr"/>
      <c r="CH26" t="inlineStr">
        <is>
          <t>unknown</t>
        </is>
      </c>
      <c r="CI26" t="inlineStr"/>
      <c r="CJ26" t="inlineStr">
        <is>
          <t>unknown</t>
        </is>
      </c>
      <c r="CK26" t="inlineStr">
        <is>
          <t>N</t>
        </is>
      </c>
      <c r="CL26" t="inlineStr">
        <is>
          <t>6 total employees) still lists 44 W 28th St and Columbus OH. CMO quoted on an intentional in-office culture. | Assembly 2026-10-24: Revie</t>
        </is>
      </c>
      <c r="CM26" t="inlineStr">
        <is>
          <t>https://www.builtinnyc.com/company/candid</t>
        </is>
      </c>
      <c r="CN26" t="inlineStr">
        <is>
          <t>2026-10-23</t>
        </is>
      </c>
      <c r="CO26" t="n">
        <v>87</v>
      </c>
      <c r="CP26" t="inlineStr"/>
      <c r="CQ26" t="inlineStr">
        <is>
          <t>256 (Built In) and 130+ (candidhealth.com) staff (whole-company count) x 50% to 100% of them in the New York office (HQ New York; share assumed) x 67% (Partnership for NYC, firms under 500) in on a weekday = 44 to 172, central 87; low confidence; estimate until intake replaces it.</t>
        </is>
      </c>
      <c r="CR26" t="inlineStr">
        <is>
          <t>estimate until intake replaces it</t>
        </is>
      </c>
      <c r="CS26" t="n">
        <v>1</v>
      </c>
      <c r="CT26" t="n">
        <v>60</v>
      </c>
      <c r="CU26" t="n">
        <v>25</v>
      </c>
      <c r="CV26" t="n">
        <v>15</v>
      </c>
      <c r="CW26" t="n">
        <v>15</v>
      </c>
      <c r="CX26" t="n">
        <v>5</v>
      </c>
      <c r="CY26" t="n">
        <v>0</v>
      </c>
      <c r="CZ26" t="n">
        <v>0</v>
      </c>
      <c r="DA26" t="inlineStr"/>
      <c r="DB26" t="inlineStr"/>
      <c r="DC26" t="inlineStr"/>
      <c r="DD26" t="inlineStr"/>
      <c r="DE26" t="inlineStr"/>
      <c r="DF26" t="inlineStr">
        <is>
          <t>none</t>
        </is>
      </c>
      <c r="DG26" t="inlineStr">
        <is>
          <t>candidate</t>
        </is>
      </c>
      <c r="DH26" t="inlineStr"/>
      <c r="DI26" t="inlineStr"/>
      <c r="DJ26" t="inlineStr">
        <is>
          <t>28,687 sf</t>
        </is>
      </c>
      <c r="DK26" t="inlineStr">
        <is>
          <t>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DL26" t="inlineStr"/>
      <c r="DM26" t="inlineStr"/>
      <c r="DN26" t="inlineStr"/>
      <c r="DO26" t="inlineStr"/>
      <c r="DP26" t="inlineStr"/>
      <c r="DQ26" t="inlineStr"/>
      <c r="DR26" t="inlineStr"/>
      <c r="DS26" t="inlineStr">
        <is>
          <t>none</t>
        </is>
      </c>
      <c r="DT26" t="inlineStr"/>
      <c r="DU26" t="inlineStr"/>
      <c r="DV26" t="inlineStr"/>
      <c r="DW26" t="inlineStr"/>
      <c r="DX26" t="inlineStr">
        <is>
          <t>Y</t>
        </is>
      </c>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f>IF(ISNUMBER(MATCH(U26,{"queued","contacted","replied","call_booked","call_done","yes_in_principle","materials_sent"},0)),"Y","N")</f>
        <v/>
      </c>
      <c r="ES26">
        <f>IF(COUNTIFS($AP$2:$AP$1000,AP26,$ER$2:$ER$1000,"Y")+COUNTIFS($AP$2:$AP$1000,AP26,$T$2:$T$1000,"Y")&gt;0,"Y","N")</f>
        <v/>
      </c>
      <c r="ET26">
        <f>IF(AND(U26="new",T26="N",AT26="Y",AS26="",ES26="N"),"Y","N")</f>
        <v/>
      </c>
      <c r="EU26">
        <f>IF(ET26&lt;&gt;"Y","N",IF(COUNTIFS($AP$2:$AP$1000,AP26,$ET$2:$ET$1000,"Y",$J$2:$J$1000,"&gt;"&amp;J26)+COUNTIFS($AP$2:$AP$1000,AP26,$ET$2:$ET$1000,"Y",$J$2:$J$1000,J26,$EW$2:$EW$1000,"&lt;"&amp;EW26)=0,"Y","N"))</f>
        <v/>
      </c>
      <c r="EV26">
        <f>IF(Y26="","N",IF(Y26&lt;=10,"Y","N"))</f>
        <v/>
      </c>
      <c r="EW26">
        <f>ROW()-1</f>
        <v/>
      </c>
    </row>
    <row r="27">
      <c r="A27" t="inlineStr">
        <is>
          <t>AO-C-127</t>
        </is>
      </c>
      <c r="B27" t="inlineStr">
        <is>
          <t>accessiBe</t>
        </is>
      </c>
      <c r="C27" t="inlineStr"/>
      <c r="D27" t="inlineStr"/>
      <c r="E27" t="inlineStr"/>
      <c r="F27" t="inlineStr"/>
      <c r="G27" t="inlineStr"/>
      <c r="H27" t="inlineStr">
        <is>
          <t>none</t>
        </is>
      </c>
      <c r="I27" t="inlineStr">
        <is>
          <t>walk-in</t>
        </is>
      </c>
      <c r="J27" t="n">
        <v>60</v>
      </c>
      <c r="K27" t="inlineStr">
        <is>
          <t>Tuesday estimate 70 to 180 (low confidence), under 500 staff company-wide, on-site 5 days a week per its profile, occupancy-unconfirmed at a low-confidence address; no contact found in public sources (walk-in).</t>
        </is>
      </c>
      <c r="L27" t="inlineStr">
        <is>
          <t>76-150</t>
        </is>
      </c>
      <c r="M27" t="inlineStr"/>
      <c r="N27" t="inlineStr"/>
      <c r="O27" t="inlineStr"/>
      <c r="P27" t="inlineStr"/>
      <c r="Q27" t="inlineStr"/>
      <c r="R27" t="inlineStr">
        <is>
          <t>N</t>
        </is>
      </c>
      <c r="S27" t="inlineStr">
        <is>
          <t>unknown</t>
        </is>
      </c>
      <c r="T27" t="inlineStr">
        <is>
          <t>N</t>
        </is>
      </c>
      <c r="U27" t="inlineStr">
        <is>
          <t>new</t>
        </is>
      </c>
      <c r="V27" t="inlineStr">
        <is>
          <t>https://www.builtinnyc.com/company/accessibe/offices</t>
        </is>
      </c>
      <c r="W27" t="inlineStr">
        <is>
          <t>2026-10-23</t>
        </is>
      </c>
      <c r="X27" t="inlineStr">
        <is>
          <t>office</t>
        </is>
      </c>
      <c r="Y27" t="inlineStr"/>
      <c r="Z27" t="n">
        <v>26</v>
      </c>
      <c r="AA27" t="inlineStr">
        <is>
          <t>Y</t>
        </is>
      </c>
      <c r="AB27" t="inlineStr">
        <is>
          <t>no named contact: walk in and ask for whoever runs the pantry, or use the company contact form</t>
        </is>
      </c>
      <c r="AC27" t="inlineStr"/>
      <c r="AD27" t="inlineStr">
        <is>
          <t>none</t>
        </is>
      </c>
      <c r="AE27" t="inlineStr"/>
      <c r="AF27" t="inlineStr"/>
      <c r="AG27" t="inlineStr"/>
      <c r="AH27" t="inlineStr">
        <is>
          <t>none</t>
        </is>
      </c>
      <c r="AI27" t="inlineStr">
        <is>
          <t>1140 Broadway</t>
        </is>
      </c>
      <c r="AJ27" t="inlineStr">
        <is>
          <t>unknown</t>
        </is>
      </c>
      <c r="AK27" t="inlineStr">
        <is>
          <t>occupancy-unconfirmed</t>
        </is>
      </c>
      <c r="AL27" t="n">
        <v>70</v>
      </c>
      <c r="AM27" t="n">
        <v>180</v>
      </c>
      <c r="AN27" t="inlineStr">
        <is>
          <t>low</t>
        </is>
      </c>
      <c r="AO27" t="inlineStr">
        <is>
          <t>in-office-5</t>
        </is>
      </c>
      <c r="AP27" t="inlineStr">
        <is>
          <t>AO-C-127</t>
        </is>
      </c>
      <c r="AQ27" t="inlineStr">
        <is>
          <t>N</t>
        </is>
      </c>
      <c r="AR27" t="inlineStr"/>
      <c r="AS27" t="inlineStr"/>
      <c r="AT27" t="inlineStr">
        <is>
          <t>N</t>
        </is>
      </c>
      <c r="AU27" t="inlineStr">
        <is>
          <t>no contact named on an opened page</t>
        </is>
      </c>
      <c r="AV27" t="inlineStr"/>
      <c r="AW27" t="inlineStr">
        <is>
          <t>N</t>
        </is>
      </c>
      <c r="AX27" t="inlineStr">
        <is>
          <t>pass</t>
        </is>
      </c>
      <c r="AY27" t="inlineStr">
        <is>
          <t>passes all hard gates</t>
        </is>
      </c>
      <c r="AZ27" t="inlineStr">
        <is>
          <t>company</t>
        </is>
      </c>
      <c r="BA27" t="inlineStr">
        <is>
          <t>B-C-127</t>
        </is>
      </c>
      <c r="BB27" t="inlineStr">
        <is>
          <t>https://accessibe.com</t>
        </is>
      </c>
      <c r="BC27" t="inlineStr">
        <is>
          <t>software (web accessibility)</t>
        </is>
      </c>
      <c r="BD27" t="n">
        <v>210</v>
      </c>
      <c r="BE27" t="n">
        <v>268</v>
      </c>
      <c r="BF27" t="inlineStr">
        <is>
          <t>unknown</t>
        </is>
      </c>
      <c r="BG27" t="inlineStr">
        <is>
          <t>unknown</t>
        </is>
      </c>
      <c r="BH27" t="inlineStr">
        <is>
          <t>disagree</t>
        </is>
      </c>
      <c r="BI27" t="inlineStr">
        <is>
          <t>https://www.builtinnyc.com/company/accessibe/offices</t>
        </is>
      </c>
      <c r="BJ27" t="inlineStr">
        <is>
          <t>https://www.reveliolabs.com/companies/accessibe/employees</t>
        </is>
      </c>
      <c r="BK27" t="inlineStr">
        <is>
          <t>le500</t>
        </is>
      </c>
      <c r="BL27" t="inlineStr">
        <is>
          <t>New York</t>
        </is>
      </c>
      <c r="BM27" t="inlineStr">
        <is>
          <t>Y</t>
        </is>
      </c>
      <c r="BN27" t="inlineStr">
        <is>
          <t>unknown</t>
        </is>
      </c>
      <c r="BO27" t="inlineStr">
        <is>
          <t>unknown</t>
        </is>
      </c>
      <c r="BP27" t="n">
        <v>10001</v>
      </c>
      <c r="BQ27" t="n">
        <v>40.743939</v>
      </c>
      <c r="BR27" t="n">
        <v>-73.988677</v>
      </c>
      <c r="BS27" t="inlineStr">
        <is>
          <t>Y</t>
        </is>
      </c>
      <c r="BT27" t="n">
        <v>0</v>
      </c>
      <c r="BU27" t="inlineStr">
        <is>
          <t>B-B-063</t>
        </is>
      </c>
      <c r="BV27" t="inlineStr">
        <is>
          <t>1140 Broadway (Williams Equities)</t>
        </is>
      </c>
      <c r="BW27" t="inlineStr">
        <is>
          <t>https://www.builtinnyc.com/company/accessibe/offices</t>
        </is>
      </c>
      <c r="BX27" t="inlineStr">
        <is>
          <t>2026-10-23</t>
        </is>
      </c>
      <c r="BY27" t="inlineStr">
        <is>
          <t>builtin</t>
        </is>
      </c>
      <c r="BZ27" t="inlineStr">
        <is>
          <t>https://commercialobserver.com/2022/07/acessibe-1140-broadway/</t>
        </is>
      </c>
      <c r="CA27" t="inlineStr">
        <is>
          <t>2022-07-07</t>
        </is>
      </c>
      <c r="CB27" t="inlineStr"/>
      <c r="CC27" t="inlineStr">
        <is>
          <t>low</t>
        </is>
      </c>
      <c r="CD27" t="inlineStr"/>
      <c r="CE27" t="inlineStr">
        <is>
          <t>N</t>
        </is>
      </c>
      <c r="CF27" t="inlineStr"/>
      <c r="CG27" t="inlineStr"/>
      <c r="CH27" t="inlineStr">
        <is>
          <t>security desk</t>
        </is>
      </c>
      <c r="CI27" t="inlineStr">
        <is>
          <t>https://www.metro-manhattan.com/buildings/1140-broadway-office-space-for-lease/</t>
        </is>
      </c>
      <c r="CJ27" t="inlineStr">
        <is>
          <t>unknown</t>
        </is>
      </c>
      <c r="CK27" t="inlineStr">
        <is>
          <t>N</t>
        </is>
      </c>
      <c r="CL27" t="inlineStr">
        <is>
          <t>Built In workplace type: OnSite Workplace; typical time on-site: 5 days a week</t>
        </is>
      </c>
      <c r="CM27" t="inlineStr">
        <is>
          <t>https://www.builtinnyc.com/company/accessibe/offices</t>
        </is>
      </c>
      <c r="CN27" t="inlineStr">
        <is>
          <t>2026-10-24</t>
        </is>
      </c>
      <c r="CO27" t="n">
        <v>112</v>
      </c>
      <c r="CP27" t="inlineStr"/>
      <c r="CQ27" t="inlineStr">
        <is>
          <t>210 (Built In) and 268 (Revelio Labs) staff (whole-company count) x 50% to 100% of them in the New York office (HQ New York; share assumed) x 67% (Partnership for NYC, firms under 500) in on a weekday = 70 to 180, central 112; low confidence; estimate until intake replaces it.</t>
        </is>
      </c>
      <c r="CR27" t="inlineStr">
        <is>
          <t>estimate until intake replaces it</t>
        </is>
      </c>
      <c r="CS27" t="n">
        <v>1</v>
      </c>
      <c r="CT27" t="n">
        <v>60</v>
      </c>
      <c r="CU27" t="n">
        <v>25</v>
      </c>
      <c r="CV27" t="n">
        <v>15</v>
      </c>
      <c r="CW27" t="n">
        <v>15</v>
      </c>
      <c r="CX27" t="n">
        <v>5</v>
      </c>
      <c r="CY27" t="n">
        <v>0</v>
      </c>
      <c r="CZ27" t="n">
        <v>0</v>
      </c>
      <c r="DA27" t="inlineStr"/>
      <c r="DB27" t="inlineStr"/>
      <c r="DC27" t="inlineStr"/>
      <c r="DD27" t="inlineStr"/>
      <c r="DE27" t="inlineStr"/>
      <c r="DF27" t="inlineStr">
        <is>
          <t>none</t>
        </is>
      </c>
      <c r="DG27" t="inlineStr">
        <is>
          <t>candidate</t>
        </is>
      </c>
      <c r="DH27" t="inlineStr"/>
      <c r="DI27" t="inlineStr"/>
      <c r="DJ27" t="inlineStr">
        <is>
          <t>8,700 sf</t>
        </is>
      </c>
      <c r="DK27" t="inlineStr">
        <is>
          <t>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is>
      </c>
      <c r="DL27" t="inlineStr"/>
      <c r="DM27" t="inlineStr"/>
      <c r="DN27" t="inlineStr"/>
      <c r="DO27" t="inlineStr"/>
      <c r="DP27" t="inlineStr"/>
      <c r="DQ27" t="inlineStr"/>
      <c r="DR27" t="inlineStr"/>
      <c r="DS27" t="inlineStr">
        <is>
          <t>none</t>
        </is>
      </c>
      <c r="DT27" t="inlineStr"/>
      <c r="DU27" t="inlineStr"/>
      <c r="DV27" t="inlineStr"/>
      <c r="DW27" t="inlineStr"/>
      <c r="DX27" t="inlineStr">
        <is>
          <t>Y</t>
        </is>
      </c>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f>IF(ISNUMBER(MATCH(U27,{"queued","contacted","replied","call_booked","call_done","yes_in_principle","materials_sent"},0)),"Y","N")</f>
        <v/>
      </c>
      <c r="ES27">
        <f>IF(COUNTIFS($AP$2:$AP$1000,AP27,$ER$2:$ER$1000,"Y")+COUNTIFS($AP$2:$AP$1000,AP27,$T$2:$T$1000,"Y")&gt;0,"Y","N")</f>
        <v/>
      </c>
      <c r="ET27">
        <f>IF(AND(U27="new",T27="N",AT27="Y",AS27="",ES27="N"),"Y","N")</f>
        <v/>
      </c>
      <c r="EU27">
        <f>IF(ET27&lt;&gt;"Y","N",IF(COUNTIFS($AP$2:$AP$1000,AP27,$ET$2:$ET$1000,"Y",$J$2:$J$1000,"&gt;"&amp;J27)+COUNTIFS($AP$2:$AP$1000,AP27,$ET$2:$ET$1000,"Y",$J$2:$J$1000,J27,$EW$2:$EW$1000,"&lt;"&amp;EW27)=0,"Y","N"))</f>
        <v/>
      </c>
      <c r="EV27">
        <f>IF(Y27="","N",IF(Y27&lt;=10,"Y","N"))</f>
        <v/>
      </c>
      <c r="EW27">
        <f>ROW()-1</f>
        <v/>
      </c>
    </row>
    <row r="28">
      <c r="A28" t="inlineStr">
        <is>
          <t>AO-C-157</t>
        </is>
      </c>
      <c r="B28" t="inlineStr">
        <is>
          <t>Primary Venture Partners</t>
        </is>
      </c>
      <c r="C28" t="inlineStr">
        <is>
          <t>Alexandra</t>
        </is>
      </c>
      <c r="D28" t="inlineStr">
        <is>
          <t>Lappas</t>
        </is>
      </c>
      <c r="E28" t="inlineStr">
        <is>
          <t>Office Manager</t>
        </is>
      </c>
      <c r="F28" t="inlineStr"/>
      <c r="G28" t="inlineStr"/>
      <c r="H28" t="inlineStr">
        <is>
          <t>none</t>
        </is>
      </c>
      <c r="I28" t="inlineStr">
        <is>
          <t>linkedin</t>
        </is>
      </c>
      <c r="J28" t="n">
        <v>58.8</v>
      </c>
      <c r="K28" t="inlineStr">
        <is>
          <t>Tuesday estimate 13 to 204 (low confidence), under 500 staff company-wide, no attendance signal, occupied at a medium-confidence address; contact in the target titles named (Office Manager).</t>
        </is>
      </c>
      <c r="L28" t="inlineStr">
        <is>
          <t>40-75</t>
        </is>
      </c>
      <c r="M28" t="inlineStr"/>
      <c r="N28" t="inlineStr"/>
      <c r="O28" t="inlineStr">
        <is>
          <t>New or renewed lease at 386 Park Avenue South reported 2026-02-27</t>
        </is>
      </c>
      <c r="P28" t="inlineStr">
        <is>
          <t>https://commercialobserver.com/2026/02/primary-ventures-sigma-computing-leases-386-park-avenue-south/</t>
        </is>
      </c>
      <c r="Q28" t="inlineStr">
        <is>
          <t>2026-02-27</t>
        </is>
      </c>
      <c r="R28" t="inlineStr">
        <is>
          <t>N</t>
        </is>
      </c>
      <c r="S28" t="inlineStr">
        <is>
          <t>unknown</t>
        </is>
      </c>
      <c r="T28" t="inlineStr">
        <is>
          <t>N</t>
        </is>
      </c>
      <c r="U28" t="inlineStr">
        <is>
          <t>new</t>
        </is>
      </c>
      <c r="V28" t="inlineStr">
        <is>
          <t>https://commercialobserver.com/2026/02/primary-ventures-sigma-computing-leases-386-park-avenue-south/</t>
        </is>
      </c>
      <c r="W28" t="inlineStr">
        <is>
          <t>2026-10-23</t>
        </is>
      </c>
      <c r="X28" t="inlineStr">
        <is>
          <t>office</t>
        </is>
      </c>
      <c r="Y28" t="n">
        <v>18</v>
      </c>
      <c r="Z28" t="n">
        <v>27</v>
      </c>
      <c r="AA28" t="inlineStr">
        <is>
          <t>Y</t>
        </is>
      </c>
      <c r="AB28" t="inlineStr">
        <is>
          <t>find Alexandra Lappas at Primary Venture Partners on LinkedIn and paste the profile URL</t>
        </is>
      </c>
      <c r="AC28" t="inlineStr">
        <is>
          <t>pantry or office lead (primary)</t>
        </is>
      </c>
      <c r="AD28" t="inlineStr">
        <is>
          <t>verified-page</t>
        </is>
      </c>
      <c r="AE28" t="inlineStr">
        <is>
          <t>employer's own site</t>
        </is>
      </c>
      <c r="AF28" t="inlineStr">
        <is>
          <t>https://www.primary.vc/people</t>
        </is>
      </c>
      <c r="AG28" t="inlineStr">
        <is>
          <t>2026-10-24</t>
        </is>
      </c>
      <c r="AH28" t="inlineStr">
        <is>
          <t>exact</t>
        </is>
      </c>
      <c r="AI28" t="inlineStr">
        <is>
          <t>386 Park Avenue South</t>
        </is>
      </c>
      <c r="AJ28" t="inlineStr">
        <is>
          <t>13-14</t>
        </is>
      </c>
      <c r="AK28" t="inlineStr">
        <is>
          <t>occupied</t>
        </is>
      </c>
      <c r="AL28" t="n">
        <v>13</v>
      </c>
      <c r="AM28" t="n">
        <v>204</v>
      </c>
      <c r="AN28" t="inlineStr">
        <is>
          <t>low</t>
        </is>
      </c>
      <c r="AO28" t="inlineStr">
        <is>
          <t>unknown</t>
        </is>
      </c>
      <c r="AP28" t="inlineStr">
        <is>
          <t>AO-C-157</t>
        </is>
      </c>
      <c r="AQ28" t="inlineStr">
        <is>
          <t>N</t>
        </is>
      </c>
      <c r="AR28" t="inlineStr"/>
      <c r="AS28" t="inlineStr"/>
      <c r="AT28" t="inlineStr">
        <is>
          <t>Y</t>
        </is>
      </c>
      <c r="AU28" t="inlineStr"/>
      <c r="AV28" t="inlineStr"/>
      <c r="AW28" t="inlineStr">
        <is>
          <t>N</t>
        </is>
      </c>
      <c r="AX28" t="inlineStr">
        <is>
          <t>pass</t>
        </is>
      </c>
      <c r="AY28" t="inlineStr">
        <is>
          <t>passes all hard gates</t>
        </is>
      </c>
      <c r="AZ28" t="inlineStr">
        <is>
          <t>company</t>
        </is>
      </c>
      <c r="BA28" t="inlineStr">
        <is>
          <t>B-C-157</t>
        </is>
      </c>
      <c r="BB28" t="inlineStr">
        <is>
          <t>https://www.primary.vc</t>
        </is>
      </c>
      <c r="BC28" t="inlineStr">
        <is>
          <t>venture capital</t>
        </is>
      </c>
      <c r="BD28" t="n">
        <v>40</v>
      </c>
      <c r="BE28" t="n">
        <v>304</v>
      </c>
      <c r="BF28" t="inlineStr">
        <is>
          <t>unknown</t>
        </is>
      </c>
      <c r="BG28" t="inlineStr">
        <is>
          <t>unknown</t>
        </is>
      </c>
      <c r="BH28" t="inlineStr">
        <is>
          <t>disagree</t>
        </is>
      </c>
      <c r="BI28" t="inlineStr">
        <is>
          <t>https://commercialobserver.com/2023/07/primary-vc-sublease-386-park-avenue-south/</t>
        </is>
      </c>
      <c r="BJ28" t="inlineStr">
        <is>
          <t>https://www.reveliolabs.com/companies/primary-venture-partners/employees</t>
        </is>
      </c>
      <c r="BK28" t="inlineStr">
        <is>
          <t>le500</t>
        </is>
      </c>
      <c r="BL28" t="inlineStr">
        <is>
          <t>New York</t>
        </is>
      </c>
      <c r="BM28" t="inlineStr">
        <is>
          <t>Y</t>
        </is>
      </c>
      <c r="BN28" t="inlineStr">
        <is>
          <t>unknown</t>
        </is>
      </c>
      <c r="BO28" t="inlineStr">
        <is>
          <t>unknown</t>
        </is>
      </c>
      <c r="BP28" t="n">
        <v>10016</v>
      </c>
      <c r="BQ28" t="n">
        <v>40.74291</v>
      </c>
      <c r="BR28" t="n">
        <v>-73.984627</v>
      </c>
      <c r="BS28" t="inlineStr">
        <is>
          <t>Y</t>
        </is>
      </c>
      <c r="BT28" t="n">
        <v>0</v>
      </c>
      <c r="BU28" t="inlineStr">
        <is>
          <t>B-B-072</t>
        </is>
      </c>
      <c r="BV28" t="inlineStr">
        <is>
          <t>386 Park Avenue South (HSR Corporation)</t>
        </is>
      </c>
      <c r="BW28" t="inlineStr">
        <is>
          <t>https://commercialobserver.com/2026/02/primary-ventures-sigma-computing-leases-386-park-avenue-south/</t>
        </is>
      </c>
      <c r="BX28" t="inlineStr">
        <is>
          <t>2026-02-27</t>
        </is>
      </c>
      <c r="BY28" t="inlineStr">
        <is>
          <t>leasing-press</t>
        </is>
      </c>
      <c r="BZ28" t="inlineStr">
        <is>
          <t>https://commercialobserver.com/2023/07/primary-vc-sublease-386-park-avenue-south/</t>
        </is>
      </c>
      <c r="CA28" t="inlineStr">
        <is>
          <t>2023-07-10</t>
        </is>
      </c>
      <c r="CB28" t="inlineStr"/>
      <c r="CC28" t="inlineStr">
        <is>
          <t>medium</t>
        </is>
      </c>
      <c r="CD28" t="inlineStr"/>
      <c r="CE28" t="inlineStr">
        <is>
          <t>N</t>
        </is>
      </c>
      <c r="CF28" t="inlineStr"/>
      <c r="CG28" t="inlineStr"/>
      <c r="CH28" t="inlineStr">
        <is>
          <t>unknown</t>
        </is>
      </c>
      <c r="CI28" t="inlineStr"/>
      <c r="CJ28" t="inlineStr">
        <is>
          <t>unknown</t>
        </is>
      </c>
      <c r="CK28" t="inlineStr">
        <is>
          <t>N</t>
        </is>
      </c>
      <c r="CL28" t="inlineStr">
        <is>
          <t>unknown</t>
        </is>
      </c>
      <c r="CM28" t="inlineStr"/>
      <c r="CN28" t="inlineStr"/>
      <c r="CO28" t="n">
        <v>51</v>
      </c>
      <c r="CP28" t="inlineStr">
        <is>
          <t>may be under 30</t>
        </is>
      </c>
      <c r="CQ28" t="inlineStr">
        <is>
          <t>40 (Commercial Observer) and 304 (Revelio Labs) staff (whole-company count) x 50% to 100% of them in the New York office (HQ New York; share assumed) x 67% (Partnership for NYC, firms under 500) in on a weekday = 13 to 204, central 51; low confidence; estimate until intake replaces it.</t>
        </is>
      </c>
      <c r="CR28" t="inlineStr">
        <is>
          <t>estimate until intake replaces it</t>
        </is>
      </c>
      <c r="CS28" t="n">
        <v>0.59</v>
      </c>
      <c r="CT28" t="n">
        <v>58.8</v>
      </c>
      <c r="CU28" t="n">
        <v>14.8</v>
      </c>
      <c r="CV28" t="n">
        <v>15</v>
      </c>
      <c r="CW28" t="n">
        <v>6</v>
      </c>
      <c r="CX28" t="n">
        <v>13</v>
      </c>
      <c r="CY28" t="n">
        <v>10</v>
      </c>
      <c r="CZ28" t="n">
        <v>0</v>
      </c>
      <c r="DA28" t="inlineStr">
        <is>
          <t>Emma</t>
        </is>
      </c>
      <c r="DB28" t="inlineStr">
        <is>
          <t>Balin</t>
        </is>
      </c>
      <c r="DC28" t="inlineStr">
        <is>
          <t>VP Strategy, Chief of Staff</t>
        </is>
      </c>
      <c r="DD28" t="inlineStr"/>
      <c r="DE28" t="inlineStr"/>
      <c r="DF28" t="inlineStr">
        <is>
          <t>none</t>
        </is>
      </c>
      <c r="DG28" t="inlineStr">
        <is>
          <t>candidate</t>
        </is>
      </c>
      <c r="DH28" t="inlineStr"/>
      <c r="DI28" t="inlineStr"/>
      <c r="DJ28" t="inlineStr">
        <is>
          <t>26,252 sf</t>
        </is>
      </c>
      <c r="DK28" t="inlineStr">
        <is>
          <t>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DL28" t="inlineStr"/>
      <c r="DM28" t="inlineStr">
        <is>
          <t>Alexandra Lappas</t>
        </is>
      </c>
      <c r="DN28" t="inlineStr"/>
      <c r="DO28" t="inlineStr">
        <is>
          <t>title_match=target; Listed under Operations on Primary's People page (opened 2026-10-24). Primary is a New York firm; page does not state each person's city. Note: Primary's Talent team recruits for portfolio companies, so those titles were not used.</t>
        </is>
      </c>
      <c r="DP28" t="inlineStr"/>
      <c r="DQ28" t="inlineStr">
        <is>
          <t>pantry or office lead (backup)</t>
        </is>
      </c>
      <c r="DR28" t="inlineStr">
        <is>
          <t>Emma Balin</t>
        </is>
      </c>
      <c r="DS28" t="inlineStr">
        <is>
          <t>verified-page</t>
        </is>
      </c>
      <c r="DT28" t="inlineStr">
        <is>
          <t>employer's own site</t>
        </is>
      </c>
      <c r="DU28" t="inlineStr">
        <is>
          <t>https://www.primary.vc/people</t>
        </is>
      </c>
      <c r="DV28" t="inlineStr"/>
      <c r="DW28" t="inlineStr">
        <is>
          <t>title_match=target; Operations section, same page (opened 2026-10-24). Other Operations staff on the page: Lily Moran, Receptionist, and five Executive Assistants (none labelled EA to the managing partner).</t>
        </is>
      </c>
      <c r="DX28" t="inlineStr">
        <is>
          <t>Y</t>
        </is>
      </c>
      <c r="DY28" t="inlineStr">
        <is>
          <t>likely</t>
        </is>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f>IF(ISNUMBER(MATCH(U28,{"queued","contacted","replied","call_booked","call_done","yes_in_principle","materials_sent"},0)),"Y","N")</f>
        <v/>
      </c>
      <c r="ES28">
        <f>IF(COUNTIFS($AP$2:$AP$1000,AP28,$ER$2:$ER$1000,"Y")+COUNTIFS($AP$2:$AP$1000,AP28,$T$2:$T$1000,"Y")&gt;0,"Y","N")</f>
        <v/>
      </c>
      <c r="ET28">
        <f>IF(AND(U28="new",T28="N",AT28="Y",AS28="",ES28="N"),"Y","N")</f>
        <v/>
      </c>
      <c r="EU28">
        <f>IF(ET28&lt;&gt;"Y","N",IF(COUNTIFS($AP$2:$AP$1000,AP28,$ET$2:$ET$1000,"Y",$J$2:$J$1000,"&gt;"&amp;J28)+COUNTIFS($AP$2:$AP$1000,AP28,$ET$2:$ET$1000,"Y",$J$2:$J$1000,J28,$EW$2:$EW$1000,"&lt;"&amp;EW28)=0,"Y","N"))</f>
        <v/>
      </c>
      <c r="EV28">
        <f>IF(Y28="","N",IF(Y28&lt;=10,"Y","N"))</f>
        <v/>
      </c>
      <c r="EW28">
        <f>ROW()-1</f>
        <v/>
      </c>
    </row>
    <row r="29">
      <c r="A29" t="inlineStr">
        <is>
          <t>AO-C-129</t>
        </is>
      </c>
      <c r="B29" t="inlineStr">
        <is>
          <t>Activate Consulting</t>
        </is>
      </c>
      <c r="C29" t="inlineStr">
        <is>
          <t>Laura</t>
        </is>
      </c>
      <c r="D29" t="inlineStr">
        <is>
          <t>Miller</t>
        </is>
      </c>
      <c r="E29" t="inlineStr">
        <is>
          <t>Chief of Staff</t>
        </is>
      </c>
      <c r="F29" t="inlineStr"/>
      <c r="G29" t="inlineStr"/>
      <c r="H29" t="inlineStr">
        <is>
          <t>none</t>
        </is>
      </c>
      <c r="I29" t="inlineStr">
        <is>
          <t>linkedin</t>
        </is>
      </c>
      <c r="J29" t="n">
        <v>58.5</v>
      </c>
      <c r="K29" t="inlineStr">
        <is>
          <t>Tuesday estimate 25 to 51 (low confidence), under 500 staff company-wide, on-site 5 days a week per its profile, occupied at a high-confidence address; adjacent contact named (Chief of Staff).</t>
        </is>
      </c>
      <c r="L29" t="inlineStr">
        <is>
          <t>under-40</t>
        </is>
      </c>
      <c r="M29" t="inlineStr"/>
      <c r="N29" t="inlineStr"/>
      <c r="O29" t="inlineStr"/>
      <c r="P29" t="inlineStr"/>
      <c r="Q29" t="inlineStr"/>
      <c r="R29" t="inlineStr">
        <is>
          <t>N</t>
        </is>
      </c>
      <c r="S29" t="inlineStr">
        <is>
          <t>unknown</t>
        </is>
      </c>
      <c r="T29" t="inlineStr">
        <is>
          <t>N</t>
        </is>
      </c>
      <c r="U29" t="inlineStr">
        <is>
          <t>new</t>
        </is>
      </c>
      <c r="V29" t="inlineStr">
        <is>
          <t>https://commercialobserver.com/2025/09/activate-consulting-doubles-its-nomad-footprint/</t>
        </is>
      </c>
      <c r="W29" t="inlineStr">
        <is>
          <t>2026-10-23</t>
        </is>
      </c>
      <c r="X29" t="inlineStr">
        <is>
          <t>office</t>
        </is>
      </c>
      <c r="Y29" t="inlineStr"/>
      <c r="Z29" t="n">
        <v>28</v>
      </c>
      <c r="AA29" t="inlineStr">
        <is>
          <t>Y</t>
        </is>
      </c>
      <c r="AB29" t="inlineStr">
        <is>
          <t>find Laura Miller at Activate Consulting on LinkedIn and paste the profile URL (this also confirms the name: The Org is crowd-edited); adjacent title: ask who runs the pantry; Tuesday estimate band under-40: founder's call (set founder_ok_to_queue = Y to queue)</t>
        </is>
      </c>
      <c r="AC29" t="inlineStr">
        <is>
          <t>pantry or office lead (primary)</t>
        </is>
      </c>
      <c r="AD29" t="inlineStr">
        <is>
          <t>verified-page</t>
        </is>
      </c>
      <c r="AE29" t="inlineStr">
        <is>
          <t>The Org (crowd-edited org chart)</t>
        </is>
      </c>
      <c r="AF29" t="inlineStr">
        <is>
          <t>https://theorg.com/org/activate/org-chart/laura-miller</t>
        </is>
      </c>
      <c r="AG29" t="inlineStr">
        <is>
          <t>2026-10-24</t>
        </is>
      </c>
      <c r="AH29" t="inlineStr">
        <is>
          <t>adjacent</t>
        </is>
      </c>
      <c r="AI29" t="inlineStr">
        <is>
          <t>11 East 26th Street</t>
        </is>
      </c>
      <c r="AJ29" t="inlineStr">
        <is>
          <t>17-18</t>
        </is>
      </c>
      <c r="AK29" t="inlineStr">
        <is>
          <t>occupied</t>
        </is>
      </c>
      <c r="AL29" t="n">
        <v>25</v>
      </c>
      <c r="AM29" t="n">
        <v>51</v>
      </c>
      <c r="AN29" t="inlineStr">
        <is>
          <t>low</t>
        </is>
      </c>
      <c r="AO29" t="inlineStr">
        <is>
          <t>in-office-5</t>
        </is>
      </c>
      <c r="AP29" t="inlineStr">
        <is>
          <t>AO-C-129</t>
        </is>
      </c>
      <c r="AQ29" t="inlineStr">
        <is>
          <t>N</t>
        </is>
      </c>
      <c r="AR29" t="inlineStr"/>
      <c r="AS29" t="inlineStr"/>
      <c r="AT29" t="inlineStr">
        <is>
          <t>N</t>
        </is>
      </c>
      <c r="AU29" t="inlineStr">
        <is>
          <t>Tuesday estimate band under-40: founder's call</t>
        </is>
      </c>
      <c r="AV29" t="inlineStr"/>
      <c r="AW29" t="inlineStr">
        <is>
          <t>Y</t>
        </is>
      </c>
      <c r="AX29" t="inlineStr">
        <is>
          <t>pass</t>
        </is>
      </c>
      <c r="AY29" t="inlineStr">
        <is>
          <t>passes all hard gates</t>
        </is>
      </c>
      <c r="AZ29" t="inlineStr">
        <is>
          <t>company</t>
        </is>
      </c>
      <c r="BA29" t="inlineStr">
        <is>
          <t>B-C-129</t>
        </is>
      </c>
      <c r="BB29" t="inlineStr">
        <is>
          <t>https://www.activate.com</t>
        </is>
      </c>
      <c r="BC29" t="inlineStr">
        <is>
          <t>management consulting (tech, media, telecom)</t>
        </is>
      </c>
      <c r="BD29" t="n">
        <v>76</v>
      </c>
      <c r="BE29" t="inlineStr"/>
      <c r="BF29" t="inlineStr">
        <is>
          <t>76-150</t>
        </is>
      </c>
      <c r="BG29" t="inlineStr">
        <is>
          <t>whole-company</t>
        </is>
      </c>
      <c r="BH29" t="inlineStr">
        <is>
          <t>single-source</t>
        </is>
      </c>
      <c r="BI29" t="inlineStr">
        <is>
          <t>https://www.builtinnyc.com/company/activate-consulting/offices</t>
        </is>
      </c>
      <c r="BJ29" t="inlineStr"/>
      <c r="BK29" t="inlineStr">
        <is>
          <t>le500</t>
        </is>
      </c>
      <c r="BL29" t="inlineStr">
        <is>
          <t>New York</t>
        </is>
      </c>
      <c r="BM29" t="inlineStr">
        <is>
          <t>Y</t>
        </is>
      </c>
      <c r="BN29" t="inlineStr">
        <is>
          <t>unknown</t>
        </is>
      </c>
      <c r="BO29" t="inlineStr">
        <is>
          <t>unknown</t>
        </is>
      </c>
      <c r="BP29" t="n">
        <v>10010</v>
      </c>
      <c r="BQ29" t="n">
        <v>40.743309</v>
      </c>
      <c r="BR29" t="n">
        <v>-73.987329</v>
      </c>
      <c r="BS29" t="inlineStr">
        <is>
          <t>Y</t>
        </is>
      </c>
      <c r="BT29" t="n">
        <v>0</v>
      </c>
      <c r="BU29" t="inlineStr">
        <is>
          <t>B-B-065</t>
        </is>
      </c>
      <c r="BV29" t="inlineStr">
        <is>
          <t>11 East 26th Street (Rockrose; joined to 15 East 26th Street)</t>
        </is>
      </c>
      <c r="BW29" t="inlineStr">
        <is>
          <t>https://commercialobserver.com/2025/09/activate-consulting-doubles-its-nomad-footprint/</t>
        </is>
      </c>
      <c r="BX29" t="inlineStr">
        <is>
          <t>2025-09-30</t>
        </is>
      </c>
      <c r="BY29" t="inlineStr">
        <is>
          <t>leasing-press</t>
        </is>
      </c>
      <c r="BZ29" t="inlineStr">
        <is>
          <t>https://www.builtinnyc.com/company/activate-consulting/offices</t>
        </is>
      </c>
      <c r="CA29" t="inlineStr">
        <is>
          <t>2026-10-23</t>
        </is>
      </c>
      <c r="CB29" t="inlineStr"/>
      <c r="CC29" t="inlineStr">
        <is>
          <t>high</t>
        </is>
      </c>
      <c r="CD29" t="inlineStr"/>
      <c r="CE29" t="inlineStr">
        <is>
          <t>N</t>
        </is>
      </c>
      <c r="CF29" t="inlineStr"/>
      <c r="CG29" t="inlineStr"/>
      <c r="CH29" t="inlineStr">
        <is>
          <t>unknown</t>
        </is>
      </c>
      <c r="CI29" t="inlineStr"/>
      <c r="CJ29" t="inlineStr">
        <is>
          <t>unknown</t>
        </is>
      </c>
      <c r="CK29" t="inlineStr">
        <is>
          <t>N</t>
        </is>
      </c>
      <c r="CL29" t="inlineStr">
        <is>
          <t>e North, 18th floor' (vanity address of 11 E 26th St, same building), 76 total employees, on-site 5 days a week. Sublet half the added space</t>
        </is>
      </c>
      <c r="CM29" t="inlineStr">
        <is>
          <t>https://www.builtinnyc.com/company/activate-consulting/offices</t>
        </is>
      </c>
      <c r="CN29" t="inlineStr">
        <is>
          <t>2026-10-23</t>
        </is>
      </c>
      <c r="CO29" t="n">
        <v>36</v>
      </c>
      <c r="CP29" t="inlineStr">
        <is>
          <t>may be under 30;30 to 39 is the founder's call</t>
        </is>
      </c>
      <c r="CQ29" t="inlineStr">
        <is>
          <t>76 (Built In) staff (whole-company count) x 50% to 100% of them in the New York office (HQ New York; share assumed) x 67% (Partnership for NYC, firms under 500) in on a weekday = 25 to 51, central 36; low confidence; estimate until intake replaces it.</t>
        </is>
      </c>
      <c r="CR29" t="inlineStr">
        <is>
          <t>estimate until intake replaces it</t>
        </is>
      </c>
      <c r="CS29" t="n">
        <v>0.34</v>
      </c>
      <c r="CT29" t="n">
        <v>58.5</v>
      </c>
      <c r="CU29" t="n">
        <v>8.5</v>
      </c>
      <c r="CV29" t="n">
        <v>15</v>
      </c>
      <c r="CW29" t="n">
        <v>15</v>
      </c>
      <c r="CX29" t="n">
        <v>15</v>
      </c>
      <c r="CY29" t="n">
        <v>5</v>
      </c>
      <c r="CZ29" t="n">
        <v>0</v>
      </c>
      <c r="DA29" t="inlineStr">
        <is>
          <t>Frank</t>
        </is>
      </c>
      <c r="DB29" t="inlineStr">
        <is>
          <t>Noto</t>
        </is>
      </c>
      <c r="DC29" t="inlineStr">
        <is>
          <t>Chief Administrative Officer</t>
        </is>
      </c>
      <c r="DD29" t="inlineStr"/>
      <c r="DE29" t="inlineStr"/>
      <c r="DF29" t="inlineStr">
        <is>
          <t>none</t>
        </is>
      </c>
      <c r="DG29" t="inlineStr">
        <is>
          <t>candidate</t>
        </is>
      </c>
      <c r="DH29" t="inlineStr"/>
      <c r="DI29" t="inlineStr"/>
      <c r="DJ29" t="inlineStr">
        <is>
          <t>24,144 sf</t>
        </is>
      </c>
      <c r="DK29" t="inlineStr">
        <is>
          <t>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29" t="inlineStr"/>
      <c r="DM29" t="inlineStr">
        <is>
          <t>Laura Miller</t>
        </is>
      </c>
      <c r="DN29" t="inlineStr"/>
      <c r="DO29" t="inlineStr">
        <is>
          <t>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is>
      </c>
      <c r="DP29" t="inlineStr"/>
      <c r="DQ29" t="inlineStr">
        <is>
          <t>pantry or office lead (backup)</t>
        </is>
      </c>
      <c r="DR29" t="inlineStr">
        <is>
          <t>Frank Noto</t>
        </is>
      </c>
      <c r="DS29" t="inlineStr">
        <is>
          <t>verified-page</t>
        </is>
      </c>
      <c r="DT29" t="inlineStr">
        <is>
          <t>The Org (crowd-edited org chart)</t>
        </is>
      </c>
      <c r="DU29" t="inlineStr">
        <is>
          <t>https://theorg.com/org/activate/org-chart/frank-noto</t>
        </is>
      </c>
      <c r="DV29" t="inlineStr"/>
      <c r="DW29" t="inlineStr">
        <is>
          <t>title_match=adjacent; theorg position page opened 2026-10-24: Chief Administrative Officer since January 2017, location New York (crowd-edited, Unverified). Adjacent title: likely owns office spend. theorg also lists an Executive Assistant in New York (executive not named).</t>
        </is>
      </c>
      <c r="DX29" t="inlineStr">
        <is>
          <t>Y</t>
        </is>
      </c>
      <c r="DY29" t="inlineStr">
        <is>
          <t>confirmed</t>
        </is>
      </c>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f>IF(ISNUMBER(MATCH(U29,{"queued","contacted","replied","call_booked","call_done","yes_in_principle","materials_sent"},0)),"Y","N")</f>
        <v/>
      </c>
      <c r="ES29">
        <f>IF(COUNTIFS($AP$2:$AP$1000,AP29,$ER$2:$ER$1000,"Y")+COUNTIFS($AP$2:$AP$1000,AP29,$T$2:$T$1000,"Y")&gt;0,"Y","N")</f>
        <v/>
      </c>
      <c r="ET29">
        <f>IF(AND(U29="new",T29="N",AT29="Y",AS29="",ES29="N"),"Y","N")</f>
        <v/>
      </c>
      <c r="EU29">
        <f>IF(ET29&lt;&gt;"Y","N",IF(COUNTIFS($AP$2:$AP$1000,AP29,$ET$2:$ET$1000,"Y",$J$2:$J$1000,"&gt;"&amp;J29)+COUNTIFS($AP$2:$AP$1000,AP29,$ET$2:$ET$1000,"Y",$J$2:$J$1000,J29,$EW$2:$EW$1000,"&lt;"&amp;EW29)=0,"Y","N"))</f>
        <v/>
      </c>
      <c r="EV29">
        <f>IF(Y29="","N",IF(Y29&lt;=10,"Y","N"))</f>
        <v/>
      </c>
      <c r="EW29">
        <f>ROW()-1</f>
        <v/>
      </c>
    </row>
    <row r="30">
      <c r="A30" t="inlineStr">
        <is>
          <t>AO-C-128</t>
        </is>
      </c>
      <c r="B30" t="inlineStr">
        <is>
          <t>Simplebet</t>
        </is>
      </c>
      <c r="C30" t="inlineStr"/>
      <c r="D30" t="inlineStr"/>
      <c r="E30" t="inlineStr"/>
      <c r="F30" t="inlineStr"/>
      <c r="G30" t="inlineStr"/>
      <c r="H30" t="inlineStr">
        <is>
          <t>none</t>
        </is>
      </c>
      <c r="I30" t="inlineStr">
        <is>
          <t>walk-in</t>
        </is>
      </c>
      <c r="J30" t="n">
        <v>58</v>
      </c>
      <c r="K30" t="inlineStr">
        <is>
          <t>Tuesday estimate 32 to 64 (low confidence), under 500 staff company-wide with a named parent (DraftKings), on-site 5 days a week per its profile, occupied at a high-confidence address; no contact found in public sources (walk-in).</t>
        </is>
      </c>
      <c r="L30" t="inlineStr">
        <is>
          <t>40-75</t>
        </is>
      </c>
      <c r="M30" t="inlineStr"/>
      <c r="N30" t="inlineStr"/>
      <c r="O30" t="inlineStr"/>
      <c r="P30" t="inlineStr"/>
      <c r="Q30" t="inlineStr"/>
      <c r="R30" t="inlineStr">
        <is>
          <t>N</t>
        </is>
      </c>
      <c r="S30" t="inlineStr">
        <is>
          <t>unknown</t>
        </is>
      </c>
      <c r="T30" t="inlineStr">
        <is>
          <t>N</t>
        </is>
      </c>
      <c r="U30" t="inlineStr">
        <is>
          <t>new</t>
        </is>
      </c>
      <c r="V30" t="inlineStr">
        <is>
          <t>https://commercialobserver.com/2025/05/empire-capital-buys-373-381-park-avenue-south/</t>
        </is>
      </c>
      <c r="W30" t="inlineStr">
        <is>
          <t>2026-10-23</t>
        </is>
      </c>
      <c r="X30" t="inlineStr">
        <is>
          <t>office</t>
        </is>
      </c>
      <c r="Y30" t="inlineStr"/>
      <c r="Z30" t="n">
        <v>29</v>
      </c>
      <c r="AA30" t="inlineStr">
        <is>
          <t>Y</t>
        </is>
      </c>
      <c r="AB30" t="inlineStr">
        <is>
          <t>no named contact: walk in and ask for whoever runs the pantry, or use the company contact form</t>
        </is>
      </c>
      <c r="AC30" t="inlineStr"/>
      <c r="AD30" t="inlineStr">
        <is>
          <t>none</t>
        </is>
      </c>
      <c r="AE30" t="inlineStr"/>
      <c r="AF30" t="inlineStr"/>
      <c r="AG30" t="inlineStr"/>
      <c r="AH30" t="inlineStr">
        <is>
          <t>none</t>
        </is>
      </c>
      <c r="AI30" t="inlineStr">
        <is>
          <t>373 Park Avenue South</t>
        </is>
      </c>
      <c r="AJ30" t="n">
        <v>9</v>
      </c>
      <c r="AK30" t="inlineStr">
        <is>
          <t>occupied</t>
        </is>
      </c>
      <c r="AL30" t="n">
        <v>32</v>
      </c>
      <c r="AM30" t="n">
        <v>64</v>
      </c>
      <c r="AN30" t="inlineStr">
        <is>
          <t>low</t>
        </is>
      </c>
      <c r="AO30" t="inlineStr">
        <is>
          <t>in-office-5</t>
        </is>
      </c>
      <c r="AP30" t="inlineStr">
        <is>
          <t>AO-C-128</t>
        </is>
      </c>
      <c r="AQ30" t="inlineStr">
        <is>
          <t>N</t>
        </is>
      </c>
      <c r="AR30" t="inlineStr"/>
      <c r="AS30" t="inlineStr"/>
      <c r="AT30" t="inlineStr">
        <is>
          <t>N</t>
        </is>
      </c>
      <c r="AU30" t="inlineStr">
        <is>
          <t>no contact named on an opened page</t>
        </is>
      </c>
      <c r="AV30" t="inlineStr"/>
      <c r="AW30" t="inlineStr">
        <is>
          <t>N</t>
        </is>
      </c>
      <c r="AX30" t="inlineStr">
        <is>
          <t>pass</t>
        </is>
      </c>
      <c r="AY30" t="inlineStr">
        <is>
          <t>passes all hard gates</t>
        </is>
      </c>
      <c r="AZ30" t="inlineStr">
        <is>
          <t>company</t>
        </is>
      </c>
      <c r="BA30" t="inlineStr">
        <is>
          <t>B-C-128</t>
        </is>
      </c>
      <c r="BB30" t="inlineStr">
        <is>
          <t>https://simplebet.io</t>
        </is>
      </c>
      <c r="BC30" t="inlineStr">
        <is>
          <t>sports betting technology</t>
        </is>
      </c>
      <c r="BD30" t="n">
        <v>95</v>
      </c>
      <c r="BE30" t="inlineStr"/>
      <c r="BF30" t="inlineStr">
        <is>
          <t>76-150</t>
        </is>
      </c>
      <c r="BG30" t="inlineStr">
        <is>
          <t>whole-company</t>
        </is>
      </c>
      <c r="BH30" t="inlineStr">
        <is>
          <t>single-source</t>
        </is>
      </c>
      <c r="BI30" t="inlineStr">
        <is>
          <t>https://www.builtinnyc.com/company/simplebet/offices</t>
        </is>
      </c>
      <c r="BJ30" t="inlineStr"/>
      <c r="BK30" t="inlineStr">
        <is>
          <t>le500</t>
        </is>
      </c>
      <c r="BL30" t="inlineStr">
        <is>
          <t>New York</t>
        </is>
      </c>
      <c r="BM30" t="inlineStr">
        <is>
          <t>Y</t>
        </is>
      </c>
      <c r="BN30" t="inlineStr">
        <is>
          <t>DraftKings</t>
        </is>
      </c>
      <c r="BO30" t="inlineStr">
        <is>
          <t>unknown</t>
        </is>
      </c>
      <c r="BP30" t="n">
        <v>10016</v>
      </c>
      <c r="BQ30" t="n">
        <v>40.742242</v>
      </c>
      <c r="BR30" t="n">
        <v>-73.984606</v>
      </c>
      <c r="BS30" t="inlineStr">
        <is>
          <t>Y</t>
        </is>
      </c>
      <c r="BT30" t="n">
        <v>0</v>
      </c>
      <c r="BU30" t="inlineStr">
        <is>
          <t>B-B-064</t>
        </is>
      </c>
      <c r="BV30" t="inlineStr">
        <is>
          <t>373 Park Avenue South (Olmstead Properties and Vertex)</t>
        </is>
      </c>
      <c r="BW30" t="inlineStr">
        <is>
          <t>https://commercialobserver.com/2025/05/empire-capital-buys-373-381-park-avenue-south/</t>
        </is>
      </c>
      <c r="BX30" t="inlineStr">
        <is>
          <t>2025-05-22</t>
        </is>
      </c>
      <c r="BY30" t="inlineStr">
        <is>
          <t>leasing-press</t>
        </is>
      </c>
      <c r="BZ30" t="inlineStr">
        <is>
          <t>https://www.builtinnyc.com/company/simplebet/offices</t>
        </is>
      </c>
      <c r="CA30" t="inlineStr">
        <is>
          <t>2026-10-23</t>
        </is>
      </c>
      <c r="CB30" t="inlineStr"/>
      <c r="CC30" t="inlineStr">
        <is>
          <t>high</t>
        </is>
      </c>
      <c r="CD30" t="inlineStr"/>
      <c r="CE30" t="inlineStr">
        <is>
          <t>N</t>
        </is>
      </c>
      <c r="CF30" t="inlineStr"/>
      <c r="CG30" t="inlineStr"/>
      <c r="CH30" t="inlineStr">
        <is>
          <t>unknown</t>
        </is>
      </c>
      <c r="CI30" t="inlineStr"/>
      <c r="CJ30" t="inlineStr">
        <is>
          <t>unknown</t>
        </is>
      </c>
      <c r="CK30" t="inlineStr">
        <is>
          <t>N</t>
        </is>
      </c>
      <c r="CL30" t="inlineStr">
        <is>
          <t>Built In workplace type: OnSite Workplace; typical time on-site: 5 days a week</t>
        </is>
      </c>
      <c r="CM30" t="inlineStr">
        <is>
          <t>https://www.builtinnyc.com/company/simplebet/offices</t>
        </is>
      </c>
      <c r="CN30" t="inlineStr">
        <is>
          <t>2026-10-24</t>
        </is>
      </c>
      <c r="CO30" t="n">
        <v>45</v>
      </c>
      <c r="CP30" t="inlineStr"/>
      <c r="CQ30" t="inlineStr">
        <is>
          <t>95 (Built In) staff (whole-company count) x 50% to 100% of them in the New York office (HQ New York; share assumed) x 67% (Partnership for NYC, firms under 500) in on a weekday = 32 to 64, central 45; low confidence; estimate until intake replaces it.</t>
        </is>
      </c>
      <c r="CR30" t="inlineStr">
        <is>
          <t>estimate until intake replaces it</t>
        </is>
      </c>
      <c r="CS30" t="n">
        <v>0.68</v>
      </c>
      <c r="CT30" t="n">
        <v>58</v>
      </c>
      <c r="CU30" t="n">
        <v>17</v>
      </c>
      <c r="CV30" t="n">
        <v>11</v>
      </c>
      <c r="CW30" t="n">
        <v>15</v>
      </c>
      <c r="CX30" t="n">
        <v>15</v>
      </c>
      <c r="CY30" t="n">
        <v>0</v>
      </c>
      <c r="CZ30" t="n">
        <v>0</v>
      </c>
      <c r="DA30" t="inlineStr"/>
      <c r="DB30" t="inlineStr"/>
      <c r="DC30" t="inlineStr"/>
      <c r="DD30" t="inlineStr"/>
      <c r="DE30" t="inlineStr"/>
      <c r="DF30" t="inlineStr">
        <is>
          <t>none</t>
        </is>
      </c>
      <c r="DG30" t="inlineStr">
        <is>
          <t>candidate</t>
        </is>
      </c>
      <c r="DH30" t="inlineStr"/>
      <c r="DI30" t="inlineStr"/>
      <c r="DJ30" t="inlineStr">
        <is>
          <t>8,732 sf</t>
        </is>
      </c>
      <c r="DK30" t="inlineStr">
        <is>
          <t>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is>
      </c>
      <c r="DL30" t="inlineStr">
        <is>
          <t>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is>
      </c>
      <c r="DM30" t="inlineStr"/>
      <c r="DN30" t="inlineStr"/>
      <c r="DO30" t="inlineStr"/>
      <c r="DP30" t="inlineStr"/>
      <c r="DQ30" t="inlineStr"/>
      <c r="DR30" t="inlineStr"/>
      <c r="DS30" t="inlineStr">
        <is>
          <t>none</t>
        </is>
      </c>
      <c r="DT30" t="inlineStr"/>
      <c r="DU30" t="inlineStr"/>
      <c r="DV30" t="inlineStr"/>
      <c r="DW30" t="inlineStr"/>
      <c r="DX30" t="inlineStr">
        <is>
          <t>Y</t>
        </is>
      </c>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f>IF(ISNUMBER(MATCH(U30,{"queued","contacted","replied","call_booked","call_done","yes_in_principle","materials_sent"},0)),"Y","N")</f>
        <v/>
      </c>
      <c r="ES30">
        <f>IF(COUNTIFS($AP$2:$AP$1000,AP30,$ER$2:$ER$1000,"Y")+COUNTIFS($AP$2:$AP$1000,AP30,$T$2:$T$1000,"Y")&gt;0,"Y","N")</f>
        <v/>
      </c>
      <c r="ET30">
        <f>IF(AND(U30="new",T30="N",AT30="Y",AS30="",ES30="N"),"Y","N")</f>
        <v/>
      </c>
      <c r="EU30">
        <f>IF(ET30&lt;&gt;"Y","N",IF(COUNTIFS($AP$2:$AP$1000,AP30,$ET$2:$ET$1000,"Y",$J$2:$J$1000,"&gt;"&amp;J30)+COUNTIFS($AP$2:$AP$1000,AP30,$ET$2:$ET$1000,"Y",$J$2:$J$1000,J30,$EW$2:$EW$1000,"&lt;"&amp;EW30)=0,"Y","N"))</f>
        <v/>
      </c>
      <c r="EV30">
        <f>IF(Y30="","N",IF(Y30&lt;=10,"Y","N"))</f>
        <v/>
      </c>
      <c r="EW30">
        <f>ROW()-1</f>
        <v/>
      </c>
    </row>
    <row r="31">
      <c r="A31" t="inlineStr">
        <is>
          <t>AO-C-155</t>
        </is>
      </c>
      <c r="B31" t="inlineStr">
        <is>
          <t>Primary Wave</t>
        </is>
      </c>
      <c r="C31" t="inlineStr">
        <is>
          <t>Sophia</t>
        </is>
      </c>
      <c r="D31" t="inlineStr">
        <is>
          <t>Popovits</t>
        </is>
      </c>
      <c r="E31" t="inlineStr">
        <is>
          <t>NY Facilities and Culture Manager</t>
        </is>
      </c>
      <c r="F31" t="inlineStr"/>
      <c r="G31" t="inlineStr"/>
      <c r="H31" t="inlineStr">
        <is>
          <t>none</t>
        </is>
      </c>
      <c r="I31" t="inlineStr">
        <is>
          <t>linkedin</t>
        </is>
      </c>
      <c r="J31" t="n">
        <v>57.8</v>
      </c>
      <c r="K31" t="inlineStr">
        <is>
          <t>Tuesday estimate 37 to 90 (low confidence), under 500 staff company-wide, remote-first signal, occupied at a high-confidence address; contact in the target titles named (NY Facilities and Culture Manager).</t>
        </is>
      </c>
      <c r="L31" t="inlineStr">
        <is>
          <t>40-75</t>
        </is>
      </c>
      <c r="M31" t="inlineStr"/>
      <c r="N31" t="inlineStr"/>
      <c r="O31" t="inlineStr"/>
      <c r="P31" t="inlineStr"/>
      <c r="Q31" t="inlineStr"/>
      <c r="R31" t="inlineStr">
        <is>
          <t>N</t>
        </is>
      </c>
      <c r="S31" t="inlineStr">
        <is>
          <t>unknown</t>
        </is>
      </c>
      <c r="T31" t="inlineStr">
        <is>
          <t>N</t>
        </is>
      </c>
      <c r="U31" t="inlineStr">
        <is>
          <t>new</t>
        </is>
      </c>
      <c r="V31" t="inlineStr">
        <is>
          <t>https://commercialobserver.com/2026/03/thor-equities-buys-1165-broadway/</t>
        </is>
      </c>
      <c r="W31" t="inlineStr">
        <is>
          <t>2026-10-23</t>
        </is>
      </c>
      <c r="X31" t="inlineStr">
        <is>
          <t>office</t>
        </is>
      </c>
      <c r="Y31" t="n">
        <v>19</v>
      </c>
      <c r="Z31" t="n">
        <v>30</v>
      </c>
      <c r="AA31" t="inlineStr">
        <is>
          <t>Y</t>
        </is>
      </c>
      <c r="AB31" t="inlineStr">
        <is>
          <t>find Sophia Popovits at Primary Wave on LinkedIn and paste the profile URL</t>
        </is>
      </c>
      <c r="AC31" t="inlineStr">
        <is>
          <t>pantry or office lead (primary)</t>
        </is>
      </c>
      <c r="AD31" t="inlineStr">
        <is>
          <t>verified-page</t>
        </is>
      </c>
      <c r="AE31" t="inlineStr">
        <is>
          <t>employer's own site</t>
        </is>
      </c>
      <c r="AF31" t="inlineStr">
        <is>
          <t>https://primarywave.com/team/?filter=human-resources</t>
        </is>
      </c>
      <c r="AG31" t="inlineStr">
        <is>
          <t>2026-10-24</t>
        </is>
      </c>
      <c r="AH31" t="inlineStr">
        <is>
          <t>exact</t>
        </is>
      </c>
      <c r="AI31" t="inlineStr">
        <is>
          <t>1165 Broadway</t>
        </is>
      </c>
      <c r="AJ31" t="inlineStr">
        <is>
          <t>5 (per site; CO 2024: top two floors)</t>
        </is>
      </c>
      <c r="AK31" t="inlineStr">
        <is>
          <t>occupied</t>
        </is>
      </c>
      <c r="AL31" t="n">
        <v>37</v>
      </c>
      <c r="AM31" t="n">
        <v>90</v>
      </c>
      <c r="AN31" t="inlineStr">
        <is>
          <t>low</t>
        </is>
      </c>
      <c r="AO31" t="inlineStr">
        <is>
          <t>remote</t>
        </is>
      </c>
      <c r="AP31" t="inlineStr">
        <is>
          <t>AO-C-155</t>
        </is>
      </c>
      <c r="AQ31" t="inlineStr">
        <is>
          <t>N</t>
        </is>
      </c>
      <c r="AR31" t="inlineStr"/>
      <c r="AS31" t="inlineStr"/>
      <c r="AT31" t="inlineStr">
        <is>
          <t>Y</t>
        </is>
      </c>
      <c r="AU31" t="inlineStr"/>
      <c r="AV31" t="inlineStr"/>
      <c r="AW31" t="inlineStr">
        <is>
          <t>N</t>
        </is>
      </c>
      <c r="AX31" t="inlineStr">
        <is>
          <t>pass</t>
        </is>
      </c>
      <c r="AY31" t="inlineStr">
        <is>
          <t>passes all hard gates</t>
        </is>
      </c>
      <c r="AZ31" t="inlineStr">
        <is>
          <t>company</t>
        </is>
      </c>
      <c r="BA31" t="inlineStr">
        <is>
          <t>B-C-155</t>
        </is>
      </c>
      <c r="BB31" t="inlineStr">
        <is>
          <t>https://www.primarywave.com</t>
        </is>
      </c>
      <c r="BC31" t="inlineStr">
        <is>
          <t>music publishing and marketing</t>
        </is>
      </c>
      <c r="BD31" t="n">
        <v>109</v>
      </c>
      <c r="BE31" t="n">
        <v>134</v>
      </c>
      <c r="BF31" t="inlineStr">
        <is>
          <t>76-150</t>
        </is>
      </c>
      <c r="BG31" t="inlineStr">
        <is>
          <t>whole-company</t>
        </is>
      </c>
      <c r="BH31" t="inlineStr">
        <is>
          <t>agree</t>
        </is>
      </c>
      <c r="BI31" t="inlineStr">
        <is>
          <t>https://www.builtinnyc.com/company/primary-wave/offices</t>
        </is>
      </c>
      <c r="BJ31" t="inlineStr">
        <is>
          <t>https://www.reveliolabs.com/companies/primary-wave-entmt/employees</t>
        </is>
      </c>
      <c r="BK31" t="inlineStr">
        <is>
          <t>le500</t>
        </is>
      </c>
      <c r="BL31" t="inlineStr">
        <is>
          <t>New York</t>
        </is>
      </c>
      <c r="BM31" t="inlineStr">
        <is>
          <t>Y</t>
        </is>
      </c>
      <c r="BN31" t="inlineStr">
        <is>
          <t>unknown</t>
        </is>
      </c>
      <c r="BO31" t="inlineStr">
        <is>
          <t>unknown</t>
        </is>
      </c>
      <c r="BP31" t="n">
        <v>10001</v>
      </c>
      <c r="BQ31" t="n">
        <v>40.744899</v>
      </c>
      <c r="BR31" t="n">
        <v>-73.989082</v>
      </c>
      <c r="BS31" t="inlineStr">
        <is>
          <t>Y</t>
        </is>
      </c>
      <c r="BT31" t="n">
        <v>0</v>
      </c>
      <c r="BU31" t="inlineStr">
        <is>
          <t>B-B-071</t>
        </is>
      </c>
      <c r="BV31" t="inlineStr">
        <is>
          <t>1165 Broadway (Thor Equities, bought 2026)</t>
        </is>
      </c>
      <c r="BW31" t="inlineStr">
        <is>
          <t>https://commercialobserver.com/2026/03/thor-equities-buys-1165-broadway/</t>
        </is>
      </c>
      <c r="BX31" t="inlineStr">
        <is>
          <t>2026-03-25</t>
        </is>
      </c>
      <c r="BY31" t="inlineStr">
        <is>
          <t>leasing-press</t>
        </is>
      </c>
      <c r="BZ31" t="inlineStr">
        <is>
          <t>https://primarywave.com/contact/</t>
        </is>
      </c>
      <c r="CA31" t="inlineStr">
        <is>
          <t>2026-10-23</t>
        </is>
      </c>
      <c r="CB31" t="inlineStr"/>
      <c r="CC31" t="inlineStr">
        <is>
          <t>high</t>
        </is>
      </c>
      <c r="CD31" t="inlineStr"/>
      <c r="CE31" t="inlineStr">
        <is>
          <t>N</t>
        </is>
      </c>
      <c r="CF31" t="inlineStr"/>
      <c r="CG31" t="inlineStr"/>
      <c r="CH31" t="inlineStr">
        <is>
          <t>unknown</t>
        </is>
      </c>
      <c r="CI31" t="inlineStr"/>
      <c r="CJ31" t="inlineStr">
        <is>
          <t>unknown</t>
        </is>
      </c>
      <c r="CK31" t="inlineStr">
        <is>
          <t>N</t>
        </is>
      </c>
      <c r="CL31" t="inlineStr">
        <is>
          <t>Built In workplace type: Remote Workplace</t>
        </is>
      </c>
      <c r="CM31" t="inlineStr">
        <is>
          <t>https://www.builtinnyc.com/company/primary-wave/offices</t>
        </is>
      </c>
      <c r="CN31" t="inlineStr">
        <is>
          <t>2026-10-24</t>
        </is>
      </c>
      <c r="CO31" t="n">
        <v>58</v>
      </c>
      <c r="CP31" t="inlineStr"/>
      <c r="CQ31" t="inlineStr">
        <is>
          <t>109 (Built In) and 134 (Revelio Labs) staff (whole-company count) x 50% to 100% of them in the New York office (HQ New York; share assumed) x 67% (Partnership for NYC, firms under 500) in on a weekday = 37 to 90, central 58; low confidence; estimate until intake replaces it.</t>
        </is>
      </c>
      <c r="CR31" t="inlineStr">
        <is>
          <t>estimate until intake replaces it</t>
        </is>
      </c>
      <c r="CS31" t="n">
        <v>0.91</v>
      </c>
      <c r="CT31" t="n">
        <v>57.8</v>
      </c>
      <c r="CU31" t="n">
        <v>22.8</v>
      </c>
      <c r="CV31" t="n">
        <v>15</v>
      </c>
      <c r="CW31" t="n">
        <v>-5</v>
      </c>
      <c r="CX31" t="n">
        <v>15</v>
      </c>
      <c r="CY31" t="n">
        <v>10</v>
      </c>
      <c r="CZ31" t="n">
        <v>0</v>
      </c>
      <c r="DA31" t="inlineStr">
        <is>
          <t>Shevonne</t>
        </is>
      </c>
      <c r="DB31" t="inlineStr">
        <is>
          <t>James</t>
        </is>
      </c>
      <c r="DC31" t="inlineStr">
        <is>
          <t>Senior Human Resources Manager</t>
        </is>
      </c>
      <c r="DD31" t="inlineStr"/>
      <c r="DE31" t="inlineStr"/>
      <c r="DF31" t="inlineStr">
        <is>
          <t>none</t>
        </is>
      </c>
      <c r="DG31" t="inlineStr">
        <is>
          <t>candidate</t>
        </is>
      </c>
      <c r="DH31" t="inlineStr"/>
      <c r="DI31" t="inlineStr"/>
      <c r="DJ31" t="inlineStr">
        <is>
          <t>12,884 sf</t>
        </is>
      </c>
      <c r="DK31" t="inlineStr">
        <is>
          <t>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is>
      </c>
      <c r="DL31" t="inlineStr"/>
      <c r="DM31" t="inlineStr">
        <is>
          <t>Sophia Popovits</t>
        </is>
      </c>
      <c r="DN31" t="inlineStr"/>
      <c r="DO31" t="inlineStr">
        <is>
          <t>title_match=target; Human Resources &amp; Operations tab of Primary Wave's team page (opened 2026-10-24). Strong fit: the title names the NY office. Built In calls Primary Wave a Remote Workplace, but a NY facilities role suggests a staffed office; confirm Tuesday headcount on the call.</t>
        </is>
      </c>
      <c r="DP31" t="inlineStr"/>
      <c r="DQ31" t="inlineStr">
        <is>
          <t>pantry or office lead (backup)</t>
        </is>
      </c>
      <c r="DR31" t="inlineStr">
        <is>
          <t>Shevonne James</t>
        </is>
      </c>
      <c r="DS31" t="inlineStr">
        <is>
          <t>verified-page</t>
        </is>
      </c>
      <c r="DT31" t="inlineStr">
        <is>
          <t>employer's own site</t>
        </is>
      </c>
      <c r="DU31" t="inlineStr">
        <is>
          <t>https://primarywave.com/team/?filter=human-resources</t>
        </is>
      </c>
      <c r="DV31" t="inlineStr"/>
      <c r="DW31" t="inlineStr">
        <is>
          <t>title_match=target; Same page (opened 2026-10-24); city not stated. Also on the tab: Mike Chorny, Operations Manager / IT, and Jessica Wilkins, Senior Executive Assistant (executive not named).</t>
        </is>
      </c>
      <c r="DX31" t="inlineStr">
        <is>
          <t>Y</t>
        </is>
      </c>
      <c r="DY31" t="inlineStr">
        <is>
          <t>confirmed</t>
        </is>
      </c>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f>IF(ISNUMBER(MATCH(U31,{"queued","contacted","replied","call_booked","call_done","yes_in_principle","materials_sent"},0)),"Y","N")</f>
        <v/>
      </c>
      <c r="ES31">
        <f>IF(COUNTIFS($AP$2:$AP$1000,AP31,$ER$2:$ER$1000,"Y")+COUNTIFS($AP$2:$AP$1000,AP31,$T$2:$T$1000,"Y")&gt;0,"Y","N")</f>
        <v/>
      </c>
      <c r="ET31">
        <f>IF(AND(U31="new",T31="N",AT31="Y",AS31="",ES31="N"),"Y","N")</f>
        <v/>
      </c>
      <c r="EU31">
        <f>IF(ET31&lt;&gt;"Y","N",IF(COUNTIFS($AP$2:$AP$1000,AP31,$ET$2:$ET$1000,"Y",$J$2:$J$1000,"&gt;"&amp;J31)+COUNTIFS($AP$2:$AP$1000,AP31,$ET$2:$ET$1000,"Y",$J$2:$J$1000,J31,$EW$2:$EW$1000,"&lt;"&amp;EW31)=0,"Y","N"))</f>
        <v/>
      </c>
      <c r="EV31">
        <f>IF(Y31="","N",IF(Y31&lt;=10,"Y","N"))</f>
        <v/>
      </c>
      <c r="EW31">
        <f>ROW()-1</f>
        <v/>
      </c>
    </row>
    <row r="32">
      <c r="A32" t="inlineStr">
        <is>
          <t>AO-C-095</t>
        </is>
      </c>
      <c r="B32" t="inlineStr">
        <is>
          <t>Foursquare</t>
        </is>
      </c>
      <c r="C32" t="inlineStr">
        <is>
          <t>Kristin</t>
        </is>
      </c>
      <c r="D32" t="inlineStr">
        <is>
          <t>Vera</t>
        </is>
      </c>
      <c r="E32" t="inlineStr">
        <is>
          <t>Senior Manager, Executive &amp; Office Operations | EA to the CEO</t>
        </is>
      </c>
      <c r="F32" t="inlineStr"/>
      <c r="G32" t="inlineStr"/>
      <c r="H32" t="inlineStr">
        <is>
          <t>none</t>
        </is>
      </c>
      <c r="I32" t="inlineStr">
        <is>
          <t>linkedin</t>
        </is>
      </c>
      <c r="J32" t="n">
        <v>57.4</v>
      </c>
      <c r="K32" t="inlineStr">
        <is>
          <t>Tuesday estimate 12 to 288 (low confidence), under 500 staff company-wide with a named parent (Infillion (acquisition announced 2026-09-18)), hybrid (days not stated), occupied at a high-confidence address; contact in the target titles named (Senior Manager, Executive &amp; Office Operations | EA to the CEO).</t>
        </is>
      </c>
      <c r="L32" t="inlineStr">
        <is>
          <t>40-75</t>
        </is>
      </c>
      <c r="M32" t="inlineStr"/>
      <c r="N32" t="inlineStr"/>
      <c r="O32" t="inlineStr"/>
      <c r="P32" t="inlineStr"/>
      <c r="Q32" t="inlineStr"/>
      <c r="R32" t="inlineStr">
        <is>
          <t>N</t>
        </is>
      </c>
      <c r="S32" t="inlineStr">
        <is>
          <t>unknown</t>
        </is>
      </c>
      <c r="T32" t="inlineStr">
        <is>
          <t>N</t>
        </is>
      </c>
      <c r="U32" t="inlineStr">
        <is>
          <t>new</t>
        </is>
      </c>
      <c r="V32" t="inlineStr">
        <is>
          <t>https://www.builtinnyc.com/company/foursquare/offices</t>
        </is>
      </c>
      <c r="W32" t="inlineStr">
        <is>
          <t>2026-10-23</t>
        </is>
      </c>
      <c r="X32" t="inlineStr">
        <is>
          <t>office</t>
        </is>
      </c>
      <c r="Y32" t="n">
        <v>20</v>
      </c>
      <c r="Z32" t="n">
        <v>31</v>
      </c>
      <c r="AA32" t="inlineStr">
        <is>
          <t>Y</t>
        </is>
      </c>
      <c r="AB32" t="inlineStr">
        <is>
          <t>find Kristin Vera at Foursquare on LinkedIn and paste the profile URL (this also confirms the name: The Org is crowd-edited)</t>
        </is>
      </c>
      <c r="AC32" t="inlineStr">
        <is>
          <t>pantry or office lead (primary)</t>
        </is>
      </c>
      <c r="AD32" t="inlineStr">
        <is>
          <t>verified-page</t>
        </is>
      </c>
      <c r="AE32" t="inlineStr">
        <is>
          <t>The Org (crowd-edited org chart)</t>
        </is>
      </c>
      <c r="AF32" t="inlineStr">
        <is>
          <t>https://theorg.com/org/foursquare/org-chart/kristin-vera</t>
        </is>
      </c>
      <c r="AG32" t="inlineStr">
        <is>
          <t>2026-10-24</t>
        </is>
      </c>
      <c r="AH32" t="inlineStr">
        <is>
          <t>exact</t>
        </is>
      </c>
      <c r="AI32" t="inlineStr">
        <is>
          <t>50 West 23rd Street</t>
        </is>
      </c>
      <c r="AJ32" t="inlineStr">
        <is>
          <t>unknown</t>
        </is>
      </c>
      <c r="AK32" t="inlineStr">
        <is>
          <t>occupied</t>
        </is>
      </c>
      <c r="AL32" t="n">
        <v>12</v>
      </c>
      <c r="AM32" t="n">
        <v>288</v>
      </c>
      <c r="AN32" t="inlineStr">
        <is>
          <t>low</t>
        </is>
      </c>
      <c r="AO32" t="inlineStr">
        <is>
          <t>hybrid-unspecified</t>
        </is>
      </c>
      <c r="AP32" t="inlineStr">
        <is>
          <t>AO-C-095</t>
        </is>
      </c>
      <c r="AQ32" t="inlineStr">
        <is>
          <t>N</t>
        </is>
      </c>
      <c r="AR32" t="inlineStr"/>
      <c r="AS32" t="inlineStr"/>
      <c r="AT32" t="inlineStr">
        <is>
          <t>Y</t>
        </is>
      </c>
      <c r="AU32" t="inlineStr"/>
      <c r="AV32" t="inlineStr"/>
      <c r="AW32" t="inlineStr">
        <is>
          <t>N</t>
        </is>
      </c>
      <c r="AX32" t="inlineStr">
        <is>
          <t>pass</t>
        </is>
      </c>
      <c r="AY32" t="inlineStr">
        <is>
          <t>passes all hard gates</t>
        </is>
      </c>
      <c r="AZ32" t="inlineStr">
        <is>
          <t>company</t>
        </is>
      </c>
      <c r="BA32" t="inlineStr">
        <is>
          <t>B-C-095</t>
        </is>
      </c>
      <c r="BB32" t="inlineStr">
        <is>
          <t>https://foursquare.com/</t>
        </is>
      </c>
      <c r="BC32" t="inlineStr">
        <is>
          <t>Location technology / software</t>
        </is>
      </c>
      <c r="BD32" t="n">
        <v>350</v>
      </c>
      <c r="BE32" t="n">
        <v>430</v>
      </c>
      <c r="BF32" t="inlineStr">
        <is>
          <t>251-500</t>
        </is>
      </c>
      <c r="BG32" t="inlineStr">
        <is>
          <t>whole-company</t>
        </is>
      </c>
      <c r="BH32" t="inlineStr">
        <is>
          <t>agree</t>
        </is>
      </c>
      <c r="BI32" t="inlineStr">
        <is>
          <t>https://www.builtinnyc.com/company/foursquare/offices</t>
        </is>
      </c>
      <c r="BJ32" t="inlineStr">
        <is>
          <t>https://www.reveliolabs.com/companies/foursquare-labs/employees</t>
        </is>
      </c>
      <c r="BK32" t="inlineStr">
        <is>
          <t>le500</t>
        </is>
      </c>
      <c r="BL32" t="inlineStr">
        <is>
          <t>unknown</t>
        </is>
      </c>
      <c r="BM32" t="inlineStr">
        <is>
          <t>unknown</t>
        </is>
      </c>
      <c r="BN32" t="inlineStr">
        <is>
          <t>Infillion (acquisition announced 2026-09-18)</t>
        </is>
      </c>
      <c r="BO32" t="inlineStr">
        <is>
          <t>unknown</t>
        </is>
      </c>
      <c r="BP32" t="n">
        <v>10010</v>
      </c>
      <c r="BQ32" t="n">
        <v>40.742199</v>
      </c>
      <c r="BR32" t="n">
        <v>-73.99172</v>
      </c>
      <c r="BS32" t="inlineStr">
        <is>
          <t>Y</t>
        </is>
      </c>
      <c r="BT32" t="n">
        <v>0</v>
      </c>
      <c r="BU32" t="inlineStr">
        <is>
          <t>B-B-046</t>
        </is>
      </c>
      <c r="BV32" t="inlineStr">
        <is>
          <t>50 West 23rd Street (Two Trees Management)</t>
        </is>
      </c>
      <c r="BW32" t="inlineStr">
        <is>
          <t>https://www.builtinnyc.com/company/foursquare/offices</t>
        </is>
      </c>
      <c r="BX32" t="inlineStr">
        <is>
          <t>2026-10-23</t>
        </is>
      </c>
      <c r="BY32" t="inlineStr">
        <is>
          <t>builtin</t>
        </is>
      </c>
      <c r="BZ32" t="inlineStr">
        <is>
          <t>https://nyrej.com/index.php/two-new-leases-signed-at-50-west-23rd-st</t>
        </is>
      </c>
      <c r="CA32" t="inlineStr">
        <is>
          <t>2025-10-14</t>
        </is>
      </c>
      <c r="CB32" t="inlineStr"/>
      <c r="CC32" t="inlineStr">
        <is>
          <t>high</t>
        </is>
      </c>
      <c r="CD32" t="inlineStr"/>
      <c r="CE32" t="inlineStr">
        <is>
          <t>N</t>
        </is>
      </c>
      <c r="CF32" t="inlineStr"/>
      <c r="CG32" t="inlineStr"/>
      <c r="CH32" t="inlineStr">
        <is>
          <t>security desk</t>
        </is>
      </c>
      <c r="CI32" t="inlineStr">
        <is>
          <t>https://nyrej.com/index.php/two-new-leases-signed-at-50-west-23rd-st</t>
        </is>
      </c>
      <c r="CJ32" t="inlineStr">
        <is>
          <t>unknown</t>
        </is>
      </c>
      <c r="CK32" t="inlineStr">
        <is>
          <t>N</t>
        </is>
      </c>
      <c r="CL32" t="inlineStr">
        <is>
          <t>Built In workplace type: Hybrid Workplace; typical time on-site: Flexible</t>
        </is>
      </c>
      <c r="CM32" t="inlineStr">
        <is>
          <t>https://www.builtinnyc.com/company/foursquare/offices</t>
        </is>
      </c>
      <c r="CN32" t="inlineStr">
        <is>
          <t>2026-10-24</t>
        </is>
      </c>
      <c r="CO32" t="n">
        <v>59</v>
      </c>
      <c r="CP32" t="inlineStr">
        <is>
          <t>may be under 30;may exceed 250</t>
        </is>
      </c>
      <c r="CQ32" t="inlineStr">
        <is>
          <t>350 (Built In) and 430 (Revelio Labs) staff (whole-company count) x 5% to 100% of them in the New York office (HQ city unknown; share assumed) x 67% (Partnership for NYC, firms under 500) in on a weekday = 12 to 288, central 59; low confidence; estimate until intake replaces it.</t>
        </is>
      </c>
      <c r="CR32" t="inlineStr">
        <is>
          <t>estimate until intake replaces it</t>
        </is>
      </c>
      <c r="CS32" t="n">
        <v>0.58</v>
      </c>
      <c r="CT32" t="n">
        <v>57.4</v>
      </c>
      <c r="CU32" t="n">
        <v>14.4</v>
      </c>
      <c r="CV32" t="n">
        <v>11</v>
      </c>
      <c r="CW32" t="n">
        <v>7</v>
      </c>
      <c r="CX32" t="n">
        <v>15</v>
      </c>
      <c r="CY32" t="n">
        <v>10</v>
      </c>
      <c r="CZ32" t="n">
        <v>0</v>
      </c>
      <c r="DA32" t="inlineStr">
        <is>
          <t>Pam</t>
        </is>
      </c>
      <c r="DB32" t="inlineStr">
        <is>
          <t>Thomas</t>
        </is>
      </c>
      <c r="DC32" t="inlineStr">
        <is>
          <t>Chief of Staff</t>
        </is>
      </c>
      <c r="DD32" t="inlineStr"/>
      <c r="DE32" t="inlineStr"/>
      <c r="DF32" t="inlineStr">
        <is>
          <t>none</t>
        </is>
      </c>
      <c r="DG32" t="inlineStr">
        <is>
          <t>candidate</t>
        </is>
      </c>
      <c r="DH32" t="inlineStr"/>
      <c r="DI32" t="inlineStr"/>
      <c r="DJ32" t="inlineStr"/>
      <c r="DK32" t="inlineStr">
        <is>
          <t>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L32" t="inlineStr"/>
      <c r="DM32" t="inlineStr">
        <is>
          <t>Kristin Vera</t>
        </is>
      </c>
      <c r="DN32" t="inlineStr"/>
      <c r="DO32" t="inlineStr">
        <is>
          <t>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is>
      </c>
      <c r="DP32" t="inlineStr"/>
      <c r="DQ32" t="inlineStr">
        <is>
          <t>pantry or office lead (backup)</t>
        </is>
      </c>
      <c r="DR32" t="inlineStr">
        <is>
          <t>Pam Thomas</t>
        </is>
      </c>
      <c r="DS32" t="inlineStr">
        <is>
          <t>verified-page</t>
        </is>
      </c>
      <c r="DT32" t="inlineStr">
        <is>
          <t>The Org (crowd-edited org chart)</t>
        </is>
      </c>
      <c r="DU32" t="inlineStr">
        <is>
          <t>https://theorg.com/org/foursquare/org-chart/pam-thomas</t>
        </is>
      </c>
      <c r="DV32" t="inlineStr"/>
      <c r="DW32" t="inlineStr">
        <is>
          <t>title_match=adjacent; theorg.com position page opened 2026-10-24: Chief Of Staff, location New York City (crowd-edited, marked Unverified). A search snippet says Foursquare's own team page lists her as VP, Chief of Staff (snippet-unverified; the rendered page did not show her).</t>
        </is>
      </c>
      <c r="DX32" t="inlineStr">
        <is>
          <t>Y</t>
        </is>
      </c>
      <c r="DY32" t="inlineStr">
        <is>
          <t>confirmed</t>
        </is>
      </c>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f>IF(ISNUMBER(MATCH(U32,{"queued","contacted","replied","call_booked","call_done","yes_in_principle","materials_sent"},0)),"Y","N")</f>
        <v/>
      </c>
      <c r="ES32">
        <f>IF(COUNTIFS($AP$2:$AP$1000,AP32,$ER$2:$ER$1000,"Y")+COUNTIFS($AP$2:$AP$1000,AP32,$T$2:$T$1000,"Y")&gt;0,"Y","N")</f>
        <v/>
      </c>
      <c r="ET32">
        <f>IF(AND(U32="new",T32="N",AT32="Y",AS32="",ES32="N"),"Y","N")</f>
        <v/>
      </c>
      <c r="EU32">
        <f>IF(ET32&lt;&gt;"Y","N",IF(COUNTIFS($AP$2:$AP$1000,AP32,$ET$2:$ET$1000,"Y",$J$2:$J$1000,"&gt;"&amp;J32)+COUNTIFS($AP$2:$AP$1000,AP32,$ET$2:$ET$1000,"Y",$J$2:$J$1000,J32,$EW$2:$EW$1000,"&lt;"&amp;EW32)=0,"Y","N"))</f>
        <v/>
      </c>
      <c r="EV32">
        <f>IF(Y32="","N",IF(Y32&lt;=10,"Y","N"))</f>
        <v/>
      </c>
      <c r="EW32">
        <f>ROW()-1</f>
        <v/>
      </c>
    </row>
    <row r="33">
      <c r="A33" t="inlineStr">
        <is>
          <t>AO-C-133</t>
        </is>
      </c>
      <c r="B33" t="inlineStr">
        <is>
          <t>Order.co</t>
        </is>
      </c>
      <c r="C33" t="inlineStr">
        <is>
          <t>Karen</t>
        </is>
      </c>
      <c r="D33" t="inlineStr">
        <is>
          <t>Bedell</t>
        </is>
      </c>
      <c r="E33" t="inlineStr">
        <is>
          <t>VP, People</t>
        </is>
      </c>
      <c r="F33" t="inlineStr"/>
      <c r="G33" t="inlineStr"/>
      <c r="H33" t="inlineStr">
        <is>
          <t>none</t>
        </is>
      </c>
      <c r="I33" t="inlineStr">
        <is>
          <t>linkedin</t>
        </is>
      </c>
      <c r="J33" t="n">
        <v>57</v>
      </c>
      <c r="K33" t="inlineStr">
        <is>
          <t>Tuesday estimate 55 to 111 (low confidence), under 500 staff company-wide, hybrid (days not stated), signed-not-occupied at a medium-confidence address (hold: lease signed, move not confirmed); adjacent contact named (VP, People).</t>
        </is>
      </c>
      <c r="L33" t="inlineStr">
        <is>
          <t>76-150</t>
        </is>
      </c>
      <c r="M33" t="inlineStr"/>
      <c r="N33" t="inlineStr"/>
      <c r="O33" t="inlineStr">
        <is>
          <t>New or renewed lease at 11 East 26th Street reported 2026-02-05</t>
        </is>
      </c>
      <c r="P33" t="inlineStr">
        <is>
          <t>https://commercialobserver.com/2026/02/order-co-sublease-11-east-26th-street/</t>
        </is>
      </c>
      <c r="Q33" t="inlineStr">
        <is>
          <t>2026-02-05</t>
        </is>
      </c>
      <c r="R33" t="inlineStr">
        <is>
          <t>N</t>
        </is>
      </c>
      <c r="S33" t="inlineStr">
        <is>
          <t>unknown</t>
        </is>
      </c>
      <c r="T33" t="inlineStr">
        <is>
          <t>N</t>
        </is>
      </c>
      <c r="U33" t="inlineStr">
        <is>
          <t>new</t>
        </is>
      </c>
      <c r="V33" t="inlineStr">
        <is>
          <t>https://commercialobserver.com/2026/02/order-co-sublease-11-east-26th-street/</t>
        </is>
      </c>
      <c r="W33" t="inlineStr">
        <is>
          <t>2026-10-23</t>
        </is>
      </c>
      <c r="X33" t="inlineStr">
        <is>
          <t>office</t>
        </is>
      </c>
      <c r="Y33" t="inlineStr"/>
      <c r="Z33" t="n">
        <v>32</v>
      </c>
      <c r="AA33" t="inlineStr">
        <is>
          <t>Y</t>
        </is>
      </c>
      <c r="AB33" t="inlineStr">
        <is>
          <t>find Karen Bedell at Order.co on LinkedIn and paste the profile URL (this also confirms the name: The Org is crowd-edited); adjacent title: ask who runs the pantry</t>
        </is>
      </c>
      <c r="AC33" t="inlineStr">
        <is>
          <t>pantry or office lead (primary)</t>
        </is>
      </c>
      <c r="AD33" t="inlineStr">
        <is>
          <t>verified-page</t>
        </is>
      </c>
      <c r="AE33" t="inlineStr">
        <is>
          <t>The Org (crowd-edited org chart)</t>
        </is>
      </c>
      <c r="AF33" t="inlineStr">
        <is>
          <t>https://theorg.com/org/order-negotiatus/org-chart/karen-bedell</t>
        </is>
      </c>
      <c r="AG33" t="inlineStr">
        <is>
          <t>2026-10-24</t>
        </is>
      </c>
      <c r="AH33" t="inlineStr">
        <is>
          <t>adjacent</t>
        </is>
      </c>
      <c r="AI33" t="inlineStr">
        <is>
          <t>11 East 26th Street</t>
        </is>
      </c>
      <c r="AJ33" t="inlineStr">
        <is>
          <t>unknown</t>
        </is>
      </c>
      <c r="AK33" t="inlineStr">
        <is>
          <t>signed-not-occupied</t>
        </is>
      </c>
      <c r="AL33" t="n">
        <v>55</v>
      </c>
      <c r="AM33" t="n">
        <v>111</v>
      </c>
      <c r="AN33" t="inlineStr">
        <is>
          <t>low</t>
        </is>
      </c>
      <c r="AO33" t="inlineStr">
        <is>
          <t>hybrid-unspecified</t>
        </is>
      </c>
      <c r="AP33" t="inlineStr">
        <is>
          <t>AO-C-133</t>
        </is>
      </c>
      <c r="AQ33" t="inlineStr">
        <is>
          <t>Y</t>
        </is>
      </c>
      <c r="AR33" t="inlineStr">
        <is>
          <t>lease signed, move not confirmed: check the lobby directory before outreach (B)</t>
        </is>
      </c>
      <c r="AS33" t="inlineStr"/>
      <c r="AT33" t="inlineStr">
        <is>
          <t>N</t>
        </is>
      </c>
      <c r="AU33" t="inlineStr">
        <is>
          <t>on hold: lease signed, move not confirmed: check the lobby directory before outreach (B)</t>
        </is>
      </c>
      <c r="AV33" t="inlineStr"/>
      <c r="AW33" t="inlineStr">
        <is>
          <t>N</t>
        </is>
      </c>
      <c r="AX33" t="inlineStr">
        <is>
          <t>pass</t>
        </is>
      </c>
      <c r="AY33" t="inlineStr">
        <is>
          <t>passes all hard gates</t>
        </is>
      </c>
      <c r="AZ33" t="inlineStr">
        <is>
          <t>company</t>
        </is>
      </c>
      <c r="BA33" t="inlineStr">
        <is>
          <t>B-C-133</t>
        </is>
      </c>
      <c r="BB33" t="inlineStr">
        <is>
          <t>https://www.order.co</t>
        </is>
      </c>
      <c r="BC33" t="inlineStr">
        <is>
          <t>software (B2B procurement)</t>
        </is>
      </c>
      <c r="BD33" t="n">
        <v>165</v>
      </c>
      <c r="BE33" t="inlineStr"/>
      <c r="BF33" t="inlineStr">
        <is>
          <t>151-250</t>
        </is>
      </c>
      <c r="BG33" t="inlineStr">
        <is>
          <t>whole-company</t>
        </is>
      </c>
      <c r="BH33" t="inlineStr">
        <is>
          <t>single-source</t>
        </is>
      </c>
      <c r="BI33" t="inlineStr">
        <is>
          <t>https://www.builtinnyc.com/company/orderco/offices</t>
        </is>
      </c>
      <c r="BJ33" t="inlineStr"/>
      <c r="BK33" t="inlineStr">
        <is>
          <t>le500</t>
        </is>
      </c>
      <c r="BL33" t="inlineStr">
        <is>
          <t>New York</t>
        </is>
      </c>
      <c r="BM33" t="inlineStr">
        <is>
          <t>Y</t>
        </is>
      </c>
      <c r="BN33" t="inlineStr">
        <is>
          <t>unknown</t>
        </is>
      </c>
      <c r="BO33" t="inlineStr">
        <is>
          <t>unknown</t>
        </is>
      </c>
      <c r="BP33" t="n">
        <v>10010</v>
      </c>
      <c r="BQ33" t="n">
        <v>40.743309</v>
      </c>
      <c r="BR33" t="n">
        <v>-73.987329</v>
      </c>
      <c r="BS33" t="inlineStr">
        <is>
          <t>Y</t>
        </is>
      </c>
      <c r="BT33" t="n">
        <v>0</v>
      </c>
      <c r="BU33" t="inlineStr">
        <is>
          <t>B-B-065</t>
        </is>
      </c>
      <c r="BV33" t="inlineStr">
        <is>
          <t>11 East 26th Street (Rockrose; joined to 15 East 26th Street)</t>
        </is>
      </c>
      <c r="BW33" t="inlineStr">
        <is>
          <t>https://commercialobserver.com/2026/02/order-co-sublease-11-east-26th-street/</t>
        </is>
      </c>
      <c r="BX33" t="inlineStr">
        <is>
          <t>2026-02-05</t>
        </is>
      </c>
      <c r="BY33" t="inlineStr">
        <is>
          <t>leasing-press</t>
        </is>
      </c>
      <c r="BZ33" t="inlineStr"/>
      <c r="CA33" t="inlineStr"/>
      <c r="CB33" t="inlineStr"/>
      <c r="CC33" t="inlineStr">
        <is>
          <t>medium</t>
        </is>
      </c>
      <c r="CD33" t="inlineStr">
        <is>
          <t>unknown</t>
        </is>
      </c>
      <c r="CE33" t="inlineStr">
        <is>
          <t>N</t>
        </is>
      </c>
      <c r="CF33" t="inlineStr"/>
      <c r="CG33" t="inlineStr"/>
      <c r="CH33" t="inlineStr">
        <is>
          <t>unknown</t>
        </is>
      </c>
      <c r="CI33" t="inlineStr"/>
      <c r="CJ33" t="inlineStr">
        <is>
          <t>unknown</t>
        </is>
      </c>
      <c r="CK33" t="inlineStr">
        <is>
          <t>N</t>
        </is>
      </c>
      <c r="CL33" t="inlineStr">
        <is>
          <t>Built In workplace type: Hybrid Workplace; typical time on-site: Flexible; recent job tags: 3 Hybrid</t>
        </is>
      </c>
      <c r="CM33" t="inlineStr">
        <is>
          <t>https://www.builtinnyc.com/company/orderco/offices</t>
        </is>
      </c>
      <c r="CN33" t="inlineStr">
        <is>
          <t>2026-10-24</t>
        </is>
      </c>
      <c r="CO33" t="n">
        <v>78</v>
      </c>
      <c r="CP33" t="inlineStr"/>
      <c r="CQ33" t="inlineStr">
        <is>
          <t>165 (Built In) staff (whole-company count) x 50% to 100% of them in the New York office (HQ New York; share assumed) x 67% (Partnership for NYC, firms under 500) in on a weekday = 55 to 111, central 78; low confidence; estimate until intake replaces it.</t>
        </is>
      </c>
      <c r="CR33" t="inlineStr">
        <is>
          <t>estimate until intake replaces it</t>
        </is>
      </c>
      <c r="CS33" t="n">
        <v>1</v>
      </c>
      <c r="CT33" t="n">
        <v>57</v>
      </c>
      <c r="CU33" t="n">
        <v>25</v>
      </c>
      <c r="CV33" t="n">
        <v>15</v>
      </c>
      <c r="CW33" t="n">
        <v>7</v>
      </c>
      <c r="CX33" t="n">
        <v>5</v>
      </c>
      <c r="CY33" t="n">
        <v>5</v>
      </c>
      <c r="CZ33" t="n">
        <v>0</v>
      </c>
      <c r="DA33" t="inlineStr">
        <is>
          <t>Ali</t>
        </is>
      </c>
      <c r="DB33" t="inlineStr">
        <is>
          <t>Sardinia</t>
        </is>
      </c>
      <c r="DC33" t="inlineStr">
        <is>
          <t>Chief of Staff</t>
        </is>
      </c>
      <c r="DD33" t="inlineStr"/>
      <c r="DE33" t="inlineStr"/>
      <c r="DF33" t="inlineStr">
        <is>
          <t>none</t>
        </is>
      </c>
      <c r="DG33" t="inlineStr">
        <is>
          <t>candidate</t>
        </is>
      </c>
      <c r="DH33" t="inlineStr"/>
      <c r="DI33" t="inlineStr"/>
      <c r="DJ33" t="inlineStr">
        <is>
          <t>12,134 sf</t>
        </is>
      </c>
      <c r="DK33" t="inlineStr">
        <is>
          <t>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33" t="inlineStr"/>
      <c r="DM33" t="inlineStr">
        <is>
          <t>Karen Bedell</t>
        </is>
      </c>
      <c r="DN33" t="inlineStr"/>
      <c r="DO33" t="inlineStr">
        <is>
          <t>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is>
      </c>
      <c r="DP33" t="inlineStr"/>
      <c r="DQ33" t="inlineStr">
        <is>
          <t>pantry or office lead (backup)</t>
        </is>
      </c>
      <c r="DR33" t="inlineStr">
        <is>
          <t>Ali Sardinia</t>
        </is>
      </c>
      <c r="DS33" t="inlineStr">
        <is>
          <t>verified-page</t>
        </is>
      </c>
      <c r="DT33" t="inlineStr">
        <is>
          <t>The Org (crowd-edited org chart)</t>
        </is>
      </c>
      <c r="DU33" t="inlineStr">
        <is>
          <t>https://theorg.com/org/order-negotiatus/org-chart/ali-sardinia</t>
        </is>
      </c>
      <c r="DV33" t="inlineStr"/>
      <c r="DW33" t="inlineStr">
        <is>
          <t>title_match=target; theorg position page opened 2026-10-24: Chief of Staff, location New York (crowd-edited, marked Unverified, no bio). An Executive Assistant to the CEO role was open on Built In NYC (teams page opened 2026-10-24).</t>
        </is>
      </c>
      <c r="DX33" t="inlineStr">
        <is>
          <t>Y</t>
        </is>
      </c>
      <c r="DY33" t="inlineStr">
        <is>
          <t>confirmed</t>
        </is>
      </c>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f>IF(ISNUMBER(MATCH(U33,{"queued","contacted","replied","call_booked","call_done","yes_in_principle","materials_sent"},0)),"Y","N")</f>
        <v/>
      </c>
      <c r="ES33">
        <f>IF(COUNTIFS($AP$2:$AP$1000,AP33,$ER$2:$ER$1000,"Y")+COUNTIFS($AP$2:$AP$1000,AP33,$T$2:$T$1000,"Y")&gt;0,"Y","N")</f>
        <v/>
      </c>
      <c r="ET33">
        <f>IF(AND(U33="new",T33="N",AT33="Y",AS33="",ES33="N"),"Y","N")</f>
        <v/>
      </c>
      <c r="EU33">
        <f>IF(ET33&lt;&gt;"Y","N",IF(COUNTIFS($AP$2:$AP$1000,AP33,$ET$2:$ET$1000,"Y",$J$2:$J$1000,"&gt;"&amp;J33)+COUNTIFS($AP$2:$AP$1000,AP33,$ET$2:$ET$1000,"Y",$J$2:$J$1000,J33,$EW$2:$EW$1000,"&lt;"&amp;EW33)=0,"Y","N"))</f>
        <v/>
      </c>
      <c r="EV33">
        <f>IF(Y33="","N",IF(Y33&lt;=10,"Y","N"))</f>
        <v/>
      </c>
      <c r="EW33">
        <f>ROW()-1</f>
        <v/>
      </c>
    </row>
    <row r="34">
      <c r="A34" t="inlineStr">
        <is>
          <t>AO-C-051</t>
        </is>
      </c>
      <c r="B34" t="inlineStr">
        <is>
          <t>Morning Brew</t>
        </is>
      </c>
      <c r="C34" t="inlineStr"/>
      <c r="D34" t="inlineStr"/>
      <c r="E34" t="inlineStr"/>
      <c r="F34" t="inlineStr"/>
      <c r="G34" t="inlineStr"/>
      <c r="H34" t="inlineStr">
        <is>
          <t>none</t>
        </is>
      </c>
      <c r="I34" t="inlineStr">
        <is>
          <t>walk-in</t>
        </is>
      </c>
      <c r="J34" t="n">
        <v>56</v>
      </c>
      <c r="K34" t="inlineStr">
        <is>
          <t>Tuesday estimate 96 to 231 (low confidence), under 500 staff company-wide with a named parent (Insider Inc; (majority owner)), on-site 5 days a week per its profile, occupancy-unconfirmed at a low-confidence address; no contact found in public sources (walk-in).</t>
        </is>
      </c>
      <c r="L34" t="inlineStr">
        <is>
          <t>76-150</t>
        </is>
      </c>
      <c r="M34" t="inlineStr"/>
      <c r="N34" t="inlineStr"/>
      <c r="O34" t="inlineStr"/>
      <c r="P34" t="inlineStr"/>
      <c r="Q34" t="inlineStr"/>
      <c r="R34" t="inlineStr">
        <is>
          <t>N</t>
        </is>
      </c>
      <c r="S34" t="inlineStr">
        <is>
          <t>unknown</t>
        </is>
      </c>
      <c r="T34" t="inlineStr">
        <is>
          <t>N</t>
        </is>
      </c>
      <c r="U34" t="inlineStr">
        <is>
          <t>new</t>
        </is>
      </c>
      <c r="V34" t="inlineStr">
        <is>
          <t>https://www.builtinnyc.com/company/morning-brew/offices</t>
        </is>
      </c>
      <c r="W34" t="inlineStr">
        <is>
          <t>2026-10-23</t>
        </is>
      </c>
      <c r="X34" t="inlineStr">
        <is>
          <t>office</t>
        </is>
      </c>
      <c r="Y34" t="inlineStr"/>
      <c r="Z34" t="n">
        <v>33</v>
      </c>
      <c r="AA34" t="inlineStr">
        <is>
          <t>Y</t>
        </is>
      </c>
      <c r="AB34" t="inlineStr">
        <is>
          <t>no named contact: walk in and ask for whoever runs the pantry, or use the company contact form</t>
        </is>
      </c>
      <c r="AC34" t="inlineStr"/>
      <c r="AD34" t="inlineStr">
        <is>
          <t>none</t>
        </is>
      </c>
      <c r="AE34" t="inlineStr"/>
      <c r="AF34" t="inlineStr"/>
      <c r="AG34" t="inlineStr"/>
      <c r="AH34" t="inlineStr">
        <is>
          <t>none</t>
        </is>
      </c>
      <c r="AI34" t="inlineStr">
        <is>
          <t>22 West 19th Street</t>
        </is>
      </c>
      <c r="AJ34" t="inlineStr">
        <is>
          <t>3-4</t>
        </is>
      </c>
      <c r="AK34" t="inlineStr">
        <is>
          <t>occupancy-unconfirmed</t>
        </is>
      </c>
      <c r="AL34" t="n">
        <v>96</v>
      </c>
      <c r="AM34" t="n">
        <v>231</v>
      </c>
      <c r="AN34" t="inlineStr">
        <is>
          <t>low</t>
        </is>
      </c>
      <c r="AO34" t="inlineStr">
        <is>
          <t>in-office-5</t>
        </is>
      </c>
      <c r="AP34" t="inlineStr">
        <is>
          <t>AO-C-051</t>
        </is>
      </c>
      <c r="AQ34" t="inlineStr">
        <is>
          <t>N</t>
        </is>
      </c>
      <c r="AR34" t="inlineStr"/>
      <c r="AS34" t="inlineStr"/>
      <c r="AT34" t="inlineStr">
        <is>
          <t>N</t>
        </is>
      </c>
      <c r="AU34" t="inlineStr">
        <is>
          <t>no contact named on an opened page</t>
        </is>
      </c>
      <c r="AV34" t="inlineStr"/>
      <c r="AW34" t="inlineStr">
        <is>
          <t>N</t>
        </is>
      </c>
      <c r="AX34" t="inlineStr">
        <is>
          <t>pass</t>
        </is>
      </c>
      <c r="AY34" t="inlineStr">
        <is>
          <t>passes all hard gates</t>
        </is>
      </c>
      <c r="AZ34" t="inlineStr">
        <is>
          <t>company</t>
        </is>
      </c>
      <c r="BA34" t="inlineStr">
        <is>
          <t>B-C-051</t>
        </is>
      </c>
      <c r="BB34" t="inlineStr">
        <is>
          <t>https://www.morningbrew.com</t>
        </is>
      </c>
      <c r="BC34" t="inlineStr">
        <is>
          <t>digital media (business newsletters)</t>
        </is>
      </c>
      <c r="BD34" t="n">
        <v>345</v>
      </c>
      <c r="BE34" t="n">
        <v>286</v>
      </c>
      <c r="BF34" t="inlineStr">
        <is>
          <t>251-500</t>
        </is>
      </c>
      <c r="BG34" t="inlineStr">
        <is>
          <t>whole-company</t>
        </is>
      </c>
      <c r="BH34" t="inlineStr">
        <is>
          <t>agree</t>
        </is>
      </c>
      <c r="BI34" t="inlineStr">
        <is>
          <t>https://www.builtinnyc.com/company/morning-brew</t>
        </is>
      </c>
      <c r="BJ34" t="inlineStr">
        <is>
          <t>https://www.reveliolabs.com/companies/morning-brew/employees</t>
        </is>
      </c>
      <c r="BK34" t="inlineStr">
        <is>
          <t>le500</t>
        </is>
      </c>
      <c r="BL34" t="inlineStr">
        <is>
          <t>New York</t>
        </is>
      </c>
      <c r="BM34" t="inlineStr">
        <is>
          <t>Y</t>
        </is>
      </c>
      <c r="BN34" t="inlineStr">
        <is>
          <t>Insider Inc. (majority owner)</t>
        </is>
      </c>
      <c r="BO34" t="inlineStr">
        <is>
          <t>unknown</t>
        </is>
      </c>
      <c r="BP34" t="n">
        <v>10011</v>
      </c>
      <c r="BQ34" t="n">
        <v>40.739487</v>
      </c>
      <c r="BR34" t="n">
        <v>-73.99283</v>
      </c>
      <c r="BS34" t="inlineStr">
        <is>
          <t>Y</t>
        </is>
      </c>
      <c r="BT34" t="n">
        <v>0</v>
      </c>
      <c r="BU34" t="inlineStr">
        <is>
          <t>B-B-022</t>
        </is>
      </c>
      <c r="BV34" t="inlineStr">
        <is>
          <t>Cluett Building (Kaufman Organization)</t>
        </is>
      </c>
      <c r="BW34" t="inlineStr">
        <is>
          <t>https://www.builtinnyc.com/company/morning-brew/offices</t>
        </is>
      </c>
      <c r="BX34" t="inlineStr">
        <is>
          <t>2026-10-23</t>
        </is>
      </c>
      <c r="BY34" t="inlineStr">
        <is>
          <t>builtin</t>
        </is>
      </c>
      <c r="BZ34" t="inlineStr">
        <is>
          <t>https://commercialobserver.com/2022/02/morning-brew-lease-flatiron-district-22-west-19th-street-kaufman-organization/</t>
        </is>
      </c>
      <c r="CA34" t="inlineStr">
        <is>
          <t>2022-02-24</t>
        </is>
      </c>
      <c r="CB34" t="inlineStr"/>
      <c r="CC34" t="inlineStr">
        <is>
          <t>low</t>
        </is>
      </c>
      <c r="CD34" t="inlineStr"/>
      <c r="CE34" t="inlineStr">
        <is>
          <t>N</t>
        </is>
      </c>
      <c r="CF34" t="inlineStr"/>
      <c r="CG34" t="inlineStr"/>
      <c r="CH34" t="inlineStr">
        <is>
          <t>unknown</t>
        </is>
      </c>
      <c r="CI34" t="inlineStr"/>
      <c r="CJ34" t="inlineStr">
        <is>
          <t>unknown</t>
        </is>
      </c>
      <c r="CK34" t="inlineStr">
        <is>
          <t>N</t>
        </is>
      </c>
      <c r="CL34" t="inlineStr">
        <is>
          <t>Built In workplace type: OnSite Workplace; typical time on-site: 5 days a week; recent job tags: 2 In-Office, 1 Hybrid</t>
        </is>
      </c>
      <c r="CM34" t="inlineStr">
        <is>
          <t>https://www.builtinnyc.com/company/morning-brew/offices</t>
        </is>
      </c>
      <c r="CN34" t="inlineStr">
        <is>
          <t>2026-10-24</t>
        </is>
      </c>
      <c r="CO34" t="n">
        <v>149</v>
      </c>
      <c r="CP34" t="inlineStr"/>
      <c r="CQ34" t="inlineStr">
        <is>
          <t>345 (Built In) and 286 (Revelio Labs) staff (whole-company count) x 50% to 100% of them in the New York office (HQ New York; share assumed) x 67% (Partnership for NYC, firms under 500) in on a weekday = 96 to 231, central 149; low confidence; estimate until intake replaces it.</t>
        </is>
      </c>
      <c r="CR34" t="inlineStr">
        <is>
          <t>estimate until intake replaces it</t>
        </is>
      </c>
      <c r="CS34" t="n">
        <v>1</v>
      </c>
      <c r="CT34" t="n">
        <v>56</v>
      </c>
      <c r="CU34" t="n">
        <v>25</v>
      </c>
      <c r="CV34" t="n">
        <v>11</v>
      </c>
      <c r="CW34" t="n">
        <v>15</v>
      </c>
      <c r="CX34" t="n">
        <v>5</v>
      </c>
      <c r="CY34" t="n">
        <v>0</v>
      </c>
      <c r="CZ34" t="n">
        <v>0</v>
      </c>
      <c r="DA34" t="inlineStr"/>
      <c r="DB34" t="inlineStr"/>
      <c r="DC34" t="inlineStr"/>
      <c r="DD34" t="inlineStr"/>
      <c r="DE34" t="inlineStr"/>
      <c r="DF34" t="inlineStr">
        <is>
          <t>none</t>
        </is>
      </c>
      <c r="DG34" t="inlineStr">
        <is>
          <t>candidate</t>
        </is>
      </c>
      <c r="DH34" t="inlineStr"/>
      <c r="DI34" t="inlineStr"/>
      <c r="DJ34" t="inlineStr">
        <is>
          <t>37,650 sf</t>
        </is>
      </c>
      <c r="DK34" t="inlineStr">
        <is>
          <t>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is>
      </c>
      <c r="DL34" t="inlineStr"/>
      <c r="DM34" t="inlineStr"/>
      <c r="DN34" t="inlineStr"/>
      <c r="DO34" t="inlineStr"/>
      <c r="DP34" t="inlineStr"/>
      <c r="DQ34" t="inlineStr"/>
      <c r="DR34" t="inlineStr"/>
      <c r="DS34" t="inlineStr">
        <is>
          <t>none</t>
        </is>
      </c>
      <c r="DT34" t="inlineStr"/>
      <c r="DU34" t="inlineStr"/>
      <c r="DV34" t="inlineStr"/>
      <c r="DW34" t="inlineStr"/>
      <c r="DX34" t="inlineStr">
        <is>
          <t>Y</t>
        </is>
      </c>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f>IF(ISNUMBER(MATCH(U34,{"queued","contacted","replied","call_booked","call_done","yes_in_principle","materials_sent"},0)),"Y","N")</f>
        <v/>
      </c>
      <c r="ES34">
        <f>IF(COUNTIFS($AP$2:$AP$1000,AP34,$ER$2:$ER$1000,"Y")+COUNTIFS($AP$2:$AP$1000,AP34,$T$2:$T$1000,"Y")&gt;0,"Y","N")</f>
        <v/>
      </c>
      <c r="ET34">
        <f>IF(AND(U34="new",T34="N",AT34="Y",AS34="",ES34="N"),"Y","N")</f>
        <v/>
      </c>
      <c r="EU34">
        <f>IF(ET34&lt;&gt;"Y","N",IF(COUNTIFS($AP$2:$AP$1000,AP34,$ET$2:$ET$1000,"Y",$J$2:$J$1000,"&gt;"&amp;J34)+COUNTIFS($AP$2:$AP$1000,AP34,$ET$2:$ET$1000,"Y",$J$2:$J$1000,J34,$EW$2:$EW$1000,"&lt;"&amp;EW34)=0,"Y","N"))</f>
        <v/>
      </c>
      <c r="EV34">
        <f>IF(Y34="","N",IF(Y34&lt;=10,"Y","N"))</f>
        <v/>
      </c>
      <c r="EW34">
        <f>ROW()-1</f>
        <v/>
      </c>
    </row>
    <row r="35">
      <c r="A35" t="inlineStr">
        <is>
          <t>AO-C-030</t>
        </is>
      </c>
      <c r="B35" t="inlineStr">
        <is>
          <t>Prepared 911</t>
        </is>
      </c>
      <c r="C35" t="inlineStr">
        <is>
          <t>Miranda</t>
        </is>
      </c>
      <c r="D35" t="inlineStr">
        <is>
          <t>Lee</t>
        </is>
      </c>
      <c r="E35" t="inlineStr">
        <is>
          <t>Chief of Staff</t>
        </is>
      </c>
      <c r="F35" t="inlineStr"/>
      <c r="G35" t="inlineStr"/>
      <c r="H35" t="inlineStr">
        <is>
          <t>none</t>
        </is>
      </c>
      <c r="I35" t="inlineStr">
        <is>
          <t>linkedin</t>
        </is>
      </c>
      <c r="J35" t="n">
        <v>55.3</v>
      </c>
      <c r="K35" t="inlineStr">
        <is>
          <t>Tuesday estimate 26 to 90 (low confidence), under 500 staff company-wide with a named parent (Axon Enterprise), on-site 5 days a week per its profile, occupancy-unconfirmed at a medium-confidence address; adjacent contact named (Chief of Staff).</t>
        </is>
      </c>
      <c r="L35" t="inlineStr">
        <is>
          <t>40-75</t>
        </is>
      </c>
      <c r="M35" t="inlineStr"/>
      <c r="N35" t="inlineStr"/>
      <c r="O35" t="inlineStr"/>
      <c r="P35" t="inlineStr"/>
      <c r="Q35" t="inlineStr"/>
      <c r="R35" t="inlineStr">
        <is>
          <t>N</t>
        </is>
      </c>
      <c r="S35" t="inlineStr">
        <is>
          <t>unknown</t>
        </is>
      </c>
      <c r="T35" t="inlineStr">
        <is>
          <t>N</t>
        </is>
      </c>
      <c r="U35" t="inlineStr">
        <is>
          <t>new</t>
        </is>
      </c>
      <c r="V35" t="inlineStr">
        <is>
          <t>https://commercialobserver.com/2025/08/prepared-911-101-fifth-avenue/</t>
        </is>
      </c>
      <c r="W35" t="inlineStr">
        <is>
          <t>2026-10-23</t>
        </is>
      </c>
      <c r="X35" t="inlineStr">
        <is>
          <t>office</t>
        </is>
      </c>
      <c r="Y35" t="inlineStr"/>
      <c r="Z35" t="n">
        <v>34</v>
      </c>
      <c r="AA35" t="inlineStr">
        <is>
          <t>Y</t>
        </is>
      </c>
      <c r="AB35" t="inlineStr">
        <is>
          <t>find Miranda Lee at Prepared 911 on LinkedIn and paste the profile URL (this also confirms the name: The Org is crowd-edited); the source is dated 2025-09-23: check Miranda still holds the role; adjacent title: ask who runs the pantry</t>
        </is>
      </c>
      <c r="AC35" t="inlineStr">
        <is>
          <t>pantry or office lead (primary)</t>
        </is>
      </c>
      <c r="AD35" t="inlineStr">
        <is>
          <t>verified-page</t>
        </is>
      </c>
      <c r="AE35" t="inlineStr">
        <is>
          <t>The Org (crowd-edited org chart)</t>
        </is>
      </c>
      <c r="AF35" t="inlineStr">
        <is>
          <t>https://theorg.com/org/prepared/org-chart/miranda-lee</t>
        </is>
      </c>
      <c r="AG35" t="inlineStr">
        <is>
          <t>2026-10-24</t>
        </is>
      </c>
      <c r="AH35" t="inlineStr">
        <is>
          <t>adjacent</t>
        </is>
      </c>
      <c r="AI35" t="inlineStr">
        <is>
          <t>101 Fifth Avenue</t>
        </is>
      </c>
      <c r="AJ35" t="inlineStr">
        <is>
          <t>one full floor (not named)</t>
        </is>
      </c>
      <c r="AK35" t="inlineStr">
        <is>
          <t>occupancy-unconfirmed</t>
        </is>
      </c>
      <c r="AL35" t="n">
        <v>26</v>
      </c>
      <c r="AM35" t="n">
        <v>90</v>
      </c>
      <c r="AN35" t="inlineStr">
        <is>
          <t>low</t>
        </is>
      </c>
      <c r="AO35" t="inlineStr">
        <is>
          <t>in-office-5</t>
        </is>
      </c>
      <c r="AP35" t="inlineStr">
        <is>
          <t>grp-C030-C151</t>
        </is>
      </c>
      <c r="AQ35" t="inlineStr">
        <is>
          <t>N</t>
        </is>
      </c>
      <c r="AR35" t="inlineStr"/>
      <c r="AS35" t="inlineStr"/>
      <c r="AT35" t="inlineStr">
        <is>
          <t>Y</t>
        </is>
      </c>
      <c r="AU35" t="inlineStr"/>
      <c r="AV35" t="inlineStr"/>
      <c r="AW35" t="inlineStr">
        <is>
          <t>N</t>
        </is>
      </c>
      <c r="AX35" t="inlineStr">
        <is>
          <t>pass</t>
        </is>
      </c>
      <c r="AY35" t="inlineStr">
        <is>
          <t>passes all hard gates</t>
        </is>
      </c>
      <c r="AZ35" t="inlineStr">
        <is>
          <t>company</t>
        </is>
      </c>
      <c r="BA35" t="inlineStr">
        <is>
          <t>B-C-030</t>
        </is>
      </c>
      <c r="BB35" t="inlineStr">
        <is>
          <t>https://www.prepared911.com</t>
        </is>
      </c>
      <c r="BC35" t="inlineStr">
        <is>
          <t>public safety software (AI for 911 centers)</t>
        </is>
      </c>
      <c r="BD35" t="n">
        <v>77</v>
      </c>
      <c r="BE35" t="n">
        <v>135</v>
      </c>
      <c r="BF35" t="inlineStr">
        <is>
          <t>76-150</t>
        </is>
      </c>
      <c r="BG35" t="inlineStr">
        <is>
          <t>whole-company</t>
        </is>
      </c>
      <c r="BH35" t="inlineStr">
        <is>
          <t>agree</t>
        </is>
      </c>
      <c r="BI35" t="inlineStr">
        <is>
          <t>https://www.builtinnyc.com/company/prepared</t>
        </is>
      </c>
      <c r="BJ35" t="inlineStr">
        <is>
          <t>https://www.reveliolabs.com/companies/prepared/employees</t>
        </is>
      </c>
      <c r="BK35" t="inlineStr">
        <is>
          <t>le500</t>
        </is>
      </c>
      <c r="BL35" t="inlineStr">
        <is>
          <t>New York</t>
        </is>
      </c>
      <c r="BM35" t="inlineStr">
        <is>
          <t>Y</t>
        </is>
      </c>
      <c r="BN35" t="inlineStr">
        <is>
          <t>Axon Enterprise</t>
        </is>
      </c>
      <c r="BO35" t="inlineStr">
        <is>
          <t>unknown</t>
        </is>
      </c>
      <c r="BP35" t="n">
        <v>10003</v>
      </c>
      <c r="BQ35" t="n">
        <v>40.738063</v>
      </c>
      <c r="BR35" t="n">
        <v>-73.99189800000001</v>
      </c>
      <c r="BS35" t="inlineStr">
        <is>
          <t>Y</t>
        </is>
      </c>
      <c r="BT35" t="n">
        <v>0</v>
      </c>
      <c r="BU35" t="inlineStr">
        <is>
          <t>B-B-012</t>
        </is>
      </c>
      <c r="BV35" t="inlineStr">
        <is>
          <t>101 Fifth Avenue</t>
        </is>
      </c>
      <c r="BW35" t="inlineStr">
        <is>
          <t>https://commercialobserver.com/2025/08/prepared-911-101-fifth-avenue/</t>
        </is>
      </c>
      <c r="BX35" t="inlineStr">
        <is>
          <t>2025-08-04</t>
        </is>
      </c>
      <c r="BY35" t="inlineStr">
        <is>
          <t>leasing-press</t>
        </is>
      </c>
      <c r="BZ35" t="inlineStr"/>
      <c r="CA35" t="inlineStr"/>
      <c r="CB35" t="inlineStr"/>
      <c r="CC35" t="inlineStr">
        <is>
          <t>medium</t>
        </is>
      </c>
      <c r="CD35" t="inlineStr"/>
      <c r="CE35" t="inlineStr">
        <is>
          <t>N</t>
        </is>
      </c>
      <c r="CF35" t="inlineStr"/>
      <c r="CG35" t="inlineStr"/>
      <c r="CH35" t="inlineStr">
        <is>
          <t>unknown</t>
        </is>
      </c>
      <c r="CI35" t="inlineStr"/>
      <c r="CJ35" t="inlineStr">
        <is>
          <t>unknown</t>
        </is>
      </c>
      <c r="CK35" t="inlineStr">
        <is>
          <t>N</t>
        </is>
      </c>
      <c r="CL35" t="inlineStr">
        <is>
          <t>Built In workplace type: OnSite Workplace; typical time on-site: 5 days a week</t>
        </is>
      </c>
      <c r="CM35" t="inlineStr">
        <is>
          <t>https://www.builtinnyc.com/company/prepared/offices</t>
        </is>
      </c>
      <c r="CN35" t="inlineStr">
        <is>
          <t>2026-10-24</t>
        </is>
      </c>
      <c r="CO35" t="n">
        <v>48</v>
      </c>
      <c r="CP35" t="inlineStr">
        <is>
          <t>may be under 30</t>
        </is>
      </c>
      <c r="CQ35" t="inlineStr">
        <is>
          <t>77 (Built In) and 135 (Revelio Labs) staff (whole-company count) x 50% to 100% of them in the New York office (HQ New York; share assumed) x 67% (Partnership for NYC, firms under 500) in on a weekday = 26 to 90, central 48; low confidence; estimate until intake replaces it.</t>
        </is>
      </c>
      <c r="CR35" t="inlineStr">
        <is>
          <t>estimate until intake replaces it</t>
        </is>
      </c>
      <c r="CS35" t="n">
        <v>0.65</v>
      </c>
      <c r="CT35" t="n">
        <v>55.3</v>
      </c>
      <c r="CU35" t="n">
        <v>16.3</v>
      </c>
      <c r="CV35" t="n">
        <v>11</v>
      </c>
      <c r="CW35" t="n">
        <v>15</v>
      </c>
      <c r="CX35" t="n">
        <v>8</v>
      </c>
      <c r="CY35" t="n">
        <v>5</v>
      </c>
      <c r="CZ35" t="n">
        <v>0</v>
      </c>
      <c r="DA35" t="inlineStr"/>
      <c r="DB35" t="inlineStr"/>
      <c r="DC35" t="inlineStr"/>
      <c r="DD35" t="inlineStr"/>
      <c r="DE35" t="inlineStr"/>
      <c r="DF35" t="inlineStr">
        <is>
          <t>none</t>
        </is>
      </c>
      <c r="DG35" t="inlineStr">
        <is>
          <t>candidate</t>
        </is>
      </c>
      <c r="DH35" t="inlineStr"/>
      <c r="DI35" t="inlineStr"/>
      <c r="DJ35" t="inlineStr">
        <is>
          <t>7,080 sf</t>
        </is>
      </c>
      <c r="DK35" t="inlineStr">
        <is>
          <t>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is>
      </c>
      <c r="DL35" t="inlineStr">
        <is>
          <t>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is>
      </c>
      <c r="DM35" t="inlineStr">
        <is>
          <t>Miranda Lee</t>
        </is>
      </c>
      <c r="DN35" t="inlineStr">
        <is>
          <t>2025-09-23</t>
        </is>
      </c>
      <c r="DO35" t="inlineStr">
        <is>
          <t>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is>
      </c>
      <c r="DP35" t="inlineStr"/>
      <c r="DQ35" t="inlineStr"/>
      <c r="DR35" t="inlineStr"/>
      <c r="DS35" t="inlineStr">
        <is>
          <t>none</t>
        </is>
      </c>
      <c r="DT35" t="inlineStr"/>
      <c r="DU35" t="inlineStr"/>
      <c r="DV35" t="inlineStr"/>
      <c r="DW35" t="inlineStr"/>
      <c r="DX35" t="inlineStr">
        <is>
          <t>Y</t>
        </is>
      </c>
      <c r="DY35" t="inlineStr">
        <is>
          <t>confirmed</t>
        </is>
      </c>
      <c r="DZ35" t="inlineStr">
        <is>
          <t>parent 'axon enterprise' shared with AO-C-151</t>
        </is>
      </c>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f>IF(ISNUMBER(MATCH(U35,{"queued","contacted","replied","call_booked","call_done","yes_in_principle","materials_sent"},0)),"Y","N")</f>
        <v/>
      </c>
      <c r="ES35">
        <f>IF(COUNTIFS($AP$2:$AP$1000,AP35,$ER$2:$ER$1000,"Y")+COUNTIFS($AP$2:$AP$1000,AP35,$T$2:$T$1000,"Y")&gt;0,"Y","N")</f>
        <v/>
      </c>
      <c r="ET35">
        <f>IF(AND(U35="new",T35="N",AT35="Y",AS35="",ES35="N"),"Y","N")</f>
        <v/>
      </c>
      <c r="EU35">
        <f>IF(ET35&lt;&gt;"Y","N",IF(COUNTIFS($AP$2:$AP$1000,AP35,$ET$2:$ET$1000,"Y",$J$2:$J$1000,"&gt;"&amp;J35)+COUNTIFS($AP$2:$AP$1000,AP35,$ET$2:$ET$1000,"Y",$J$2:$J$1000,J35,$EW$2:$EW$1000,"&lt;"&amp;EW35)=0,"Y","N"))</f>
        <v/>
      </c>
      <c r="EV35">
        <f>IF(Y35="","N",IF(Y35&lt;=10,"Y","N"))</f>
        <v/>
      </c>
      <c r="EW35">
        <f>ROW()-1</f>
        <v/>
      </c>
    </row>
    <row r="36">
      <c r="A36" t="inlineStr">
        <is>
          <t>AO-C-001</t>
        </is>
      </c>
      <c r="B36" t="inlineStr">
        <is>
          <t>HUMAN Security</t>
        </is>
      </c>
      <c r="C36" t="inlineStr">
        <is>
          <t>Jackie</t>
        </is>
      </c>
      <c r="D36" t="inlineStr">
        <is>
          <t>Orris</t>
        </is>
      </c>
      <c r="E36" t="inlineStr">
        <is>
          <t>Chief People Officer</t>
        </is>
      </c>
      <c r="F36" t="inlineStr"/>
      <c r="G36" t="inlineStr"/>
      <c r="H36" t="inlineStr">
        <is>
          <t>none</t>
        </is>
      </c>
      <c r="I36" t="inlineStr">
        <is>
          <t>linkedin</t>
        </is>
      </c>
      <c r="J36" t="n">
        <v>55.2</v>
      </c>
      <c r="K36" t="inlineStr">
        <is>
          <t>Tuesday estimate 132 to 263 (low confidence), under 500 staff company-wide, hybrid (days not stated), occupancy-unconfirmed at a low-confidence address; adjacent contact named (Chief People Officer).</t>
        </is>
      </c>
      <c r="L36" t="inlineStr">
        <is>
          <t>151-250</t>
        </is>
      </c>
      <c r="M36" t="inlineStr"/>
      <c r="N36" t="inlineStr"/>
      <c r="O36" t="inlineStr"/>
      <c r="P36" t="inlineStr"/>
      <c r="Q36" t="inlineStr"/>
      <c r="R36" t="inlineStr">
        <is>
          <t>N</t>
        </is>
      </c>
      <c r="S36" t="inlineStr">
        <is>
          <t>unknown</t>
        </is>
      </c>
      <c r="T36" t="inlineStr">
        <is>
          <t>N</t>
        </is>
      </c>
      <c r="U36" t="inlineStr">
        <is>
          <t>new</t>
        </is>
      </c>
      <c r="V36" t="inlineStr">
        <is>
          <t>https://commercialobserver.com/2024/06/movable-ink-lease-841-broadway/</t>
        </is>
      </c>
      <c r="W36" t="inlineStr">
        <is>
          <t>2026-10-23</t>
        </is>
      </c>
      <c r="X36" t="inlineStr">
        <is>
          <t>office</t>
        </is>
      </c>
      <c r="Y36" t="n">
        <v>21</v>
      </c>
      <c r="Z36" t="n">
        <v>35</v>
      </c>
      <c r="AA36" t="inlineStr">
        <is>
          <t>Y</t>
        </is>
      </c>
      <c r="AB36" t="inlineStr">
        <is>
          <t>find Jackie Orris at HUMAN Security on LinkedIn and paste the profile URL (this also confirms the name: The Org is crowd-edited); adjacent title: ask who runs the pantry</t>
        </is>
      </c>
      <c r="AC36" t="inlineStr">
        <is>
          <t>pantry or office lead (primary)</t>
        </is>
      </c>
      <c r="AD36" t="inlineStr">
        <is>
          <t>verified-page</t>
        </is>
      </c>
      <c r="AE36" t="inlineStr">
        <is>
          <t>The Org (crowd-edited org chart)</t>
        </is>
      </c>
      <c r="AF36" t="inlineStr">
        <is>
          <t>https://theorg.com/org/human-security/org-chart/jackie-orris</t>
        </is>
      </c>
      <c r="AG36" t="inlineStr">
        <is>
          <t>2026-10-24</t>
        </is>
      </c>
      <c r="AH36" t="inlineStr">
        <is>
          <t>adjacent</t>
        </is>
      </c>
      <c r="AI36" t="inlineStr">
        <is>
          <t>841 Broadway</t>
        </is>
      </c>
      <c r="AJ36" t="n">
        <v>2</v>
      </c>
      <c r="AK36" t="inlineStr">
        <is>
          <t>occupancy-unconfirmed</t>
        </is>
      </c>
      <c r="AL36" t="n">
        <v>132</v>
      </c>
      <c r="AM36" t="n">
        <v>263</v>
      </c>
      <c r="AN36" t="inlineStr">
        <is>
          <t>low</t>
        </is>
      </c>
      <c r="AO36" t="inlineStr">
        <is>
          <t>hybrid-unspecified</t>
        </is>
      </c>
      <c r="AP36" t="inlineStr">
        <is>
          <t>AO-C-001</t>
        </is>
      </c>
      <c r="AQ36" t="inlineStr">
        <is>
          <t>N</t>
        </is>
      </c>
      <c r="AR36" t="inlineStr"/>
      <c r="AS36" t="inlineStr"/>
      <c r="AT36" t="inlineStr">
        <is>
          <t>Y</t>
        </is>
      </c>
      <c r="AU36" t="inlineStr"/>
      <c r="AV36" t="inlineStr"/>
      <c r="AW36" t="inlineStr">
        <is>
          <t>N</t>
        </is>
      </c>
      <c r="AX36" t="inlineStr">
        <is>
          <t>pass</t>
        </is>
      </c>
      <c r="AY36" t="inlineStr">
        <is>
          <t>passes all hard gates</t>
        </is>
      </c>
      <c r="AZ36" t="inlineStr">
        <is>
          <t>company</t>
        </is>
      </c>
      <c r="BA36" t="inlineStr">
        <is>
          <t>B-C-001</t>
        </is>
      </c>
      <c r="BB36" t="inlineStr">
        <is>
          <t>https://www.humansecurity.com</t>
        </is>
      </c>
      <c r="BC36" t="inlineStr">
        <is>
          <t>cybersecurity</t>
        </is>
      </c>
      <c r="BD36" t="n">
        <v>393</v>
      </c>
      <c r="BE36" t="inlineStr"/>
      <c r="BF36" t="inlineStr">
        <is>
          <t>251-500</t>
        </is>
      </c>
      <c r="BG36" t="inlineStr">
        <is>
          <t>whole-company</t>
        </is>
      </c>
      <c r="BH36" t="inlineStr">
        <is>
          <t>single-source</t>
        </is>
      </c>
      <c r="BI36" t="inlineStr">
        <is>
          <t>https://www.builtinnyc.com/company/human</t>
        </is>
      </c>
      <c r="BJ36" t="inlineStr"/>
      <c r="BK36" t="inlineStr">
        <is>
          <t>le500</t>
        </is>
      </c>
      <c r="BL36" t="inlineStr">
        <is>
          <t>New York</t>
        </is>
      </c>
      <c r="BM36" t="inlineStr">
        <is>
          <t>Y</t>
        </is>
      </c>
      <c r="BN36" t="inlineStr">
        <is>
          <t>unknown</t>
        </is>
      </c>
      <c r="BO36" t="inlineStr">
        <is>
          <t>unknown</t>
        </is>
      </c>
      <c r="BP36" t="n">
        <v>10003</v>
      </c>
      <c r="BQ36" t="n">
        <v>40.734305</v>
      </c>
      <c r="BR36" t="n">
        <v>-73.99105900000001</v>
      </c>
      <c r="BS36" t="inlineStr">
        <is>
          <t>Y</t>
        </is>
      </c>
      <c r="BT36" t="n">
        <v>0</v>
      </c>
      <c r="BU36" t="inlineStr">
        <is>
          <t>B-B-001</t>
        </is>
      </c>
      <c r="BV36" t="inlineStr">
        <is>
          <t>853 Broadway (Union Building)</t>
        </is>
      </c>
      <c r="BW36" t="inlineStr">
        <is>
          <t>https://commercialobserver.com/2024/06/movable-ink-lease-841-broadway/</t>
        </is>
      </c>
      <c r="BX36" t="inlineStr">
        <is>
          <t>2024-06</t>
        </is>
      </c>
      <c r="BY36" t="inlineStr">
        <is>
          <t>leasing-press</t>
        </is>
      </c>
      <c r="BZ36" t="inlineStr">
        <is>
          <t>https://builtinnyc.com/articles/nyc-tech-headquarters-openings-2023</t>
        </is>
      </c>
      <c r="CA36" t="inlineStr">
        <is>
          <t>2023-03-23</t>
        </is>
      </c>
      <c r="CB36" t="inlineStr"/>
      <c r="CC36" t="inlineStr">
        <is>
          <t>low</t>
        </is>
      </c>
      <c r="CD36" t="inlineStr"/>
      <c r="CE36" t="inlineStr">
        <is>
          <t>N</t>
        </is>
      </c>
      <c r="CF36" t="inlineStr"/>
      <c r="CG36" t="inlineStr"/>
      <c r="CH36" t="inlineStr">
        <is>
          <t>security desk</t>
        </is>
      </c>
      <c r="CI36" t="inlineStr">
        <is>
          <t>https://853broadway.sharplaunch.com/</t>
        </is>
      </c>
      <c r="CJ36" t="inlineStr">
        <is>
          <t>unknown</t>
        </is>
      </c>
      <c r="CK36" t="inlineStr">
        <is>
          <t>N</t>
        </is>
      </c>
      <c r="CL36" t="inlineStr">
        <is>
          <t>Built In workplace type: Hybrid Workplace; typical time on-site: Not Specified</t>
        </is>
      </c>
      <c r="CM36" t="inlineStr">
        <is>
          <t>https://www.builtinnyc.com/company/human/offices</t>
        </is>
      </c>
      <c r="CN36" t="inlineStr">
        <is>
          <t>2026-10-24</t>
        </is>
      </c>
      <c r="CO36" t="n">
        <v>186</v>
      </c>
      <c r="CP36" t="inlineStr">
        <is>
          <t>may exceed 250</t>
        </is>
      </c>
      <c r="CQ36" t="inlineStr">
        <is>
          <t>393 (Built In) staff (whole-company count) x 50% to 100% of them in the New York office (HQ New York; share assumed) x 67% (Partnership for NYC, firms under 500) in on a weekday = 132 to 263, central 186; low confidence; estimate until intake replaces it.</t>
        </is>
      </c>
      <c r="CR36" t="inlineStr">
        <is>
          <t>estimate until intake replaces it</t>
        </is>
      </c>
      <c r="CS36" t="n">
        <v>0.93</v>
      </c>
      <c r="CT36" t="n">
        <v>55.2</v>
      </c>
      <c r="CU36" t="n">
        <v>23.2</v>
      </c>
      <c r="CV36" t="n">
        <v>15</v>
      </c>
      <c r="CW36" t="n">
        <v>7</v>
      </c>
      <c r="CX36" t="n">
        <v>5</v>
      </c>
      <c r="CY36" t="n">
        <v>5</v>
      </c>
      <c r="CZ36" t="n">
        <v>0</v>
      </c>
      <c r="DA36" t="inlineStr"/>
      <c r="DB36" t="inlineStr"/>
      <c r="DC36" t="inlineStr"/>
      <c r="DD36" t="inlineStr"/>
      <c r="DE36" t="inlineStr"/>
      <c r="DF36" t="inlineStr">
        <is>
          <t>none</t>
        </is>
      </c>
      <c r="DG36" t="inlineStr">
        <is>
          <t>candidate</t>
        </is>
      </c>
      <c r="DH36" t="inlineStr"/>
      <c r="DI36" t="inlineStr"/>
      <c r="DJ36" t="inlineStr">
        <is>
          <t>13,809 sf</t>
        </is>
      </c>
      <c r="DK36" t="inlineStr">
        <is>
          <t>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is>
      </c>
      <c r="DL36" t="inlineStr"/>
      <c r="DM36" t="inlineStr">
        <is>
          <t>Jackie Orris</t>
        </is>
      </c>
      <c r="DN36" t="inlineStr"/>
      <c r="DO36" t="inlineStr">
        <is>
          <t>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is>
      </c>
      <c r="DP36" t="inlineStr"/>
      <c r="DQ36" t="inlineStr"/>
      <c r="DR36" t="inlineStr"/>
      <c r="DS36" t="inlineStr">
        <is>
          <t>none</t>
        </is>
      </c>
      <c r="DT36" t="inlineStr"/>
      <c r="DU36" t="inlineStr"/>
      <c r="DV36" t="inlineStr"/>
      <c r="DW36" t="inlineStr"/>
      <c r="DX36" t="inlineStr">
        <is>
          <t>Y</t>
        </is>
      </c>
      <c r="DY36" t="inlineStr">
        <is>
          <t>confirmed</t>
        </is>
      </c>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f>IF(ISNUMBER(MATCH(U36,{"queued","contacted","replied","call_booked","call_done","yes_in_principle","materials_sent"},0)),"Y","N")</f>
        <v/>
      </c>
      <c r="ES36">
        <f>IF(COUNTIFS($AP$2:$AP$1000,AP36,$ER$2:$ER$1000,"Y")+COUNTIFS($AP$2:$AP$1000,AP36,$T$2:$T$1000,"Y")&gt;0,"Y","N")</f>
        <v/>
      </c>
      <c r="ET36">
        <f>IF(AND(U36="new",T36="N",AT36="Y",AS36="",ES36="N"),"Y","N")</f>
        <v/>
      </c>
      <c r="EU36">
        <f>IF(ET36&lt;&gt;"Y","N",IF(COUNTIFS($AP$2:$AP$1000,AP36,$ET$2:$ET$1000,"Y",$J$2:$J$1000,"&gt;"&amp;J36)+COUNTIFS($AP$2:$AP$1000,AP36,$ET$2:$ET$1000,"Y",$J$2:$J$1000,J36,$EW$2:$EW$1000,"&lt;"&amp;EW36)=0,"Y","N"))</f>
        <v/>
      </c>
      <c r="EV36">
        <f>IF(Y36="","N",IF(Y36&lt;=10,"Y","N"))</f>
        <v/>
      </c>
      <c r="EW36">
        <f>ROW()-1</f>
        <v/>
      </c>
    </row>
    <row r="37">
      <c r="A37" t="inlineStr">
        <is>
          <t>AO-C-059</t>
        </is>
      </c>
      <c r="B37" t="inlineStr">
        <is>
          <t>Christie's International Real Estate Group</t>
        </is>
      </c>
      <c r="C37" t="inlineStr">
        <is>
          <t>Melissa</t>
        </is>
      </c>
      <c r="D37" t="inlineStr">
        <is>
          <t>True</t>
        </is>
      </c>
      <c r="E37" t="inlineStr">
        <is>
          <t>Team Leader, Christie's Flatiron Office</t>
        </is>
      </c>
      <c r="F37" t="inlineStr"/>
      <c r="G37" t="inlineStr"/>
      <c r="H37" t="inlineStr">
        <is>
          <t>none</t>
        </is>
      </c>
      <c r="I37" t="inlineStr">
        <is>
          <t>linkedin</t>
        </is>
      </c>
      <c r="J37" t="n">
        <v>54</v>
      </c>
      <c r="K37" t="inlineStr">
        <is>
          <t>Tuesday estimate 50 to 50 (medium confidence), company size unknown, no attendance signal, occupancy-unconfirmed at a low-confidence address; adjacent contact named (Team Leader, Christie's Flatiron Office).</t>
        </is>
      </c>
      <c r="L37" t="inlineStr">
        <is>
          <t>40-75</t>
        </is>
      </c>
      <c r="M37" t="inlineStr"/>
      <c r="N37" t="inlineStr"/>
      <c r="O37" t="inlineStr"/>
      <c r="P37" t="inlineStr"/>
      <c r="Q37" t="inlineStr"/>
      <c r="R37" t="inlineStr">
        <is>
          <t>N</t>
        </is>
      </c>
      <c r="S37" t="inlineStr">
        <is>
          <t>unknown</t>
        </is>
      </c>
      <c r="T37" t="inlineStr">
        <is>
          <t>N</t>
        </is>
      </c>
      <c r="U37" t="inlineStr">
        <is>
          <t>new</t>
        </is>
      </c>
      <c r="V37" t="inlineStr">
        <is>
          <t>https://commercialobserver.com/2024/08/christies-international-real-estate-group-lease-156-fifth-avenue/</t>
        </is>
      </c>
      <c r="W37" t="inlineStr">
        <is>
          <t>2026-10-23</t>
        </is>
      </c>
      <c r="X37" t="inlineStr">
        <is>
          <t>office</t>
        </is>
      </c>
      <c r="Y37" t="n">
        <v>22</v>
      </c>
      <c r="Z37" t="n">
        <v>36</v>
      </c>
      <c r="AA37" t="inlineStr">
        <is>
          <t>Y</t>
        </is>
      </c>
      <c r="AB37" t="inlineStr">
        <is>
          <t>find Melissa True at Christie's International Real Estate Group on LinkedIn and paste the profile URL; the source is dated 2025-09-15: check Melissa still holds the role; adjacent title: ask who runs the pantry</t>
        </is>
      </c>
      <c r="AC37" t="inlineStr">
        <is>
          <t>pantry or office lead (primary)</t>
        </is>
      </c>
      <c r="AD37" t="inlineStr">
        <is>
          <t>verified-page</t>
        </is>
      </c>
      <c r="AE37" t="inlineStr">
        <is>
          <t>press, event or podcast page</t>
        </is>
      </c>
      <c r="AF37" t="inlineStr">
        <is>
          <t>https://www.mannpublications.com/mannreport/2025/09/15/christies-international-real-estate-group-welcomes-veteran-agent-filippa-edberg-manuel-as-founder-of-the-luxury-advisory-team/</t>
        </is>
      </c>
      <c r="AG37" t="inlineStr">
        <is>
          <t>2026-10-24</t>
        </is>
      </c>
      <c r="AH37" t="inlineStr">
        <is>
          <t>adjacent</t>
        </is>
      </c>
      <c r="AI37" t="inlineStr">
        <is>
          <t>156 Fifth Avenue</t>
        </is>
      </c>
      <c r="AJ37" t="n">
        <v>9</v>
      </c>
      <c r="AK37" t="inlineStr">
        <is>
          <t>occupancy-unconfirmed</t>
        </is>
      </c>
      <c r="AL37" t="n">
        <v>50</v>
      </c>
      <c r="AM37" t="n">
        <v>50</v>
      </c>
      <c r="AN37" t="inlineStr">
        <is>
          <t>medium</t>
        </is>
      </c>
      <c r="AO37" t="inlineStr">
        <is>
          <t>unknown</t>
        </is>
      </c>
      <c r="AP37" t="inlineStr">
        <is>
          <t>AO-C-059</t>
        </is>
      </c>
      <c r="AQ37" t="inlineStr">
        <is>
          <t>N</t>
        </is>
      </c>
      <c r="AR37" t="inlineStr"/>
      <c r="AS37" t="inlineStr"/>
      <c r="AT37" t="inlineStr">
        <is>
          <t>Y</t>
        </is>
      </c>
      <c r="AU37" t="inlineStr"/>
      <c r="AV37" t="inlineStr"/>
      <c r="AW37" t="inlineStr">
        <is>
          <t>N</t>
        </is>
      </c>
      <c r="AX37" t="inlineStr">
        <is>
          <t>pass</t>
        </is>
      </c>
      <c r="AY37" t="inlineStr">
        <is>
          <t>passes all hard gates</t>
        </is>
      </c>
      <c r="AZ37" t="inlineStr">
        <is>
          <t>company</t>
        </is>
      </c>
      <c r="BA37" t="inlineStr">
        <is>
          <t>B-C-059</t>
        </is>
      </c>
      <c r="BB37" t="inlineStr">
        <is>
          <t>unknown</t>
        </is>
      </c>
      <c r="BC37" t="inlineStr">
        <is>
          <t>residential real estate brokerage</t>
        </is>
      </c>
      <c r="BD37" t="n">
        <v>75</v>
      </c>
      <c r="BE37" t="inlineStr"/>
      <c r="BF37" t="inlineStr">
        <is>
          <t>40-75</t>
        </is>
      </c>
      <c r="BG37" t="inlineStr">
        <is>
          <t>nyc-office</t>
        </is>
      </c>
      <c r="BH37" t="inlineStr">
        <is>
          <t>single-source</t>
        </is>
      </c>
      <c r="BI37" t="inlineStr">
        <is>
          <t>https://commercialobserver.com/2024/08/christies-international-real-estate-group-lease-156-fifth-avenue/</t>
        </is>
      </c>
      <c r="BJ37" t="inlineStr"/>
      <c r="BK37" t="inlineStr">
        <is>
          <t>unknown</t>
        </is>
      </c>
      <c r="BL37" t="inlineStr">
        <is>
          <t>unknown</t>
        </is>
      </c>
      <c r="BM37" t="inlineStr">
        <is>
          <t>unknown</t>
        </is>
      </c>
      <c r="BN37" t="inlineStr">
        <is>
          <t>unknown</t>
        </is>
      </c>
      <c r="BO37" t="inlineStr">
        <is>
          <t>unknown</t>
        </is>
      </c>
      <c r="BP37" t="n">
        <v>10010</v>
      </c>
      <c r="BQ37" t="n">
        <v>40.739961</v>
      </c>
      <c r="BR37" t="n">
        <v>-73.990971</v>
      </c>
      <c r="BS37" t="inlineStr">
        <is>
          <t>Y</t>
        </is>
      </c>
      <c r="BT37" t="n">
        <v>0</v>
      </c>
      <c r="BU37" t="inlineStr">
        <is>
          <t>B-B-029</t>
        </is>
      </c>
      <c r="BV37" t="inlineStr">
        <is>
          <t>Presbyterian Building / Flatiron Suites (HRC)</t>
        </is>
      </c>
      <c r="BW37" t="inlineStr">
        <is>
          <t>https://commercialobserver.com/2024/08/christies-international-real-estate-group-lease-156-fifth-avenue/</t>
        </is>
      </c>
      <c r="BX37" t="inlineStr">
        <is>
          <t>2024-08-21</t>
        </is>
      </c>
      <c r="BY37" t="inlineStr">
        <is>
          <t>leasing-press</t>
        </is>
      </c>
      <c r="BZ37" t="inlineStr"/>
      <c r="CA37" t="inlineStr"/>
      <c r="CB37" t="inlineStr"/>
      <c r="CC37" t="inlineStr">
        <is>
          <t>low</t>
        </is>
      </c>
      <c r="CD37" t="inlineStr"/>
      <c r="CE37" t="inlineStr">
        <is>
          <t>N</t>
        </is>
      </c>
      <c r="CF37" t="inlineStr"/>
      <c r="CG37" t="inlineStr"/>
      <c r="CH37" t="inlineStr">
        <is>
          <t>unknown</t>
        </is>
      </c>
      <c r="CI37" t="inlineStr"/>
      <c r="CJ37" t="inlineStr">
        <is>
          <t>unknown</t>
        </is>
      </c>
      <c r="CK37" t="inlineStr">
        <is>
          <t>N</t>
        </is>
      </c>
      <c r="CL37" t="inlineStr">
        <is>
          <t>unknown</t>
        </is>
      </c>
      <c r="CM37" t="inlineStr"/>
      <c r="CN37" t="inlineStr"/>
      <c r="CO37" t="n">
        <v>50</v>
      </c>
      <c r="CP37" t="inlineStr"/>
      <c r="CQ37" t="inlineStr">
        <is>
          <t>75 in the New York office (Commercial Observer) staff (New York office count) x the count is for the New York office x 67% (Partnership for NYC, firms under 500) in on a weekday = 50 to 50, central 50; medium confidence; estimate until intake replaces it.</t>
        </is>
      </c>
      <c r="CR37" t="inlineStr">
        <is>
          <t>estimate until intake replaces it</t>
        </is>
      </c>
      <c r="CS37" t="n">
        <v>1</v>
      </c>
      <c r="CT37" t="n">
        <v>54</v>
      </c>
      <c r="CU37" t="n">
        <v>30</v>
      </c>
      <c r="CV37" t="n">
        <v>8</v>
      </c>
      <c r="CW37" t="n">
        <v>6</v>
      </c>
      <c r="CX37" t="n">
        <v>5</v>
      </c>
      <c r="CY37" t="n">
        <v>5</v>
      </c>
      <c r="CZ37" t="n">
        <v>0</v>
      </c>
      <c r="DA37" t="inlineStr">
        <is>
          <t>Brett</t>
        </is>
      </c>
      <c r="DB37" t="inlineStr">
        <is>
          <t>Forman</t>
        </is>
      </c>
      <c r="DC37" t="inlineStr">
        <is>
          <t>Managing Director, Manhattan</t>
        </is>
      </c>
      <c r="DD37" t="inlineStr"/>
      <c r="DE37" t="inlineStr"/>
      <c r="DF37" t="inlineStr">
        <is>
          <t>none</t>
        </is>
      </c>
      <c r="DG37" t="inlineStr">
        <is>
          <t>candidate</t>
        </is>
      </c>
      <c r="DH37" t="inlineStr"/>
      <c r="DI37" t="inlineStr"/>
      <c r="DJ37" t="inlineStr">
        <is>
          <t>8,000 sf</t>
        </is>
      </c>
      <c r="DK37" t="inlineStr">
        <is>
          <t>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is>
      </c>
      <c r="DL37" t="inlineStr"/>
      <c r="DM37" t="inlineStr">
        <is>
          <t>Melissa True</t>
        </is>
      </c>
      <c r="DN37" t="inlineStr">
        <is>
          <t>2025-09-15</t>
        </is>
      </c>
      <c r="DO37" t="inlineStr">
        <is>
          <t>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is>
      </c>
      <c r="DP37" t="inlineStr"/>
      <c r="DQ37" t="inlineStr">
        <is>
          <t>pantry or office lead (backup)</t>
        </is>
      </c>
      <c r="DR37" t="inlineStr">
        <is>
          <t>Brett Forman</t>
        </is>
      </c>
      <c r="DS37" t="inlineStr">
        <is>
          <t>verified-page</t>
        </is>
      </c>
      <c r="DT37" t="inlineStr">
        <is>
          <t>press, event or podcast page</t>
        </is>
      </c>
      <c r="DU37" t="inlineStr">
        <is>
          <t>https://commercialobserver.com/2024/08/christies-international-real-estate-group-lease-156-fifth-avenue/</t>
        </is>
      </c>
      <c r="DV37" t="inlineStr">
        <is>
          <t>2024-08-21</t>
        </is>
      </c>
      <c r="DW37" t="inlineStr">
        <is>
          <t>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is>
      </c>
      <c r="DX37" t="inlineStr">
        <is>
          <t>Y</t>
        </is>
      </c>
      <c r="DY37" t="inlineStr">
        <is>
          <t>confirmed</t>
        </is>
      </c>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f>IF(ISNUMBER(MATCH(U37,{"queued","contacted","replied","call_booked","call_done","yes_in_principle","materials_sent"},0)),"Y","N")</f>
        <v/>
      </c>
      <c r="ES37">
        <f>IF(COUNTIFS($AP$2:$AP$1000,AP37,$ER$2:$ER$1000,"Y")+COUNTIFS($AP$2:$AP$1000,AP37,$T$2:$T$1000,"Y")&gt;0,"Y","N")</f>
        <v/>
      </c>
      <c r="ET37">
        <f>IF(AND(U37="new",T37="N",AT37="Y",AS37="",ES37="N"),"Y","N")</f>
        <v/>
      </c>
      <c r="EU37">
        <f>IF(ET37&lt;&gt;"Y","N",IF(COUNTIFS($AP$2:$AP$1000,AP37,$ET$2:$ET$1000,"Y",$J$2:$J$1000,"&gt;"&amp;J37)+COUNTIFS($AP$2:$AP$1000,AP37,$ET$2:$ET$1000,"Y",$J$2:$J$1000,J37,$EW$2:$EW$1000,"&lt;"&amp;EW37)=0,"Y","N"))</f>
        <v/>
      </c>
      <c r="EV37">
        <f>IF(Y37="","N",IF(Y37&lt;=10,"Y","N"))</f>
        <v/>
      </c>
      <c r="EW37">
        <f>ROW()-1</f>
        <v/>
      </c>
    </row>
    <row r="38">
      <c r="A38" t="inlineStr">
        <is>
          <t>AO-C-072</t>
        </is>
      </c>
      <c r="B38" t="inlineStr">
        <is>
          <t>Actively AI</t>
        </is>
      </c>
      <c r="C38" t="inlineStr"/>
      <c r="D38" t="inlineStr"/>
      <c r="E38" t="inlineStr"/>
      <c r="F38" t="inlineStr"/>
      <c r="G38" t="inlineStr"/>
      <c r="H38" t="inlineStr">
        <is>
          <t>none</t>
        </is>
      </c>
      <c r="I38" t="inlineStr">
        <is>
          <t>walk-in</t>
        </is>
      </c>
      <c r="J38" t="n">
        <v>54</v>
      </c>
      <c r="K38" t="inlineStr">
        <is>
          <t>Tuesday estimate 22 to 56 (low confidence), under 500 staff company-wide, on-site 5 days a week per its profile, occupied at a high-confidence address; no contact found in public sources (walk-in).</t>
        </is>
      </c>
      <c r="L38" t="inlineStr">
        <is>
          <t>under-40</t>
        </is>
      </c>
      <c r="M38" t="inlineStr"/>
      <c r="N38" t="inlineStr"/>
      <c r="O38" t="inlineStr"/>
      <c r="P38" t="inlineStr"/>
      <c r="Q38" t="inlineStr"/>
      <c r="R38" t="inlineStr">
        <is>
          <t>N</t>
        </is>
      </c>
      <c r="S38" t="inlineStr">
        <is>
          <t>unknown</t>
        </is>
      </c>
      <c r="T38" t="inlineStr">
        <is>
          <t>N</t>
        </is>
      </c>
      <c r="U38" t="inlineStr">
        <is>
          <t>new</t>
        </is>
      </c>
      <c r="V38" t="inlineStr">
        <is>
          <t>https://commercialobserver.com/2025/04/actively-ai-lease-30-west-21st-street/</t>
        </is>
      </c>
      <c r="W38" t="inlineStr">
        <is>
          <t>2026-10-23</t>
        </is>
      </c>
      <c r="X38" t="inlineStr">
        <is>
          <t>office</t>
        </is>
      </c>
      <c r="Y38" t="inlineStr"/>
      <c r="Z38" t="n">
        <v>37</v>
      </c>
      <c r="AA38" t="inlineStr">
        <is>
          <t>Y</t>
        </is>
      </c>
      <c r="AB38" t="inlineStr">
        <is>
          <t>no named contact: walk in and ask for whoever runs the pantry, or use the company contact form; Tuesday estimate band under-40: founder's call (set founder_ok_to_queue = Y to queue)</t>
        </is>
      </c>
      <c r="AC38" t="inlineStr"/>
      <c r="AD38" t="inlineStr">
        <is>
          <t>none</t>
        </is>
      </c>
      <c r="AE38" t="inlineStr"/>
      <c r="AF38" t="inlineStr"/>
      <c r="AG38" t="inlineStr"/>
      <c r="AH38" t="inlineStr">
        <is>
          <t>none</t>
        </is>
      </c>
      <c r="AI38" t="inlineStr">
        <is>
          <t>30 West 21st Street</t>
        </is>
      </c>
      <c r="AJ38" t="inlineStr">
        <is>
          <t>9-10</t>
        </is>
      </c>
      <c r="AK38" t="inlineStr">
        <is>
          <t>occupied</t>
        </is>
      </c>
      <c r="AL38" t="n">
        <v>22</v>
      </c>
      <c r="AM38" t="n">
        <v>56</v>
      </c>
      <c r="AN38" t="inlineStr">
        <is>
          <t>low</t>
        </is>
      </c>
      <c r="AO38" t="inlineStr">
        <is>
          <t>in-office-5</t>
        </is>
      </c>
      <c r="AP38" t="inlineStr">
        <is>
          <t>AO-C-072</t>
        </is>
      </c>
      <c r="AQ38" t="inlineStr">
        <is>
          <t>N</t>
        </is>
      </c>
      <c r="AR38" t="inlineStr"/>
      <c r="AS38" t="inlineStr"/>
      <c r="AT38" t="inlineStr">
        <is>
          <t>N</t>
        </is>
      </c>
      <c r="AU38" t="inlineStr">
        <is>
          <t>no contact named on an opened page; Tuesday estimate band under-40: founder's call</t>
        </is>
      </c>
      <c r="AV38" t="inlineStr"/>
      <c r="AW38" t="inlineStr">
        <is>
          <t>Y</t>
        </is>
      </c>
      <c r="AX38" t="inlineStr">
        <is>
          <t>pass</t>
        </is>
      </c>
      <c r="AY38" t="inlineStr">
        <is>
          <t>passes all hard gates</t>
        </is>
      </c>
      <c r="AZ38" t="inlineStr">
        <is>
          <t>company</t>
        </is>
      </c>
      <c r="BA38" t="inlineStr">
        <is>
          <t>B-C-072</t>
        </is>
      </c>
      <c r="BB38" t="inlineStr">
        <is>
          <t>https://www.actively.ai</t>
        </is>
      </c>
      <c r="BC38" t="inlineStr">
        <is>
          <t>software (AI sales platform)</t>
        </is>
      </c>
      <c r="BD38" t="n">
        <v>65</v>
      </c>
      <c r="BE38" t="n">
        <v>83</v>
      </c>
      <c r="BF38" t="inlineStr">
        <is>
          <t>unknown</t>
        </is>
      </c>
      <c r="BG38" t="inlineStr">
        <is>
          <t>unknown</t>
        </is>
      </c>
      <c r="BH38" t="inlineStr">
        <is>
          <t>disagree</t>
        </is>
      </c>
      <c r="BI38" t="inlineStr">
        <is>
          <t>https://www.builtinnyc.com/company/actively-ai</t>
        </is>
      </c>
      <c r="BJ38" t="inlineStr">
        <is>
          <t>https://www.reveliolabs.com/companies/actively/employees</t>
        </is>
      </c>
      <c r="BK38" t="inlineStr">
        <is>
          <t>le500</t>
        </is>
      </c>
      <c r="BL38" t="inlineStr">
        <is>
          <t>New York</t>
        </is>
      </c>
      <c r="BM38" t="inlineStr">
        <is>
          <t>Y</t>
        </is>
      </c>
      <c r="BN38" t="inlineStr">
        <is>
          <t>unknown</t>
        </is>
      </c>
      <c r="BO38" t="inlineStr">
        <is>
          <t>unknown</t>
        </is>
      </c>
      <c r="BP38" t="n">
        <v>10010</v>
      </c>
      <c r="BQ38" t="n">
        <v>40.74082</v>
      </c>
      <c r="BR38" t="n">
        <v>-73.992366</v>
      </c>
      <c r="BS38" t="inlineStr">
        <is>
          <t>Y</t>
        </is>
      </c>
      <c r="BT38" t="n">
        <v>0</v>
      </c>
      <c r="BU38" t="inlineStr">
        <is>
          <t>B-B-033</t>
        </is>
      </c>
      <c r="BV38" t="inlineStr">
        <is>
          <t>30 West 21st Street (Skyway Development Group)</t>
        </is>
      </c>
      <c r="BW38" t="inlineStr">
        <is>
          <t>https://commercialobserver.com/2025/04/actively-ai-lease-30-west-21st-street/</t>
        </is>
      </c>
      <c r="BX38" t="inlineStr">
        <is>
          <t>2025-04-14</t>
        </is>
      </c>
      <c r="BY38" t="inlineStr">
        <is>
          <t>leasing-press</t>
        </is>
      </c>
      <c r="BZ38" t="inlineStr">
        <is>
          <t>https://www.actively.ai/</t>
        </is>
      </c>
      <c r="CA38" t="inlineStr">
        <is>
          <t>2026-10-23</t>
        </is>
      </c>
      <c r="CB38" t="inlineStr"/>
      <c r="CC38" t="inlineStr">
        <is>
          <t>high</t>
        </is>
      </c>
      <c r="CD38" t="inlineStr"/>
      <c r="CE38" t="inlineStr">
        <is>
          <t>N</t>
        </is>
      </c>
      <c r="CF38" t="inlineStr"/>
      <c r="CG38" t="inlineStr"/>
      <c r="CH38" t="inlineStr">
        <is>
          <t>unknown</t>
        </is>
      </c>
      <c r="CI38" t="inlineStr"/>
      <c r="CJ38" t="inlineStr">
        <is>
          <t>unknown</t>
        </is>
      </c>
      <c r="CK38" t="inlineStr">
        <is>
          <t>N</t>
        </is>
      </c>
      <c r="CL38" t="inlineStr">
        <is>
          <t>Built In workplace type: OnSite Workplace; typical time on-site: 5 days a week; recent job tags: 3 In-Office</t>
        </is>
      </c>
      <c r="CM38" t="inlineStr">
        <is>
          <t>https://www.builtinnyc.com/company/actively-ai/offices</t>
        </is>
      </c>
      <c r="CN38" t="inlineStr">
        <is>
          <t>2026-10-24</t>
        </is>
      </c>
      <c r="CO38" t="n">
        <v>35</v>
      </c>
      <c r="CP38" t="inlineStr">
        <is>
          <t>may be under 30;30 to 39 is the founder's call</t>
        </is>
      </c>
      <c r="CQ38" t="inlineStr">
        <is>
          <t>65 (Built In) and 83 (Revelio Labs) staff (whole-company count) x 50% to 100% of them in the New York office (HQ New York; share assumed) x 67% (Partnership for NYC, firms under 500) in on a weekday = 22 to 56, central 35; low confidence; estimate until intake replaces it.</t>
        </is>
      </c>
      <c r="CR38" t="inlineStr">
        <is>
          <t>estimate until intake replaces it</t>
        </is>
      </c>
      <c r="CS38" t="n">
        <v>0.36</v>
      </c>
      <c r="CT38" t="n">
        <v>54</v>
      </c>
      <c r="CU38" t="n">
        <v>9</v>
      </c>
      <c r="CV38" t="n">
        <v>15</v>
      </c>
      <c r="CW38" t="n">
        <v>15</v>
      </c>
      <c r="CX38" t="n">
        <v>15</v>
      </c>
      <c r="CY38" t="n">
        <v>0</v>
      </c>
      <c r="CZ38" t="n">
        <v>0</v>
      </c>
      <c r="DA38" t="inlineStr"/>
      <c r="DB38" t="inlineStr"/>
      <c r="DC38" t="inlineStr"/>
      <c r="DD38" t="inlineStr"/>
      <c r="DE38" t="inlineStr"/>
      <c r="DF38" t="inlineStr">
        <is>
          <t>none</t>
        </is>
      </c>
      <c r="DG38" t="inlineStr">
        <is>
          <t>candidate</t>
        </is>
      </c>
      <c r="DH38" t="inlineStr"/>
      <c r="DI38" t="inlineStr"/>
      <c r="DJ38" t="inlineStr">
        <is>
          <t>10,722 sf</t>
        </is>
      </c>
      <c r="DK38" t="inlineStr">
        <is>
          <t>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is>
      </c>
      <c r="DL38" t="inlineStr"/>
      <c r="DM38" t="inlineStr"/>
      <c r="DN38" t="inlineStr"/>
      <c r="DO38" t="inlineStr"/>
      <c r="DP38" t="inlineStr"/>
      <c r="DQ38" t="inlineStr"/>
      <c r="DR38" t="inlineStr"/>
      <c r="DS38" t="inlineStr">
        <is>
          <t>none</t>
        </is>
      </c>
      <c r="DT38" t="inlineStr"/>
      <c r="DU38" t="inlineStr"/>
      <c r="DV38" t="inlineStr"/>
      <c r="DW38" t="inlineStr"/>
      <c r="DX38" t="inlineStr">
        <is>
          <t>Y</t>
        </is>
      </c>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f>IF(ISNUMBER(MATCH(U38,{"queued","contacted","replied","call_booked","call_done","yes_in_principle","materials_sent"},0)),"Y","N")</f>
        <v/>
      </c>
      <c r="ES38">
        <f>IF(COUNTIFS($AP$2:$AP$1000,AP38,$ER$2:$ER$1000,"Y")+COUNTIFS($AP$2:$AP$1000,AP38,$T$2:$T$1000,"Y")&gt;0,"Y","N")</f>
        <v/>
      </c>
      <c r="ET38">
        <f>IF(AND(U38="new",T38="N",AT38="Y",AS38="",ES38="N"),"Y","N")</f>
        <v/>
      </c>
      <c r="EU38">
        <f>IF(ET38&lt;&gt;"Y","N",IF(COUNTIFS($AP$2:$AP$1000,AP38,$ET$2:$ET$1000,"Y",$J$2:$J$1000,"&gt;"&amp;J38)+COUNTIFS($AP$2:$AP$1000,AP38,$ET$2:$ET$1000,"Y",$J$2:$J$1000,J38,$EW$2:$EW$1000,"&lt;"&amp;EW38)=0,"Y","N"))</f>
        <v/>
      </c>
      <c r="EV38">
        <f>IF(Y38="","N",IF(Y38&lt;=10,"Y","N"))</f>
        <v/>
      </c>
      <c r="EW38">
        <f>ROW()-1</f>
        <v/>
      </c>
    </row>
    <row r="39">
      <c r="A39" t="inlineStr">
        <is>
          <t>AO-C-109</t>
        </is>
      </c>
      <c r="B39" t="inlineStr">
        <is>
          <t>Green Mountain Energy</t>
        </is>
      </c>
      <c r="C39" t="inlineStr"/>
      <c r="D39" t="inlineStr"/>
      <c r="E39" t="inlineStr"/>
      <c r="F39" t="inlineStr"/>
      <c r="G39" t="inlineStr"/>
      <c r="H39" t="inlineStr">
        <is>
          <t>none</t>
        </is>
      </c>
      <c r="I39" t="inlineStr">
        <is>
          <t>walk-in</t>
        </is>
      </c>
      <c r="J39" t="n">
        <v>52.4</v>
      </c>
      <c r="K39" t="inlineStr">
        <is>
          <t>Tuesday estimate 9 to 224 (low confidence), under 500 staff company-wide with a named parent (NRG Energy), on-site 5 days a week per its profile, occupied at a medium-confidence address; no contact found in public sources (walk-in).</t>
        </is>
      </c>
      <c r="L39" t="inlineStr">
        <is>
          <t>40-75</t>
        </is>
      </c>
      <c r="M39" t="inlineStr"/>
      <c r="N39" t="inlineStr"/>
      <c r="O39" t="inlineStr"/>
      <c r="P39" t="inlineStr"/>
      <c r="Q39" t="inlineStr"/>
      <c r="R39" t="inlineStr">
        <is>
          <t>N</t>
        </is>
      </c>
      <c r="S39" t="inlineStr">
        <is>
          <t>unknown</t>
        </is>
      </c>
      <c r="T39" t="inlineStr">
        <is>
          <t>N</t>
        </is>
      </c>
      <c r="U39" t="inlineStr">
        <is>
          <t>new</t>
        </is>
      </c>
      <c r="V39" t="inlineStr">
        <is>
          <t>https://commercialobserver.com/2026/01/purple-lease-16-madison-square-west/</t>
        </is>
      </c>
      <c r="W39" t="inlineStr">
        <is>
          <t>2026-10-23</t>
        </is>
      </c>
      <c r="X39" t="inlineStr">
        <is>
          <t>office</t>
        </is>
      </c>
      <c r="Y39" t="inlineStr"/>
      <c r="Z39" t="n">
        <v>38</v>
      </c>
      <c r="AA39" t="inlineStr">
        <is>
          <t>Y</t>
        </is>
      </c>
      <c r="AB39" t="inlineStr">
        <is>
          <t>no named contact: walk in and ask for whoever runs the pantry, or use the company contact form</t>
        </is>
      </c>
      <c r="AC39" t="inlineStr"/>
      <c r="AD39" t="inlineStr">
        <is>
          <t>none</t>
        </is>
      </c>
      <c r="AE39" t="inlineStr"/>
      <c r="AF39" t="inlineStr"/>
      <c r="AG39" t="inlineStr"/>
      <c r="AH39" t="inlineStr">
        <is>
          <t>none</t>
        </is>
      </c>
      <c r="AI39" t="inlineStr">
        <is>
          <t>16 Madison Square West</t>
        </is>
      </c>
      <c r="AJ39" t="inlineStr">
        <is>
          <t>unknown</t>
        </is>
      </c>
      <c r="AK39" t="inlineStr">
        <is>
          <t>occupied</t>
        </is>
      </c>
      <c r="AL39" t="n">
        <v>9</v>
      </c>
      <c r="AM39" t="n">
        <v>224</v>
      </c>
      <c r="AN39" t="inlineStr">
        <is>
          <t>low</t>
        </is>
      </c>
      <c r="AO39" t="inlineStr">
        <is>
          <t>in-office-5</t>
        </is>
      </c>
      <c r="AP39" t="inlineStr">
        <is>
          <t>AO-C-109</t>
        </is>
      </c>
      <c r="AQ39" t="inlineStr">
        <is>
          <t>N</t>
        </is>
      </c>
      <c r="AR39" t="inlineStr"/>
      <c r="AS39" t="inlineStr"/>
      <c r="AT39" t="inlineStr">
        <is>
          <t>N</t>
        </is>
      </c>
      <c r="AU39" t="inlineStr">
        <is>
          <t>no contact named on an opened page</t>
        </is>
      </c>
      <c r="AV39" t="inlineStr"/>
      <c r="AW39" t="inlineStr">
        <is>
          <t>N</t>
        </is>
      </c>
      <c r="AX39" t="inlineStr">
        <is>
          <t>pass</t>
        </is>
      </c>
      <c r="AY39" t="inlineStr">
        <is>
          <t>passes all hard gates</t>
        </is>
      </c>
      <c r="AZ39" t="inlineStr">
        <is>
          <t>company</t>
        </is>
      </c>
      <c r="BA39" t="inlineStr">
        <is>
          <t>B-C-109</t>
        </is>
      </c>
      <c r="BB39" t="inlineStr">
        <is>
          <t>https://www.greenmountainenergy.com/</t>
        </is>
      </c>
      <c r="BC39" t="inlineStr">
        <is>
          <t>Energy retailer (renewable electricity)</t>
        </is>
      </c>
      <c r="BD39" t="n">
        <v>334</v>
      </c>
      <c r="BE39" t="n">
        <v>257</v>
      </c>
      <c r="BF39" t="inlineStr">
        <is>
          <t>251-500</t>
        </is>
      </c>
      <c r="BG39" t="inlineStr">
        <is>
          <t>whole-company</t>
        </is>
      </c>
      <c r="BH39" t="inlineStr">
        <is>
          <t>agree</t>
        </is>
      </c>
      <c r="BI39" t="inlineStr">
        <is>
          <t>https://www.builtinnyc.com/company/green-mountain-energy/offices</t>
        </is>
      </c>
      <c r="BJ39" t="inlineStr">
        <is>
          <t>https://www.reveliolabs.com/companies/green-mountain-energy/employees</t>
        </is>
      </c>
      <c r="BK39" t="inlineStr">
        <is>
          <t>le500</t>
        </is>
      </c>
      <c r="BL39" t="inlineStr">
        <is>
          <t>Houston</t>
        </is>
      </c>
      <c r="BM39" t="inlineStr">
        <is>
          <t>N</t>
        </is>
      </c>
      <c r="BN39" t="inlineStr">
        <is>
          <t>NRG Energy</t>
        </is>
      </c>
      <c r="BO39" t="inlineStr">
        <is>
          <t>unknown</t>
        </is>
      </c>
      <c r="BP39" t="n">
        <v>10010</v>
      </c>
      <c r="BQ39" t="n">
        <v>40.743006</v>
      </c>
      <c r="BR39" t="n">
        <v>-73.98947</v>
      </c>
      <c r="BS39" t="inlineStr">
        <is>
          <t>Y</t>
        </is>
      </c>
      <c r="BT39" t="n">
        <v>0</v>
      </c>
      <c r="BU39" t="inlineStr">
        <is>
          <t>B-B-056</t>
        </is>
      </c>
      <c r="BV39" t="inlineStr">
        <is>
          <t>16 Madison Square West / 1115 Broadway (Adams &amp; Company)</t>
        </is>
      </c>
      <c r="BW39" t="inlineStr">
        <is>
          <t>https://commercialobserver.com/2026/01/purple-lease-16-madison-square-west/</t>
        </is>
      </c>
      <c r="BX39" t="inlineStr">
        <is>
          <t>2026-01-08</t>
        </is>
      </c>
      <c r="BY39" t="inlineStr">
        <is>
          <t>leasing-press</t>
        </is>
      </c>
      <c r="BZ39" t="inlineStr"/>
      <c r="CA39" t="inlineStr"/>
      <c r="CB39" t="inlineStr"/>
      <c r="CC39" t="inlineStr">
        <is>
          <t>medium</t>
        </is>
      </c>
      <c r="CD39" t="inlineStr"/>
      <c r="CE39" t="inlineStr">
        <is>
          <t>N</t>
        </is>
      </c>
      <c r="CF39" t="inlineStr"/>
      <c r="CG39" t="inlineStr"/>
      <c r="CH39" t="inlineStr">
        <is>
          <t>security desk</t>
        </is>
      </c>
      <c r="CI39" t="inlineStr">
        <is>
          <t>https://www.adamsre.com/collections/madison-square-park/products/16-madison-square-west</t>
        </is>
      </c>
      <c r="CJ39" t="inlineStr">
        <is>
          <t>unknown</t>
        </is>
      </c>
      <c r="CK39" t="inlineStr">
        <is>
          <t>N</t>
        </is>
      </c>
      <c r="CL39" t="inlineStr">
        <is>
          <t>Built In workplace type: OnSite Workplace; typical time on-site: 5 days a week</t>
        </is>
      </c>
      <c r="CM39" t="inlineStr">
        <is>
          <t>https://www.builtinnyc.com/company/green-mountain-energy/offices</t>
        </is>
      </c>
      <c r="CN39" t="inlineStr">
        <is>
          <t>2026-10-24</t>
        </is>
      </c>
      <c r="CO39" t="n">
        <v>45</v>
      </c>
      <c r="CP39" t="inlineStr">
        <is>
          <t>may be under 30</t>
        </is>
      </c>
      <c r="CQ39" t="inlineStr">
        <is>
          <t>334 (Built In) and 257 (Revelio Labs) staff (whole-company count) x 5% to 100% of them in the New York office (HQ outside New York; share assumed) x 67% (Partnership for NYC, firms under 500) in on a weekday = 9 to 224, central 45; low confidence; estimate until intake replaces it.</t>
        </is>
      </c>
      <c r="CR39" t="inlineStr">
        <is>
          <t>estimate until intake replaces it</t>
        </is>
      </c>
      <c r="CS39" t="n">
        <v>0.54</v>
      </c>
      <c r="CT39" t="n">
        <v>52.4</v>
      </c>
      <c r="CU39" t="n">
        <v>13.4</v>
      </c>
      <c r="CV39" t="n">
        <v>11</v>
      </c>
      <c r="CW39" t="n">
        <v>15</v>
      </c>
      <c r="CX39" t="n">
        <v>13</v>
      </c>
      <c r="CY39" t="n">
        <v>0</v>
      </c>
      <c r="CZ39" t="n">
        <v>0</v>
      </c>
      <c r="DA39" t="inlineStr"/>
      <c r="DB39" t="inlineStr"/>
      <c r="DC39" t="inlineStr"/>
      <c r="DD39" t="inlineStr"/>
      <c r="DE39" t="inlineStr"/>
      <c r="DF39" t="inlineStr">
        <is>
          <t>none</t>
        </is>
      </c>
      <c r="DG39" t="inlineStr">
        <is>
          <t>candidate</t>
        </is>
      </c>
      <c r="DH39" t="inlineStr"/>
      <c r="DI39" t="inlineStr"/>
      <c r="DJ39" t="inlineStr"/>
      <c r="DK39" t="inlineStr">
        <is>
          <t>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is>
      </c>
      <c r="DL39" t="inlineStr"/>
      <c r="DM39" t="inlineStr"/>
      <c r="DN39" t="inlineStr"/>
      <c r="DO39" t="inlineStr"/>
      <c r="DP39" t="inlineStr"/>
      <c r="DQ39" t="inlineStr"/>
      <c r="DR39" t="inlineStr"/>
      <c r="DS39" t="inlineStr">
        <is>
          <t>none</t>
        </is>
      </c>
      <c r="DT39" t="inlineStr"/>
      <c r="DU39" t="inlineStr"/>
      <c r="DV39" t="inlineStr"/>
      <c r="DW39" t="inlineStr"/>
      <c r="DX39" t="inlineStr">
        <is>
          <t>Y</t>
        </is>
      </c>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f>IF(ISNUMBER(MATCH(U39,{"queued","contacted","replied","call_booked","call_done","yes_in_principle","materials_sent"},0)),"Y","N")</f>
        <v/>
      </c>
      <c r="ES39">
        <f>IF(COUNTIFS($AP$2:$AP$1000,AP39,$ER$2:$ER$1000,"Y")+COUNTIFS($AP$2:$AP$1000,AP39,$T$2:$T$1000,"Y")&gt;0,"Y","N")</f>
        <v/>
      </c>
      <c r="ET39">
        <f>IF(AND(U39="new",T39="N",AT39="Y",AS39="",ES39="N"),"Y","N")</f>
        <v/>
      </c>
      <c r="EU39">
        <f>IF(ET39&lt;&gt;"Y","N",IF(COUNTIFS($AP$2:$AP$1000,AP39,$ET$2:$ET$1000,"Y",$J$2:$J$1000,"&gt;"&amp;J39)+COUNTIFS($AP$2:$AP$1000,AP39,$ET$2:$ET$1000,"Y",$J$2:$J$1000,J39,$EW$2:$EW$1000,"&lt;"&amp;EW39)=0,"Y","N"))</f>
        <v/>
      </c>
      <c r="EV39">
        <f>IF(Y39="","N",IF(Y39&lt;=10,"Y","N"))</f>
        <v/>
      </c>
      <c r="EW39">
        <f>ROW()-1</f>
        <v/>
      </c>
    </row>
    <row r="40">
      <c r="A40" t="inlineStr">
        <is>
          <t>AO-C-013</t>
        </is>
      </c>
      <c r="B40" t="inlineStr">
        <is>
          <t>Rockwell Group</t>
        </is>
      </c>
      <c r="C40" t="inlineStr">
        <is>
          <t>Yazmin</t>
        </is>
      </c>
      <c r="D40" t="inlineStr">
        <is>
          <t>Ramirez</t>
        </is>
      </c>
      <c r="E40" t="inlineStr">
        <is>
          <t>Director of Human Resources</t>
        </is>
      </c>
      <c r="F40" t="inlineStr"/>
      <c r="G40" t="inlineStr"/>
      <c r="H40" t="inlineStr">
        <is>
          <t>none</t>
        </is>
      </c>
      <c r="I40" t="inlineStr">
        <is>
          <t>linkedin</t>
        </is>
      </c>
      <c r="J40" t="n">
        <v>52.3</v>
      </c>
      <c r="K40" t="inlineStr">
        <is>
          <t>Tuesday estimate 100 to 309 (low confidence), 501 to 1,000 staff company-wide, no attendance signal, occupied at a high-confidence address; adjacent contact named (Director of Human Resources).</t>
        </is>
      </c>
      <c r="L40" t="inlineStr">
        <is>
          <t>151-250</t>
        </is>
      </c>
      <c r="M40" t="inlineStr"/>
      <c r="N40" t="inlineStr"/>
      <c r="O40" t="inlineStr"/>
      <c r="P40" t="inlineStr"/>
      <c r="Q40" t="inlineStr"/>
      <c r="R40" t="inlineStr">
        <is>
          <t>N</t>
        </is>
      </c>
      <c r="S40" t="inlineStr">
        <is>
          <t>unknown</t>
        </is>
      </c>
      <c r="T40" t="inlineStr">
        <is>
          <t>N</t>
        </is>
      </c>
      <c r="U40" t="inlineStr">
        <is>
          <t>new</t>
        </is>
      </c>
      <c r="V40" t="inlineStr">
        <is>
          <t>https://www.rockwellgroup.com/about</t>
        </is>
      </c>
      <c r="W40" t="inlineStr">
        <is>
          <t>2026-10-23</t>
        </is>
      </c>
      <c r="X40" t="inlineStr">
        <is>
          <t>office</t>
        </is>
      </c>
      <c r="Y40" t="n">
        <v>23</v>
      </c>
      <c r="Z40" t="n">
        <v>39</v>
      </c>
      <c r="AA40" t="inlineStr">
        <is>
          <t>Y</t>
        </is>
      </c>
      <c r="AB40" t="inlineStr">
        <is>
          <t>find Yazmin Ramirez at Rockwell Group on LinkedIn and paste the profile URL; adjacent title: ask who runs the pantry</t>
        </is>
      </c>
      <c r="AC40" t="inlineStr">
        <is>
          <t>pantry or office lead (primary)</t>
        </is>
      </c>
      <c r="AD40" t="inlineStr">
        <is>
          <t>verified-page</t>
        </is>
      </c>
      <c r="AE40" t="inlineStr">
        <is>
          <t>employer's own site</t>
        </is>
      </c>
      <c r="AF40" t="inlineStr">
        <is>
          <t>https://www.rockwellgroup.com/people</t>
        </is>
      </c>
      <c r="AG40" t="inlineStr">
        <is>
          <t>2026-10-24</t>
        </is>
      </c>
      <c r="AH40" t="inlineStr">
        <is>
          <t>adjacent</t>
        </is>
      </c>
      <c r="AI40" t="inlineStr">
        <is>
          <t>5 Union Square West</t>
        </is>
      </c>
      <c r="AJ40" t="n">
        <v>8</v>
      </c>
      <c r="AK40" t="inlineStr">
        <is>
          <t>occupied</t>
        </is>
      </c>
      <c r="AL40" t="n">
        <v>100</v>
      </c>
      <c r="AM40" t="n">
        <v>309</v>
      </c>
      <c r="AN40" t="inlineStr">
        <is>
          <t>low</t>
        </is>
      </c>
      <c r="AO40" t="inlineStr">
        <is>
          <t>unknown</t>
        </is>
      </c>
      <c r="AP40" t="inlineStr">
        <is>
          <t>AO-C-013</t>
        </is>
      </c>
      <c r="AQ40" t="inlineStr">
        <is>
          <t>N</t>
        </is>
      </c>
      <c r="AR40" t="inlineStr"/>
      <c r="AS40" t="inlineStr"/>
      <c r="AT40" t="inlineStr">
        <is>
          <t>Y</t>
        </is>
      </c>
      <c r="AU40" t="inlineStr"/>
      <c r="AV40" t="inlineStr"/>
      <c r="AW40" t="inlineStr">
        <is>
          <t>N</t>
        </is>
      </c>
      <c r="AX40" t="inlineStr">
        <is>
          <t>pass</t>
        </is>
      </c>
      <c r="AY40" t="inlineStr">
        <is>
          <t>passes all hard gates</t>
        </is>
      </c>
      <c r="AZ40" t="inlineStr">
        <is>
          <t>company</t>
        </is>
      </c>
      <c r="BA40" t="inlineStr">
        <is>
          <t>B-C-013</t>
        </is>
      </c>
      <c r="BB40" t="inlineStr">
        <is>
          <t>https://www.rockwellgroup.com</t>
        </is>
      </c>
      <c r="BC40" t="inlineStr">
        <is>
          <t>architecture and design</t>
        </is>
      </c>
      <c r="BD40" t="n">
        <v>350</v>
      </c>
      <c r="BE40" t="n">
        <v>542</v>
      </c>
      <c r="BF40" t="inlineStr">
        <is>
          <t>unknown</t>
        </is>
      </c>
      <c r="BG40" t="inlineStr">
        <is>
          <t>unknown</t>
        </is>
      </c>
      <c r="BH40" t="inlineStr">
        <is>
          <t>disagree</t>
        </is>
      </c>
      <c r="BI40" t="inlineStr">
        <is>
          <t>https://www.rockwellgroup.com/about</t>
        </is>
      </c>
      <c r="BJ40" t="inlineStr">
        <is>
          <t>https://www.reveliolabs.com/companies/rockwell-group/employees</t>
        </is>
      </c>
      <c r="BK40" t="inlineStr">
        <is>
          <t>501-1000</t>
        </is>
      </c>
      <c r="BL40" t="inlineStr">
        <is>
          <t>New York</t>
        </is>
      </c>
      <c r="BM40" t="inlineStr">
        <is>
          <t>Y</t>
        </is>
      </c>
      <c r="BN40" t="inlineStr">
        <is>
          <t>unknown</t>
        </is>
      </c>
      <c r="BO40" t="inlineStr">
        <is>
          <t>unknown</t>
        </is>
      </c>
      <c r="BP40" t="n">
        <v>10003</v>
      </c>
      <c r="BQ40" t="n">
        <v>40.7357</v>
      </c>
      <c r="BR40" t="n">
        <v>-73.991754</v>
      </c>
      <c r="BS40" t="inlineStr">
        <is>
          <t>Y</t>
        </is>
      </c>
      <c r="BT40" t="n">
        <v>0</v>
      </c>
      <c r="BU40" t="inlineStr">
        <is>
          <t>B-B-003</t>
        </is>
      </c>
      <c r="BV40" t="inlineStr">
        <is>
          <t>Spingler Building (5-9 Union Square West)</t>
        </is>
      </c>
      <c r="BW40" t="inlineStr">
        <is>
          <t>https://www.rockwellgroup.com/about</t>
        </is>
      </c>
      <c r="BX40" t="inlineStr">
        <is>
          <t>2026-10-23</t>
        </is>
      </c>
      <c r="BY40" t="inlineStr">
        <is>
          <t>company-site</t>
        </is>
      </c>
      <c r="BZ40" t="inlineStr">
        <is>
          <t>https://commercialobserver.com/2026/05/profound-lease-gfp-5-9-union-square-west/</t>
        </is>
      </c>
      <c r="CA40" t="inlineStr">
        <is>
          <t>2026-05-18</t>
        </is>
      </c>
      <c r="CB40" t="inlineStr"/>
      <c r="CC40" t="inlineStr">
        <is>
          <t>high</t>
        </is>
      </c>
      <c r="CD40" t="inlineStr"/>
      <c r="CE40" t="inlineStr">
        <is>
          <t>N</t>
        </is>
      </c>
      <c r="CF40" t="inlineStr"/>
      <c r="CG40" t="inlineStr"/>
      <c r="CH40" t="inlineStr">
        <is>
          <t>unknown</t>
        </is>
      </c>
      <c r="CI40" t="inlineStr"/>
      <c r="CJ40" t="inlineStr">
        <is>
          <t>unknown</t>
        </is>
      </c>
      <c r="CK40" t="inlineStr">
        <is>
          <t>N</t>
        </is>
      </c>
      <c r="CL40" t="inlineStr">
        <is>
          <t>unknown</t>
        </is>
      </c>
      <c r="CM40" t="inlineStr"/>
      <c r="CN40" t="inlineStr"/>
      <c r="CO40" t="n">
        <v>176</v>
      </c>
      <c r="CP40" t="inlineStr">
        <is>
          <t>may exceed 250</t>
        </is>
      </c>
      <c r="CQ40" t="inlineStr">
        <is>
          <t>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is>
      </c>
      <c r="CR40" t="inlineStr">
        <is>
          <t>estimate until intake replaces it</t>
        </is>
      </c>
      <c r="CS40" t="n">
        <v>0.8100000000000001</v>
      </c>
      <c r="CT40" t="n">
        <v>52.3</v>
      </c>
      <c r="CU40" t="n">
        <v>20.3</v>
      </c>
      <c r="CV40" t="n">
        <v>6</v>
      </c>
      <c r="CW40" t="n">
        <v>6</v>
      </c>
      <c r="CX40" t="n">
        <v>15</v>
      </c>
      <c r="CY40" t="n">
        <v>5</v>
      </c>
      <c r="CZ40" t="n">
        <v>0</v>
      </c>
      <c r="DA40" t="inlineStr"/>
      <c r="DB40" t="inlineStr"/>
      <c r="DC40" t="inlineStr"/>
      <c r="DD40" t="inlineStr"/>
      <c r="DE40" t="inlineStr"/>
      <c r="DF40" t="inlineStr">
        <is>
          <t>none</t>
        </is>
      </c>
      <c r="DG40" t="inlineStr">
        <is>
          <t>candidate</t>
        </is>
      </c>
      <c r="DH40" t="inlineStr"/>
      <c r="DI40" t="inlineStr"/>
      <c r="DJ40" t="inlineStr"/>
      <c r="DK40" t="inlineStr">
        <is>
          <t>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is>
      </c>
      <c r="DL40" t="inlineStr"/>
      <c r="DM40" t="inlineStr">
        <is>
          <t>Yazmin Ramirez</t>
        </is>
      </c>
      <c r="DN40" t="inlineStr"/>
      <c r="DO40" t="inlineStr">
        <is>
          <t>title_match=adjacent; Senior Staff list on Rockwell Group's People page (opened 2026-10-24); the page footer lists the New York office at 5 Union Square West, 8th Floor (HQ). City of this person not stated. HR, not office ops: ask her who runs the studio pantry.</t>
        </is>
      </c>
      <c r="DP40" t="inlineStr"/>
      <c r="DQ40" t="inlineStr"/>
      <c r="DR40" t="inlineStr"/>
      <c r="DS40" t="inlineStr">
        <is>
          <t>none</t>
        </is>
      </c>
      <c r="DT40" t="inlineStr"/>
      <c r="DU40" t="inlineStr"/>
      <c r="DV40" t="inlineStr"/>
      <c r="DW40" t="inlineStr"/>
      <c r="DX40" t="inlineStr">
        <is>
          <t>Y</t>
        </is>
      </c>
      <c r="DY40" t="inlineStr">
        <is>
          <t>likely</t>
        </is>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f>IF(ISNUMBER(MATCH(U40,{"queued","contacted","replied","call_booked","call_done","yes_in_principle","materials_sent"},0)),"Y","N")</f>
        <v/>
      </c>
      <c r="ES40">
        <f>IF(COUNTIFS($AP$2:$AP$1000,AP40,$ER$2:$ER$1000,"Y")+COUNTIFS($AP$2:$AP$1000,AP40,$T$2:$T$1000,"Y")&gt;0,"Y","N")</f>
        <v/>
      </c>
      <c r="ET40">
        <f>IF(AND(U40="new",T40="N",AT40="Y",AS40="",ES40="N"),"Y","N")</f>
        <v/>
      </c>
      <c r="EU40">
        <f>IF(ET40&lt;&gt;"Y","N",IF(COUNTIFS($AP$2:$AP$1000,AP40,$ET$2:$ET$1000,"Y",$J$2:$J$1000,"&gt;"&amp;J40)+COUNTIFS($AP$2:$AP$1000,AP40,$ET$2:$ET$1000,"Y",$J$2:$J$1000,J40,$EW$2:$EW$1000,"&lt;"&amp;EW40)=0,"Y","N"))</f>
        <v/>
      </c>
      <c r="EV40">
        <f>IF(Y40="","N",IF(Y40&lt;=10,"Y","N"))</f>
        <v/>
      </c>
      <c r="EW40">
        <f>ROW()-1</f>
        <v/>
      </c>
    </row>
    <row r="41">
      <c r="A41" t="inlineStr">
        <is>
          <t>AO-C-033</t>
        </is>
      </c>
      <c r="B41" t="inlineStr">
        <is>
          <t>Baseten</t>
        </is>
      </c>
      <c r="C41" t="inlineStr"/>
      <c r="D41" t="inlineStr"/>
      <c r="E41" t="inlineStr"/>
      <c r="F41" t="inlineStr"/>
      <c r="G41" t="inlineStr"/>
      <c r="H41" t="inlineStr">
        <is>
          <t>none</t>
        </is>
      </c>
      <c r="I41" t="inlineStr">
        <is>
          <t>walk-in</t>
        </is>
      </c>
      <c r="J41" t="n">
        <v>52</v>
      </c>
      <c r="K41" t="inlineStr">
        <is>
          <t>Tuesday estimate 10 to 234 (low confidence), under 500 staff company-wide, hybrid 3 days, occupied at a medium-confidence address; no contact found in public sources (walk-in).</t>
        </is>
      </c>
      <c r="L41" t="inlineStr">
        <is>
          <t>40-75</t>
        </is>
      </c>
      <c r="M41" t="inlineStr"/>
      <c r="N41" t="inlineStr"/>
      <c r="O41" t="inlineStr"/>
      <c r="P41" t="inlineStr"/>
      <c r="Q41" t="inlineStr"/>
      <c r="R41" t="inlineStr">
        <is>
          <t>N</t>
        </is>
      </c>
      <c r="S41" t="inlineStr">
        <is>
          <t>unknown</t>
        </is>
      </c>
      <c r="T41" t="inlineStr">
        <is>
          <t>N</t>
        </is>
      </c>
      <c r="U41" t="inlineStr">
        <is>
          <t>new</t>
        </is>
      </c>
      <c r="V41" t="inlineStr">
        <is>
          <t>https://www.sec.gov/Archives/edgar/data/1013454/000153949726000704/n5676_x5-424h.htm</t>
        </is>
      </c>
      <c r="W41" t="inlineStr">
        <is>
          <t>2026-10-23</t>
        </is>
      </c>
      <c r="X41" t="inlineStr">
        <is>
          <t>office</t>
        </is>
      </c>
      <c r="Y41" t="inlineStr"/>
      <c r="Z41" t="n">
        <v>40</v>
      </c>
      <c r="AA41" t="inlineStr">
        <is>
          <t>Y</t>
        </is>
      </c>
      <c r="AB41" t="inlineStr">
        <is>
          <t>no named contact: walk in and ask for whoever runs the pantry, or use the company contact form</t>
        </is>
      </c>
      <c r="AC41" t="inlineStr"/>
      <c r="AD41" t="inlineStr">
        <is>
          <t>none</t>
        </is>
      </c>
      <c r="AE41" t="inlineStr"/>
      <c r="AF41" t="inlineStr"/>
      <c r="AG41" t="inlineStr"/>
      <c r="AH41" t="inlineStr">
        <is>
          <t>none</t>
        </is>
      </c>
      <c r="AI41" t="inlineStr">
        <is>
          <t>215 Park Avenue South</t>
        </is>
      </c>
      <c r="AJ41" t="n">
        <v>18</v>
      </c>
      <c r="AK41" t="inlineStr">
        <is>
          <t>occupied</t>
        </is>
      </c>
      <c r="AL41" t="n">
        <v>10</v>
      </c>
      <c r="AM41" t="n">
        <v>234</v>
      </c>
      <c r="AN41" t="inlineStr">
        <is>
          <t>low</t>
        </is>
      </c>
      <c r="AO41" t="inlineStr">
        <is>
          <t>hybrid-3</t>
        </is>
      </c>
      <c r="AP41" t="inlineStr">
        <is>
          <t>AO-C-033</t>
        </is>
      </c>
      <c r="AQ41" t="inlineStr">
        <is>
          <t>N</t>
        </is>
      </c>
      <c r="AR41" t="inlineStr"/>
      <c r="AS41" t="inlineStr"/>
      <c r="AT41" t="inlineStr">
        <is>
          <t>N</t>
        </is>
      </c>
      <c r="AU41" t="inlineStr">
        <is>
          <t>no contact named on an opened page</t>
        </is>
      </c>
      <c r="AV41" t="inlineStr"/>
      <c r="AW41" t="inlineStr">
        <is>
          <t>N</t>
        </is>
      </c>
      <c r="AX41" t="inlineStr">
        <is>
          <t>pass</t>
        </is>
      </c>
      <c r="AY41" t="inlineStr">
        <is>
          <t>passes all hard gates</t>
        </is>
      </c>
      <c r="AZ41" t="inlineStr">
        <is>
          <t>company</t>
        </is>
      </c>
      <c r="BA41" t="inlineStr">
        <is>
          <t>B-C-033</t>
        </is>
      </c>
      <c r="BB41" t="inlineStr">
        <is>
          <t>https://www.baseten.co</t>
        </is>
      </c>
      <c r="BC41" t="inlineStr">
        <is>
          <t>AI infrastructure software</t>
        </is>
      </c>
      <c r="BD41" t="n">
        <v>350</v>
      </c>
      <c r="BE41" t="n">
        <v>285</v>
      </c>
      <c r="BF41" t="inlineStr">
        <is>
          <t>251-500</t>
        </is>
      </c>
      <c r="BG41" t="inlineStr">
        <is>
          <t>whole-company</t>
        </is>
      </c>
      <c r="BH41" t="inlineStr">
        <is>
          <t>agree</t>
        </is>
      </c>
      <c r="BI41" t="inlineStr">
        <is>
          <t>https://www.builtinnyc.com/company/baseten</t>
        </is>
      </c>
      <c r="BJ41" t="inlineStr">
        <is>
          <t>https://www.reveliolabs.com/companies/baseten-labs/employees</t>
        </is>
      </c>
      <c r="BK41" t="inlineStr">
        <is>
          <t>le500</t>
        </is>
      </c>
      <c r="BL41" t="inlineStr">
        <is>
          <t>San Francisco</t>
        </is>
      </c>
      <c r="BM41" t="inlineStr">
        <is>
          <t>N</t>
        </is>
      </c>
      <c r="BN41" t="inlineStr">
        <is>
          <t>unknown</t>
        </is>
      </c>
      <c r="BO41" t="inlineStr">
        <is>
          <t>unknown</t>
        </is>
      </c>
      <c r="BP41" t="n">
        <v>10003</v>
      </c>
      <c r="BQ41" t="n">
        <v>40.73686</v>
      </c>
      <c r="BR41" t="n">
        <v>-73.988546</v>
      </c>
      <c r="BS41" t="inlineStr">
        <is>
          <t>Y</t>
        </is>
      </c>
      <c r="BT41" t="n">
        <v>0</v>
      </c>
      <c r="BU41" t="inlineStr">
        <is>
          <t>B-B-016</t>
        </is>
      </c>
      <c r="BV41" t="inlineStr">
        <is>
          <t>215 Park Avenue South (SL Green managed)</t>
        </is>
      </c>
      <c r="BW41" t="inlineStr">
        <is>
          <t>https://www.sec.gov/Archives/edgar/data/1013454/000153949726000704/n5676_x5-424h.htm</t>
        </is>
      </c>
      <c r="BX41" t="inlineStr">
        <is>
          <t>2026-02</t>
        </is>
      </c>
      <c r="BY41" t="inlineStr">
        <is>
          <t>other</t>
        </is>
      </c>
      <c r="BZ41" t="inlineStr"/>
      <c r="CA41" t="inlineStr"/>
      <c r="CB41" t="inlineStr">
        <is>
          <t>cites a sec.gov filing: agents do not open it (EDGAR demands a contact email); the founder may open it in a browser</t>
        </is>
      </c>
      <c r="CC41" t="inlineStr">
        <is>
          <t>medium</t>
        </is>
      </c>
      <c r="CD41" t="inlineStr"/>
      <c r="CE41" t="inlineStr">
        <is>
          <t>N</t>
        </is>
      </c>
      <c r="CF41" t="inlineStr"/>
      <c r="CG41" t="inlineStr"/>
      <c r="CH41" t="inlineStr">
        <is>
          <t>security desk</t>
        </is>
      </c>
      <c r="CI41" t="inlineStr">
        <is>
          <t>https://www.metro-manhattan.com/buildings/215-park-avenue-south/</t>
        </is>
      </c>
      <c r="CJ41" t="inlineStr">
        <is>
          <t>unknown</t>
        </is>
      </c>
      <c r="CK41" t="inlineStr">
        <is>
          <t>N</t>
        </is>
      </c>
      <c r="CL41" t="inlineStr">
        <is>
          <t>Built In workplace type: Hybrid Workplace; typical time on-site: 3 days a week; recent job tags: 3 Hybrid</t>
        </is>
      </c>
      <c r="CM41" t="inlineStr">
        <is>
          <t>https://www.builtinnyc.com/company/baseten/offices</t>
        </is>
      </c>
      <c r="CN41" t="inlineStr">
        <is>
          <t>2026-10-24</t>
        </is>
      </c>
      <c r="CO41" t="n">
        <v>48</v>
      </c>
      <c r="CP41" t="inlineStr">
        <is>
          <t>may be under 30</t>
        </is>
      </c>
      <c r="CQ41" t="inlineStr">
        <is>
          <t>350 (Built In) and 285 (Revelio Labs) staff (whole-company count) x 5% to 100% of them in the New York office (HQ outside New York; share assumed) x 67% (Partnership for NYC, firms under 500) in on a weekday = 10 to 234, central 48; low confidence; estimate until intake replaces it.</t>
        </is>
      </c>
      <c r="CR41" t="inlineStr">
        <is>
          <t>estimate until intake replaces it</t>
        </is>
      </c>
      <c r="CS41" t="n">
        <v>0.5600000000000001</v>
      </c>
      <c r="CT41" t="n">
        <v>52</v>
      </c>
      <c r="CU41" t="n">
        <v>14</v>
      </c>
      <c r="CV41" t="n">
        <v>15</v>
      </c>
      <c r="CW41" t="n">
        <v>10</v>
      </c>
      <c r="CX41" t="n">
        <v>13</v>
      </c>
      <c r="CY41" t="n">
        <v>0</v>
      </c>
      <c r="CZ41" t="n">
        <v>0</v>
      </c>
      <c r="DA41" t="inlineStr"/>
      <c r="DB41" t="inlineStr"/>
      <c r="DC41" t="inlineStr"/>
      <c r="DD41" t="inlineStr"/>
      <c r="DE41" t="inlineStr"/>
      <c r="DF41" t="inlineStr">
        <is>
          <t>none</t>
        </is>
      </c>
      <c r="DG41" t="inlineStr">
        <is>
          <t>candidate</t>
        </is>
      </c>
      <c r="DH41" t="inlineStr"/>
      <c r="DI41" t="inlineStr"/>
      <c r="DJ41" t="inlineStr">
        <is>
          <t>12,660 sf</t>
        </is>
      </c>
      <c r="DK41" t="inlineStr">
        <is>
          <t>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DL41" t="inlineStr"/>
      <c r="DM41" t="inlineStr"/>
      <c r="DN41" t="inlineStr"/>
      <c r="DO41" t="inlineStr"/>
      <c r="DP41" t="inlineStr"/>
      <c r="DQ41" t="inlineStr"/>
      <c r="DR41" t="inlineStr"/>
      <c r="DS41" t="inlineStr">
        <is>
          <t>none</t>
        </is>
      </c>
      <c r="DT41" t="inlineStr"/>
      <c r="DU41" t="inlineStr"/>
      <c r="DV41" t="inlineStr"/>
      <c r="DW41" t="inlineStr"/>
      <c r="DX41" t="inlineStr">
        <is>
          <t>Y</t>
        </is>
      </c>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f>IF(ISNUMBER(MATCH(U41,{"queued","contacted","replied","call_booked","call_done","yes_in_principle","materials_sent"},0)),"Y","N")</f>
        <v/>
      </c>
      <c r="ES41">
        <f>IF(COUNTIFS($AP$2:$AP$1000,AP41,$ER$2:$ER$1000,"Y")+COUNTIFS($AP$2:$AP$1000,AP41,$T$2:$T$1000,"Y")&gt;0,"Y","N")</f>
        <v/>
      </c>
      <c r="ET41">
        <f>IF(AND(U41="new",T41="N",AT41="Y",AS41="",ES41="N"),"Y","N")</f>
        <v/>
      </c>
      <c r="EU41">
        <f>IF(ET41&lt;&gt;"Y","N",IF(COUNTIFS($AP$2:$AP$1000,AP41,$ET$2:$ET$1000,"Y",$J$2:$J$1000,"&gt;"&amp;J41)+COUNTIFS($AP$2:$AP$1000,AP41,$ET$2:$ET$1000,"Y",$J$2:$J$1000,J41,$EW$2:$EW$1000,"&lt;"&amp;EW41)=0,"Y","N"))</f>
        <v/>
      </c>
      <c r="EV41">
        <f>IF(Y41="","N",IF(Y41&lt;=10,"Y","N"))</f>
        <v/>
      </c>
      <c r="EW41">
        <f>ROW()-1</f>
        <v/>
      </c>
    </row>
    <row r="42">
      <c r="A42" t="inlineStr">
        <is>
          <t>AO-C-055</t>
        </is>
      </c>
      <c r="B42" t="inlineStr">
        <is>
          <t>Stash</t>
        </is>
      </c>
      <c r="C42" t="inlineStr"/>
      <c r="D42" t="inlineStr"/>
      <c r="E42" t="inlineStr"/>
      <c r="F42" t="inlineStr"/>
      <c r="G42" t="inlineStr"/>
      <c r="H42" t="inlineStr">
        <is>
          <t>none</t>
        </is>
      </c>
      <c r="I42" t="inlineStr">
        <is>
          <t>walk-in</t>
        </is>
      </c>
      <c r="J42" t="n">
        <v>51.7</v>
      </c>
      <c r="K42" t="inlineStr">
        <is>
          <t>Tuesday estimate 58 to 255 (low confidence), under 500 staff company-wide, hybrid (days not stated), signed-not-occupied at a medium-confidence address (hold: lease signed, move not confirmed); no contact found in public sources (walk-in).</t>
        </is>
      </c>
      <c r="L42" t="inlineStr">
        <is>
          <t>76-150</t>
        </is>
      </c>
      <c r="M42" t="inlineStr"/>
      <c r="N42" t="inlineStr"/>
      <c r="O42" t="inlineStr">
        <is>
          <t>New or renewed lease at 641 Avenue of the Americas reported 2026-09-02</t>
        </is>
      </c>
      <c r="P42" t="inlineStr">
        <is>
          <t>https://commercialobserver.com/2026/09/stash-financial-lease-641-avenue-of-the-americas/</t>
        </is>
      </c>
      <c r="Q42" t="inlineStr">
        <is>
          <t>2026-09-02</t>
        </is>
      </c>
      <c r="R42" t="inlineStr">
        <is>
          <t>N</t>
        </is>
      </c>
      <c r="S42" t="inlineStr">
        <is>
          <t>unknown</t>
        </is>
      </c>
      <c r="T42" t="inlineStr">
        <is>
          <t>N</t>
        </is>
      </c>
      <c r="U42" t="inlineStr">
        <is>
          <t>new</t>
        </is>
      </c>
      <c r="V42" t="inlineStr">
        <is>
          <t>https://commercialobserver.com/2026/09/stash-financial-lease-641-avenue-of-the-americas/</t>
        </is>
      </c>
      <c r="W42" t="inlineStr">
        <is>
          <t>2026-10-23</t>
        </is>
      </c>
      <c r="X42" t="inlineStr">
        <is>
          <t>office</t>
        </is>
      </c>
      <c r="Y42" t="inlineStr"/>
      <c r="Z42" t="n">
        <v>41</v>
      </c>
      <c r="AA42" t="inlineStr">
        <is>
          <t>Y</t>
        </is>
      </c>
      <c r="AB42" t="inlineStr">
        <is>
          <t>no named contact: walk in and ask for whoever runs the pantry, or use the company contact form</t>
        </is>
      </c>
      <c r="AC42" t="inlineStr"/>
      <c r="AD42" t="inlineStr">
        <is>
          <t>none</t>
        </is>
      </c>
      <c r="AE42" t="inlineStr"/>
      <c r="AF42" t="inlineStr"/>
      <c r="AG42" t="inlineStr"/>
      <c r="AH42" t="inlineStr">
        <is>
          <t>none</t>
        </is>
      </c>
      <c r="AI42" t="inlineStr">
        <is>
          <t>641 Avenue of the Americas</t>
        </is>
      </c>
      <c r="AJ42" t="n">
        <v>6</v>
      </c>
      <c r="AK42" t="inlineStr">
        <is>
          <t>signed-not-occupied</t>
        </is>
      </c>
      <c r="AL42" t="n">
        <v>58</v>
      </c>
      <c r="AM42" t="n">
        <v>255</v>
      </c>
      <c r="AN42" t="inlineStr">
        <is>
          <t>low</t>
        </is>
      </c>
      <c r="AO42" t="inlineStr">
        <is>
          <t>hybrid-unspecified</t>
        </is>
      </c>
      <c r="AP42" t="inlineStr">
        <is>
          <t>AO-C-055</t>
        </is>
      </c>
      <c r="AQ42" t="inlineStr">
        <is>
          <t>Y</t>
        </is>
      </c>
      <c r="AR42" t="inlineStr">
        <is>
          <t>lease signed, move not confirmed: check the lobby directory before outreach (B); still in a coworking space until the move</t>
        </is>
      </c>
      <c r="AS42" t="inlineStr"/>
      <c r="AT42" t="inlineStr">
        <is>
          <t>N</t>
        </is>
      </c>
      <c r="AU42" t="inlineStr">
        <is>
          <t>on hold: lease signed, move not confirmed: check the lobby directory before outreach (B); still in a coworking space until the move; no contact named on an opened page</t>
        </is>
      </c>
      <c r="AV42" t="inlineStr"/>
      <c r="AW42" t="inlineStr">
        <is>
          <t>N</t>
        </is>
      </c>
      <c r="AX42" t="inlineStr">
        <is>
          <t>pass</t>
        </is>
      </c>
      <c r="AY42" t="inlineStr">
        <is>
          <t>passes all hard gates</t>
        </is>
      </c>
      <c r="AZ42" t="inlineStr">
        <is>
          <t>company</t>
        </is>
      </c>
      <c r="BA42" t="inlineStr">
        <is>
          <t>B-C-055</t>
        </is>
      </c>
      <c r="BB42" t="inlineStr">
        <is>
          <t>https://www.stash.com</t>
        </is>
      </c>
      <c r="BC42" t="inlineStr">
        <is>
          <t>fintech (consumer investing)</t>
        </is>
      </c>
      <c r="BD42" t="n">
        <v>380</v>
      </c>
      <c r="BE42" t="n">
        <v>174</v>
      </c>
      <c r="BF42" t="inlineStr">
        <is>
          <t>unknown</t>
        </is>
      </c>
      <c r="BG42" t="inlineStr">
        <is>
          <t>unknown</t>
        </is>
      </c>
      <c r="BH42" t="inlineStr">
        <is>
          <t>disagree</t>
        </is>
      </c>
      <c r="BI42" t="inlineStr">
        <is>
          <t>https://www.builtinnyc.com/company/stash</t>
        </is>
      </c>
      <c r="BJ42" t="inlineStr">
        <is>
          <t>https://www.reveliolabs.com/companies/stash-financial/employees</t>
        </is>
      </c>
      <c r="BK42" t="inlineStr">
        <is>
          <t>le500</t>
        </is>
      </c>
      <c r="BL42" t="inlineStr">
        <is>
          <t>New York</t>
        </is>
      </c>
      <c r="BM42" t="inlineStr">
        <is>
          <t>Y</t>
        </is>
      </c>
      <c r="BN42" t="inlineStr">
        <is>
          <t>unknown</t>
        </is>
      </c>
      <c r="BO42" t="inlineStr">
        <is>
          <t>unknown</t>
        </is>
      </c>
      <c r="BP42" t="n">
        <v>10011</v>
      </c>
      <c r="BQ42" t="n">
        <v>40.7409</v>
      </c>
      <c r="BR42" t="n">
        <v>-73.994512</v>
      </c>
      <c r="BS42" t="inlineStr">
        <is>
          <t>Y</t>
        </is>
      </c>
      <c r="BT42" t="n">
        <v>0</v>
      </c>
      <c r="BU42" t="inlineStr">
        <is>
          <t>B-B-026</t>
        </is>
      </c>
      <c r="BV42" t="inlineStr">
        <is>
          <t>635-641 Avenue of the Americas (Spear Street Capital)</t>
        </is>
      </c>
      <c r="BW42" t="inlineStr">
        <is>
          <t>https://commercialobserver.com/2026/09/stash-financial-lease-641-avenue-of-the-americas/</t>
        </is>
      </c>
      <c r="BX42" t="inlineStr">
        <is>
          <t>2026-09-02</t>
        </is>
      </c>
      <c r="BY42" t="inlineStr">
        <is>
          <t>leasing-press</t>
        </is>
      </c>
      <c r="BZ42" t="inlineStr"/>
      <c r="CA42" t="inlineStr"/>
      <c r="CB42" t="inlineStr"/>
      <c r="CC42" t="inlineStr">
        <is>
          <t>medium</t>
        </is>
      </c>
      <c r="CD42" t="inlineStr">
        <is>
          <t>unknown</t>
        </is>
      </c>
      <c r="CE42" t="inlineStr">
        <is>
          <t>N</t>
        </is>
      </c>
      <c r="CF42" t="inlineStr"/>
      <c r="CG42" t="inlineStr"/>
      <c r="CH42" t="inlineStr">
        <is>
          <t>unknown</t>
        </is>
      </c>
      <c r="CI42" t="inlineStr"/>
      <c r="CJ42" t="inlineStr">
        <is>
          <t>unknown</t>
        </is>
      </c>
      <c r="CK42" t="inlineStr">
        <is>
          <t>N</t>
        </is>
      </c>
      <c r="CL42" t="inlineStr">
        <is>
          <t>Built In workplace type: Hybrid Workplace; typical time on-site: Flexible; recent job tags: 3 Hybrid</t>
        </is>
      </c>
      <c r="CM42" t="inlineStr">
        <is>
          <t>https://www.builtinnyc.com/company/stash/offices</t>
        </is>
      </c>
      <c r="CN42" t="inlineStr">
        <is>
          <t>2026-10-24</t>
        </is>
      </c>
      <c r="CO42" t="n">
        <v>122</v>
      </c>
      <c r="CP42" t="inlineStr">
        <is>
          <t>may exceed 250</t>
        </is>
      </c>
      <c r="CQ42" t="inlineStr">
        <is>
          <t>380 (Built In) and 174 (Revelio Labs) staff (whole-company count) x 50% to 100% of them in the New York office (HQ New York; share assumed) x 67% (Partnership for NYC, firms under 500) in on a weekday = 58 to 255, central 122; low confidence; estimate until intake replaces it.</t>
        </is>
      </c>
      <c r="CR42" t="inlineStr">
        <is>
          <t>estimate until intake replaces it</t>
        </is>
      </c>
      <c r="CS42" t="n">
        <v>0.99</v>
      </c>
      <c r="CT42" t="n">
        <v>51.7</v>
      </c>
      <c r="CU42" t="n">
        <v>24.7</v>
      </c>
      <c r="CV42" t="n">
        <v>15</v>
      </c>
      <c r="CW42" t="n">
        <v>7</v>
      </c>
      <c r="CX42" t="n">
        <v>5</v>
      </c>
      <c r="CY42" t="n">
        <v>0</v>
      </c>
      <c r="CZ42" t="n">
        <v>0</v>
      </c>
      <c r="DA42" t="inlineStr"/>
      <c r="DB42" t="inlineStr"/>
      <c r="DC42" t="inlineStr"/>
      <c r="DD42" t="inlineStr"/>
      <c r="DE42" t="inlineStr"/>
      <c r="DF42" t="inlineStr">
        <is>
          <t>none</t>
        </is>
      </c>
      <c r="DG42" t="inlineStr">
        <is>
          <t>candidate</t>
        </is>
      </c>
      <c r="DH42" t="inlineStr"/>
      <c r="DI42" t="inlineStr"/>
      <c r="DJ42" t="inlineStr">
        <is>
          <t>12,322 sf</t>
        </is>
      </c>
      <c r="DK42" t="inlineStr">
        <is>
          <t>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DL42" t="inlineStr"/>
      <c r="DM42" t="inlineStr"/>
      <c r="DN42" t="inlineStr"/>
      <c r="DO42" t="inlineStr"/>
      <c r="DP42" t="inlineStr"/>
      <c r="DQ42" t="inlineStr"/>
      <c r="DR42" t="inlineStr"/>
      <c r="DS42" t="inlineStr">
        <is>
          <t>none</t>
        </is>
      </c>
      <c r="DT42" t="inlineStr"/>
      <c r="DU42" t="inlineStr"/>
      <c r="DV42" t="inlineStr"/>
      <c r="DW42" t="inlineStr"/>
      <c r="DX42" t="inlineStr">
        <is>
          <t>Y</t>
        </is>
      </c>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f>IF(ISNUMBER(MATCH(U42,{"queued","contacted","replied","call_booked","call_done","yes_in_principle","materials_sent"},0)),"Y","N")</f>
        <v/>
      </c>
      <c r="ES42">
        <f>IF(COUNTIFS($AP$2:$AP$1000,AP42,$ER$2:$ER$1000,"Y")+COUNTIFS($AP$2:$AP$1000,AP42,$T$2:$T$1000,"Y")&gt;0,"Y","N")</f>
        <v/>
      </c>
      <c r="ET42">
        <f>IF(AND(U42="new",T42="N",AT42="Y",AS42="",ES42="N"),"Y","N")</f>
        <v/>
      </c>
      <c r="EU42">
        <f>IF(ET42&lt;&gt;"Y","N",IF(COUNTIFS($AP$2:$AP$1000,AP42,$ET$2:$ET$1000,"Y",$J$2:$J$1000,"&gt;"&amp;J42)+COUNTIFS($AP$2:$AP$1000,AP42,$ET$2:$ET$1000,"Y",$J$2:$J$1000,J42,$EW$2:$EW$1000,"&lt;"&amp;EW42)=0,"Y","N"))</f>
        <v/>
      </c>
      <c r="EV42">
        <f>IF(Y42="","N",IF(Y42&lt;=10,"Y","N"))</f>
        <v/>
      </c>
      <c r="EW42">
        <f>ROW()-1</f>
        <v/>
      </c>
    </row>
    <row r="43">
      <c r="A43" t="inlineStr">
        <is>
          <t>AO-C-028</t>
        </is>
      </c>
      <c r="B43" t="inlineStr">
        <is>
          <t>Valon</t>
        </is>
      </c>
      <c r="C43" t="inlineStr">
        <is>
          <t>Marisa</t>
        </is>
      </c>
      <c r="D43" t="inlineStr">
        <is>
          <t>Rackson</t>
        </is>
      </c>
      <c r="E43" t="inlineStr">
        <is>
          <t>Head of People</t>
        </is>
      </c>
      <c r="F43" t="inlineStr"/>
      <c r="G43" t="inlineStr"/>
      <c r="H43" t="inlineStr">
        <is>
          <t>none</t>
        </is>
      </c>
      <c r="I43" t="inlineStr">
        <is>
          <t>linkedin</t>
        </is>
      </c>
      <c r="J43" t="n">
        <v>51.7</v>
      </c>
      <c r="K43" t="inlineStr">
        <is>
          <t>Tuesday estimate 142 to 302 (low confidence), 501 to 1,000 staff company-wide, hybrid (days not stated), occupied at a high-confidence address; adjacent contact named (Head of People).</t>
        </is>
      </c>
      <c r="L43" t="inlineStr">
        <is>
          <t>151-250</t>
        </is>
      </c>
      <c r="M43" t="inlineStr"/>
      <c r="N43" t="inlineStr"/>
      <c r="O43" t="inlineStr"/>
      <c r="P43" t="inlineStr"/>
      <c r="Q43" t="inlineStr"/>
      <c r="R43" t="inlineStr">
        <is>
          <t>N</t>
        </is>
      </c>
      <c r="S43" t="inlineStr">
        <is>
          <t>unknown</t>
        </is>
      </c>
      <c r="T43" t="inlineStr">
        <is>
          <t>N</t>
        </is>
      </c>
      <c r="U43" t="inlineStr">
        <is>
          <t>new</t>
        </is>
      </c>
      <c r="V43" t="inlineStr">
        <is>
          <t>https://commercialobserver.com/2026/08/selldorf-architects-renews-14k-sf-860-broadway-lease-for-10-years/</t>
        </is>
      </c>
      <c r="W43" t="inlineStr">
        <is>
          <t>2026-10-23</t>
        </is>
      </c>
      <c r="X43" t="inlineStr">
        <is>
          <t>office</t>
        </is>
      </c>
      <c r="Y43" t="n">
        <v>24</v>
      </c>
      <c r="Z43" t="n">
        <v>42</v>
      </c>
      <c r="AA43" t="inlineStr">
        <is>
          <t>Y</t>
        </is>
      </c>
      <c r="AB43" t="inlineStr">
        <is>
          <t>find Marisa Rackson at Valon on LinkedIn and paste the profile URL; adjacent title: ask who runs the pantry</t>
        </is>
      </c>
      <c r="AC43" t="inlineStr">
        <is>
          <t>pantry or office lead (primary)</t>
        </is>
      </c>
      <c r="AD43" t="inlineStr">
        <is>
          <t>verified-page</t>
        </is>
      </c>
      <c r="AE43" t="inlineStr">
        <is>
          <t>employer's own site</t>
        </is>
      </c>
      <c r="AF43" t="inlineStr">
        <is>
          <t>https://www.valon.ai/about</t>
        </is>
      </c>
      <c r="AG43" t="inlineStr">
        <is>
          <t>2026-10-24</t>
        </is>
      </c>
      <c r="AH43" t="inlineStr">
        <is>
          <t>adjacent</t>
        </is>
      </c>
      <c r="AI43" t="inlineStr">
        <is>
          <t>860 Broadway</t>
        </is>
      </c>
      <c r="AJ43" t="n">
        <v>4</v>
      </c>
      <c r="AK43" t="inlineStr">
        <is>
          <t>occupied</t>
        </is>
      </c>
      <c r="AL43" t="n">
        <v>142</v>
      </c>
      <c r="AM43" t="n">
        <v>302</v>
      </c>
      <c r="AN43" t="inlineStr">
        <is>
          <t>low</t>
        </is>
      </c>
      <c r="AO43" t="inlineStr">
        <is>
          <t>hybrid-unspecified</t>
        </is>
      </c>
      <c r="AP43" t="inlineStr">
        <is>
          <t>AO-C-028</t>
        </is>
      </c>
      <c r="AQ43" t="inlineStr">
        <is>
          <t>N</t>
        </is>
      </c>
      <c r="AR43" t="inlineStr"/>
      <c r="AS43" t="inlineStr"/>
      <c r="AT43" t="inlineStr">
        <is>
          <t>Y</t>
        </is>
      </c>
      <c r="AU43" t="inlineStr"/>
      <c r="AV43" t="inlineStr"/>
      <c r="AW43" t="inlineStr">
        <is>
          <t>N</t>
        </is>
      </c>
      <c r="AX43" t="inlineStr">
        <is>
          <t>pass</t>
        </is>
      </c>
      <c r="AY43" t="inlineStr">
        <is>
          <t>passes all hard gates</t>
        </is>
      </c>
      <c r="AZ43" t="inlineStr">
        <is>
          <t>company</t>
        </is>
      </c>
      <c r="BA43" t="inlineStr">
        <is>
          <t>B-C-028</t>
        </is>
      </c>
      <c r="BB43" t="inlineStr">
        <is>
          <t>https://valon.ai</t>
        </is>
      </c>
      <c r="BC43" t="inlineStr">
        <is>
          <t>fintech (mortgage servicing software)</t>
        </is>
      </c>
      <c r="BD43" t="n">
        <v>529</v>
      </c>
      <c r="BE43" t="n">
        <v>500</v>
      </c>
      <c r="BF43" t="inlineStr">
        <is>
          <t>over-500</t>
        </is>
      </c>
      <c r="BG43" t="inlineStr">
        <is>
          <t>whole-company</t>
        </is>
      </c>
      <c r="BH43" t="inlineStr">
        <is>
          <t>over-500-second-source</t>
        </is>
      </c>
      <c r="BI43" t="inlineStr">
        <is>
          <t>https://www.reveliolabs.com/companies/valon-mortgage/employees</t>
        </is>
      </c>
      <c r="BJ43" t="inlineStr">
        <is>
          <t>https://www.builtinnyc.com/company/valon</t>
        </is>
      </c>
      <c r="BK43" t="inlineStr">
        <is>
          <t>501-1000</t>
        </is>
      </c>
      <c r="BL43" t="inlineStr">
        <is>
          <t>New York</t>
        </is>
      </c>
      <c r="BM43" t="inlineStr">
        <is>
          <t>Y</t>
        </is>
      </c>
      <c r="BN43" t="inlineStr">
        <is>
          <t>unknown</t>
        </is>
      </c>
      <c r="BO43" t="inlineStr">
        <is>
          <t>unknown</t>
        </is>
      </c>
      <c r="BP43" t="n">
        <v>10003</v>
      </c>
      <c r="BQ43" t="n">
        <v>40.73716</v>
      </c>
      <c r="BR43" t="n">
        <v>-73.990073</v>
      </c>
      <c r="BS43" t="inlineStr">
        <is>
          <t>Y</t>
        </is>
      </c>
      <c r="BT43" t="n">
        <v>0</v>
      </c>
      <c r="BU43" t="inlineStr">
        <is>
          <t>B-B-011</t>
        </is>
      </c>
      <c r="BV43" t="inlineStr">
        <is>
          <t>860 Broadway</t>
        </is>
      </c>
      <c r="BW43" t="inlineStr">
        <is>
          <t>https://commercialobserver.com/2026/08/selldorf-architects-renews-14k-sf-860-broadway-lease-for-10-years/</t>
        </is>
      </c>
      <c r="BX43" t="inlineStr">
        <is>
          <t>2026-08-07</t>
        </is>
      </c>
      <c r="BY43" t="inlineStr">
        <is>
          <t>leasing-press</t>
        </is>
      </c>
      <c r="BZ43" t="inlineStr">
        <is>
          <t>https://rebusinessonline.com/?p=388206</t>
        </is>
      </c>
      <c r="CA43" t="inlineStr">
        <is>
          <t>2023-12-22</t>
        </is>
      </c>
      <c r="CB43" t="inlineStr"/>
      <c r="CC43" t="inlineStr">
        <is>
          <t>high</t>
        </is>
      </c>
      <c r="CD43" t="inlineStr"/>
      <c r="CE43" t="inlineStr">
        <is>
          <t>N</t>
        </is>
      </c>
      <c r="CF43" t="inlineStr"/>
      <c r="CG43" t="inlineStr"/>
      <c r="CH43" t="inlineStr">
        <is>
          <t>unknown</t>
        </is>
      </c>
      <c r="CI43" t="inlineStr"/>
      <c r="CJ43" t="inlineStr">
        <is>
          <t>unknown</t>
        </is>
      </c>
      <c r="CK43" t="inlineStr">
        <is>
          <t>N</t>
        </is>
      </c>
      <c r="CL43" t="inlineStr">
        <is>
          <t>Built In workplace type: Hybrid Workplace; typical time on-site: Flexible; recent job tags: 2 Hybrid, 1 Remote</t>
        </is>
      </c>
      <c r="CM43" t="inlineStr">
        <is>
          <t>https://www.builtinnyc.com/company/valon/offices</t>
        </is>
      </c>
      <c r="CN43" t="inlineStr">
        <is>
          <t>2026-10-24</t>
        </is>
      </c>
      <c r="CO43" t="n">
        <v>207</v>
      </c>
      <c r="CP43" t="inlineStr">
        <is>
          <t>may exceed 250</t>
        </is>
      </c>
      <c r="CQ43" t="inlineStr">
        <is>
          <t>529 (Revelio Labs) and 500 (Built In) staff (whole-company count) x 50% to 100% of them in the New York office (HQ New York; share assumed) x 57% (Partnership for NYC, all Manhattan firms; no figure for 500 to 4,999) in on a weekday = 142 to 302, central 207; low confidence; estimate until intake replaces it.</t>
        </is>
      </c>
      <c r="CR43" t="inlineStr">
        <is>
          <t>estimate until intake replaces it</t>
        </is>
      </c>
      <c r="CS43" t="n">
        <v>0.75</v>
      </c>
      <c r="CT43" t="n">
        <v>51.7</v>
      </c>
      <c r="CU43" t="n">
        <v>18.7</v>
      </c>
      <c r="CV43" t="n">
        <v>6</v>
      </c>
      <c r="CW43" t="n">
        <v>7</v>
      </c>
      <c r="CX43" t="n">
        <v>15</v>
      </c>
      <c r="CY43" t="n">
        <v>5</v>
      </c>
      <c r="CZ43" t="n">
        <v>0</v>
      </c>
      <c r="DA43" t="inlineStr">
        <is>
          <t>Ariel</t>
        </is>
      </c>
      <c r="DB43" t="inlineStr">
        <is>
          <t>Brito</t>
        </is>
      </c>
      <c r="DC43" t="inlineStr">
        <is>
          <t>Chief of Staff</t>
        </is>
      </c>
      <c r="DD43" t="inlineStr"/>
      <c r="DE43" t="inlineStr"/>
      <c r="DF43" t="inlineStr">
        <is>
          <t>none</t>
        </is>
      </c>
      <c r="DG43" t="inlineStr">
        <is>
          <t>near-miss-over-500</t>
        </is>
      </c>
      <c r="DH43" t="inlineStr">
        <is>
          <t>just-over-500 (501 to 1,000)</t>
        </is>
      </c>
      <c r="DI43" t="inlineStr">
        <is>
          <t>Y</t>
        </is>
      </c>
      <c r="DJ43" t="inlineStr">
        <is>
          <t>13,815 sf</t>
        </is>
      </c>
      <c r="DK43" t="inlineStr">
        <is>
          <t>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DL43" t="inlineStr"/>
      <c r="DM43" t="inlineStr">
        <is>
          <t>Marisa Rackson</t>
        </is>
      </c>
      <c r="DN43" t="inlineStr"/>
      <c r="DO43" t="inlineStr">
        <is>
          <t>title_match=adjacent; Leadership list on Valon's About page (opened 2026-10-24). Valon is headquartered in New York (Built In); the page does not state her city. Senior for a ~500-person firm: ask her who owns the 860 Broadway office pantry.</t>
        </is>
      </c>
      <c r="DP43" t="inlineStr"/>
      <c r="DQ43" t="inlineStr">
        <is>
          <t>pantry or office lead (backup)</t>
        </is>
      </c>
      <c r="DR43" t="inlineStr">
        <is>
          <t>Ariel Brito</t>
        </is>
      </c>
      <c r="DS43" t="inlineStr">
        <is>
          <t>verified-page</t>
        </is>
      </c>
      <c r="DT43" t="inlineStr">
        <is>
          <t>employer's own site</t>
        </is>
      </c>
      <c r="DU43" t="inlineStr">
        <is>
          <t>https://www.valon.ai/about</t>
        </is>
      </c>
      <c r="DV43" t="inlineStr"/>
      <c r="DW43" t="inlineStr">
        <is>
          <t>title_match=adjacent; Same page (opened 2026-10-24); city not stated.</t>
        </is>
      </c>
      <c r="DX43" t="inlineStr">
        <is>
          <t>Y</t>
        </is>
      </c>
      <c r="DY43" t="inlineStr">
        <is>
          <t>likely</t>
        </is>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f>IF(ISNUMBER(MATCH(U43,{"queued","contacted","replied","call_booked","call_done","yes_in_principle","materials_sent"},0)),"Y","N")</f>
        <v/>
      </c>
      <c r="ES43">
        <f>IF(COUNTIFS($AP$2:$AP$1000,AP43,$ER$2:$ER$1000,"Y")+COUNTIFS($AP$2:$AP$1000,AP43,$T$2:$T$1000,"Y")&gt;0,"Y","N")</f>
        <v/>
      </c>
      <c r="ET43">
        <f>IF(AND(U43="new",T43="N",AT43="Y",AS43="",ES43="N"),"Y","N")</f>
        <v/>
      </c>
      <c r="EU43">
        <f>IF(ET43&lt;&gt;"Y","N",IF(COUNTIFS($AP$2:$AP$1000,AP43,$ET$2:$ET$1000,"Y",$J$2:$J$1000,"&gt;"&amp;J43)+COUNTIFS($AP$2:$AP$1000,AP43,$ET$2:$ET$1000,"Y",$J$2:$J$1000,J43,$EW$2:$EW$1000,"&lt;"&amp;EW43)=0,"Y","N"))</f>
        <v/>
      </c>
      <c r="EV43">
        <f>IF(Y43="","N",IF(Y43&lt;=10,"Y","N"))</f>
        <v/>
      </c>
      <c r="EW43">
        <f>ROW()-1</f>
        <v/>
      </c>
    </row>
    <row r="44">
      <c r="A44" t="inlineStr">
        <is>
          <t>AO-C-197</t>
        </is>
      </c>
      <c r="B44" t="inlineStr">
        <is>
          <t>Rakuten USA</t>
        </is>
      </c>
      <c r="C44" t="inlineStr"/>
      <c r="D44" t="inlineStr"/>
      <c r="E44" t="inlineStr"/>
      <c r="F44" t="inlineStr"/>
      <c r="G44" t="inlineStr"/>
      <c r="H44" t="inlineStr">
        <is>
          <t>none</t>
        </is>
      </c>
      <c r="I44" t="inlineStr">
        <is>
          <t>walk-in</t>
        </is>
      </c>
      <c r="J44" t="n">
        <v>51.3</v>
      </c>
      <c r="K44" t="inlineStr">
        <is>
          <t>Tuesday estimate 28 to 559 (low confidence), 501 to 1,000 staff company-wide, on-site 5 days a week per its profile, occupied at a high-confidence address; no contact found in public sources (walk-in).</t>
        </is>
      </c>
      <c r="L44" t="inlineStr">
        <is>
          <t>76-150</t>
        </is>
      </c>
      <c r="M44" t="inlineStr"/>
      <c r="N44" t="inlineStr"/>
      <c r="O44" t="inlineStr"/>
      <c r="P44" t="inlineStr"/>
      <c r="Q44" t="inlineStr"/>
      <c r="R44" t="inlineStr">
        <is>
          <t>N</t>
        </is>
      </c>
      <c r="S44" t="inlineStr">
        <is>
          <t>unknown</t>
        </is>
      </c>
      <c r="T44" t="inlineStr">
        <is>
          <t>N</t>
        </is>
      </c>
      <c r="U44" t="inlineStr">
        <is>
          <t>new</t>
        </is>
      </c>
      <c r="V44" t="inlineStr">
        <is>
          <t>https://www.sec.gov/Archives/edgar/data/1013454/000153949726000704/n5676_x5-424h.htm</t>
        </is>
      </c>
      <c r="W44" t="inlineStr">
        <is>
          <t>2026-10-23</t>
        </is>
      </c>
      <c r="X44" t="inlineStr">
        <is>
          <t>office</t>
        </is>
      </c>
      <c r="Y44" t="inlineStr"/>
      <c r="Z44" t="n">
        <v>43</v>
      </c>
      <c r="AA44" t="inlineStr">
        <is>
          <t>Y</t>
        </is>
      </c>
      <c r="AB44" t="inlineStr">
        <is>
          <t>no named contact: walk in and ask for whoever runs the pantry, or use the company contact form</t>
        </is>
      </c>
      <c r="AC44" t="inlineStr"/>
      <c r="AD44" t="inlineStr">
        <is>
          <t>none</t>
        </is>
      </c>
      <c r="AE44" t="inlineStr"/>
      <c r="AF44" t="inlineStr"/>
      <c r="AG44" t="inlineStr"/>
      <c r="AH44" t="inlineStr">
        <is>
          <t>none</t>
        </is>
      </c>
      <c r="AI44" t="inlineStr">
        <is>
          <t>215 Park Avenue South</t>
        </is>
      </c>
      <c r="AJ44" t="inlineStr">
        <is>
          <t>unknown</t>
        </is>
      </c>
      <c r="AK44" t="inlineStr">
        <is>
          <t>occupied</t>
        </is>
      </c>
      <c r="AL44" t="n">
        <v>28</v>
      </c>
      <c r="AM44" t="n">
        <v>559</v>
      </c>
      <c r="AN44" t="inlineStr">
        <is>
          <t>low</t>
        </is>
      </c>
      <c r="AO44" t="inlineStr">
        <is>
          <t>in-office-5</t>
        </is>
      </c>
      <c r="AP44" t="inlineStr">
        <is>
          <t>AO-C-197</t>
        </is>
      </c>
      <c r="AQ44" t="inlineStr">
        <is>
          <t>N</t>
        </is>
      </c>
      <c r="AR44" t="inlineStr"/>
      <c r="AS44" t="inlineStr"/>
      <c r="AT44" t="inlineStr">
        <is>
          <t>N</t>
        </is>
      </c>
      <c r="AU44" t="inlineStr">
        <is>
          <t>no contact named on an opened page</t>
        </is>
      </c>
      <c r="AV44" t="inlineStr"/>
      <c r="AW44" t="inlineStr">
        <is>
          <t>N</t>
        </is>
      </c>
      <c r="AX44" t="inlineStr">
        <is>
          <t>pass</t>
        </is>
      </c>
      <c r="AY44" t="inlineStr">
        <is>
          <t>passes all hard gates</t>
        </is>
      </c>
      <c r="AZ44" t="inlineStr">
        <is>
          <t>company</t>
        </is>
      </c>
      <c r="BA44" t="inlineStr">
        <is>
          <t>B-C-197</t>
        </is>
      </c>
      <c r="BB44" t="inlineStr">
        <is>
          <t>unknown</t>
        </is>
      </c>
      <c r="BC44" t="inlineStr">
        <is>
          <t>e-commerce and internet services</t>
        </is>
      </c>
      <c r="BD44" t="n">
        <v>980</v>
      </c>
      <c r="BE44" t="inlineStr"/>
      <c r="BF44" t="inlineStr">
        <is>
          <t>over-500</t>
        </is>
      </c>
      <c r="BG44" t="inlineStr">
        <is>
          <t>whole-company</t>
        </is>
      </c>
      <c r="BH44" t="inlineStr">
        <is>
          <t>single-source</t>
        </is>
      </c>
      <c r="BI44" t="inlineStr">
        <is>
          <t>https://www.builtinnyc.com/company/rakuten-advertising</t>
        </is>
      </c>
      <c r="BJ44" t="inlineStr"/>
      <c r="BK44" t="inlineStr">
        <is>
          <t>501-1000</t>
        </is>
      </c>
      <c r="BL44" t="inlineStr">
        <is>
          <t>San Mateo</t>
        </is>
      </c>
      <c r="BM44" t="inlineStr">
        <is>
          <t>N</t>
        </is>
      </c>
      <c r="BN44" t="inlineStr">
        <is>
          <t>unknown</t>
        </is>
      </c>
      <c r="BO44" t="inlineStr">
        <is>
          <t>unknown</t>
        </is>
      </c>
      <c r="BP44" t="n">
        <v>10003</v>
      </c>
      <c r="BQ44" t="n">
        <v>40.73686</v>
      </c>
      <c r="BR44" t="n">
        <v>-73.988546</v>
      </c>
      <c r="BS44" t="inlineStr">
        <is>
          <t>Y</t>
        </is>
      </c>
      <c r="BT44" t="n">
        <v>0</v>
      </c>
      <c r="BU44" t="inlineStr">
        <is>
          <t>B-B-016</t>
        </is>
      </c>
      <c r="BV44" t="inlineStr">
        <is>
          <t>215 Park Avenue South (SL Green managed)</t>
        </is>
      </c>
      <c r="BW44" t="inlineStr">
        <is>
          <t>https://www.sec.gov/Archives/edgar/data/1013454/000153949726000704/n5676_x5-424h.htm</t>
        </is>
      </c>
      <c r="BX44" t="inlineStr">
        <is>
          <t>2026-02</t>
        </is>
      </c>
      <c r="BY44" t="inlineStr">
        <is>
          <t>other</t>
        </is>
      </c>
      <c r="BZ44" t="inlineStr">
        <is>
          <t>https://www.nyrej.com/sl-green-signs-29-915-s-f-lease-with-nayya-health-at-215-park-ave-south</t>
        </is>
      </c>
      <c r="CA44" t="inlineStr">
        <is>
          <t>2024-12-10</t>
        </is>
      </c>
      <c r="CB44" t="inlineStr">
        <is>
          <t>cites a sec.gov filing: agents do not open it (EDGAR demands a contact email); the founder may open it in a browser</t>
        </is>
      </c>
      <c r="CC44" t="inlineStr">
        <is>
          <t>high</t>
        </is>
      </c>
      <c r="CD44" t="inlineStr"/>
      <c r="CE44" t="inlineStr">
        <is>
          <t>N</t>
        </is>
      </c>
      <c r="CF44" t="inlineStr"/>
      <c r="CG44" t="inlineStr"/>
      <c r="CH44" t="inlineStr">
        <is>
          <t>security desk</t>
        </is>
      </c>
      <c r="CI44" t="inlineStr">
        <is>
          <t>https://www.metro-manhattan.com/buildings/215-park-avenue-south/</t>
        </is>
      </c>
      <c r="CJ44" t="inlineStr">
        <is>
          <t>unknown</t>
        </is>
      </c>
      <c r="CK44" t="inlineStr">
        <is>
          <t>N</t>
        </is>
      </c>
      <c r="CL44" t="inlineStr">
        <is>
          <t>Built In workplace type: OnSite Workplace; typical time on-site: 5 days a week</t>
        </is>
      </c>
      <c r="CM44" t="inlineStr">
        <is>
          <t>https://www.builtinnyc.com/company/rakuten-advertising/offices</t>
        </is>
      </c>
      <c r="CN44" t="inlineStr">
        <is>
          <t>2026-10-24</t>
        </is>
      </c>
      <c r="CO44" t="n">
        <v>125</v>
      </c>
      <c r="CP44" t="inlineStr">
        <is>
          <t>may be under 30;may exceed 250</t>
        </is>
      </c>
      <c r="CQ44" t="inlineStr">
        <is>
          <t>980 (Built In) staff (whole-company count) x 5% to 100% of them in the New York office (HQ outside New York; share assumed) x 57% (Partnership for NYC, all Manhattan firms; no figure for 500 to 4,999) in on a weekday = 28 to 559, central 125; low confidence; estimate until intake replaces it.</t>
        </is>
      </c>
      <c r="CR44" t="inlineStr">
        <is>
          <t>estimate until intake replaces it</t>
        </is>
      </c>
      <c r="CS44" t="n">
        <v>0.61</v>
      </c>
      <c r="CT44" t="n">
        <v>51.3</v>
      </c>
      <c r="CU44" t="n">
        <v>15.3</v>
      </c>
      <c r="CV44" t="n">
        <v>6</v>
      </c>
      <c r="CW44" t="n">
        <v>15</v>
      </c>
      <c r="CX44" t="n">
        <v>15</v>
      </c>
      <c r="CY44" t="n">
        <v>0</v>
      </c>
      <c r="CZ44" t="n">
        <v>0</v>
      </c>
      <c r="DA44" t="inlineStr"/>
      <c r="DB44" t="inlineStr"/>
      <c r="DC44" t="inlineStr"/>
      <c r="DD44" t="inlineStr"/>
      <c r="DE44" t="inlineStr"/>
      <c r="DF44" t="inlineStr">
        <is>
          <t>none</t>
        </is>
      </c>
      <c r="DG44" t="inlineStr">
        <is>
          <t>near-miss-over-500</t>
        </is>
      </c>
      <c r="DH44" t="inlineStr">
        <is>
          <t>just-over-500 (501 to 1,000)</t>
        </is>
      </c>
      <c r="DI44" t="inlineStr">
        <is>
          <t>N</t>
        </is>
      </c>
      <c r="DJ44" t="inlineStr">
        <is>
          <t>34,510 sf</t>
        </is>
      </c>
      <c r="DK44" t="inlineStr">
        <is>
          <t>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L44" t="inlineStr"/>
      <c r="DM44" t="inlineStr"/>
      <c r="DN44" t="inlineStr"/>
      <c r="DO44" t="inlineStr"/>
      <c r="DP44" t="inlineStr"/>
      <c r="DQ44" t="inlineStr"/>
      <c r="DR44" t="inlineStr"/>
      <c r="DS44" t="inlineStr">
        <is>
          <t>none</t>
        </is>
      </c>
      <c r="DT44" t="inlineStr"/>
      <c r="DU44" t="inlineStr"/>
      <c r="DV44" t="inlineStr"/>
      <c r="DW44" t="inlineStr"/>
      <c r="DX44" t="inlineStr">
        <is>
          <t>Y</t>
        </is>
      </c>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f>IF(ISNUMBER(MATCH(U44,{"queued","contacted","replied","call_booked","call_done","yes_in_principle","materials_sent"},0)),"Y","N")</f>
        <v/>
      </c>
      <c r="ES44">
        <f>IF(COUNTIFS($AP$2:$AP$1000,AP44,$ER$2:$ER$1000,"Y")+COUNTIFS($AP$2:$AP$1000,AP44,$T$2:$T$1000,"Y")&gt;0,"Y","N")</f>
        <v/>
      </c>
      <c r="ET44">
        <f>IF(AND(U44="new",T44="N",AT44="Y",AS44="",ES44="N"),"Y","N")</f>
        <v/>
      </c>
      <c r="EU44">
        <f>IF(ET44&lt;&gt;"Y","N",IF(COUNTIFS($AP$2:$AP$1000,AP44,$ET$2:$ET$1000,"Y",$J$2:$J$1000,"&gt;"&amp;J44)+COUNTIFS($AP$2:$AP$1000,AP44,$ET$2:$ET$1000,"Y",$J$2:$J$1000,J44,$EW$2:$EW$1000,"&lt;"&amp;EW44)=0,"Y","N"))</f>
        <v/>
      </c>
      <c r="EV44">
        <f>IF(Y44="","N",IF(Y44&lt;=10,"Y","N"))</f>
        <v/>
      </c>
      <c r="EW44">
        <f>ROW()-1</f>
        <v/>
      </c>
    </row>
    <row r="45">
      <c r="A45" t="inlineStr">
        <is>
          <t>AO-C-263</t>
        </is>
      </c>
      <c r="B45" t="inlineStr">
        <is>
          <t>PMG Worldwide</t>
        </is>
      </c>
      <c r="C45" t="inlineStr">
        <is>
          <t>Tina</t>
        </is>
      </c>
      <c r="D45" t="inlineStr">
        <is>
          <t>McCarthy</t>
        </is>
      </c>
      <c r="E45" t="inlineStr">
        <is>
          <t>New York Managing Director</t>
        </is>
      </c>
      <c r="F45" t="inlineStr"/>
      <c r="G45" t="inlineStr"/>
      <c r="H45" t="inlineStr">
        <is>
          <t>none</t>
        </is>
      </c>
      <c r="I45" t="inlineStr">
        <is>
          <t>linkedin</t>
        </is>
      </c>
      <c r="J45" t="n">
        <v>51.2</v>
      </c>
      <c r="K45" t="inlineStr">
        <is>
          <t>Tuesday estimate 28 to 570 (low confidence), 501 to 1,000 staff company-wide, hybrid 3 days, occupied at a high-confidence address; adjacent contact named (New York Managing Director).</t>
        </is>
      </c>
      <c r="L45" t="inlineStr">
        <is>
          <t>76-150</t>
        </is>
      </c>
      <c r="M45" t="inlineStr"/>
      <c r="N45" t="inlineStr"/>
      <c r="O45" t="inlineStr"/>
      <c r="P45" t="inlineStr"/>
      <c r="Q45" t="inlineStr"/>
      <c r="R45" t="inlineStr">
        <is>
          <t>N</t>
        </is>
      </c>
      <c r="S45" t="inlineStr">
        <is>
          <t>unknown</t>
        </is>
      </c>
      <c r="T45" t="inlineStr">
        <is>
          <t>N</t>
        </is>
      </c>
      <c r="U45" t="inlineStr">
        <is>
          <t>new</t>
        </is>
      </c>
      <c r="V45" t="inlineStr">
        <is>
          <t>https://commercialobserver.com/2026/08/hanover-park-lease-tf-cornerstone-387-park-avenue-south/</t>
        </is>
      </c>
      <c r="W45" t="inlineStr">
        <is>
          <t>2026-10-23</t>
        </is>
      </c>
      <c r="X45" t="inlineStr">
        <is>
          <t>office</t>
        </is>
      </c>
      <c r="Y45" t="n">
        <v>25</v>
      </c>
      <c r="Z45" t="n">
        <v>44</v>
      </c>
      <c r="AA45" t="inlineStr">
        <is>
          <t>Y</t>
        </is>
      </c>
      <c r="AB45" t="inlineStr">
        <is>
          <t>find Tina McCarthy at PMG Worldwide on LinkedIn and paste the profile URL; the source is dated 2022-04-29: check Tina still holds the role; adjacent title: ask who runs the pantry</t>
        </is>
      </c>
      <c r="AC45" t="inlineStr">
        <is>
          <t>pantry or office lead (primary)</t>
        </is>
      </c>
      <c r="AD45" t="inlineStr">
        <is>
          <t>verified-page</t>
        </is>
      </c>
      <c r="AE45" t="inlineStr">
        <is>
          <t>employer's own site</t>
        </is>
      </c>
      <c r="AF45" t="inlineStr">
        <is>
          <t>https://www.pmg.com/insights-and-news/tina-mccarthy-joins-pmg-as-new-york-managing-director</t>
        </is>
      </c>
      <c r="AG45" t="inlineStr">
        <is>
          <t>2026-10-24</t>
        </is>
      </c>
      <c r="AH45" t="inlineStr">
        <is>
          <t>adjacent</t>
        </is>
      </c>
      <c r="AI45" t="inlineStr">
        <is>
          <t>387 Park Avenue South</t>
        </is>
      </c>
      <c r="AJ45" t="inlineStr">
        <is>
          <t>2-3</t>
        </is>
      </c>
      <c r="AK45" t="inlineStr">
        <is>
          <t>occupied</t>
        </is>
      </c>
      <c r="AL45" t="n">
        <v>28</v>
      </c>
      <c r="AM45" t="n">
        <v>570</v>
      </c>
      <c r="AN45" t="inlineStr">
        <is>
          <t>low</t>
        </is>
      </c>
      <c r="AO45" t="inlineStr">
        <is>
          <t>hybrid-3</t>
        </is>
      </c>
      <c r="AP45" t="inlineStr">
        <is>
          <t>AO-C-263</t>
        </is>
      </c>
      <c r="AQ45" t="inlineStr">
        <is>
          <t>N</t>
        </is>
      </c>
      <c r="AR45" t="inlineStr"/>
      <c r="AS45" t="inlineStr"/>
      <c r="AT45" t="inlineStr">
        <is>
          <t>Y</t>
        </is>
      </c>
      <c r="AU45" t="inlineStr"/>
      <c r="AV45" t="inlineStr"/>
      <c r="AW45" t="inlineStr">
        <is>
          <t>N</t>
        </is>
      </c>
      <c r="AX45" t="inlineStr">
        <is>
          <t>pass</t>
        </is>
      </c>
      <c r="AY45" t="inlineStr">
        <is>
          <t>passes all hard gates</t>
        </is>
      </c>
      <c r="AZ45" t="inlineStr">
        <is>
          <t>company</t>
        </is>
      </c>
      <c r="BA45" t="inlineStr">
        <is>
          <t>B-C-263</t>
        </is>
      </c>
      <c r="BB45" t="inlineStr">
        <is>
          <t>https://www.pmg.com</t>
        </is>
      </c>
      <c r="BC45" t="inlineStr">
        <is>
          <t>marketing agency</t>
        </is>
      </c>
      <c r="BD45" t="n">
        <v>1000</v>
      </c>
      <c r="BE45" t="inlineStr"/>
      <c r="BF45" t="inlineStr">
        <is>
          <t>over-500</t>
        </is>
      </c>
      <c r="BG45" t="inlineStr">
        <is>
          <t>whole-company</t>
        </is>
      </c>
      <c r="BH45" t="inlineStr">
        <is>
          <t>single-source</t>
        </is>
      </c>
      <c r="BI45" t="inlineStr">
        <is>
          <t>https://www.builtinnyc.com/company/pmg/offices</t>
        </is>
      </c>
      <c r="BJ45" t="inlineStr"/>
      <c r="BK45" t="inlineStr">
        <is>
          <t>501-1000</t>
        </is>
      </c>
      <c r="BL45" t="inlineStr">
        <is>
          <t>Dallas</t>
        </is>
      </c>
      <c r="BM45" t="inlineStr">
        <is>
          <t>N</t>
        </is>
      </c>
      <c r="BN45" t="inlineStr">
        <is>
          <t>unknown</t>
        </is>
      </c>
      <c r="BO45" t="inlineStr">
        <is>
          <t>unknown</t>
        </is>
      </c>
      <c r="BP45" t="n">
        <v>10016</v>
      </c>
      <c r="BQ45" t="n">
        <v>40.742833</v>
      </c>
      <c r="BR45" t="n">
        <v>-73.984174</v>
      </c>
      <c r="BS45" t="inlineStr">
        <is>
          <t>Y</t>
        </is>
      </c>
      <c r="BT45" t="n">
        <v>0</v>
      </c>
      <c r="BU45" t="inlineStr">
        <is>
          <t>B-B-073</t>
        </is>
      </c>
      <c r="BV45" t="inlineStr">
        <is>
          <t>387 Park Avenue South (TF Cornerstone)</t>
        </is>
      </c>
      <c r="BW45" t="inlineStr">
        <is>
          <t>https://commercialobserver.com/2026/08/hanover-park-lease-tf-cornerstone-387-park-avenue-south/</t>
        </is>
      </c>
      <c r="BX45" t="inlineStr">
        <is>
          <t>2026-08-12</t>
        </is>
      </c>
      <c r="BY45" t="inlineStr">
        <is>
          <t>leasing-press</t>
        </is>
      </c>
      <c r="BZ45" t="inlineStr">
        <is>
          <t>https://www.builtinnyc.com/company/pmg/offices</t>
        </is>
      </c>
      <c r="CA45" t="inlineStr">
        <is>
          <t>2026-10-23</t>
        </is>
      </c>
      <c r="CB45" t="inlineStr"/>
      <c r="CC45" t="inlineStr">
        <is>
          <t>high</t>
        </is>
      </c>
      <c r="CD45" t="inlineStr"/>
      <c r="CE45" t="inlineStr">
        <is>
          <t>N</t>
        </is>
      </c>
      <c r="CF45" t="inlineStr"/>
      <c r="CG45" t="inlineStr"/>
      <c r="CH45" t="inlineStr">
        <is>
          <t>unknown</t>
        </is>
      </c>
      <c r="CI45" t="inlineStr"/>
      <c r="CJ45" t="inlineStr">
        <is>
          <t>unknown</t>
        </is>
      </c>
      <c r="CK45" t="inlineStr">
        <is>
          <t>N</t>
        </is>
      </c>
      <c r="CL45" t="inlineStr">
        <is>
          <t>Built In workplace type: Hybrid Workplace; typical time on-site: 3 days a week; recent job tags: 3 In-Office</t>
        </is>
      </c>
      <c r="CM45" t="inlineStr">
        <is>
          <t>https://www.builtinnyc.com/company/pmg/offices</t>
        </is>
      </c>
      <c r="CN45" t="inlineStr">
        <is>
          <t>2026-10-24</t>
        </is>
      </c>
      <c r="CO45" t="n">
        <v>126</v>
      </c>
      <c r="CP45" t="inlineStr">
        <is>
          <t>may be under 30;may exceed 250</t>
        </is>
      </c>
      <c r="CQ45" t="inlineStr">
        <is>
          <t>1000 (Built In) staff (whole-company count) x 5% to 100% of them in the New York office (HQ outside New York; share assumed) x 57% (Partnership for NYC, all Manhattan firms; no figure for 500 to 4,999) in on a weekday = 28 to 570, central 126; low confidence; estimate until intake replaces it.</t>
        </is>
      </c>
      <c r="CR45" t="inlineStr">
        <is>
          <t>estimate until intake replaces it</t>
        </is>
      </c>
      <c r="CS45" t="n">
        <v>0.61</v>
      </c>
      <c r="CT45" t="n">
        <v>51.2</v>
      </c>
      <c r="CU45" t="n">
        <v>15.2</v>
      </c>
      <c r="CV45" t="n">
        <v>6</v>
      </c>
      <c r="CW45" t="n">
        <v>10</v>
      </c>
      <c r="CX45" t="n">
        <v>15</v>
      </c>
      <c r="CY45" t="n">
        <v>5</v>
      </c>
      <c r="CZ45" t="n">
        <v>0</v>
      </c>
      <c r="DA45" t="inlineStr"/>
      <c r="DB45" t="inlineStr"/>
      <c r="DC45" t="inlineStr"/>
      <c r="DD45" t="inlineStr"/>
      <c r="DE45" t="inlineStr"/>
      <c r="DF45" t="inlineStr">
        <is>
          <t>none</t>
        </is>
      </c>
      <c r="DG45" t="inlineStr">
        <is>
          <t>near-miss-over-500</t>
        </is>
      </c>
      <c r="DH45" t="inlineStr">
        <is>
          <t>just-over-500 (501 to 1,000)</t>
        </is>
      </c>
      <c r="DI45" t="inlineStr">
        <is>
          <t>N</t>
        </is>
      </c>
      <c r="DJ45" t="inlineStr">
        <is>
          <t>38,744 sf</t>
        </is>
      </c>
      <c r="DK45" t="inlineStr">
        <is>
          <t>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is>
      </c>
      <c r="DL45" t="inlineStr"/>
      <c r="DM45" t="inlineStr">
        <is>
          <t>Tina McCarthy</t>
        </is>
      </c>
      <c r="DN45" t="inlineStr">
        <is>
          <t>2022-04-29</t>
        </is>
      </c>
      <c r="DO45" t="inlineStr">
        <is>
          <t>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is>
      </c>
      <c r="DP45" t="inlineStr"/>
      <c r="DQ45" t="inlineStr"/>
      <c r="DR45" t="inlineStr"/>
      <c r="DS45" t="inlineStr">
        <is>
          <t>none</t>
        </is>
      </c>
      <c r="DT45" t="inlineStr"/>
      <c r="DU45" t="inlineStr"/>
      <c r="DV45" t="inlineStr"/>
      <c r="DW45" t="inlineStr"/>
      <c r="DX45" t="inlineStr">
        <is>
          <t>Y</t>
        </is>
      </c>
      <c r="DY45" t="inlineStr">
        <is>
          <t>confirmed</t>
        </is>
      </c>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f>IF(ISNUMBER(MATCH(U45,{"queued","contacted","replied","call_booked","call_done","yes_in_principle","materials_sent"},0)),"Y","N")</f>
        <v/>
      </c>
      <c r="ES45">
        <f>IF(COUNTIFS($AP$2:$AP$1000,AP45,$ER$2:$ER$1000,"Y")+COUNTIFS($AP$2:$AP$1000,AP45,$T$2:$T$1000,"Y")&gt;0,"Y","N")</f>
        <v/>
      </c>
      <c r="ET45">
        <f>IF(AND(U45="new",T45="N",AT45="Y",AS45="",ES45="N"),"Y","N")</f>
        <v/>
      </c>
      <c r="EU45">
        <f>IF(ET45&lt;&gt;"Y","N",IF(COUNTIFS($AP$2:$AP$1000,AP45,$ET$2:$ET$1000,"Y",$J$2:$J$1000,"&gt;"&amp;J45)+COUNTIFS($AP$2:$AP$1000,AP45,$ET$2:$ET$1000,"Y",$J$2:$J$1000,J45,$EW$2:$EW$1000,"&lt;"&amp;EW45)=0,"Y","N"))</f>
        <v/>
      </c>
      <c r="EV45">
        <f>IF(Y45="","N",IF(Y45&lt;=10,"Y","N"))</f>
        <v/>
      </c>
      <c r="EW45">
        <f>ROW()-1</f>
        <v/>
      </c>
    </row>
    <row r="46">
      <c r="A46" t="inlineStr">
        <is>
          <t>AO-C-216</t>
        </is>
      </c>
      <c r="B46" t="inlineStr">
        <is>
          <t>Reaktor</t>
        </is>
      </c>
      <c r="C46" t="inlineStr"/>
      <c r="D46" t="inlineStr"/>
      <c r="E46" t="inlineStr"/>
      <c r="F46" t="inlineStr"/>
      <c r="G46" t="inlineStr"/>
      <c r="H46" t="inlineStr">
        <is>
          <t>none</t>
        </is>
      </c>
      <c r="I46" t="inlineStr">
        <is>
          <t>walk-in</t>
        </is>
      </c>
      <c r="J46" t="n">
        <v>51.2</v>
      </c>
      <c r="K46" t="inlineStr">
        <is>
          <t>Tuesday estimate 18 to 367 (low confidence), 501 to 1,000 staff company-wide, on-site 5 days a week per its profile, occupied at a high-confidence address; no contact found in public sources (walk-in).</t>
        </is>
      </c>
      <c r="L46" t="inlineStr">
        <is>
          <t>76-150</t>
        </is>
      </c>
      <c r="M46" t="inlineStr"/>
      <c r="N46" t="inlineStr"/>
      <c r="O46" t="inlineStr"/>
      <c r="P46" t="inlineStr"/>
      <c r="Q46" t="inlineStr"/>
      <c r="R46" t="inlineStr">
        <is>
          <t>N</t>
        </is>
      </c>
      <c r="S46" t="inlineStr">
        <is>
          <t>unknown</t>
        </is>
      </c>
      <c r="T46" t="inlineStr">
        <is>
          <t>N</t>
        </is>
      </c>
      <c r="U46" t="inlineStr">
        <is>
          <t>new</t>
        </is>
      </c>
      <c r="V46" t="inlineStr">
        <is>
          <t>https://www.builtinnyc.com/company/reaktor/offices</t>
        </is>
      </c>
      <c r="W46" t="inlineStr">
        <is>
          <t>2026-10-23</t>
        </is>
      </c>
      <c r="X46" t="inlineStr">
        <is>
          <t>office</t>
        </is>
      </c>
      <c r="Y46" t="inlineStr"/>
      <c r="Z46" t="n">
        <v>45</v>
      </c>
      <c r="AA46" t="inlineStr">
        <is>
          <t>Y</t>
        </is>
      </c>
      <c r="AB46" t="inlineStr">
        <is>
          <t>no named contact: walk in and ask for whoever runs the pantry, or use the company contact form</t>
        </is>
      </c>
      <c r="AC46" t="inlineStr"/>
      <c r="AD46" t="inlineStr">
        <is>
          <t>none</t>
        </is>
      </c>
      <c r="AE46" t="inlineStr"/>
      <c r="AF46" t="inlineStr"/>
      <c r="AG46" t="inlineStr"/>
      <c r="AH46" t="inlineStr">
        <is>
          <t>none</t>
        </is>
      </c>
      <c r="AI46" t="inlineStr">
        <is>
          <t>30 West 21st Street</t>
        </is>
      </c>
      <c r="AJ46" t="n">
        <v>14</v>
      </c>
      <c r="AK46" t="inlineStr">
        <is>
          <t>occupied</t>
        </is>
      </c>
      <c r="AL46" t="n">
        <v>18</v>
      </c>
      <c r="AM46" t="n">
        <v>367</v>
      </c>
      <c r="AN46" t="inlineStr">
        <is>
          <t>low</t>
        </is>
      </c>
      <c r="AO46" t="inlineStr">
        <is>
          <t>in-office-5</t>
        </is>
      </c>
      <c r="AP46" t="inlineStr">
        <is>
          <t>AO-C-216</t>
        </is>
      </c>
      <c r="AQ46" t="inlineStr">
        <is>
          <t>N</t>
        </is>
      </c>
      <c r="AR46" t="inlineStr"/>
      <c r="AS46" t="inlineStr"/>
      <c r="AT46" t="inlineStr">
        <is>
          <t>N</t>
        </is>
      </c>
      <c r="AU46" t="inlineStr">
        <is>
          <t>no contact named on an opened page</t>
        </is>
      </c>
      <c r="AV46" t="inlineStr"/>
      <c r="AW46" t="inlineStr">
        <is>
          <t>N</t>
        </is>
      </c>
      <c r="AX46" t="inlineStr">
        <is>
          <t>pass</t>
        </is>
      </c>
      <c r="AY46" t="inlineStr">
        <is>
          <t>passes all hard gates</t>
        </is>
      </c>
      <c r="AZ46" t="inlineStr">
        <is>
          <t>company</t>
        </is>
      </c>
      <c r="BA46" t="inlineStr">
        <is>
          <t>B-C-216</t>
        </is>
      </c>
      <c r="BB46" t="inlineStr">
        <is>
          <t>https://www.reaktor.com</t>
        </is>
      </c>
      <c r="BC46" t="inlineStr">
        <is>
          <t>software and design consultancy</t>
        </is>
      </c>
      <c r="BD46" t="n">
        <v>644</v>
      </c>
      <c r="BE46" t="inlineStr"/>
      <c r="BF46" t="inlineStr">
        <is>
          <t>over-500</t>
        </is>
      </c>
      <c r="BG46" t="inlineStr">
        <is>
          <t>whole-company</t>
        </is>
      </c>
      <c r="BH46" t="inlineStr">
        <is>
          <t>single-source</t>
        </is>
      </c>
      <c r="BI46" t="inlineStr">
        <is>
          <t>https://www.builtinnyc.com/company/reaktor</t>
        </is>
      </c>
      <c r="BJ46" t="inlineStr"/>
      <c r="BK46" t="inlineStr">
        <is>
          <t>501-1000</t>
        </is>
      </c>
      <c r="BL46" t="inlineStr">
        <is>
          <t>unknown</t>
        </is>
      </c>
      <c r="BM46" t="inlineStr">
        <is>
          <t>unknown</t>
        </is>
      </c>
      <c r="BN46" t="inlineStr">
        <is>
          <t>unknown</t>
        </is>
      </c>
      <c r="BO46" t="inlineStr">
        <is>
          <t>unknown</t>
        </is>
      </c>
      <c r="BP46" t="n">
        <v>10010</v>
      </c>
      <c r="BQ46" t="n">
        <v>40.74082</v>
      </c>
      <c r="BR46" t="n">
        <v>-73.992366</v>
      </c>
      <c r="BS46" t="inlineStr">
        <is>
          <t>Y</t>
        </is>
      </c>
      <c r="BT46" t="n">
        <v>0</v>
      </c>
      <c r="BU46" t="inlineStr">
        <is>
          <t>B-B-033</t>
        </is>
      </c>
      <c r="BV46" t="inlineStr">
        <is>
          <t>30 West 21st Street (Skyway Development Group)</t>
        </is>
      </c>
      <c r="BW46" t="inlineStr">
        <is>
          <t>https://www.builtinnyc.com/company/reaktor/offices</t>
        </is>
      </c>
      <c r="BX46" t="inlineStr">
        <is>
          <t>2026-10-23</t>
        </is>
      </c>
      <c r="BY46" t="inlineStr">
        <is>
          <t>builtin</t>
        </is>
      </c>
      <c r="BZ46" t="inlineStr">
        <is>
          <t>https://commercialobserver.com/2025/04/actively-ai-lease-30-west-21st-street/</t>
        </is>
      </c>
      <c r="CA46" t="inlineStr">
        <is>
          <t>2025-04-14</t>
        </is>
      </c>
      <c r="CB46" t="inlineStr"/>
      <c r="CC46" t="inlineStr">
        <is>
          <t>high</t>
        </is>
      </c>
      <c r="CD46" t="inlineStr"/>
      <c r="CE46" t="inlineStr">
        <is>
          <t>N</t>
        </is>
      </c>
      <c r="CF46" t="inlineStr"/>
      <c r="CG46" t="inlineStr"/>
      <c r="CH46" t="inlineStr">
        <is>
          <t>unknown</t>
        </is>
      </c>
      <c r="CI46" t="inlineStr"/>
      <c r="CJ46" t="inlineStr">
        <is>
          <t>unknown</t>
        </is>
      </c>
      <c r="CK46" t="inlineStr">
        <is>
          <t>N</t>
        </is>
      </c>
      <c r="CL46" t="inlineStr">
        <is>
          <t>Built In workplace type: OnSite Workplace; typical time on-site: 5 days a week</t>
        </is>
      </c>
      <c r="CM46" t="inlineStr">
        <is>
          <t>https://www.builtinnyc.com/company/reaktor/offices</t>
        </is>
      </c>
      <c r="CN46" t="inlineStr">
        <is>
          <t>2026-10-24</t>
        </is>
      </c>
      <c r="CO46" t="n">
        <v>81</v>
      </c>
      <c r="CP46" t="inlineStr">
        <is>
          <t>may be under 30;may exceed 250</t>
        </is>
      </c>
      <c r="CQ46" t="inlineStr">
        <is>
          <t>644 (Built In) staff (whole-company count) x 5% to 100% of them in the New York office (HQ city unknown; share assumed) x 57% (Partnership for NYC, all Manhattan firms; no figure for 500 to 4,999) in on a weekday = 18 to 367, central 81; low confidence; estimate until intake replaces it.</t>
        </is>
      </c>
      <c r="CR46" t="inlineStr">
        <is>
          <t>estimate until intake replaces it</t>
        </is>
      </c>
      <c r="CS46" t="n">
        <v>0.61</v>
      </c>
      <c r="CT46" t="n">
        <v>51.2</v>
      </c>
      <c r="CU46" t="n">
        <v>15.2</v>
      </c>
      <c r="CV46" t="n">
        <v>6</v>
      </c>
      <c r="CW46" t="n">
        <v>15</v>
      </c>
      <c r="CX46" t="n">
        <v>15</v>
      </c>
      <c r="CY46" t="n">
        <v>0</v>
      </c>
      <c r="CZ46" t="n">
        <v>0</v>
      </c>
      <c r="DA46" t="inlineStr"/>
      <c r="DB46" t="inlineStr"/>
      <c r="DC46" t="inlineStr"/>
      <c r="DD46" t="inlineStr"/>
      <c r="DE46" t="inlineStr"/>
      <c r="DF46" t="inlineStr">
        <is>
          <t>none</t>
        </is>
      </c>
      <c r="DG46" t="inlineStr">
        <is>
          <t>near-miss-over-500</t>
        </is>
      </c>
      <c r="DH46" t="inlineStr">
        <is>
          <t>just-over-500 (501 to 1,000)</t>
        </is>
      </c>
      <c r="DI46" t="inlineStr">
        <is>
          <t>N</t>
        </is>
      </c>
      <c r="DJ46" t="inlineStr"/>
      <c r="DK46" t="inlineStr">
        <is>
          <t>Built In lists New York office at 30 W 21st Street, 14th floor; CO Apr 2025 names software company Reaktor as a tenant. Built In shows 644 total employees (Helsinki-based); NYC office headcount not sourced.</t>
        </is>
      </c>
      <c r="DL46" t="inlineStr"/>
      <c r="DM46" t="inlineStr"/>
      <c r="DN46" t="inlineStr"/>
      <c r="DO46" t="inlineStr"/>
      <c r="DP46" t="inlineStr"/>
      <c r="DQ46" t="inlineStr"/>
      <c r="DR46" t="inlineStr"/>
      <c r="DS46" t="inlineStr">
        <is>
          <t>none</t>
        </is>
      </c>
      <c r="DT46" t="inlineStr"/>
      <c r="DU46" t="inlineStr"/>
      <c r="DV46" t="inlineStr"/>
      <c r="DW46" t="inlineStr"/>
      <c r="DX46" t="inlineStr">
        <is>
          <t>Y</t>
        </is>
      </c>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f>IF(ISNUMBER(MATCH(U46,{"queued","contacted","replied","call_booked","call_done","yes_in_principle","materials_sent"},0)),"Y","N")</f>
        <v/>
      </c>
      <c r="ES46">
        <f>IF(COUNTIFS($AP$2:$AP$1000,AP46,$ER$2:$ER$1000,"Y")+COUNTIFS($AP$2:$AP$1000,AP46,$T$2:$T$1000,"Y")&gt;0,"Y","N")</f>
        <v/>
      </c>
      <c r="ET46">
        <f>IF(AND(U46="new",T46="N",AT46="Y",AS46="",ES46="N"),"Y","N")</f>
        <v/>
      </c>
      <c r="EU46">
        <f>IF(ET46&lt;&gt;"Y","N",IF(COUNTIFS($AP$2:$AP$1000,AP46,$ET$2:$ET$1000,"Y",$J$2:$J$1000,"&gt;"&amp;J46)+COUNTIFS($AP$2:$AP$1000,AP46,$ET$2:$ET$1000,"Y",$J$2:$J$1000,J46,$EW$2:$EW$1000,"&lt;"&amp;EW46)=0,"Y","N"))</f>
        <v/>
      </c>
      <c r="EV46">
        <f>IF(Y46="","N",IF(Y46&lt;=10,"Y","N"))</f>
        <v/>
      </c>
      <c r="EW46">
        <f>ROW()-1</f>
        <v/>
      </c>
    </row>
    <row r="47">
      <c r="A47" t="inlineStr">
        <is>
          <t>AO-C-046</t>
        </is>
      </c>
      <c r="B47" t="inlineStr">
        <is>
          <t>Radar</t>
        </is>
      </c>
      <c r="C47" t="inlineStr"/>
      <c r="D47" t="inlineStr"/>
      <c r="E47" t="inlineStr"/>
      <c r="F47" t="inlineStr"/>
      <c r="G47" t="inlineStr"/>
      <c r="H47" t="inlineStr">
        <is>
          <t>none</t>
        </is>
      </c>
      <c r="I47" t="inlineStr">
        <is>
          <t>walk-in</t>
        </is>
      </c>
      <c r="J47" t="n">
        <v>48.9</v>
      </c>
      <c r="K47" t="inlineStr">
        <is>
          <t>Tuesday estimate 21 to 66 (low confidence), under 500 staff company-wide, hybrid 4 days with Tuesday named as an office day, occupancy-unconfirmed at a medium-confidence address; no contact found in public sources (walk-in).</t>
        </is>
      </c>
      <c r="L47" t="inlineStr">
        <is>
          <t>under-40</t>
        </is>
      </c>
      <c r="M47" t="inlineStr"/>
      <c r="N47" t="inlineStr"/>
      <c r="O47" t="inlineStr"/>
      <c r="P47" t="inlineStr"/>
      <c r="Q47" t="inlineStr"/>
      <c r="R47" t="inlineStr">
        <is>
          <t>N</t>
        </is>
      </c>
      <c r="S47" t="inlineStr">
        <is>
          <t>unknown</t>
        </is>
      </c>
      <c r="T47" t="inlineStr">
        <is>
          <t>N</t>
        </is>
      </c>
      <c r="U47" t="inlineStr">
        <is>
          <t>new</t>
        </is>
      </c>
      <c r="V47" t="inlineStr">
        <is>
          <t>https://commercialobserver.com/2026/04/adyen-lease-111-115-fifth-avenue/</t>
        </is>
      </c>
      <c r="W47" t="inlineStr">
        <is>
          <t>2026-10-23</t>
        </is>
      </c>
      <c r="X47" t="inlineStr">
        <is>
          <t>office</t>
        </is>
      </c>
      <c r="Y47" t="inlineStr"/>
      <c r="Z47" t="n">
        <v>46</v>
      </c>
      <c r="AA47" t="inlineStr">
        <is>
          <t>Y</t>
        </is>
      </c>
      <c r="AB47" t="inlineStr">
        <is>
          <t>no named contact: walk in and ask for whoever runs the pantry, or use the company contact form; Tuesday estimate band under-40: founder's call (set founder_ok_to_queue = Y to queue)</t>
        </is>
      </c>
      <c r="AC47" t="inlineStr"/>
      <c r="AD47" t="inlineStr">
        <is>
          <t>none</t>
        </is>
      </c>
      <c r="AE47" t="inlineStr"/>
      <c r="AF47" t="inlineStr"/>
      <c r="AG47" t="inlineStr"/>
      <c r="AH47" t="inlineStr">
        <is>
          <t>none</t>
        </is>
      </c>
      <c r="AI47" t="inlineStr">
        <is>
          <t>111 Fifth Avenue</t>
        </is>
      </c>
      <c r="AJ47" t="inlineStr">
        <is>
          <t>unknown</t>
        </is>
      </c>
      <c r="AK47" t="inlineStr">
        <is>
          <t>occupancy-unconfirmed</t>
        </is>
      </c>
      <c r="AL47" t="n">
        <v>21</v>
      </c>
      <c r="AM47" t="n">
        <v>66</v>
      </c>
      <c r="AN47" t="inlineStr">
        <is>
          <t>low</t>
        </is>
      </c>
      <c r="AO47" t="inlineStr">
        <is>
          <t>hybrid-4</t>
        </is>
      </c>
      <c r="AP47" t="inlineStr">
        <is>
          <t>AO-C-046</t>
        </is>
      </c>
      <c r="AQ47" t="inlineStr">
        <is>
          <t>N</t>
        </is>
      </c>
      <c r="AR47" t="inlineStr"/>
      <c r="AS47" t="inlineStr"/>
      <c r="AT47" t="inlineStr">
        <is>
          <t>N</t>
        </is>
      </c>
      <c r="AU47" t="inlineStr">
        <is>
          <t>no contact named on an opened page; Tuesday estimate band under-40: founder's call</t>
        </is>
      </c>
      <c r="AV47" t="inlineStr"/>
      <c r="AW47" t="inlineStr">
        <is>
          <t>Y</t>
        </is>
      </c>
      <c r="AX47" t="inlineStr">
        <is>
          <t>pass</t>
        </is>
      </c>
      <c r="AY47" t="inlineStr">
        <is>
          <t>passes all hard gates</t>
        </is>
      </c>
      <c r="AZ47" t="inlineStr">
        <is>
          <t>company</t>
        </is>
      </c>
      <c r="BA47" t="inlineStr">
        <is>
          <t>B-C-046</t>
        </is>
      </c>
      <c r="BB47" t="inlineStr">
        <is>
          <t>https://radar.com</t>
        </is>
      </c>
      <c r="BC47" t="inlineStr">
        <is>
          <t>location data software</t>
        </is>
      </c>
      <c r="BD47" t="n">
        <v>64</v>
      </c>
      <c r="BE47" t="n">
        <v>99</v>
      </c>
      <c r="BF47" t="inlineStr">
        <is>
          <t>unknown</t>
        </is>
      </c>
      <c r="BG47" t="inlineStr">
        <is>
          <t>unknown</t>
        </is>
      </c>
      <c r="BH47" t="inlineStr">
        <is>
          <t>disagree</t>
        </is>
      </c>
      <c r="BI47" t="inlineStr">
        <is>
          <t>https://www.builtinnyc.com/company/radar</t>
        </is>
      </c>
      <c r="BJ47" t="inlineStr">
        <is>
          <t>https://www.reveliolabs.com/companies/radar-labs/employees</t>
        </is>
      </c>
      <c r="BK47" t="inlineStr">
        <is>
          <t>le500</t>
        </is>
      </c>
      <c r="BL47" t="inlineStr">
        <is>
          <t>New York</t>
        </is>
      </c>
      <c r="BM47" t="inlineStr">
        <is>
          <t>Y</t>
        </is>
      </c>
      <c r="BN47" t="inlineStr">
        <is>
          <t>unknown</t>
        </is>
      </c>
      <c r="BO47" t="inlineStr">
        <is>
          <t>unknown</t>
        </is>
      </c>
      <c r="BP47" t="n">
        <v>10003</v>
      </c>
      <c r="BQ47" t="n">
        <v>40.73865</v>
      </c>
      <c r="BR47" t="n">
        <v>-73.991471</v>
      </c>
      <c r="BS47" t="inlineStr">
        <is>
          <t>Y</t>
        </is>
      </c>
      <c r="BT47" t="n">
        <v>0</v>
      </c>
      <c r="BU47" t="inlineStr">
        <is>
          <t>B-B-018</t>
        </is>
      </c>
      <c r="BV47" t="inlineStr">
        <is>
          <t>111 Fifth Avenue (Winter Organization)</t>
        </is>
      </c>
      <c r="BW47" t="inlineStr">
        <is>
          <t>https://commercialobserver.com/2026/04/adyen-lease-111-115-fifth-avenue/</t>
        </is>
      </c>
      <c r="BX47" t="inlineStr">
        <is>
          <t>2026-04-07</t>
        </is>
      </c>
      <c r="BY47" t="inlineStr">
        <is>
          <t>leasing-press</t>
        </is>
      </c>
      <c r="BZ47" t="inlineStr"/>
      <c r="CA47" t="inlineStr"/>
      <c r="CB47" t="inlineStr"/>
      <c r="CC47" t="inlineStr">
        <is>
          <t>medium</t>
        </is>
      </c>
      <c r="CD47" t="inlineStr"/>
      <c r="CE47" t="inlineStr">
        <is>
          <t>N</t>
        </is>
      </c>
      <c r="CF47" t="inlineStr"/>
      <c r="CG47" t="inlineStr"/>
      <c r="CH47" t="inlineStr">
        <is>
          <t>unknown</t>
        </is>
      </c>
      <c r="CI47" t="inlineStr"/>
      <c r="CJ47" t="inlineStr">
        <is>
          <t>unknown</t>
        </is>
      </c>
      <c r="CK47" t="inlineStr">
        <is>
          <t>Y</t>
        </is>
      </c>
      <c r="CL47" t="inlineStr">
        <is>
          <t>Built In workplace type: OnSite Workplace; typical time on-site: 5 days a week (box) but policy text: Monday to Thursday in office; recent job tags: 3 In-Office</t>
        </is>
      </c>
      <c r="CM47" t="inlineStr">
        <is>
          <t>https://www.builtinnyc.com/company/radar/offices</t>
        </is>
      </c>
      <c r="CN47" t="inlineStr">
        <is>
          <t>2026-10-24</t>
        </is>
      </c>
      <c r="CO47" t="n">
        <v>37</v>
      </c>
      <c r="CP47" t="inlineStr">
        <is>
          <t>may be under 30;30 to 39 is the founder's call</t>
        </is>
      </c>
      <c r="CQ47" t="inlineStr">
        <is>
          <t>64 (Built In) and 99 (Revelio Labs) staff (whole-company count) x 50% to 100% of them in the New York office (HQ New York; share assumed) x 67% (Partnership for NYC, firms under 500) in on a weekday = 21 to 66, central 37; low confidence; estimate until intake replaces it.</t>
        </is>
      </c>
      <c r="CR47" t="inlineStr">
        <is>
          <t>estimate until intake replaces it</t>
        </is>
      </c>
      <c r="CS47" t="n">
        <v>0.44</v>
      </c>
      <c r="CT47" t="n">
        <v>48.9</v>
      </c>
      <c r="CU47" t="n">
        <v>10.9</v>
      </c>
      <c r="CV47" t="n">
        <v>15</v>
      </c>
      <c r="CW47" t="n">
        <v>15</v>
      </c>
      <c r="CX47" t="n">
        <v>8</v>
      </c>
      <c r="CY47" t="n">
        <v>0</v>
      </c>
      <c r="CZ47" t="n">
        <v>0</v>
      </c>
      <c r="DA47" t="inlineStr"/>
      <c r="DB47" t="inlineStr"/>
      <c r="DC47" t="inlineStr"/>
      <c r="DD47" t="inlineStr"/>
      <c r="DE47" t="inlineStr"/>
      <c r="DF47" t="inlineStr">
        <is>
          <t>none</t>
        </is>
      </c>
      <c r="DG47" t="inlineStr">
        <is>
          <t>candidate</t>
        </is>
      </c>
      <c r="DH47" t="inlineStr"/>
      <c r="DI47" t="inlineStr"/>
      <c r="DJ47" t="inlineStr"/>
      <c r="DK47" t="inlineStr">
        <is>
          <t>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is>
      </c>
      <c r="DL47" t="inlineStr"/>
      <c r="DM47" t="inlineStr"/>
      <c r="DN47" t="inlineStr"/>
      <c r="DO47" t="inlineStr"/>
      <c r="DP47" t="inlineStr"/>
      <c r="DQ47" t="inlineStr"/>
      <c r="DR47" t="inlineStr"/>
      <c r="DS47" t="inlineStr">
        <is>
          <t>none</t>
        </is>
      </c>
      <c r="DT47" t="inlineStr"/>
      <c r="DU47" t="inlineStr"/>
      <c r="DV47" t="inlineStr"/>
      <c r="DW47" t="inlineStr"/>
      <c r="DX47" t="inlineStr">
        <is>
          <t>Y</t>
        </is>
      </c>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f>IF(ISNUMBER(MATCH(U47,{"queued","contacted","replied","call_booked","call_done","yes_in_principle","materials_sent"},0)),"Y","N")</f>
        <v/>
      </c>
      <c r="ES47">
        <f>IF(COUNTIFS($AP$2:$AP$1000,AP47,$ER$2:$ER$1000,"Y")+COUNTIFS($AP$2:$AP$1000,AP47,$T$2:$T$1000,"Y")&gt;0,"Y","N")</f>
        <v/>
      </c>
      <c r="ET47">
        <f>IF(AND(U47="new",T47="N",AT47="Y",AS47="",ES47="N"),"Y","N")</f>
        <v/>
      </c>
      <c r="EU47">
        <f>IF(ET47&lt;&gt;"Y","N",IF(COUNTIFS($AP$2:$AP$1000,AP47,$ET$2:$ET$1000,"Y",$J$2:$J$1000,"&gt;"&amp;J47)+COUNTIFS($AP$2:$AP$1000,AP47,$ET$2:$ET$1000,"Y",$J$2:$J$1000,J47,$EW$2:$EW$1000,"&lt;"&amp;EW47)=0,"Y","N"))</f>
        <v/>
      </c>
      <c r="EV47">
        <f>IF(Y47="","N",IF(Y47&lt;=10,"Y","N"))</f>
        <v/>
      </c>
      <c r="EW47">
        <f>ROW()-1</f>
        <v/>
      </c>
    </row>
    <row r="48">
      <c r="A48" t="inlineStr">
        <is>
          <t>AO-C-079</t>
        </is>
      </c>
      <c r="B48" t="inlineStr">
        <is>
          <t>PlayPlay</t>
        </is>
      </c>
      <c r="C48" t="inlineStr"/>
      <c r="D48" t="inlineStr"/>
      <c r="E48" t="inlineStr"/>
      <c r="F48" t="inlineStr"/>
      <c r="G48" t="inlineStr"/>
      <c r="H48" t="inlineStr">
        <is>
          <t>none</t>
        </is>
      </c>
      <c r="I48" t="inlineStr">
        <is>
          <t>walk-in</t>
        </is>
      </c>
      <c r="J48" t="n">
        <v>48.4</v>
      </c>
      <c r="K48" t="inlineStr">
        <is>
          <t>Tuesday estimate 6 to 154 (low confidence), under 500 staff company-wide, hybrid 3 days, occupied at a medium-confidence address; no contact found in public sources (walk-in).</t>
        </is>
      </c>
      <c r="L48" t="inlineStr">
        <is>
          <t>under-40</t>
        </is>
      </c>
      <c r="M48" t="inlineStr"/>
      <c r="N48" t="inlineStr"/>
      <c r="O48" t="inlineStr"/>
      <c r="P48" t="inlineStr"/>
      <c r="Q48" t="inlineStr"/>
      <c r="R48" t="inlineStr">
        <is>
          <t>N</t>
        </is>
      </c>
      <c r="S48" t="inlineStr">
        <is>
          <t>unknown</t>
        </is>
      </c>
      <c r="T48" t="inlineStr">
        <is>
          <t>N</t>
        </is>
      </c>
      <c r="U48" t="inlineStr">
        <is>
          <t>new</t>
        </is>
      </c>
      <c r="V48" t="inlineStr">
        <is>
          <t>https://commercialobserver.com/2025/05/instant-lease-moinian-53-55-west-21st-street/</t>
        </is>
      </c>
      <c r="W48" t="inlineStr">
        <is>
          <t>2026-10-23</t>
        </is>
      </c>
      <c r="X48" t="inlineStr">
        <is>
          <t>office</t>
        </is>
      </c>
      <c r="Y48" t="inlineStr"/>
      <c r="Z48" t="n">
        <v>47</v>
      </c>
      <c r="AA48" t="inlineStr">
        <is>
          <t>Y</t>
        </is>
      </c>
      <c r="AB48" t="inlineStr">
        <is>
          <t>no named contact: walk in and ask for whoever runs the pantry, or use the company contact form; Tuesday estimate band under-40: founder's call (set founder_ok_to_queue = Y to queue)</t>
        </is>
      </c>
      <c r="AC48" t="inlineStr"/>
      <c r="AD48" t="inlineStr">
        <is>
          <t>none</t>
        </is>
      </c>
      <c r="AE48" t="inlineStr"/>
      <c r="AF48" t="inlineStr"/>
      <c r="AG48" t="inlineStr"/>
      <c r="AH48" t="inlineStr">
        <is>
          <t>none</t>
        </is>
      </c>
      <c r="AI48" t="inlineStr">
        <is>
          <t>53 West 21st Street</t>
        </is>
      </c>
      <c r="AJ48" t="inlineStr">
        <is>
          <t>unknown</t>
        </is>
      </c>
      <c r="AK48" t="inlineStr">
        <is>
          <t>occupied</t>
        </is>
      </c>
      <c r="AL48" t="n">
        <v>6</v>
      </c>
      <c r="AM48" t="n">
        <v>154</v>
      </c>
      <c r="AN48" t="inlineStr">
        <is>
          <t>low</t>
        </is>
      </c>
      <c r="AO48" t="inlineStr">
        <is>
          <t>hybrid-3</t>
        </is>
      </c>
      <c r="AP48" t="inlineStr">
        <is>
          <t>AO-C-079</t>
        </is>
      </c>
      <c r="AQ48" t="inlineStr">
        <is>
          <t>N</t>
        </is>
      </c>
      <c r="AR48" t="inlineStr"/>
      <c r="AS48" t="inlineStr"/>
      <c r="AT48" t="inlineStr">
        <is>
          <t>N</t>
        </is>
      </c>
      <c r="AU48" t="inlineStr">
        <is>
          <t>no contact named on an opened page; Tuesday estimate band under-40: founder's call</t>
        </is>
      </c>
      <c r="AV48" t="inlineStr"/>
      <c r="AW48" t="inlineStr">
        <is>
          <t>Y</t>
        </is>
      </c>
      <c r="AX48" t="inlineStr">
        <is>
          <t>pass</t>
        </is>
      </c>
      <c r="AY48" t="inlineStr">
        <is>
          <t>passes all hard gates</t>
        </is>
      </c>
      <c r="AZ48" t="inlineStr">
        <is>
          <t>company</t>
        </is>
      </c>
      <c r="BA48" t="inlineStr">
        <is>
          <t>B-C-079</t>
        </is>
      </c>
      <c r="BB48" t="inlineStr">
        <is>
          <t>https://playplay.com</t>
        </is>
      </c>
      <c r="BC48" t="inlineStr">
        <is>
          <t>software (video creation)</t>
        </is>
      </c>
      <c r="BD48" t="n">
        <v>230</v>
      </c>
      <c r="BE48" t="n">
        <v>181</v>
      </c>
      <c r="BF48" t="inlineStr">
        <is>
          <t>151-250</t>
        </is>
      </c>
      <c r="BG48" t="inlineStr">
        <is>
          <t>whole-company</t>
        </is>
      </c>
      <c r="BH48" t="inlineStr">
        <is>
          <t>agree</t>
        </is>
      </c>
      <c r="BI48" t="inlineStr">
        <is>
          <t>https://www.builtinnyc.com/company/playplay</t>
        </is>
      </c>
      <c r="BJ48" t="inlineStr">
        <is>
          <t>https://www.reveliolabs.com/companies/playplay/employees</t>
        </is>
      </c>
      <c r="BK48" t="inlineStr">
        <is>
          <t>le500</t>
        </is>
      </c>
      <c r="BL48" t="inlineStr">
        <is>
          <t>Paris</t>
        </is>
      </c>
      <c r="BM48" t="inlineStr">
        <is>
          <t>N</t>
        </is>
      </c>
      <c r="BN48" t="inlineStr">
        <is>
          <t>unknown</t>
        </is>
      </c>
      <c r="BO48" t="inlineStr">
        <is>
          <t>unknown</t>
        </is>
      </c>
      <c r="BP48" t="n">
        <v>10010</v>
      </c>
      <c r="BQ48" t="n">
        <v>40.741548</v>
      </c>
      <c r="BR48" t="n">
        <v>-73.99300700000001</v>
      </c>
      <c r="BS48" t="inlineStr">
        <is>
          <t>Y</t>
        </is>
      </c>
      <c r="BT48" t="n">
        <v>0</v>
      </c>
      <c r="BU48" t="inlineStr">
        <is>
          <t>B-B-036</t>
        </is>
      </c>
      <c r="BV48" t="inlineStr">
        <is>
          <t>53-55 West 21st Street (Moinian Group)</t>
        </is>
      </c>
      <c r="BW48" t="inlineStr">
        <is>
          <t>https://commercialobserver.com/2025/05/instant-lease-moinian-53-55-west-21st-street/</t>
        </is>
      </c>
      <c r="BX48" t="inlineStr">
        <is>
          <t>2025-05-14</t>
        </is>
      </c>
      <c r="BY48" t="inlineStr">
        <is>
          <t>leasing-press</t>
        </is>
      </c>
      <c r="BZ48" t="inlineStr"/>
      <c r="CA48" t="inlineStr"/>
      <c r="CB48" t="inlineStr"/>
      <c r="CC48" t="inlineStr">
        <is>
          <t>medium</t>
        </is>
      </c>
      <c r="CD48" t="inlineStr"/>
      <c r="CE48" t="inlineStr">
        <is>
          <t>N</t>
        </is>
      </c>
      <c r="CF48" t="inlineStr"/>
      <c r="CG48" t="inlineStr"/>
      <c r="CH48" t="inlineStr">
        <is>
          <t>unknown</t>
        </is>
      </c>
      <c r="CI48" t="inlineStr"/>
      <c r="CJ48" t="inlineStr">
        <is>
          <t>unknown</t>
        </is>
      </c>
      <c r="CK48" t="inlineStr">
        <is>
          <t>N</t>
        </is>
      </c>
      <c r="CL48" t="inlineStr">
        <is>
          <t>Built In workplace type: OnSite Workplace; typical time on-site: 5 days a week (box) but policy text: 3 days in the office</t>
        </is>
      </c>
      <c r="CM48" t="inlineStr">
        <is>
          <t>https://www.builtinnyc.com/company/playplay/offices</t>
        </is>
      </c>
      <c r="CN48" t="inlineStr">
        <is>
          <t>2026-10-24</t>
        </is>
      </c>
      <c r="CO48" t="n">
        <v>30</v>
      </c>
      <c r="CP48" t="inlineStr">
        <is>
          <t>may be under 30;30 to 39 is the founder's call</t>
        </is>
      </c>
      <c r="CQ48" t="inlineStr">
        <is>
          <t>230 (Built In) and 181 (Revelio Labs) staff (whole-company count) x 5% to 100% of them in the New York office (HQ outside New York; share assumed) x 67% (Partnership for NYC, firms under 500) in on a weekday = 6 to 154, central 30; low confidence; estimate until intake replaces it.</t>
        </is>
      </c>
      <c r="CR48" t="inlineStr">
        <is>
          <t>estimate until intake replaces it</t>
        </is>
      </c>
      <c r="CS48" t="n">
        <v>0.42</v>
      </c>
      <c r="CT48" t="n">
        <v>48.4</v>
      </c>
      <c r="CU48" t="n">
        <v>10.4</v>
      </c>
      <c r="CV48" t="n">
        <v>15</v>
      </c>
      <c r="CW48" t="n">
        <v>10</v>
      </c>
      <c r="CX48" t="n">
        <v>13</v>
      </c>
      <c r="CY48" t="n">
        <v>0</v>
      </c>
      <c r="CZ48" t="n">
        <v>0</v>
      </c>
      <c r="DA48" t="inlineStr"/>
      <c r="DB48" t="inlineStr"/>
      <c r="DC48" t="inlineStr"/>
      <c r="DD48" t="inlineStr"/>
      <c r="DE48" t="inlineStr"/>
      <c r="DF48" t="inlineStr">
        <is>
          <t>none</t>
        </is>
      </c>
      <c r="DG48" t="inlineStr">
        <is>
          <t>candidate</t>
        </is>
      </c>
      <c r="DH48" t="inlineStr"/>
      <c r="DI48" t="inlineStr"/>
      <c r="DJ48" t="inlineStr"/>
      <c r="DK48" t="inlineStr">
        <is>
          <t>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is>
      </c>
      <c r="DL48" t="inlineStr"/>
      <c r="DM48" t="inlineStr"/>
      <c r="DN48" t="inlineStr"/>
      <c r="DO48" t="inlineStr"/>
      <c r="DP48" t="inlineStr"/>
      <c r="DQ48" t="inlineStr"/>
      <c r="DR48" t="inlineStr"/>
      <c r="DS48" t="inlineStr">
        <is>
          <t>none</t>
        </is>
      </c>
      <c r="DT48" t="inlineStr"/>
      <c r="DU48" t="inlineStr"/>
      <c r="DV48" t="inlineStr"/>
      <c r="DW48" t="inlineStr"/>
      <c r="DX48" t="inlineStr">
        <is>
          <t>Y</t>
        </is>
      </c>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f>IF(ISNUMBER(MATCH(U48,{"queued","contacted","replied","call_booked","call_done","yes_in_principle","materials_sent"},0)),"Y","N")</f>
        <v/>
      </c>
      <c r="ES48">
        <f>IF(COUNTIFS($AP$2:$AP$1000,AP48,$ER$2:$ER$1000,"Y")+COUNTIFS($AP$2:$AP$1000,AP48,$T$2:$T$1000,"Y")&gt;0,"Y","N")</f>
        <v/>
      </c>
      <c r="ET48">
        <f>IF(AND(U48="new",T48="N",AT48="Y",AS48="",ES48="N"),"Y","N")</f>
        <v/>
      </c>
      <c r="EU48">
        <f>IF(ET48&lt;&gt;"Y","N",IF(COUNTIFS($AP$2:$AP$1000,AP48,$ET$2:$ET$1000,"Y",$J$2:$J$1000,"&gt;"&amp;J48)+COUNTIFS($AP$2:$AP$1000,AP48,$ET$2:$ET$1000,"Y",$J$2:$J$1000,J48,$EW$2:$EW$1000,"&lt;"&amp;EW48)=0,"Y","N"))</f>
        <v/>
      </c>
      <c r="EV48">
        <f>IF(Y48="","N",IF(Y48&lt;=10,"Y","N"))</f>
        <v/>
      </c>
      <c r="EW48">
        <f>ROW()-1</f>
        <v/>
      </c>
    </row>
    <row r="49">
      <c r="A49" t="inlineStr">
        <is>
          <t>AO-C-213</t>
        </is>
      </c>
      <c r="B49" t="inlineStr">
        <is>
          <t>Fenwick &amp; West</t>
        </is>
      </c>
      <c r="C49" t="inlineStr"/>
      <c r="D49" t="inlineStr"/>
      <c r="E49" t="inlineStr"/>
      <c r="F49" t="inlineStr"/>
      <c r="G49" t="inlineStr"/>
      <c r="H49" t="inlineStr">
        <is>
          <t>none</t>
        </is>
      </c>
      <c r="I49" t="inlineStr">
        <is>
          <t>walk-in</t>
        </is>
      </c>
      <c r="J49" t="n">
        <v>47.4</v>
      </c>
      <c r="K49" t="inlineStr">
        <is>
          <t>Tuesday estimate 34 to 670 (low confidence), 1,001 to 4,999 staff company-wide, on-site 5 days a week per its profile, occupied at a high-confidence address; no contact found in public sources (walk-in).</t>
        </is>
      </c>
      <c r="L49" t="inlineStr">
        <is>
          <t>151-250</t>
        </is>
      </c>
      <c r="M49" t="inlineStr"/>
      <c r="N49" t="inlineStr"/>
      <c r="O49" t="inlineStr">
        <is>
          <t>New or renewed lease at 902 Broadway reported 2026-06-16</t>
        </is>
      </c>
      <c r="P49" t="inlineStr">
        <is>
          <t>https://commercialobserver.com/2026/06/fenwick-west-lease-expansion-rosen-902-broadway/</t>
        </is>
      </c>
      <c r="Q49" t="inlineStr">
        <is>
          <t>2026-06-16</t>
        </is>
      </c>
      <c r="R49" t="inlineStr">
        <is>
          <t>N</t>
        </is>
      </c>
      <c r="S49" t="inlineStr">
        <is>
          <t>unknown</t>
        </is>
      </c>
      <c r="T49" t="inlineStr">
        <is>
          <t>N</t>
        </is>
      </c>
      <c r="U49" t="inlineStr">
        <is>
          <t>new</t>
        </is>
      </c>
      <c r="V49" t="inlineStr">
        <is>
          <t>https://commercialobserver.com/2026/06/fenwick-west-lease-expansion-rosen-902-broadway/</t>
        </is>
      </c>
      <c r="W49" t="inlineStr">
        <is>
          <t>2026-10-23</t>
        </is>
      </c>
      <c r="X49" t="inlineStr">
        <is>
          <t>office</t>
        </is>
      </c>
      <c r="Y49" t="inlineStr"/>
      <c r="Z49" t="n">
        <v>48</v>
      </c>
      <c r="AA49" t="inlineStr">
        <is>
          <t>Y</t>
        </is>
      </c>
      <c r="AB49" t="inlineStr">
        <is>
          <t>no named contact: walk in and ask for whoever runs the pantry, or use the company contact form</t>
        </is>
      </c>
      <c r="AC49" t="inlineStr"/>
      <c r="AD49" t="inlineStr">
        <is>
          <t>none</t>
        </is>
      </c>
      <c r="AE49" t="inlineStr"/>
      <c r="AF49" t="inlineStr"/>
      <c r="AG49" t="inlineStr"/>
      <c r="AH49" t="inlineStr">
        <is>
          <t>none</t>
        </is>
      </c>
      <c r="AI49" t="inlineStr">
        <is>
          <t>902 Broadway</t>
        </is>
      </c>
      <c r="AJ49" t="inlineStr">
        <is>
          <t>13-15, 18</t>
        </is>
      </c>
      <c r="AK49" t="inlineStr">
        <is>
          <t>occupied</t>
        </is>
      </c>
      <c r="AL49" t="n">
        <v>34</v>
      </c>
      <c r="AM49" t="n">
        <v>670</v>
      </c>
      <c r="AN49" t="inlineStr">
        <is>
          <t>low</t>
        </is>
      </c>
      <c r="AO49" t="inlineStr">
        <is>
          <t>in-office-5</t>
        </is>
      </c>
      <c r="AP49" t="inlineStr">
        <is>
          <t>AO-C-213</t>
        </is>
      </c>
      <c r="AQ49" t="inlineStr">
        <is>
          <t>N</t>
        </is>
      </c>
      <c r="AR49" t="inlineStr"/>
      <c r="AS49" t="inlineStr"/>
      <c r="AT49" t="inlineStr">
        <is>
          <t>N</t>
        </is>
      </c>
      <c r="AU49" t="inlineStr">
        <is>
          <t>no contact named on an opened page</t>
        </is>
      </c>
      <c r="AV49" t="inlineStr"/>
      <c r="AW49" t="inlineStr">
        <is>
          <t>N</t>
        </is>
      </c>
      <c r="AX49" t="inlineStr">
        <is>
          <t>pass</t>
        </is>
      </c>
      <c r="AY49" t="inlineStr">
        <is>
          <t>passes all hard gates</t>
        </is>
      </c>
      <c r="AZ49" t="inlineStr">
        <is>
          <t>company</t>
        </is>
      </c>
      <c r="BA49" t="inlineStr">
        <is>
          <t>B-C-213</t>
        </is>
      </c>
      <c r="BB49" t="inlineStr">
        <is>
          <t>https://www.fenwick.com</t>
        </is>
      </c>
      <c r="BC49" t="inlineStr">
        <is>
          <t>law firm</t>
        </is>
      </c>
      <c r="BD49" t="n">
        <v>1176</v>
      </c>
      <c r="BE49" t="inlineStr"/>
      <c r="BF49" t="inlineStr">
        <is>
          <t>over-500</t>
        </is>
      </c>
      <c r="BG49" t="inlineStr">
        <is>
          <t>whole-company</t>
        </is>
      </c>
      <c r="BH49" t="inlineStr">
        <is>
          <t>single-source</t>
        </is>
      </c>
      <c r="BI49" t="inlineStr">
        <is>
          <t>https://www.builtinnyc.com/company/fenwick-west</t>
        </is>
      </c>
      <c r="BJ49" t="inlineStr"/>
      <c r="BK49" t="inlineStr">
        <is>
          <t>1001-4999</t>
        </is>
      </c>
      <c r="BL49" t="inlineStr">
        <is>
          <t>Mountain View</t>
        </is>
      </c>
      <c r="BM49" t="inlineStr">
        <is>
          <t>N</t>
        </is>
      </c>
      <c r="BN49" t="inlineStr">
        <is>
          <t>unknown</t>
        </is>
      </c>
      <c r="BO49" t="inlineStr">
        <is>
          <t>unknown</t>
        </is>
      </c>
      <c r="BP49" t="n">
        <v>10010</v>
      </c>
      <c r="BQ49" t="n">
        <v>40.739363</v>
      </c>
      <c r="BR49" t="n">
        <v>-73.98953400000001</v>
      </c>
      <c r="BS49" t="inlineStr">
        <is>
          <t>Y</t>
        </is>
      </c>
      <c r="BT49" t="n">
        <v>0</v>
      </c>
      <c r="BU49" t="inlineStr">
        <is>
          <t>B-B-031</t>
        </is>
      </c>
      <c r="BV49" t="inlineStr">
        <is>
          <t>902 Broadway (Rosen family / Koeppel Rosen)</t>
        </is>
      </c>
      <c r="BW49" t="inlineStr">
        <is>
          <t>https://commercialobserver.com/2026/06/fenwick-west-lease-expansion-rosen-902-broadway/</t>
        </is>
      </c>
      <c r="BX49" t="inlineStr">
        <is>
          <t>2026-06-16</t>
        </is>
      </c>
      <c r="BY49" t="inlineStr">
        <is>
          <t>leasing-press</t>
        </is>
      </c>
      <c r="BZ49" t="inlineStr">
        <is>
          <t>https://www.builtinnyc.com/company/fenwick-west/offices</t>
        </is>
      </c>
      <c r="CA49" t="inlineStr">
        <is>
          <t>2026-10-23</t>
        </is>
      </c>
      <c r="CB49" t="inlineStr"/>
      <c r="CC49" t="inlineStr">
        <is>
          <t>high</t>
        </is>
      </c>
      <c r="CD49" t="inlineStr"/>
      <c r="CE49" t="inlineStr">
        <is>
          <t>N</t>
        </is>
      </c>
      <c r="CF49" t="inlineStr"/>
      <c r="CG49" t="inlineStr"/>
      <c r="CH49" t="inlineStr">
        <is>
          <t>security desk</t>
        </is>
      </c>
      <c r="CI49" t="inlineStr">
        <is>
          <t>https://www.metro-manhattan.com/buildings/902-broadway/</t>
        </is>
      </c>
      <c r="CJ49" t="inlineStr">
        <is>
          <t>unknown</t>
        </is>
      </c>
      <c r="CK49" t="inlineStr">
        <is>
          <t>N</t>
        </is>
      </c>
      <c r="CL49" t="inlineStr">
        <is>
          <t>Built In workplace type: OnSite Workplace; typical time on-site: 5 days a week; recent job tags: 3 In-Office</t>
        </is>
      </c>
      <c r="CM49" t="inlineStr">
        <is>
          <t>https://www.builtinnyc.com/company/fenwick-west/offices</t>
        </is>
      </c>
      <c r="CN49" t="inlineStr">
        <is>
          <t>2026-10-24</t>
        </is>
      </c>
      <c r="CO49" t="n">
        <v>151</v>
      </c>
      <c r="CP49" t="inlineStr">
        <is>
          <t>may exceed 250</t>
        </is>
      </c>
      <c r="CQ49" t="inlineStr">
        <is>
          <t>1176 (Built In) staff (whole-company count) x 5% to 100% of them in the New York office (HQ outside New York; share assumed) x 57% (Partnership for NYC, all Manhattan firms; no figure for 500 to 4,999) in on a weekday = 34 to 670, central 151; low confidence; estimate until intake replaces it.</t>
        </is>
      </c>
      <c r="CR49" t="inlineStr">
        <is>
          <t>estimate until intake replaces it</t>
        </is>
      </c>
      <c r="CS49" t="n">
        <v>0.61</v>
      </c>
      <c r="CT49" t="n">
        <v>47.4</v>
      </c>
      <c r="CU49" t="n">
        <v>15.4</v>
      </c>
      <c r="CV49" t="n">
        <v>2</v>
      </c>
      <c r="CW49" t="n">
        <v>15</v>
      </c>
      <c r="CX49" t="n">
        <v>15</v>
      </c>
      <c r="CY49" t="n">
        <v>0</v>
      </c>
      <c r="CZ49" t="n">
        <v>0</v>
      </c>
      <c r="DA49" t="inlineStr"/>
      <c r="DB49" t="inlineStr"/>
      <c r="DC49" t="inlineStr"/>
      <c r="DD49" t="inlineStr"/>
      <c r="DE49" t="inlineStr"/>
      <c r="DF49" t="inlineStr">
        <is>
          <t>none</t>
        </is>
      </c>
      <c r="DG49" t="inlineStr">
        <is>
          <t>near-miss-over-500</t>
        </is>
      </c>
      <c r="DH49" t="inlineStr">
        <is>
          <t>over-1,000 (1,001 to 4,999)</t>
        </is>
      </c>
      <c r="DI49" t="inlineStr">
        <is>
          <t>N</t>
        </is>
      </c>
      <c r="DJ49" t="inlineStr">
        <is>
          <t>72,800 sf</t>
        </is>
      </c>
      <c r="DK49" t="inlineStr">
        <is>
          <t>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is>
      </c>
      <c r="DL49" t="inlineStr"/>
      <c r="DM49" t="inlineStr"/>
      <c r="DN49" t="inlineStr"/>
      <c r="DO49" t="inlineStr"/>
      <c r="DP49" t="inlineStr"/>
      <c r="DQ49" t="inlineStr"/>
      <c r="DR49" t="inlineStr"/>
      <c r="DS49" t="inlineStr">
        <is>
          <t>none</t>
        </is>
      </c>
      <c r="DT49" t="inlineStr"/>
      <c r="DU49" t="inlineStr"/>
      <c r="DV49" t="inlineStr"/>
      <c r="DW49" t="inlineStr"/>
      <c r="DX49" t="inlineStr">
        <is>
          <t>Y</t>
        </is>
      </c>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f>IF(ISNUMBER(MATCH(U49,{"queued","contacted","replied","call_booked","call_done","yes_in_principle","materials_sent"},0)),"Y","N")</f>
        <v/>
      </c>
      <c r="ES49">
        <f>IF(COUNTIFS($AP$2:$AP$1000,AP49,$ER$2:$ER$1000,"Y")+COUNTIFS($AP$2:$AP$1000,AP49,$T$2:$T$1000,"Y")&gt;0,"Y","N")</f>
        <v/>
      </c>
      <c r="ET49">
        <f>IF(AND(U49="new",T49="N",AT49="Y",AS49="",ES49="N"),"Y","N")</f>
        <v/>
      </c>
      <c r="EU49">
        <f>IF(ET49&lt;&gt;"Y","N",IF(COUNTIFS($AP$2:$AP$1000,AP49,$ET$2:$ET$1000,"Y",$J$2:$J$1000,"&gt;"&amp;J49)+COUNTIFS($AP$2:$AP$1000,AP49,$ET$2:$ET$1000,"Y",$J$2:$J$1000,J49,$EW$2:$EW$1000,"&lt;"&amp;EW49)=0,"Y","N"))</f>
        <v/>
      </c>
      <c r="EV49">
        <f>IF(Y49="","N",IF(Y49&lt;=10,"Y","N"))</f>
        <v/>
      </c>
      <c r="EW49">
        <f>ROW()-1</f>
        <v/>
      </c>
    </row>
    <row r="50">
      <c r="A50" t="inlineStr">
        <is>
          <t>AO-C-153</t>
        </is>
      </c>
      <c r="B50" t="inlineStr">
        <is>
          <t>Seedtag</t>
        </is>
      </c>
      <c r="C50" t="inlineStr"/>
      <c r="D50" t="inlineStr"/>
      <c r="E50" t="inlineStr"/>
      <c r="F50" t="inlineStr"/>
      <c r="G50" t="inlineStr"/>
      <c r="H50" t="inlineStr">
        <is>
          <t>none</t>
        </is>
      </c>
      <c r="I50" t="inlineStr">
        <is>
          <t>walk-in</t>
        </is>
      </c>
      <c r="J50" t="n">
        <v>46.8</v>
      </c>
      <c r="K50" t="inlineStr">
        <is>
          <t>Tuesday estimate 13 to 467 (low confidence), 501 to 1,000 staff company-wide, on-site 5 days a week per its profile, occupied at a medium-confidence address; no contact found in public sources (walk-in).</t>
        </is>
      </c>
      <c r="L50" t="inlineStr">
        <is>
          <t>76-150</t>
        </is>
      </c>
      <c r="M50" t="inlineStr"/>
      <c r="N50" t="inlineStr"/>
      <c r="O50" t="inlineStr"/>
      <c r="P50" t="inlineStr"/>
      <c r="Q50" t="inlineStr"/>
      <c r="R50" t="inlineStr">
        <is>
          <t>N</t>
        </is>
      </c>
      <c r="S50" t="inlineStr">
        <is>
          <t>unknown</t>
        </is>
      </c>
      <c r="T50" t="inlineStr">
        <is>
          <t>N</t>
        </is>
      </c>
      <c r="U50" t="inlineStr">
        <is>
          <t>new</t>
        </is>
      </c>
      <c r="V50" t="inlineStr">
        <is>
          <t>https://www.seedtag.com/contact</t>
        </is>
      </c>
      <c r="W50" t="inlineStr">
        <is>
          <t>2026-10-23</t>
        </is>
      </c>
      <c r="X50" t="inlineStr">
        <is>
          <t>office</t>
        </is>
      </c>
      <c r="Y50" t="inlineStr"/>
      <c r="Z50" t="n">
        <v>49</v>
      </c>
      <c r="AA50" t="inlineStr">
        <is>
          <t>Y</t>
        </is>
      </c>
      <c r="AB50" t="inlineStr">
        <is>
          <t>no named contact: walk in and ask for whoever runs the pantry, or use the company contact form</t>
        </is>
      </c>
      <c r="AC50" t="inlineStr"/>
      <c r="AD50" t="inlineStr">
        <is>
          <t>none</t>
        </is>
      </c>
      <c r="AE50" t="inlineStr"/>
      <c r="AF50" t="inlineStr"/>
      <c r="AG50" t="inlineStr"/>
      <c r="AH50" t="inlineStr">
        <is>
          <t>none</t>
        </is>
      </c>
      <c r="AI50" t="inlineStr">
        <is>
          <t>15 West 27th Street</t>
        </is>
      </c>
      <c r="AJ50" t="n">
        <v>3</v>
      </c>
      <c r="AK50" t="inlineStr">
        <is>
          <t>occupied</t>
        </is>
      </c>
      <c r="AL50" t="n">
        <v>13</v>
      </c>
      <c r="AM50" t="n">
        <v>467</v>
      </c>
      <c r="AN50" t="inlineStr">
        <is>
          <t>low</t>
        </is>
      </c>
      <c r="AO50" t="inlineStr">
        <is>
          <t>in-office-5</t>
        </is>
      </c>
      <c r="AP50" t="inlineStr">
        <is>
          <t>AO-C-153</t>
        </is>
      </c>
      <c r="AQ50" t="inlineStr">
        <is>
          <t>N</t>
        </is>
      </c>
      <c r="AR50" t="inlineStr"/>
      <c r="AS50" t="inlineStr"/>
      <c r="AT50" t="inlineStr">
        <is>
          <t>N</t>
        </is>
      </c>
      <c r="AU50" t="inlineStr">
        <is>
          <t>no contact named on an opened page</t>
        </is>
      </c>
      <c r="AV50" t="inlineStr"/>
      <c r="AW50" t="inlineStr">
        <is>
          <t>N</t>
        </is>
      </c>
      <c r="AX50" t="inlineStr">
        <is>
          <t>pass</t>
        </is>
      </c>
      <c r="AY50" t="inlineStr">
        <is>
          <t>passes all hard gates</t>
        </is>
      </c>
      <c r="AZ50" t="inlineStr">
        <is>
          <t>company</t>
        </is>
      </c>
      <c r="BA50" t="inlineStr">
        <is>
          <t>B-C-153</t>
        </is>
      </c>
      <c r="BB50" t="inlineStr">
        <is>
          <t>https://www.seedtag.com</t>
        </is>
      </c>
      <c r="BC50" t="inlineStr">
        <is>
          <t>adtech (contextual advertising)</t>
        </is>
      </c>
      <c r="BD50" t="n">
        <v>819</v>
      </c>
      <c r="BE50" t="n">
        <v>446</v>
      </c>
      <c r="BF50" t="inlineStr">
        <is>
          <t>over-500</t>
        </is>
      </c>
      <c r="BG50" t="inlineStr">
        <is>
          <t>whole-company</t>
        </is>
      </c>
      <c r="BH50" t="inlineStr">
        <is>
          <t>over-500-second-source</t>
        </is>
      </c>
      <c r="BI50" t="inlineStr">
        <is>
          <t>https://www.reveliolabs.com/companies/seedtag-advertising/employees</t>
        </is>
      </c>
      <c r="BJ50" t="inlineStr">
        <is>
          <t>https://www.builtinnyc.com/company/seedtag/offices</t>
        </is>
      </c>
      <c r="BK50" t="inlineStr">
        <is>
          <t>501-1000</t>
        </is>
      </c>
      <c r="BL50" t="inlineStr">
        <is>
          <t>Madrid</t>
        </is>
      </c>
      <c r="BM50" t="inlineStr">
        <is>
          <t>N</t>
        </is>
      </c>
      <c r="BN50" t="inlineStr">
        <is>
          <t>unknown</t>
        </is>
      </c>
      <c r="BO50" t="inlineStr">
        <is>
          <t>unknown</t>
        </is>
      </c>
      <c r="BP50" t="n">
        <v>10001</v>
      </c>
      <c r="BQ50" t="n">
        <v>40.744515</v>
      </c>
      <c r="BR50" t="n">
        <v>-73.988255</v>
      </c>
      <c r="BS50" t="inlineStr">
        <is>
          <t>Y</t>
        </is>
      </c>
      <c r="BT50" t="n">
        <v>0</v>
      </c>
      <c r="BU50" t="inlineStr">
        <is>
          <t>B-B-070</t>
        </is>
      </c>
      <c r="BV50" t="inlineStr">
        <is>
          <t>15 West 27th Street (Kaufman Organization)</t>
        </is>
      </c>
      <c r="BW50" t="inlineStr">
        <is>
          <t>https://www.seedtag.com/contact</t>
        </is>
      </c>
      <c r="BX50" t="inlineStr">
        <is>
          <t>2026-10-23</t>
        </is>
      </c>
      <c r="BY50" t="inlineStr">
        <is>
          <t>company-site</t>
        </is>
      </c>
      <c r="BZ50" t="inlineStr">
        <is>
          <t>https://commercialobserver.com/2023/03/kaufman-organization-seedtag-advertising-15-west-27th-street/</t>
        </is>
      </c>
      <c r="CA50" t="inlineStr">
        <is>
          <t>2023-03-28</t>
        </is>
      </c>
      <c r="CB50" t="inlineStr"/>
      <c r="CC50" t="inlineStr">
        <is>
          <t>medium</t>
        </is>
      </c>
      <c r="CD50" t="inlineStr"/>
      <c r="CE50" t="inlineStr">
        <is>
          <t>N</t>
        </is>
      </c>
      <c r="CF50" t="inlineStr"/>
      <c r="CG50" t="inlineStr"/>
      <c r="CH50" t="inlineStr">
        <is>
          <t>unknown</t>
        </is>
      </c>
      <c r="CI50" t="inlineStr"/>
      <c r="CJ50" t="inlineStr">
        <is>
          <t>unknown</t>
        </is>
      </c>
      <c r="CK50" t="inlineStr">
        <is>
          <t>N</t>
        </is>
      </c>
      <c r="CL50" t="inlineStr">
        <is>
          <t>Built In workplace type: OnSite Workplace; typical time on-site: 5 days a week</t>
        </is>
      </c>
      <c r="CM50" t="inlineStr">
        <is>
          <t>https://www.builtinnyc.com/company/seedtag/offices</t>
        </is>
      </c>
      <c r="CN50" t="inlineStr">
        <is>
          <t>2026-10-24</t>
        </is>
      </c>
      <c r="CO50" t="n">
        <v>78</v>
      </c>
      <c r="CP50" t="inlineStr">
        <is>
          <t>may be under 30;may exceed 250</t>
        </is>
      </c>
      <c r="CQ50" t="inlineStr">
        <is>
          <t>819 (Revelio Labs) and 446 (Built In) staff (whole-company count) x 5% to 100% of them in the New York office (HQ outside New York; share assumed) x 57% (Partnership for NYC, all Manhattan firms; no figure for 500 to 4,999) in on a weekday = 13 to 467, central 78; low confidence; estimate until intake replaces it.</t>
        </is>
      </c>
      <c r="CR50" t="inlineStr">
        <is>
          <t>estimate until intake replaces it</t>
        </is>
      </c>
      <c r="CS50" t="n">
        <v>0.51</v>
      </c>
      <c r="CT50" t="n">
        <v>46.8</v>
      </c>
      <c r="CU50" t="n">
        <v>12.8</v>
      </c>
      <c r="CV50" t="n">
        <v>6</v>
      </c>
      <c r="CW50" t="n">
        <v>15</v>
      </c>
      <c r="CX50" t="n">
        <v>13</v>
      </c>
      <c r="CY50" t="n">
        <v>0</v>
      </c>
      <c r="CZ50" t="n">
        <v>0</v>
      </c>
      <c r="DA50" t="inlineStr"/>
      <c r="DB50" t="inlineStr"/>
      <c r="DC50" t="inlineStr"/>
      <c r="DD50" t="inlineStr"/>
      <c r="DE50" t="inlineStr"/>
      <c r="DF50" t="inlineStr">
        <is>
          <t>none</t>
        </is>
      </c>
      <c r="DG50" t="inlineStr">
        <is>
          <t>near-miss-over-500</t>
        </is>
      </c>
      <c r="DH50" t="inlineStr">
        <is>
          <t>just-over-500 (501 to 1,000)</t>
        </is>
      </c>
      <c r="DI50" t="inlineStr">
        <is>
          <t>Y</t>
        </is>
      </c>
      <c r="DJ50" t="inlineStr">
        <is>
          <t>5,909 sf</t>
        </is>
      </c>
      <c r="DK50" t="inlineStr">
        <is>
          <t>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is>
      </c>
      <c r="DL50" t="inlineStr"/>
      <c r="DM50" t="inlineStr"/>
      <c r="DN50" t="inlineStr"/>
      <c r="DO50" t="inlineStr"/>
      <c r="DP50" t="inlineStr"/>
      <c r="DQ50" t="inlineStr"/>
      <c r="DR50" t="inlineStr"/>
      <c r="DS50" t="inlineStr">
        <is>
          <t>none</t>
        </is>
      </c>
      <c r="DT50" t="inlineStr"/>
      <c r="DU50" t="inlineStr"/>
      <c r="DV50" t="inlineStr"/>
      <c r="DW50" t="inlineStr"/>
      <c r="DX50" t="inlineStr">
        <is>
          <t>Y</t>
        </is>
      </c>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f>IF(ISNUMBER(MATCH(U50,{"queued","contacted","replied","call_booked","call_done","yes_in_principle","materials_sent"},0)),"Y","N")</f>
        <v/>
      </c>
      <c r="ES50">
        <f>IF(COUNTIFS($AP$2:$AP$1000,AP50,$ER$2:$ER$1000,"Y")+COUNTIFS($AP$2:$AP$1000,AP50,$T$2:$T$1000,"Y")&gt;0,"Y","N")</f>
        <v/>
      </c>
      <c r="ET50">
        <f>IF(AND(U50="new",T50="N",AT50="Y",AS50="",ES50="N"),"Y","N")</f>
        <v/>
      </c>
      <c r="EU50">
        <f>IF(ET50&lt;&gt;"Y","N",IF(COUNTIFS($AP$2:$AP$1000,AP50,$ET$2:$ET$1000,"Y",$J$2:$J$1000,"&gt;"&amp;J50)+COUNTIFS($AP$2:$AP$1000,AP50,$ET$2:$ET$1000,"Y",$J$2:$J$1000,J50,$EW$2:$EW$1000,"&lt;"&amp;EW50)=0,"Y","N"))</f>
        <v/>
      </c>
      <c r="EV50">
        <f>IF(Y50="","N",IF(Y50&lt;=10,"Y","N"))</f>
        <v/>
      </c>
      <c r="EW50">
        <f>ROW()-1</f>
        <v/>
      </c>
    </row>
    <row r="51">
      <c r="A51" t="inlineStr">
        <is>
          <t>AO-C-253</t>
        </is>
      </c>
      <c r="B51" t="inlineStr">
        <is>
          <t>Optiver</t>
        </is>
      </c>
      <c r="C51" t="inlineStr"/>
      <c r="D51" t="inlineStr"/>
      <c r="E51" t="inlineStr"/>
      <c r="F51" t="inlineStr"/>
      <c r="G51" t="inlineStr"/>
      <c r="H51" t="inlineStr">
        <is>
          <t>none</t>
        </is>
      </c>
      <c r="I51" t="inlineStr">
        <is>
          <t>walk-in</t>
        </is>
      </c>
      <c r="J51" t="n">
        <v>46.2</v>
      </c>
      <c r="K51" t="inlineStr">
        <is>
          <t>Tuesday estimate 46 to 912 (low confidence), 1,001 to 4,999 staff company-wide, on-site 5 days a week per its profile, occupied at a high-confidence address; no contact found in public sources (walk-in).</t>
        </is>
      </c>
      <c r="L51" t="inlineStr">
        <is>
          <t>151-250</t>
        </is>
      </c>
      <c r="M51" t="inlineStr"/>
      <c r="N51" t="inlineStr"/>
      <c r="O51" t="inlineStr"/>
      <c r="P51" t="inlineStr"/>
      <c r="Q51" t="inlineStr"/>
      <c r="R51" t="inlineStr">
        <is>
          <t>N</t>
        </is>
      </c>
      <c r="S51" t="inlineStr">
        <is>
          <t>unknown</t>
        </is>
      </c>
      <c r="T51" t="inlineStr">
        <is>
          <t>N</t>
        </is>
      </c>
      <c r="U51" t="inlineStr">
        <is>
          <t>new</t>
        </is>
      </c>
      <c r="V51" t="inlineStr">
        <is>
          <t>https://commercialobserver.com/2025/05/optiver-lease-360-park-avenue-south/</t>
        </is>
      </c>
      <c r="W51" t="inlineStr">
        <is>
          <t>2026-10-23</t>
        </is>
      </c>
      <c r="X51" t="inlineStr">
        <is>
          <t>office</t>
        </is>
      </c>
      <c r="Y51" t="inlineStr"/>
      <c r="Z51" t="n">
        <v>50</v>
      </c>
      <c r="AA51" t="inlineStr">
        <is>
          <t>Y</t>
        </is>
      </c>
      <c r="AB51" t="inlineStr">
        <is>
          <t>no named contact: walk in and ask for whoever runs the pantry, or use the company contact form</t>
        </is>
      </c>
      <c r="AC51" t="inlineStr"/>
      <c r="AD51" t="inlineStr">
        <is>
          <t>none</t>
        </is>
      </c>
      <c r="AE51" t="inlineStr"/>
      <c r="AF51" t="inlineStr"/>
      <c r="AG51" t="inlineStr"/>
      <c r="AH51" t="inlineStr">
        <is>
          <t>none</t>
        </is>
      </c>
      <c r="AI51" t="inlineStr">
        <is>
          <t>360 Park Avenue South</t>
        </is>
      </c>
      <c r="AJ51" t="inlineStr">
        <is>
          <t>12 (Suite 1200)</t>
        </is>
      </c>
      <c r="AK51" t="inlineStr">
        <is>
          <t>occupied</t>
        </is>
      </c>
      <c r="AL51" t="n">
        <v>46</v>
      </c>
      <c r="AM51" t="n">
        <v>912</v>
      </c>
      <c r="AN51" t="inlineStr">
        <is>
          <t>low</t>
        </is>
      </c>
      <c r="AO51" t="inlineStr">
        <is>
          <t>in-office-5</t>
        </is>
      </c>
      <c r="AP51" t="inlineStr">
        <is>
          <t>AO-C-253</t>
        </is>
      </c>
      <c r="AQ51" t="inlineStr">
        <is>
          <t>N</t>
        </is>
      </c>
      <c r="AR51" t="inlineStr"/>
      <c r="AS51" t="inlineStr"/>
      <c r="AT51" t="inlineStr">
        <is>
          <t>N</t>
        </is>
      </c>
      <c r="AU51" t="inlineStr">
        <is>
          <t>no contact named on an opened page</t>
        </is>
      </c>
      <c r="AV51" t="inlineStr"/>
      <c r="AW51" t="inlineStr">
        <is>
          <t>N</t>
        </is>
      </c>
      <c r="AX51" t="inlineStr">
        <is>
          <t>pass</t>
        </is>
      </c>
      <c r="AY51" t="inlineStr">
        <is>
          <t>passes all hard gates</t>
        </is>
      </c>
      <c r="AZ51" t="inlineStr">
        <is>
          <t>company</t>
        </is>
      </c>
      <c r="BA51" t="inlineStr">
        <is>
          <t>B-C-253</t>
        </is>
      </c>
      <c r="BB51" t="inlineStr">
        <is>
          <t>https://optiver.com</t>
        </is>
      </c>
      <c r="BC51" t="inlineStr">
        <is>
          <t>proprietary trading</t>
        </is>
      </c>
      <c r="BD51" t="n">
        <v>1600</v>
      </c>
      <c r="BE51" t="inlineStr"/>
      <c r="BF51" t="inlineStr">
        <is>
          <t>over-500</t>
        </is>
      </c>
      <c r="BG51" t="inlineStr">
        <is>
          <t>whole-company</t>
        </is>
      </c>
      <c r="BH51" t="inlineStr">
        <is>
          <t>single-source</t>
        </is>
      </c>
      <c r="BI51" t="inlineStr">
        <is>
          <t>https://www.builtinnyc.com/company/optiver/offices</t>
        </is>
      </c>
      <c r="BJ51" t="inlineStr"/>
      <c r="BK51" t="inlineStr">
        <is>
          <t>1001-4999</t>
        </is>
      </c>
      <c r="BL51" t="inlineStr">
        <is>
          <t>unknown</t>
        </is>
      </c>
      <c r="BM51" t="inlineStr">
        <is>
          <t>unknown</t>
        </is>
      </c>
      <c r="BN51" t="inlineStr">
        <is>
          <t>unknown</t>
        </is>
      </c>
      <c r="BO51" t="inlineStr">
        <is>
          <t>unknown</t>
        </is>
      </c>
      <c r="BP51" t="n">
        <v>10010</v>
      </c>
      <c r="BQ51" t="n">
        <v>40.741968</v>
      </c>
      <c r="BR51" t="n">
        <v>-73.985327</v>
      </c>
      <c r="BS51" t="inlineStr">
        <is>
          <t>Y</t>
        </is>
      </c>
      <c r="BT51" t="n">
        <v>0</v>
      </c>
      <c r="BU51" t="inlineStr">
        <is>
          <t>B-B-059</t>
        </is>
      </c>
      <c r="BV51" t="inlineStr">
        <is>
          <t>360 Park Avenue South (BXP)</t>
        </is>
      </c>
      <c r="BW51" t="inlineStr">
        <is>
          <t>https://commercialobserver.com/2025/05/optiver-lease-360-park-avenue-south/</t>
        </is>
      </c>
      <c r="BX51" t="inlineStr">
        <is>
          <t>2025-05-20</t>
        </is>
      </c>
      <c r="BY51" t="inlineStr">
        <is>
          <t>leasing-press</t>
        </is>
      </c>
      <c r="BZ51" t="inlineStr">
        <is>
          <t>https://www.builtinnyc.com/company/optiver/offices</t>
        </is>
      </c>
      <c r="CA51" t="inlineStr">
        <is>
          <t>2026-10-23</t>
        </is>
      </c>
      <c r="CB51" t="inlineStr"/>
      <c r="CC51" t="inlineStr">
        <is>
          <t>high</t>
        </is>
      </c>
      <c r="CD51" t="inlineStr"/>
      <c r="CE51" t="inlineStr">
        <is>
          <t>N</t>
        </is>
      </c>
      <c r="CF51" t="inlineStr"/>
      <c r="CG51" t="inlineStr"/>
      <c r="CH51" t="inlineStr">
        <is>
          <t>unknown</t>
        </is>
      </c>
      <c r="CI51" t="inlineStr"/>
      <c r="CJ51" t="inlineStr">
        <is>
          <t>unknown</t>
        </is>
      </c>
      <c r="CK51" t="inlineStr">
        <is>
          <t>N</t>
        </is>
      </c>
      <c r="CL51" t="inlineStr">
        <is>
          <t>Built In workplace type: OnSite Workplace; typical time on-site: 5 days a week; recent job tags: 3 In-Office</t>
        </is>
      </c>
      <c r="CM51" t="inlineStr">
        <is>
          <t>https://www.builtinnyc.com/company/optiver/offices</t>
        </is>
      </c>
      <c r="CN51" t="inlineStr">
        <is>
          <t>2026-10-24</t>
        </is>
      </c>
      <c r="CO51" t="n">
        <v>205</v>
      </c>
      <c r="CP51" t="inlineStr">
        <is>
          <t>may exceed 250</t>
        </is>
      </c>
      <c r="CQ51" t="inlineStr">
        <is>
          <t>1600 (Built In) staff (whole-company count) x 5% to 100% of them in the New York office (HQ city unknown; share assumed) x 57% (Partnership for NYC, all Manhattan firms; no figure for 500 to 4,999) in on a weekday = 46 to 912, central 205; low confidence; estimate until intake replaces it.</t>
        </is>
      </c>
      <c r="CR51" t="inlineStr">
        <is>
          <t>estimate until intake replaces it</t>
        </is>
      </c>
      <c r="CS51" t="n">
        <v>0.57</v>
      </c>
      <c r="CT51" t="n">
        <v>46.2</v>
      </c>
      <c r="CU51" t="n">
        <v>14.2</v>
      </c>
      <c r="CV51" t="n">
        <v>2</v>
      </c>
      <c r="CW51" t="n">
        <v>15</v>
      </c>
      <c r="CX51" t="n">
        <v>15</v>
      </c>
      <c r="CY51" t="n">
        <v>0</v>
      </c>
      <c r="CZ51" t="n">
        <v>0</v>
      </c>
      <c r="DA51" t="inlineStr"/>
      <c r="DB51" t="inlineStr"/>
      <c r="DC51" t="inlineStr"/>
      <c r="DD51" t="inlineStr"/>
      <c r="DE51" t="inlineStr"/>
      <c r="DF51" t="inlineStr">
        <is>
          <t>none</t>
        </is>
      </c>
      <c r="DG51" t="inlineStr">
        <is>
          <t>near-miss-over-500</t>
        </is>
      </c>
      <c r="DH51" t="inlineStr">
        <is>
          <t>over-1,000 (1,001 to 4,999)</t>
        </is>
      </c>
      <c r="DI51" t="inlineStr">
        <is>
          <t>N</t>
        </is>
      </c>
      <c r="DJ51" t="inlineStr">
        <is>
          <t>23,038 sf</t>
        </is>
      </c>
      <c r="DK51" t="inlineStr">
        <is>
          <t>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is>
      </c>
      <c r="DL51" t="inlineStr"/>
      <c r="DM51" t="inlineStr"/>
      <c r="DN51" t="inlineStr"/>
      <c r="DO51" t="inlineStr"/>
      <c r="DP51" t="inlineStr"/>
      <c r="DQ51" t="inlineStr"/>
      <c r="DR51" t="inlineStr"/>
      <c r="DS51" t="inlineStr">
        <is>
          <t>none</t>
        </is>
      </c>
      <c r="DT51" t="inlineStr"/>
      <c r="DU51" t="inlineStr"/>
      <c r="DV51" t="inlineStr"/>
      <c r="DW51" t="inlineStr"/>
      <c r="DX51" t="inlineStr">
        <is>
          <t>Y</t>
        </is>
      </c>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f>IF(ISNUMBER(MATCH(U51,{"queued","contacted","replied","call_booked","call_done","yes_in_principle","materials_sent"},0)),"Y","N")</f>
        <v/>
      </c>
      <c r="ES51">
        <f>IF(COUNTIFS($AP$2:$AP$1000,AP51,$ER$2:$ER$1000,"Y")+COUNTIFS($AP$2:$AP$1000,AP51,$T$2:$T$1000,"Y")&gt;0,"Y","N")</f>
        <v/>
      </c>
      <c r="ET51">
        <f>IF(AND(U51="new",T51="N",AT51="Y",AS51="",ES51="N"),"Y","N")</f>
        <v/>
      </c>
      <c r="EU51">
        <f>IF(ET51&lt;&gt;"Y","N",IF(COUNTIFS($AP$2:$AP$1000,AP51,$ET$2:$ET$1000,"Y",$J$2:$J$1000,"&gt;"&amp;J51)+COUNTIFS($AP$2:$AP$1000,AP51,$ET$2:$ET$1000,"Y",$J$2:$J$1000,J51,$EW$2:$EW$1000,"&lt;"&amp;EW51)=0,"Y","N"))</f>
        <v/>
      </c>
      <c r="EV51">
        <f>IF(Y51="","N",IF(Y51&lt;=10,"Y","N"))</f>
        <v/>
      </c>
      <c r="EW51">
        <f>ROW()-1</f>
        <v/>
      </c>
    </row>
    <row r="52">
      <c r="A52" t="inlineStr">
        <is>
          <t>AO-C-017</t>
        </is>
      </c>
      <c r="B52" t="inlineStr">
        <is>
          <t>Biohub (Chan Zuckerberg Biohub)</t>
        </is>
      </c>
      <c r="C52" t="inlineStr"/>
      <c r="D52" t="inlineStr"/>
      <c r="E52" t="inlineStr"/>
      <c r="F52" t="inlineStr"/>
      <c r="G52" t="inlineStr"/>
      <c r="H52" t="inlineStr">
        <is>
          <t>none</t>
        </is>
      </c>
      <c r="I52" t="inlineStr">
        <is>
          <t>linkedin</t>
        </is>
      </c>
      <c r="J52" t="n">
        <v>46.1</v>
      </c>
      <c r="K52" t="inlineStr">
        <is>
          <t>Tuesday estimate 15 to 314 (low confidence), under 500 staff company-wide with a named parent (Chan Zuckerberg Initiative), on-site 5 days a week per its profile, signed-not-occupied at a medium-confidence address (hold: lease signed, move not confirmed); contacts not researched yet (below the top 50).</t>
        </is>
      </c>
      <c r="L52" t="inlineStr">
        <is>
          <t>40-75</t>
        </is>
      </c>
      <c r="M52" t="inlineStr"/>
      <c r="N52" t="inlineStr"/>
      <c r="O52" t="inlineStr">
        <is>
          <t>New or renewed lease at 100 Fifth Avenue reported 2026-08-26</t>
        </is>
      </c>
      <c r="P52" t="inlineStr">
        <is>
          <t>https://commercialobserver.com/2026/08/biohub-fundraise-up-leases-100-104-fifth-avenue/</t>
        </is>
      </c>
      <c r="Q52" t="inlineStr">
        <is>
          <t>2026-08-26</t>
        </is>
      </c>
      <c r="R52" t="inlineStr">
        <is>
          <t>N</t>
        </is>
      </c>
      <c r="S52" t="inlineStr">
        <is>
          <t>unknown</t>
        </is>
      </c>
      <c r="T52" t="inlineStr">
        <is>
          <t>N</t>
        </is>
      </c>
      <c r="U52" t="inlineStr">
        <is>
          <t>new</t>
        </is>
      </c>
      <c r="V52" t="inlineStr">
        <is>
          <t>https://commercialobserver.com/2026/08/biohub-fundraise-up-leases-100-104-fifth-avenue/</t>
        </is>
      </c>
      <c r="W52" t="inlineStr">
        <is>
          <t>2026-10-23</t>
        </is>
      </c>
      <c r="X52" t="inlineStr">
        <is>
          <t>office</t>
        </is>
      </c>
      <c r="Y52" t="inlineStr"/>
      <c r="Z52" t="n">
        <v>51</v>
      </c>
      <c r="AA52" t="inlineStr">
        <is>
          <t>N</t>
        </is>
      </c>
      <c r="AB52" t="inlineStr"/>
      <c r="AC52" t="inlineStr"/>
      <c r="AD52" t="inlineStr">
        <is>
          <t>none</t>
        </is>
      </c>
      <c r="AE52" t="inlineStr"/>
      <c r="AF52" t="inlineStr"/>
      <c r="AG52" t="inlineStr"/>
      <c r="AH52" t="inlineStr">
        <is>
          <t>none</t>
        </is>
      </c>
      <c r="AI52" t="inlineStr">
        <is>
          <t>100 Fifth Avenue</t>
        </is>
      </c>
      <c r="AJ52" t="n">
        <v>9</v>
      </c>
      <c r="AK52" t="inlineStr">
        <is>
          <t>signed-not-occupied</t>
        </is>
      </c>
      <c r="AL52" t="n">
        <v>15</v>
      </c>
      <c r="AM52" t="n">
        <v>314</v>
      </c>
      <c r="AN52" t="inlineStr">
        <is>
          <t>low</t>
        </is>
      </c>
      <c r="AO52" t="inlineStr">
        <is>
          <t>in-office-5</t>
        </is>
      </c>
      <c r="AP52" t="inlineStr">
        <is>
          <t>AO-C-017</t>
        </is>
      </c>
      <c r="AQ52" t="inlineStr">
        <is>
          <t>Y</t>
        </is>
      </c>
      <c r="AR52" t="inlineStr">
        <is>
          <t>lease signed, move not confirmed: check the lobby directory before outreach (B)</t>
        </is>
      </c>
      <c r="AS52" t="inlineStr"/>
      <c r="AT52" t="inlineStr">
        <is>
          <t>N</t>
        </is>
      </c>
      <c r="AU52" t="inlineStr">
        <is>
          <t>on hold: lease signed, move not confirmed: check the lobby directory before outreach (B); no contact named on an opened page</t>
        </is>
      </c>
      <c r="AV52" t="inlineStr"/>
      <c r="AW52" t="inlineStr">
        <is>
          <t>N</t>
        </is>
      </c>
      <c r="AX52" t="inlineStr">
        <is>
          <t>pass</t>
        </is>
      </c>
      <c r="AY52" t="inlineStr">
        <is>
          <t>passes all hard gates</t>
        </is>
      </c>
      <c r="AZ52" t="inlineStr">
        <is>
          <t>company</t>
        </is>
      </c>
      <c r="BA52" t="inlineStr">
        <is>
          <t>B-C-017</t>
        </is>
      </c>
      <c r="BB52" t="inlineStr">
        <is>
          <t>https://biohub.org</t>
        </is>
      </c>
      <c r="BC52" t="inlineStr">
        <is>
          <t>nonprofit biomedical research</t>
        </is>
      </c>
      <c r="BD52" t="n">
        <v>468</v>
      </c>
      <c r="BE52" t="n">
        <v>436</v>
      </c>
      <c r="BF52" t="inlineStr">
        <is>
          <t>251-500</t>
        </is>
      </c>
      <c r="BG52" t="inlineStr">
        <is>
          <t>whole-company</t>
        </is>
      </c>
      <c r="BH52" t="inlineStr">
        <is>
          <t>agree</t>
        </is>
      </c>
      <c r="BI52" t="inlineStr">
        <is>
          <t>https://www.builtinnyc.com/company/biohub</t>
        </is>
      </c>
      <c r="BJ52" t="inlineStr">
        <is>
          <t>https://www.reveliolabs.com/companies/biohub/employees</t>
        </is>
      </c>
      <c r="BK52" t="inlineStr">
        <is>
          <t>le500</t>
        </is>
      </c>
      <c r="BL52" t="inlineStr">
        <is>
          <t>San Francisco</t>
        </is>
      </c>
      <c r="BM52" t="inlineStr">
        <is>
          <t>N</t>
        </is>
      </c>
      <c r="BN52" t="inlineStr">
        <is>
          <t>Chan Zuckerberg Initiative</t>
        </is>
      </c>
      <c r="BO52" t="inlineStr">
        <is>
          <t>unknown</t>
        </is>
      </c>
      <c r="BP52" t="n">
        <v>10011</v>
      </c>
      <c r="BQ52" t="n">
        <v>40.736981</v>
      </c>
      <c r="BR52" t="n">
        <v>-73.993144</v>
      </c>
      <c r="BS52" t="inlineStr">
        <is>
          <t>Y</t>
        </is>
      </c>
      <c r="BT52" t="n">
        <v>0</v>
      </c>
      <c r="BU52" t="inlineStr">
        <is>
          <t>B-B-006</t>
        </is>
      </c>
      <c r="BV52" t="inlineStr">
        <is>
          <t>100-104 Fifth Avenue</t>
        </is>
      </c>
      <c r="BW52" t="inlineStr">
        <is>
          <t>https://commercialobserver.com/2026/08/biohub-fundraise-up-leases-100-104-fifth-avenue/</t>
        </is>
      </c>
      <c r="BX52" t="inlineStr">
        <is>
          <t>2026-08-26</t>
        </is>
      </c>
      <c r="BY52" t="inlineStr">
        <is>
          <t>leasing-press</t>
        </is>
      </c>
      <c r="BZ52" t="inlineStr"/>
      <c r="CA52" t="inlineStr"/>
      <c r="CB52" t="inlineStr"/>
      <c r="CC52" t="inlineStr">
        <is>
          <t>medium</t>
        </is>
      </c>
      <c r="CD52" t="inlineStr">
        <is>
          <t>unknown</t>
        </is>
      </c>
      <c r="CE52" t="inlineStr">
        <is>
          <t>N</t>
        </is>
      </c>
      <c r="CF52" t="inlineStr"/>
      <c r="CG52" t="inlineStr"/>
      <c r="CH52" t="inlineStr">
        <is>
          <t>unknown</t>
        </is>
      </c>
      <c r="CI52" t="inlineStr"/>
      <c r="CJ52" t="inlineStr">
        <is>
          <t>unknown</t>
        </is>
      </c>
      <c r="CK52" t="inlineStr">
        <is>
          <t>N</t>
        </is>
      </c>
      <c r="CL52" t="inlineStr">
        <is>
          <t>Built In workplace type: OnSite Workplace; typical time on-site: 5 days a week; recent job tags: 1 Hybrid, 2 In-Office</t>
        </is>
      </c>
      <c r="CM52" t="inlineStr">
        <is>
          <t>https://www.builtinnyc.com/company/biohub/offices</t>
        </is>
      </c>
      <c r="CN52" t="inlineStr">
        <is>
          <t>2026-10-24</t>
        </is>
      </c>
      <c r="CO52" t="n">
        <v>69</v>
      </c>
      <c r="CP52" t="inlineStr">
        <is>
          <t>may be under 30;may exceed 250</t>
        </is>
      </c>
      <c r="CQ52" t="inlineStr">
        <is>
          <t>468 (Built In) and 436 (Revelio Labs) staff (whole-company count) x 5% to 100% of them in the New York office (HQ outside New York; share assumed) x 67% (Partnership for NYC, firms under 500) in on a weekday = 15 to 314, central 69; low confidence; estimate until intake replaces it.</t>
        </is>
      </c>
      <c r="CR52" t="inlineStr">
        <is>
          <t>estimate until intake replaces it</t>
        </is>
      </c>
      <c r="CS52" t="n">
        <v>0.6</v>
      </c>
      <c r="CT52" t="n">
        <v>46.1</v>
      </c>
      <c r="CU52" t="n">
        <v>15.1</v>
      </c>
      <c r="CV52" t="n">
        <v>11</v>
      </c>
      <c r="CW52" t="n">
        <v>15</v>
      </c>
      <c r="CX52" t="n">
        <v>5</v>
      </c>
      <c r="CY52" t="n">
        <v>0</v>
      </c>
      <c r="CZ52" t="n">
        <v>0</v>
      </c>
      <c r="DA52" t="inlineStr"/>
      <c r="DB52" t="inlineStr"/>
      <c r="DC52" t="inlineStr"/>
      <c r="DD52" t="inlineStr"/>
      <c r="DE52" t="inlineStr"/>
      <c r="DF52" t="inlineStr">
        <is>
          <t>none</t>
        </is>
      </c>
      <c r="DG52" t="inlineStr">
        <is>
          <t>candidate</t>
        </is>
      </c>
      <c r="DH52" t="inlineStr"/>
      <c r="DI52" t="inlineStr"/>
      <c r="DJ52" t="inlineStr">
        <is>
          <t>10,666 sf</t>
        </is>
      </c>
      <c r="DK52" t="inlineStr">
        <is>
          <t>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is>
      </c>
      <c r="DL52" t="inlineStr"/>
      <c r="DM52" t="inlineStr"/>
      <c r="DN52" t="inlineStr"/>
      <c r="DO52" t="inlineStr"/>
      <c r="DP52" t="inlineStr"/>
      <c r="DQ52" t="inlineStr"/>
      <c r="DR52" t="inlineStr"/>
      <c r="DS52" t="inlineStr">
        <is>
          <t>none</t>
        </is>
      </c>
      <c r="DT52" t="inlineStr"/>
      <c r="DU52" t="inlineStr"/>
      <c r="DV52" t="inlineStr"/>
      <c r="DW52" t="inlineStr"/>
      <c r="DX52" t="inlineStr">
        <is>
          <t>N</t>
        </is>
      </c>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f>IF(ISNUMBER(MATCH(U52,{"queued","contacted","replied","call_booked","call_done","yes_in_principle","materials_sent"},0)),"Y","N")</f>
        <v/>
      </c>
      <c r="ES52">
        <f>IF(COUNTIFS($AP$2:$AP$1000,AP52,$ER$2:$ER$1000,"Y")+COUNTIFS($AP$2:$AP$1000,AP52,$T$2:$T$1000,"Y")&gt;0,"Y","N")</f>
        <v/>
      </c>
      <c r="ET52">
        <f>IF(AND(U52="new",T52="N",AT52="Y",AS52="",ES52="N"),"Y","N")</f>
        <v/>
      </c>
      <c r="EU52">
        <f>IF(ET52&lt;&gt;"Y","N",IF(COUNTIFS($AP$2:$AP$1000,AP52,$ET$2:$ET$1000,"Y",$J$2:$J$1000,"&gt;"&amp;J52)+COUNTIFS($AP$2:$AP$1000,AP52,$ET$2:$ET$1000,"Y",$J$2:$J$1000,J52,$EW$2:$EW$1000,"&lt;"&amp;EW52)=0,"Y","N"))</f>
        <v/>
      </c>
      <c r="EV52">
        <f>IF(Y52="","N",IF(Y52&lt;=10,"Y","N"))</f>
        <v/>
      </c>
      <c r="EW52">
        <f>ROW()-1</f>
        <v/>
      </c>
    </row>
    <row r="53">
      <c r="A53" t="inlineStr">
        <is>
          <t>AO-C-124</t>
        </is>
      </c>
      <c r="B53" t="inlineStr">
        <is>
          <t>At-Bay</t>
        </is>
      </c>
      <c r="C53" t="inlineStr"/>
      <c r="D53" t="inlineStr"/>
      <c r="E53" t="inlineStr"/>
      <c r="F53" t="inlineStr"/>
      <c r="G53" t="inlineStr"/>
      <c r="H53" t="inlineStr">
        <is>
          <t>none</t>
        </is>
      </c>
      <c r="I53" t="inlineStr">
        <is>
          <t>linkedin</t>
        </is>
      </c>
      <c r="J53" t="n">
        <v>45.9</v>
      </c>
      <c r="K53" t="inlineStr">
        <is>
          <t>Tuesday estimate 8 to 224 (low confidence), under 500 staff company-wide, hybrid 2 days or fewer, occupied at a medium-confidence address; contacts not researched yet (below the top 50).</t>
        </is>
      </c>
      <c r="L53" t="inlineStr">
        <is>
          <t>40-75</t>
        </is>
      </c>
      <c r="M53" t="inlineStr"/>
      <c r="N53" t="inlineStr"/>
      <c r="O53" t="inlineStr"/>
      <c r="P53" t="inlineStr"/>
      <c r="Q53" t="inlineStr"/>
      <c r="R53" t="inlineStr">
        <is>
          <t>N</t>
        </is>
      </c>
      <c r="S53" t="inlineStr">
        <is>
          <t>unknown</t>
        </is>
      </c>
      <c r="T53" t="inlineStr">
        <is>
          <t>N</t>
        </is>
      </c>
      <c r="U53" t="inlineStr">
        <is>
          <t>new</t>
        </is>
      </c>
      <c r="V53" t="inlineStr">
        <is>
          <t>https://www.at-bay.com/about/</t>
        </is>
      </c>
      <c r="W53" t="inlineStr">
        <is>
          <t>2026-10-23</t>
        </is>
      </c>
      <c r="X53" t="inlineStr">
        <is>
          <t>office</t>
        </is>
      </c>
      <c r="Y53" t="inlineStr"/>
      <c r="Z53" t="n">
        <v>52</v>
      </c>
      <c r="AA53" t="inlineStr">
        <is>
          <t>N</t>
        </is>
      </c>
      <c r="AB53" t="inlineStr"/>
      <c r="AC53" t="inlineStr"/>
      <c r="AD53" t="inlineStr">
        <is>
          <t>none</t>
        </is>
      </c>
      <c r="AE53" t="inlineStr"/>
      <c r="AF53" t="inlineStr"/>
      <c r="AG53" t="inlineStr"/>
      <c r="AH53" t="inlineStr">
        <is>
          <t>none</t>
        </is>
      </c>
      <c r="AI53" t="inlineStr">
        <is>
          <t>220 Fifth Avenue</t>
        </is>
      </c>
      <c r="AJ53" t="n">
        <v>8</v>
      </c>
      <c r="AK53" t="inlineStr">
        <is>
          <t>occupied</t>
        </is>
      </c>
      <c r="AL53" t="n">
        <v>8</v>
      </c>
      <c r="AM53" t="n">
        <v>224</v>
      </c>
      <c r="AN53" t="inlineStr">
        <is>
          <t>low</t>
        </is>
      </c>
      <c r="AO53" t="inlineStr">
        <is>
          <t>hybrid-2-or-less</t>
        </is>
      </c>
      <c r="AP53" t="inlineStr">
        <is>
          <t>AO-C-124</t>
        </is>
      </c>
      <c r="AQ53" t="inlineStr">
        <is>
          <t>N</t>
        </is>
      </c>
      <c r="AR53" t="inlineStr"/>
      <c r="AS53" t="inlineStr"/>
      <c r="AT53" t="inlineStr">
        <is>
          <t>N</t>
        </is>
      </c>
      <c r="AU53" t="inlineStr">
        <is>
          <t>no contact named on an opened page</t>
        </is>
      </c>
      <c r="AV53" t="inlineStr"/>
      <c r="AW53" t="inlineStr">
        <is>
          <t>N</t>
        </is>
      </c>
      <c r="AX53" t="inlineStr">
        <is>
          <t>pass</t>
        </is>
      </c>
      <c r="AY53" t="inlineStr">
        <is>
          <t>passes all hard gates</t>
        </is>
      </c>
      <c r="AZ53" t="inlineStr">
        <is>
          <t>company</t>
        </is>
      </c>
      <c r="BA53" t="inlineStr">
        <is>
          <t>B-C-124</t>
        </is>
      </c>
      <c r="BB53" t="inlineStr">
        <is>
          <t>https://www.at-bay.com/</t>
        </is>
      </c>
      <c r="BC53" t="inlineStr">
        <is>
          <t>Cyber insurance / insurtech</t>
        </is>
      </c>
      <c r="BD53" t="n">
        <v>230</v>
      </c>
      <c r="BE53" t="n">
        <v>335</v>
      </c>
      <c r="BF53" t="inlineStr">
        <is>
          <t>unknown</t>
        </is>
      </c>
      <c r="BG53" t="inlineStr">
        <is>
          <t>unknown</t>
        </is>
      </c>
      <c r="BH53" t="inlineStr">
        <is>
          <t>disagree</t>
        </is>
      </c>
      <c r="BI53" t="inlineStr">
        <is>
          <t>https://www.builtinnyc.com/company/at-bay/offices</t>
        </is>
      </c>
      <c r="BJ53" t="inlineStr">
        <is>
          <t>https://www.reveliolabs.com/companies/at-bay/employees</t>
        </is>
      </c>
      <c r="BK53" t="inlineStr">
        <is>
          <t>le500</t>
        </is>
      </c>
      <c r="BL53" t="inlineStr">
        <is>
          <t>Mountain View</t>
        </is>
      </c>
      <c r="BM53" t="inlineStr">
        <is>
          <t>N</t>
        </is>
      </c>
      <c r="BN53" t="inlineStr">
        <is>
          <t>unknown</t>
        </is>
      </c>
      <c r="BO53" t="inlineStr">
        <is>
          <t>unknown</t>
        </is>
      </c>
      <c r="BP53" t="n">
        <v>10001</v>
      </c>
      <c r="BQ53" t="n">
        <v>40.743655</v>
      </c>
      <c r="BR53" t="n">
        <v>-73.988282</v>
      </c>
      <c r="BS53" t="inlineStr">
        <is>
          <t>Y</t>
        </is>
      </c>
      <c r="BT53" t="n">
        <v>0</v>
      </c>
      <c r="BU53" t="inlineStr">
        <is>
          <t>B-B-060</t>
        </is>
      </c>
      <c r="BV53" t="inlineStr">
        <is>
          <t>220 Fifth Avenue</t>
        </is>
      </c>
      <c r="BW53" t="inlineStr">
        <is>
          <t>https://www.at-bay.com/about/</t>
        </is>
      </c>
      <c r="BX53" t="inlineStr">
        <is>
          <t>2026-10-24</t>
        </is>
      </c>
      <c r="BY53" t="inlineStr">
        <is>
          <t>company-site</t>
        </is>
      </c>
      <c r="BZ53" t="inlineStr"/>
      <c r="CA53" t="inlineStr"/>
      <c r="CB53" t="inlineStr"/>
      <c r="CC53" t="inlineStr">
        <is>
          <t>medium</t>
        </is>
      </c>
      <c r="CD53" t="inlineStr"/>
      <c r="CE53" t="inlineStr">
        <is>
          <t>N</t>
        </is>
      </c>
      <c r="CF53" t="inlineStr"/>
      <c r="CG53" t="inlineStr"/>
      <c r="CH53" t="inlineStr">
        <is>
          <t>unknown</t>
        </is>
      </c>
      <c r="CI53" t="inlineStr"/>
      <c r="CJ53" t="inlineStr">
        <is>
          <t>unknown</t>
        </is>
      </c>
      <c r="CK53" t="inlineStr">
        <is>
          <t>N</t>
        </is>
      </c>
      <c r="CL53" t="inlineStr">
        <is>
          <t>Built In workplace type: Hybrid Workplace; typical time on-site: 2 days a week; recent job tags: 2 Remote, 1 Hybrid</t>
        </is>
      </c>
      <c r="CM53" t="inlineStr">
        <is>
          <t>https://www.builtinnyc.com/company/at-bay/offices</t>
        </is>
      </c>
      <c r="CN53" t="inlineStr">
        <is>
          <t>2026-10-24</t>
        </is>
      </c>
      <c r="CO53" t="n">
        <v>42</v>
      </c>
      <c r="CP53" t="inlineStr">
        <is>
          <t>may be under 30</t>
        </is>
      </c>
      <c r="CQ53" t="inlineStr">
        <is>
          <t>230 (Built In) and 335 (Revelio Labs) staff (whole-company count) x 5% to 100% of them in the New York office (HQ outside New York; share assumed) x 67% (Partnership for NYC, firms under 500) in on a weekday = 8 to 224, central 42; low confidence; estimate until intake replaces it.</t>
        </is>
      </c>
      <c r="CR53" t="inlineStr">
        <is>
          <t>estimate until intake replaces it</t>
        </is>
      </c>
      <c r="CS53" t="n">
        <v>0.52</v>
      </c>
      <c r="CT53" t="n">
        <v>45.9</v>
      </c>
      <c r="CU53" t="n">
        <v>12.9</v>
      </c>
      <c r="CV53" t="n">
        <v>15</v>
      </c>
      <c r="CW53" t="n">
        <v>5</v>
      </c>
      <c r="CX53" t="n">
        <v>13</v>
      </c>
      <c r="CY53" t="n">
        <v>0</v>
      </c>
      <c r="CZ53" t="n">
        <v>0</v>
      </c>
      <c r="DA53" t="inlineStr"/>
      <c r="DB53" t="inlineStr"/>
      <c r="DC53" t="inlineStr"/>
      <c r="DD53" t="inlineStr"/>
      <c r="DE53" t="inlineStr"/>
      <c r="DF53" t="inlineStr">
        <is>
          <t>none</t>
        </is>
      </c>
      <c r="DG53" t="inlineStr">
        <is>
          <t>candidate</t>
        </is>
      </c>
      <c r="DH53" t="inlineStr"/>
      <c r="DI53" t="inlineStr"/>
      <c r="DJ53" t="inlineStr"/>
      <c r="DK53" t="inlineStr">
        <is>
          <t>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is>
      </c>
      <c r="DL53" t="inlineStr"/>
      <c r="DM53" t="inlineStr"/>
      <c r="DN53" t="inlineStr"/>
      <c r="DO53" t="inlineStr"/>
      <c r="DP53" t="inlineStr"/>
      <c r="DQ53" t="inlineStr"/>
      <c r="DR53" t="inlineStr"/>
      <c r="DS53" t="inlineStr">
        <is>
          <t>none</t>
        </is>
      </c>
      <c r="DT53" t="inlineStr"/>
      <c r="DU53" t="inlineStr"/>
      <c r="DV53" t="inlineStr"/>
      <c r="DW53" t="inlineStr"/>
      <c r="DX53" t="inlineStr">
        <is>
          <t>N</t>
        </is>
      </c>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f>IF(ISNUMBER(MATCH(U53,{"queued","contacted","replied","call_booked","call_done","yes_in_principle","materials_sent"},0)),"Y","N")</f>
        <v/>
      </c>
      <c r="ES53">
        <f>IF(COUNTIFS($AP$2:$AP$1000,AP53,$ER$2:$ER$1000,"Y")+COUNTIFS($AP$2:$AP$1000,AP53,$T$2:$T$1000,"Y")&gt;0,"Y","N")</f>
        <v/>
      </c>
      <c r="ET53">
        <f>IF(AND(U53="new",T53="N",AT53="Y",AS53="",ES53="N"),"Y","N")</f>
        <v/>
      </c>
      <c r="EU53">
        <f>IF(ET53&lt;&gt;"Y","N",IF(COUNTIFS($AP$2:$AP$1000,AP53,$ET$2:$ET$1000,"Y",$J$2:$J$1000,"&gt;"&amp;J53)+COUNTIFS($AP$2:$AP$1000,AP53,$ET$2:$ET$1000,"Y",$J$2:$J$1000,J53,$EW$2:$EW$1000,"&lt;"&amp;EW53)=0,"Y","N"))</f>
        <v/>
      </c>
      <c r="EV53">
        <f>IF(Y53="","N",IF(Y53&lt;=10,"Y","N"))</f>
        <v/>
      </c>
      <c r="EW53">
        <f>ROW()-1</f>
        <v/>
      </c>
    </row>
    <row r="54">
      <c r="A54" t="inlineStr">
        <is>
          <t>AO-C-267</t>
        </is>
      </c>
      <c r="B54" t="inlineStr">
        <is>
          <t>MiQ Digital USA</t>
        </is>
      </c>
      <c r="C54" t="inlineStr"/>
      <c r="D54" t="inlineStr"/>
      <c r="E54" t="inlineStr"/>
      <c r="F54" t="inlineStr"/>
      <c r="G54" t="inlineStr"/>
      <c r="H54" t="inlineStr">
        <is>
          <t>none</t>
        </is>
      </c>
      <c r="I54" t="inlineStr">
        <is>
          <t>linkedin</t>
        </is>
      </c>
      <c r="J54" t="n">
        <v>45.2</v>
      </c>
      <c r="K54" t="inlineStr">
        <is>
          <t>Tuesday estimate 39 to 789 (low confidence), 1,001 to 4,999 staff company-wide, on-site 5 days a week per its profile, occupied at a medium-confidence address; contacts not researched yet (below the top 50).</t>
        </is>
      </c>
      <c r="L54" t="inlineStr">
        <is>
          <t>151-250</t>
        </is>
      </c>
      <c r="M54" t="inlineStr"/>
      <c r="N54" t="inlineStr"/>
      <c r="O54" t="inlineStr"/>
      <c r="P54" t="inlineStr"/>
      <c r="Q54" t="inlineStr"/>
      <c r="R54" t="inlineStr">
        <is>
          <t>N</t>
        </is>
      </c>
      <c r="S54" t="inlineStr">
        <is>
          <t>unknown</t>
        </is>
      </c>
      <c r="T54" t="inlineStr">
        <is>
          <t>N</t>
        </is>
      </c>
      <c r="U54" t="inlineStr">
        <is>
          <t>new</t>
        </is>
      </c>
      <c r="V54" t="inlineStr">
        <is>
          <t>https://nyrej.com/print/57401</t>
        </is>
      </c>
      <c r="W54" t="inlineStr">
        <is>
          <t>2026-10-23</t>
        </is>
      </c>
      <c r="X54" t="inlineStr">
        <is>
          <t>office</t>
        </is>
      </c>
      <c r="Y54" t="inlineStr"/>
      <c r="Z54" t="n">
        <v>53</v>
      </c>
      <c r="AA54" t="inlineStr">
        <is>
          <t>N</t>
        </is>
      </c>
      <c r="AB54" t="inlineStr"/>
      <c r="AC54" t="inlineStr"/>
      <c r="AD54" t="inlineStr">
        <is>
          <t>none</t>
        </is>
      </c>
      <c r="AE54" t="inlineStr"/>
      <c r="AF54" t="inlineStr"/>
      <c r="AG54" t="inlineStr"/>
      <c r="AH54" t="inlineStr">
        <is>
          <t>none</t>
        </is>
      </c>
      <c r="AI54" t="inlineStr">
        <is>
          <t>261 Fifth Avenue</t>
        </is>
      </c>
      <c r="AJ54" t="inlineStr">
        <is>
          <t>25-26 now; moving to 19-21</t>
        </is>
      </c>
      <c r="AK54" t="inlineStr">
        <is>
          <t>occupied</t>
        </is>
      </c>
      <c r="AL54" t="n">
        <v>39</v>
      </c>
      <c r="AM54" t="n">
        <v>789</v>
      </c>
      <c r="AN54" t="inlineStr">
        <is>
          <t>low</t>
        </is>
      </c>
      <c r="AO54" t="inlineStr">
        <is>
          <t>in-office-5</t>
        </is>
      </c>
      <c r="AP54" t="inlineStr">
        <is>
          <t>AO-C-267</t>
        </is>
      </c>
      <c r="AQ54" t="inlineStr">
        <is>
          <t>N</t>
        </is>
      </c>
      <c r="AR54" t="inlineStr"/>
      <c r="AS54" t="inlineStr"/>
      <c r="AT54" t="inlineStr">
        <is>
          <t>N</t>
        </is>
      </c>
      <c r="AU54" t="inlineStr">
        <is>
          <t>no contact named on an opened page</t>
        </is>
      </c>
      <c r="AV54" t="inlineStr"/>
      <c r="AW54" t="inlineStr">
        <is>
          <t>N</t>
        </is>
      </c>
      <c r="AX54" t="inlineStr">
        <is>
          <t>pass</t>
        </is>
      </c>
      <c r="AY54" t="inlineStr">
        <is>
          <t>passes all hard gates</t>
        </is>
      </c>
      <c r="AZ54" t="inlineStr">
        <is>
          <t>company</t>
        </is>
      </c>
      <c r="BA54" t="inlineStr">
        <is>
          <t>B-C-267</t>
        </is>
      </c>
      <c r="BB54" t="inlineStr">
        <is>
          <t>https://www.wearemiq.com</t>
        </is>
      </c>
      <c r="BC54" t="inlineStr">
        <is>
          <t>adtech (programmatic media)</t>
        </is>
      </c>
      <c r="BD54" t="n">
        <v>1385</v>
      </c>
      <c r="BE54" t="inlineStr"/>
      <c r="BF54" t="inlineStr">
        <is>
          <t>over-500</t>
        </is>
      </c>
      <c r="BG54" t="inlineStr">
        <is>
          <t>whole-company</t>
        </is>
      </c>
      <c r="BH54" t="inlineStr">
        <is>
          <t>single-source</t>
        </is>
      </c>
      <c r="BI54" t="inlineStr">
        <is>
          <t>https://www.builtinnyc.com/company/miq-digital/offices</t>
        </is>
      </c>
      <c r="BJ54" t="inlineStr"/>
      <c r="BK54" t="inlineStr">
        <is>
          <t>1001-4999</t>
        </is>
      </c>
      <c r="BL54" t="inlineStr">
        <is>
          <t>unknown</t>
        </is>
      </c>
      <c r="BM54" t="inlineStr">
        <is>
          <t>unknown</t>
        </is>
      </c>
      <c r="BN54" t="inlineStr">
        <is>
          <t>unknown</t>
        </is>
      </c>
      <c r="BO54" t="inlineStr">
        <is>
          <t>unknown</t>
        </is>
      </c>
      <c r="BP54" t="n">
        <v>10016</v>
      </c>
      <c r="BQ54" t="n">
        <v>40.745027</v>
      </c>
      <c r="BR54" t="n">
        <v>-73.986825</v>
      </c>
      <c r="BS54" t="inlineStr">
        <is>
          <t>Y</t>
        </is>
      </c>
      <c r="BT54" t="n">
        <v>0</v>
      </c>
      <c r="BU54" t="inlineStr">
        <is>
          <t>B-B-077</t>
        </is>
      </c>
      <c r="BV54" t="inlineStr">
        <is>
          <t>261 Fifth Avenue (Feil Organization)</t>
        </is>
      </c>
      <c r="BW54" t="inlineStr">
        <is>
          <t>https://nyrej.com/print/57401</t>
        </is>
      </c>
      <c r="BX54" t="inlineStr">
        <is>
          <t>2026-04-14</t>
        </is>
      </c>
      <c r="BY54" t="inlineStr">
        <is>
          <t>leasing-press</t>
        </is>
      </c>
      <c r="BZ54" t="inlineStr"/>
      <c r="CA54" t="inlineStr"/>
      <c r="CB54" t="inlineStr"/>
      <c r="CC54" t="inlineStr">
        <is>
          <t>medium</t>
        </is>
      </c>
      <c r="CD54" t="inlineStr"/>
      <c r="CE54" t="inlineStr">
        <is>
          <t>N</t>
        </is>
      </c>
      <c r="CF54" t="inlineStr"/>
      <c r="CG54" t="inlineStr"/>
      <c r="CH54" t="inlineStr">
        <is>
          <t>security desk</t>
        </is>
      </c>
      <c r="CI54" t="inlineStr">
        <is>
          <t>https://www.metro-manhattan.com/buildings/261-fifth-avenue-office-space-for-lease/</t>
        </is>
      </c>
      <c r="CJ54" t="inlineStr">
        <is>
          <t>unknown</t>
        </is>
      </c>
      <c r="CK54" t="inlineStr">
        <is>
          <t>N</t>
        </is>
      </c>
      <c r="CL54" t="inlineStr">
        <is>
          <t>Built In workplace type: OnSite Workplace</t>
        </is>
      </c>
      <c r="CM54" t="inlineStr">
        <is>
          <t>https://www.builtinnyc.com/company/miq-digital/offices</t>
        </is>
      </c>
      <c r="CN54" t="inlineStr">
        <is>
          <t>2026-10-24</t>
        </is>
      </c>
      <c r="CO54" t="n">
        <v>175</v>
      </c>
      <c r="CP54" t="inlineStr">
        <is>
          <t>may exceed 250</t>
        </is>
      </c>
      <c r="CQ54" t="inlineStr">
        <is>
          <t>1385 (Built In) staff (whole-company count) x 5% to 100% of them in the New York office (HQ city unknown; share assumed) x 57% (Partnership for NYC, all Manhattan firms; no figure for 500 to 4,999) in on a weekday = 39 to 789, central 175; low confidence; estimate until intake replaces it.</t>
        </is>
      </c>
      <c r="CR54" t="inlineStr">
        <is>
          <t>estimate until intake replaces it</t>
        </is>
      </c>
      <c r="CS54" t="n">
        <v>0.61</v>
      </c>
      <c r="CT54" t="n">
        <v>45.2</v>
      </c>
      <c r="CU54" t="n">
        <v>15.2</v>
      </c>
      <c r="CV54" t="n">
        <v>2</v>
      </c>
      <c r="CW54" t="n">
        <v>15</v>
      </c>
      <c r="CX54" t="n">
        <v>13</v>
      </c>
      <c r="CY54" t="n">
        <v>0</v>
      </c>
      <c r="CZ54" t="n">
        <v>0</v>
      </c>
      <c r="DA54" t="inlineStr"/>
      <c r="DB54" t="inlineStr"/>
      <c r="DC54" t="inlineStr"/>
      <c r="DD54" t="inlineStr"/>
      <c r="DE54" t="inlineStr"/>
      <c r="DF54" t="inlineStr">
        <is>
          <t>none</t>
        </is>
      </c>
      <c r="DG54" t="inlineStr">
        <is>
          <t>near-miss-over-500</t>
        </is>
      </c>
      <c r="DH54" t="inlineStr">
        <is>
          <t>over-1,000 (1,001 to 4,999)</t>
        </is>
      </c>
      <c r="DI54" t="inlineStr">
        <is>
          <t>N</t>
        </is>
      </c>
      <c r="DJ54" t="inlineStr">
        <is>
          <t>23,400 sf;42,000 sf</t>
        </is>
      </c>
      <c r="DK54" t="inlineStr">
        <is>
          <t>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is>
      </c>
      <c r="DL54" t="inlineStr"/>
      <c r="DM54" t="inlineStr"/>
      <c r="DN54" t="inlineStr"/>
      <c r="DO54" t="inlineStr"/>
      <c r="DP54" t="inlineStr"/>
      <c r="DQ54" t="inlineStr"/>
      <c r="DR54" t="inlineStr"/>
      <c r="DS54" t="inlineStr">
        <is>
          <t>none</t>
        </is>
      </c>
      <c r="DT54" t="inlineStr"/>
      <c r="DU54" t="inlineStr"/>
      <c r="DV54" t="inlineStr"/>
      <c r="DW54" t="inlineStr"/>
      <c r="DX54" t="inlineStr">
        <is>
          <t>N</t>
        </is>
      </c>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f>IF(ISNUMBER(MATCH(U54,{"queued","contacted","replied","call_booked","call_done","yes_in_principle","materials_sent"},0)),"Y","N")</f>
        <v/>
      </c>
      <c r="ES54">
        <f>IF(COUNTIFS($AP$2:$AP$1000,AP54,$ER$2:$ER$1000,"Y")+COUNTIFS($AP$2:$AP$1000,AP54,$T$2:$T$1000,"Y")&gt;0,"Y","N")</f>
        <v/>
      </c>
      <c r="ET54">
        <f>IF(AND(U54="new",T54="N",AT54="Y",AS54="",ES54="N"),"Y","N")</f>
        <v/>
      </c>
      <c r="EU54">
        <f>IF(ET54&lt;&gt;"Y","N",IF(COUNTIFS($AP$2:$AP$1000,AP54,$ET$2:$ET$1000,"Y",$J$2:$J$1000,"&gt;"&amp;J54)+COUNTIFS($AP$2:$AP$1000,AP54,$ET$2:$ET$1000,"Y",$J$2:$J$1000,J54,$EW$2:$EW$1000,"&lt;"&amp;EW54)=0,"Y","N"))</f>
        <v/>
      </c>
      <c r="EV54">
        <f>IF(Y54="","N",IF(Y54&lt;=10,"Y","N"))</f>
        <v/>
      </c>
      <c r="EW54">
        <f>ROW()-1</f>
        <v/>
      </c>
    </row>
    <row r="55">
      <c r="A55" t="inlineStr">
        <is>
          <t>AO-C-075</t>
        </is>
      </c>
      <c r="B55" t="inlineStr">
        <is>
          <t>Retool</t>
        </is>
      </c>
      <c r="C55" t="inlineStr"/>
      <c r="D55" t="inlineStr"/>
      <c r="E55" t="inlineStr"/>
      <c r="F55" t="inlineStr"/>
      <c r="G55" t="inlineStr"/>
      <c r="H55" t="inlineStr">
        <is>
          <t>none</t>
        </is>
      </c>
      <c r="I55" t="inlineStr">
        <is>
          <t>linkedin</t>
        </is>
      </c>
      <c r="J55" t="n">
        <v>45.1</v>
      </c>
      <c r="K55" t="inlineStr">
        <is>
          <t>Tuesday estimate 12 to 249 (low confidence), under 500 staff company-wide, hybrid 3 days, occupancy-unconfirmed at a low-confidence address; contacts not researched yet (below the top 50).</t>
        </is>
      </c>
      <c r="L55" t="inlineStr">
        <is>
          <t>40-75</t>
        </is>
      </c>
      <c r="M55" t="inlineStr"/>
      <c r="N55" t="inlineStr"/>
      <c r="O55" t="inlineStr"/>
      <c r="P55" t="inlineStr"/>
      <c r="Q55" t="inlineStr"/>
      <c r="R55" t="inlineStr">
        <is>
          <t>N</t>
        </is>
      </c>
      <c r="S55" t="inlineStr">
        <is>
          <t>unknown</t>
        </is>
      </c>
      <c r="T55" t="inlineStr">
        <is>
          <t>N</t>
        </is>
      </c>
      <c r="U55" t="inlineStr">
        <is>
          <t>new</t>
        </is>
      </c>
      <c r="V55" t="inlineStr">
        <is>
          <t>https://www.builtinnyc.com/company/retool/offices</t>
        </is>
      </c>
      <c r="W55" t="inlineStr">
        <is>
          <t>2026-10-23</t>
        </is>
      </c>
      <c r="X55" t="inlineStr">
        <is>
          <t>office</t>
        </is>
      </c>
      <c r="Y55" t="inlineStr"/>
      <c r="Z55" t="n">
        <v>54</v>
      </c>
      <c r="AA55" t="inlineStr">
        <is>
          <t>N</t>
        </is>
      </c>
      <c r="AB55" t="inlineStr"/>
      <c r="AC55" t="inlineStr"/>
      <c r="AD55" t="inlineStr">
        <is>
          <t>none</t>
        </is>
      </c>
      <c r="AE55" t="inlineStr"/>
      <c r="AF55" t="inlineStr"/>
      <c r="AG55" t="inlineStr"/>
      <c r="AH55" t="inlineStr">
        <is>
          <t>none</t>
        </is>
      </c>
      <c r="AI55" t="inlineStr">
        <is>
          <t>915 Broadway</t>
        </is>
      </c>
      <c r="AJ55" t="inlineStr">
        <is>
          <t>unknown</t>
        </is>
      </c>
      <c r="AK55" t="inlineStr">
        <is>
          <t>occupancy-unconfirmed</t>
        </is>
      </c>
      <c r="AL55" t="n">
        <v>12</v>
      </c>
      <c r="AM55" t="n">
        <v>249</v>
      </c>
      <c r="AN55" t="inlineStr">
        <is>
          <t>low</t>
        </is>
      </c>
      <c r="AO55" t="inlineStr">
        <is>
          <t>hybrid-3</t>
        </is>
      </c>
      <c r="AP55" t="inlineStr">
        <is>
          <t>AO-C-075</t>
        </is>
      </c>
      <c r="AQ55" t="inlineStr">
        <is>
          <t>N</t>
        </is>
      </c>
      <c r="AR55" t="inlineStr"/>
      <c r="AS55" t="inlineStr"/>
      <c r="AT55" t="inlineStr">
        <is>
          <t>N</t>
        </is>
      </c>
      <c r="AU55" t="inlineStr">
        <is>
          <t>no contact named on an opened page</t>
        </is>
      </c>
      <c r="AV55" t="inlineStr"/>
      <c r="AW55" t="inlineStr">
        <is>
          <t>N</t>
        </is>
      </c>
      <c r="AX55" t="inlineStr">
        <is>
          <t>pass</t>
        </is>
      </c>
      <c r="AY55" t="inlineStr">
        <is>
          <t>passes all hard gates</t>
        </is>
      </c>
      <c r="AZ55" t="inlineStr">
        <is>
          <t>company</t>
        </is>
      </c>
      <c r="BA55" t="inlineStr">
        <is>
          <t>B-C-075</t>
        </is>
      </c>
      <c r="BB55" t="inlineStr">
        <is>
          <t>https://retool.com</t>
        </is>
      </c>
      <c r="BC55" t="inlineStr">
        <is>
          <t>software (internal tools platform)</t>
        </is>
      </c>
      <c r="BD55" t="n">
        <v>350</v>
      </c>
      <c r="BE55" t="n">
        <v>372</v>
      </c>
      <c r="BF55" t="inlineStr">
        <is>
          <t>251-500</t>
        </is>
      </c>
      <c r="BG55" t="inlineStr">
        <is>
          <t>whole-company</t>
        </is>
      </c>
      <c r="BH55" t="inlineStr">
        <is>
          <t>agree</t>
        </is>
      </c>
      <c r="BI55" t="inlineStr">
        <is>
          <t>https://www.builtinnyc.com/company/retool</t>
        </is>
      </c>
      <c r="BJ55" t="inlineStr">
        <is>
          <t>https://www.reveliolabs.com/companies/retool/employees</t>
        </is>
      </c>
      <c r="BK55" t="inlineStr">
        <is>
          <t>le500</t>
        </is>
      </c>
      <c r="BL55" t="inlineStr">
        <is>
          <t>San Francisco</t>
        </is>
      </c>
      <c r="BM55" t="inlineStr">
        <is>
          <t>N</t>
        </is>
      </c>
      <c r="BN55" t="inlineStr">
        <is>
          <t>unknown</t>
        </is>
      </c>
      <c r="BO55" t="inlineStr">
        <is>
          <t>unknown</t>
        </is>
      </c>
      <c r="BP55" t="n">
        <v>10010</v>
      </c>
      <c r="BQ55" t="n">
        <v>40.739695</v>
      </c>
      <c r="BR55" t="n">
        <v>-73.989816</v>
      </c>
      <c r="BS55" t="inlineStr">
        <is>
          <t>Y</t>
        </is>
      </c>
      <c r="BT55" t="n">
        <v>0</v>
      </c>
      <c r="BU55" t="inlineStr">
        <is>
          <t>B-B-034</t>
        </is>
      </c>
      <c r="BV55" t="inlineStr">
        <is>
          <t>915 Broadway (ABS Partners)</t>
        </is>
      </c>
      <c r="BW55" t="inlineStr">
        <is>
          <t>https://www.builtinnyc.com/company/retool/offices</t>
        </is>
      </c>
      <c r="BX55" t="inlineStr">
        <is>
          <t>2026-10-23</t>
        </is>
      </c>
      <c r="BY55" t="inlineStr">
        <is>
          <t>builtin</t>
        </is>
      </c>
      <c r="BZ55" t="inlineStr"/>
      <c r="CA55" t="inlineStr"/>
      <c r="CB55" t="inlineStr"/>
      <c r="CC55" t="inlineStr">
        <is>
          <t>low</t>
        </is>
      </c>
      <c r="CD55" t="inlineStr"/>
      <c r="CE55" t="inlineStr">
        <is>
          <t>N</t>
        </is>
      </c>
      <c r="CF55" t="inlineStr"/>
      <c r="CG55" t="inlineStr"/>
      <c r="CH55" t="inlineStr">
        <is>
          <t>security desk</t>
        </is>
      </c>
      <c r="CI55" t="inlineStr">
        <is>
          <t>https://www.metro-manhattan.com/buildings/915-broadway-office-space-for-lease/</t>
        </is>
      </c>
      <c r="CJ55" t="inlineStr">
        <is>
          <t>unknown</t>
        </is>
      </c>
      <c r="CK55" t="inlineStr">
        <is>
          <t>N</t>
        </is>
      </c>
      <c r="CL55" t="inlineStr">
        <is>
          <t>Built In workplace type: Hybrid Workplace; typical time on-site: 3 days a week; recent job tags: 3 Hybrid</t>
        </is>
      </c>
      <c r="CM55" t="inlineStr">
        <is>
          <t>https://www.builtinnyc.com/company/retool/offices</t>
        </is>
      </c>
      <c r="CN55" t="inlineStr">
        <is>
          <t>2026-10-24</t>
        </is>
      </c>
      <c r="CO55" t="n">
        <v>55</v>
      </c>
      <c r="CP55" t="inlineStr">
        <is>
          <t>may be under 30</t>
        </is>
      </c>
      <c r="CQ55" t="inlineStr">
        <is>
          <t>350 (Built In) and 372 (Revelio Labs) staff (whole-company count) x 5% to 100% of them in the New York office (HQ outside New York; share assumed) x 67% (Partnership for NYC, firms under 500) in on a weekday = 12 to 249, central 55; low confidence; estimate until intake replaces it.</t>
        </is>
      </c>
      <c r="CR55" t="inlineStr">
        <is>
          <t>estimate until intake replaces it</t>
        </is>
      </c>
      <c r="CS55" t="n">
        <v>0.6</v>
      </c>
      <c r="CT55" t="n">
        <v>45.1</v>
      </c>
      <c r="CU55" t="n">
        <v>15.1</v>
      </c>
      <c r="CV55" t="n">
        <v>15</v>
      </c>
      <c r="CW55" t="n">
        <v>10</v>
      </c>
      <c r="CX55" t="n">
        <v>5</v>
      </c>
      <c r="CY55" t="n">
        <v>0</v>
      </c>
      <c r="CZ55" t="n">
        <v>0</v>
      </c>
      <c r="DA55" t="inlineStr"/>
      <c r="DB55" t="inlineStr"/>
      <c r="DC55" t="inlineStr"/>
      <c r="DD55" t="inlineStr"/>
      <c r="DE55" t="inlineStr"/>
      <c r="DF55" t="inlineStr">
        <is>
          <t>none</t>
        </is>
      </c>
      <c r="DG55" t="inlineStr">
        <is>
          <t>candidate</t>
        </is>
      </c>
      <c r="DH55" t="inlineStr"/>
      <c r="DI55" t="inlineStr"/>
      <c r="DJ55" t="inlineStr"/>
      <c r="DK55" t="inlineStr">
        <is>
          <t>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is>
      </c>
      <c r="DL55" t="inlineStr"/>
      <c r="DM55" t="inlineStr"/>
      <c r="DN55" t="inlineStr"/>
      <c r="DO55" t="inlineStr"/>
      <c r="DP55" t="inlineStr"/>
      <c r="DQ55" t="inlineStr"/>
      <c r="DR55" t="inlineStr"/>
      <c r="DS55" t="inlineStr">
        <is>
          <t>none</t>
        </is>
      </c>
      <c r="DT55" t="inlineStr"/>
      <c r="DU55" t="inlineStr"/>
      <c r="DV55" t="inlineStr"/>
      <c r="DW55" t="inlineStr"/>
      <c r="DX55" t="inlineStr">
        <is>
          <t>N</t>
        </is>
      </c>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f>IF(ISNUMBER(MATCH(U55,{"queued","contacted","replied","call_booked","call_done","yes_in_principle","materials_sent"},0)),"Y","N")</f>
        <v/>
      </c>
      <c r="ES55">
        <f>IF(COUNTIFS($AP$2:$AP$1000,AP55,$ER$2:$ER$1000,"Y")+COUNTIFS($AP$2:$AP$1000,AP55,$T$2:$T$1000,"Y")&gt;0,"Y","N")</f>
        <v/>
      </c>
      <c r="ET55">
        <f>IF(AND(U55="new",T55="N",AT55="Y",AS55="",ES55="N"),"Y","N")</f>
        <v/>
      </c>
      <c r="EU55">
        <f>IF(ET55&lt;&gt;"Y","N",IF(COUNTIFS($AP$2:$AP$1000,AP55,$ET$2:$ET$1000,"Y",$J$2:$J$1000,"&gt;"&amp;J55)+COUNTIFS($AP$2:$AP$1000,AP55,$ET$2:$ET$1000,"Y",$J$2:$J$1000,J55,$EW$2:$EW$1000,"&lt;"&amp;EW55)=0,"Y","N"))</f>
        <v/>
      </c>
      <c r="EV55">
        <f>IF(Y55="","N",IF(Y55&lt;=10,"Y","N"))</f>
        <v/>
      </c>
      <c r="EW55">
        <f>ROW()-1</f>
        <v/>
      </c>
    </row>
    <row r="56">
      <c r="A56" t="inlineStr">
        <is>
          <t>AO-C-106</t>
        </is>
      </c>
      <c r="B56" t="inlineStr">
        <is>
          <t>Ellevest</t>
        </is>
      </c>
      <c r="C56" t="inlineStr"/>
      <c r="D56" t="inlineStr"/>
      <c r="E56" t="inlineStr"/>
      <c r="F56" t="inlineStr"/>
      <c r="G56" t="inlineStr"/>
      <c r="H56" t="inlineStr">
        <is>
          <t>none</t>
        </is>
      </c>
      <c r="I56" t="inlineStr">
        <is>
          <t>linkedin</t>
        </is>
      </c>
      <c r="J56" t="n">
        <v>45.1</v>
      </c>
      <c r="K56" t="inlineStr">
        <is>
          <t>Tuesday estimate 13 to 86 (low confidence), under 500 staff company-wide, on-site 5 days a week per its profile, occupancy-unconfirmed at a low-confidence address; contacts not researched yet (below the top 50).</t>
        </is>
      </c>
      <c r="L56" t="inlineStr">
        <is>
          <t>under-40</t>
        </is>
      </c>
      <c r="M56" t="inlineStr"/>
      <c r="N56" t="inlineStr"/>
      <c r="O56" t="inlineStr"/>
      <c r="P56" t="inlineStr"/>
      <c r="Q56" t="inlineStr"/>
      <c r="R56" t="inlineStr">
        <is>
          <t>N</t>
        </is>
      </c>
      <c r="S56" t="inlineStr">
        <is>
          <t>unknown</t>
        </is>
      </c>
      <c r="T56" t="inlineStr">
        <is>
          <t>N</t>
        </is>
      </c>
      <c r="U56" t="inlineStr">
        <is>
          <t>new</t>
        </is>
      </c>
      <c r="V56" t="inlineStr">
        <is>
          <t>https://www.builtinnyc.com/company/ellevest/offices</t>
        </is>
      </c>
      <c r="W56" t="inlineStr">
        <is>
          <t>2026-10-23</t>
        </is>
      </c>
      <c r="X56" t="inlineStr">
        <is>
          <t>office</t>
        </is>
      </c>
      <c r="Y56" t="inlineStr"/>
      <c r="Z56" t="n">
        <v>55</v>
      </c>
      <c r="AA56" t="inlineStr">
        <is>
          <t>N</t>
        </is>
      </c>
      <c r="AB56" t="inlineStr">
        <is>
          <t>Tuesday estimate band under-40: founder's call (set founder_ok_to_queue = Y to queue)</t>
        </is>
      </c>
      <c r="AC56" t="inlineStr"/>
      <c r="AD56" t="inlineStr">
        <is>
          <t>none</t>
        </is>
      </c>
      <c r="AE56" t="inlineStr"/>
      <c r="AF56" t="inlineStr"/>
      <c r="AG56" t="inlineStr"/>
      <c r="AH56" t="inlineStr">
        <is>
          <t>none</t>
        </is>
      </c>
      <c r="AI56" t="inlineStr">
        <is>
          <t>48 West 25th Street</t>
        </is>
      </c>
      <c r="AJ56" t="inlineStr">
        <is>
          <t>unknown</t>
        </is>
      </c>
      <c r="AK56" t="inlineStr">
        <is>
          <t>occupancy-unconfirmed</t>
        </is>
      </c>
      <c r="AL56" t="n">
        <v>13</v>
      </c>
      <c r="AM56" t="n">
        <v>86</v>
      </c>
      <c r="AN56" t="inlineStr">
        <is>
          <t>low</t>
        </is>
      </c>
      <c r="AO56" t="inlineStr">
        <is>
          <t>in-office-5</t>
        </is>
      </c>
      <c r="AP56" t="inlineStr">
        <is>
          <t>AO-C-106</t>
        </is>
      </c>
      <c r="AQ56" t="inlineStr">
        <is>
          <t>N</t>
        </is>
      </c>
      <c r="AR56" t="inlineStr"/>
      <c r="AS56" t="inlineStr"/>
      <c r="AT56" t="inlineStr">
        <is>
          <t>N</t>
        </is>
      </c>
      <c r="AU56" t="inlineStr">
        <is>
          <t>no contact named on an opened page; Tuesday estimate band under-40: founder's call</t>
        </is>
      </c>
      <c r="AV56" t="inlineStr"/>
      <c r="AW56" t="inlineStr">
        <is>
          <t>Y</t>
        </is>
      </c>
      <c r="AX56" t="inlineStr">
        <is>
          <t>pass</t>
        </is>
      </c>
      <c r="AY56" t="inlineStr">
        <is>
          <t>passes all hard gates</t>
        </is>
      </c>
      <c r="AZ56" t="inlineStr">
        <is>
          <t>company</t>
        </is>
      </c>
      <c r="BA56" t="inlineStr">
        <is>
          <t>B-C-106</t>
        </is>
      </c>
      <c r="BB56" t="inlineStr">
        <is>
          <t>https://www.ellevest.com/</t>
        </is>
      </c>
      <c r="BC56" t="inlineStr">
        <is>
          <t>Fintech / wealth management</t>
        </is>
      </c>
      <c r="BD56" t="n">
        <v>129</v>
      </c>
      <c r="BE56" t="n">
        <v>38</v>
      </c>
      <c r="BF56" t="inlineStr">
        <is>
          <t>unknown</t>
        </is>
      </c>
      <c r="BG56" t="inlineStr">
        <is>
          <t>unknown</t>
        </is>
      </c>
      <c r="BH56" t="inlineStr">
        <is>
          <t>disagree</t>
        </is>
      </c>
      <c r="BI56" t="inlineStr">
        <is>
          <t>https://www.builtinnyc.com/company/ellevest/offices</t>
        </is>
      </c>
      <c r="BJ56" t="inlineStr">
        <is>
          <t>https://www.reveliolabs.com/companies/ellevest/employees</t>
        </is>
      </c>
      <c r="BK56" t="inlineStr">
        <is>
          <t>le500</t>
        </is>
      </c>
      <c r="BL56" t="inlineStr">
        <is>
          <t>New York</t>
        </is>
      </c>
      <c r="BM56" t="inlineStr">
        <is>
          <t>Y</t>
        </is>
      </c>
      <c r="BN56" t="inlineStr">
        <is>
          <t>unknown</t>
        </is>
      </c>
      <c r="BO56" t="inlineStr">
        <is>
          <t>unknown</t>
        </is>
      </c>
      <c r="BP56" t="n">
        <v>10010</v>
      </c>
      <c r="BQ56" t="n">
        <v>40.743751</v>
      </c>
      <c r="BR56" t="n">
        <v>-73.99137399999999</v>
      </c>
      <c r="BS56" t="inlineStr">
        <is>
          <t>Y</t>
        </is>
      </c>
      <c r="BT56" t="n">
        <v>0</v>
      </c>
      <c r="BU56" t="inlineStr">
        <is>
          <t>B-B-054</t>
        </is>
      </c>
      <c r="BV56" t="inlineStr">
        <is>
          <t>48 West 25th Street (Kaufman Organization; part of former Savanna 'Madison Square Collection')</t>
        </is>
      </c>
      <c r="BW56" t="inlineStr">
        <is>
          <t>https://www.builtinnyc.com/company/ellevest/offices</t>
        </is>
      </c>
      <c r="BX56" t="inlineStr">
        <is>
          <t>2026-10-24</t>
        </is>
      </c>
      <c r="BY56" t="inlineStr">
        <is>
          <t>builtin</t>
        </is>
      </c>
      <c r="BZ56" t="inlineStr"/>
      <c r="CA56" t="inlineStr"/>
      <c r="CB56" t="inlineStr"/>
      <c r="CC56" t="inlineStr">
        <is>
          <t>low</t>
        </is>
      </c>
      <c r="CD56" t="inlineStr"/>
      <c r="CE56" t="inlineStr">
        <is>
          <t>N</t>
        </is>
      </c>
      <c r="CF56" t="inlineStr"/>
      <c r="CG56" t="inlineStr"/>
      <c r="CH56" t="inlineStr">
        <is>
          <t>unknown</t>
        </is>
      </c>
      <c r="CI56" t="inlineStr"/>
      <c r="CJ56" t="inlineStr">
        <is>
          <t>unknown</t>
        </is>
      </c>
      <c r="CK56" t="inlineStr">
        <is>
          <t>N</t>
        </is>
      </c>
      <c r="CL56" t="inlineStr">
        <is>
          <t>Built In workplace type: OnSite Workplace; typical time on-site: 5 days a week</t>
        </is>
      </c>
      <c r="CM56" t="inlineStr">
        <is>
          <t>https://www.builtinnyc.com/company/ellevest/offices</t>
        </is>
      </c>
      <c r="CN56" t="inlineStr">
        <is>
          <t>2026-10-24</t>
        </is>
      </c>
      <c r="CO56" t="n">
        <v>33</v>
      </c>
      <c r="CP56" t="inlineStr">
        <is>
          <t>may be under 30;30 to 39 is the founder's call</t>
        </is>
      </c>
      <c r="CQ56" t="inlineStr">
        <is>
          <t>129 (Built In) and 38 (Revelio Labs) staff (whole-company count) x 50% to 100% of them in the New York office (HQ New York; share assumed) x 67% (Partnership for NYC, firms under 500) in on a weekday = 13 to 86, central 33; low confidence; estimate until intake replaces it.</t>
        </is>
      </c>
      <c r="CR56" t="inlineStr">
        <is>
          <t>estimate until intake replaces it</t>
        </is>
      </c>
      <c r="CS56" t="n">
        <v>0.41</v>
      </c>
      <c r="CT56" t="n">
        <v>45.1</v>
      </c>
      <c r="CU56" t="n">
        <v>10.1</v>
      </c>
      <c r="CV56" t="n">
        <v>15</v>
      </c>
      <c r="CW56" t="n">
        <v>15</v>
      </c>
      <c r="CX56" t="n">
        <v>5</v>
      </c>
      <c r="CY56" t="n">
        <v>0</v>
      </c>
      <c r="CZ56" t="n">
        <v>0</v>
      </c>
      <c r="DA56" t="inlineStr"/>
      <c r="DB56" t="inlineStr"/>
      <c r="DC56" t="inlineStr"/>
      <c r="DD56" t="inlineStr"/>
      <c r="DE56" t="inlineStr"/>
      <c r="DF56" t="inlineStr">
        <is>
          <t>none</t>
        </is>
      </c>
      <c r="DG56" t="inlineStr">
        <is>
          <t>candidate</t>
        </is>
      </c>
      <c r="DH56" t="inlineStr"/>
      <c r="DI56" t="inlineStr"/>
      <c r="DJ56" t="inlineStr"/>
      <c r="DK56" t="inlineStr">
        <is>
          <t>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is>
      </c>
      <c r="DL56" t="inlineStr"/>
      <c r="DM56" t="inlineStr"/>
      <c r="DN56" t="inlineStr"/>
      <c r="DO56" t="inlineStr"/>
      <c r="DP56" t="inlineStr"/>
      <c r="DQ56" t="inlineStr"/>
      <c r="DR56" t="inlineStr"/>
      <c r="DS56" t="inlineStr">
        <is>
          <t>none</t>
        </is>
      </c>
      <c r="DT56" t="inlineStr"/>
      <c r="DU56" t="inlineStr"/>
      <c r="DV56" t="inlineStr"/>
      <c r="DW56" t="inlineStr"/>
      <c r="DX56" t="inlineStr">
        <is>
          <t>N</t>
        </is>
      </c>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f>IF(ISNUMBER(MATCH(U56,{"queued","contacted","replied","call_booked","call_done","yes_in_principle","materials_sent"},0)),"Y","N")</f>
        <v/>
      </c>
      <c r="ES56">
        <f>IF(COUNTIFS($AP$2:$AP$1000,AP56,$ER$2:$ER$1000,"Y")+COUNTIFS($AP$2:$AP$1000,AP56,$T$2:$T$1000,"Y")&gt;0,"Y","N")</f>
        <v/>
      </c>
      <c r="ET56">
        <f>IF(AND(U56="new",T56="N",AT56="Y",AS56="",ES56="N"),"Y","N")</f>
        <v/>
      </c>
      <c r="EU56">
        <f>IF(ET56&lt;&gt;"Y","N",IF(COUNTIFS($AP$2:$AP$1000,AP56,$ET$2:$ET$1000,"Y",$J$2:$J$1000,"&gt;"&amp;J56)+COUNTIFS($AP$2:$AP$1000,AP56,$ET$2:$ET$1000,"Y",$J$2:$J$1000,J56,$EW$2:$EW$1000,"&lt;"&amp;EW56)=0,"Y","N"))</f>
        <v/>
      </c>
      <c r="EV56">
        <f>IF(Y56="","N",IF(Y56&lt;=10,"Y","N"))</f>
        <v/>
      </c>
      <c r="EW56">
        <f>ROW()-1</f>
        <v/>
      </c>
    </row>
    <row r="57">
      <c r="A57" t="inlineStr">
        <is>
          <t>AO-C-169</t>
        </is>
      </c>
      <c r="B57" t="inlineStr">
        <is>
          <t>Pumpkin Pet Insurance</t>
        </is>
      </c>
      <c r="C57" t="inlineStr"/>
      <c r="D57" t="inlineStr"/>
      <c r="E57" t="inlineStr"/>
      <c r="F57" t="inlineStr"/>
      <c r="G57" t="inlineStr"/>
      <c r="H57" t="inlineStr">
        <is>
          <t>none</t>
        </is>
      </c>
      <c r="I57" t="inlineStr">
        <is>
          <t>linkedin</t>
        </is>
      </c>
      <c r="J57" t="n">
        <v>45</v>
      </c>
      <c r="K57" t="inlineStr">
        <is>
          <t>Tuesday estimate 59 to 117 (low confidence), under 500 staff company-wide, hybrid 2 days or fewer, occupancy-unconfirmed at a low-confidence address (hold: address conflict in B's sources); contacts not researched yet (below the top 50).</t>
        </is>
      </c>
      <c r="L57" t="inlineStr">
        <is>
          <t>76-150</t>
        </is>
      </c>
      <c r="M57" t="inlineStr"/>
      <c r="N57" t="inlineStr"/>
      <c r="O57" t="inlineStr"/>
      <c r="P57" t="inlineStr"/>
      <c r="Q57" t="inlineStr"/>
      <c r="R57" t="inlineStr">
        <is>
          <t>N</t>
        </is>
      </c>
      <c r="S57" t="inlineStr">
        <is>
          <t>unknown</t>
        </is>
      </c>
      <c r="T57" t="inlineStr">
        <is>
          <t>N</t>
        </is>
      </c>
      <c r="U57" t="inlineStr">
        <is>
          <t>new</t>
        </is>
      </c>
      <c r="V57" t="inlineStr">
        <is>
          <t>https://www.builtinnyc.com/company/pumpkin/offices</t>
        </is>
      </c>
      <c r="W57" t="inlineStr">
        <is>
          <t>2026-10-23</t>
        </is>
      </c>
      <c r="X57" t="inlineStr">
        <is>
          <t>office</t>
        </is>
      </c>
      <c r="Y57" t="inlineStr"/>
      <c r="Z57" t="n">
        <v>56</v>
      </c>
      <c r="AA57" t="inlineStr">
        <is>
          <t>N</t>
        </is>
      </c>
      <c r="AB57" t="inlineStr"/>
      <c r="AC57" t="inlineStr"/>
      <c r="AD57" t="inlineStr">
        <is>
          <t>none</t>
        </is>
      </c>
      <c r="AE57" t="inlineStr"/>
      <c r="AF57" t="inlineStr"/>
      <c r="AG57" t="inlineStr"/>
      <c r="AH57" t="inlineStr">
        <is>
          <t>none</t>
        </is>
      </c>
      <c r="AI57" t="inlineStr">
        <is>
          <t>432 Park Avenue South</t>
        </is>
      </c>
      <c r="AJ57" t="inlineStr">
        <is>
          <t>unknown</t>
        </is>
      </c>
      <c r="AK57" t="inlineStr">
        <is>
          <t>occupancy-unconfirmed</t>
        </is>
      </c>
      <c r="AL57" t="n">
        <v>59</v>
      </c>
      <c r="AM57" t="n">
        <v>117</v>
      </c>
      <c r="AN57" t="inlineStr">
        <is>
          <t>low</t>
        </is>
      </c>
      <c r="AO57" t="inlineStr">
        <is>
          <t>hybrid-2-or-less</t>
        </is>
      </c>
      <c r="AP57" t="inlineStr">
        <is>
          <t>AO-C-169</t>
        </is>
      </c>
      <c r="AQ57" t="inlineStr">
        <is>
          <t>Y</t>
        </is>
      </c>
      <c r="AR57" t="inlineStr">
        <is>
          <t>address conflict in B's sources: check the lobby directory before outreach (B)</t>
        </is>
      </c>
      <c r="AS57" t="inlineStr"/>
      <c r="AT57" t="inlineStr">
        <is>
          <t>N</t>
        </is>
      </c>
      <c r="AU57" t="inlineStr">
        <is>
          <t>on hold: address conflict in B's sources: check the lobby directory before outreach (B); no contact named on an opened page</t>
        </is>
      </c>
      <c r="AV57" t="inlineStr"/>
      <c r="AW57" t="inlineStr">
        <is>
          <t>N</t>
        </is>
      </c>
      <c r="AX57" t="inlineStr">
        <is>
          <t>pass</t>
        </is>
      </c>
      <c r="AY57" t="inlineStr">
        <is>
          <t>passes all hard gates</t>
        </is>
      </c>
      <c r="AZ57" t="inlineStr">
        <is>
          <t>company</t>
        </is>
      </c>
      <c r="BA57" t="inlineStr">
        <is>
          <t>B-C-169</t>
        </is>
      </c>
      <c r="BB57" t="inlineStr">
        <is>
          <t>https://www.pumpkin.care</t>
        </is>
      </c>
      <c r="BC57" t="inlineStr">
        <is>
          <t>insurtech (pet insurance)</t>
        </is>
      </c>
      <c r="BD57" t="n">
        <v>175</v>
      </c>
      <c r="BE57" t="inlineStr"/>
      <c r="BF57" t="inlineStr">
        <is>
          <t>151-250</t>
        </is>
      </c>
      <c r="BG57" t="inlineStr">
        <is>
          <t>whole-company</t>
        </is>
      </c>
      <c r="BH57" t="inlineStr">
        <is>
          <t>single-source</t>
        </is>
      </c>
      <c r="BI57" t="inlineStr">
        <is>
          <t>https://www.builtinnyc.com/company/pumpkin/offices</t>
        </is>
      </c>
      <c r="BJ57" t="inlineStr"/>
      <c r="BK57" t="inlineStr">
        <is>
          <t>le500</t>
        </is>
      </c>
      <c r="BL57" t="inlineStr">
        <is>
          <t>New York</t>
        </is>
      </c>
      <c r="BM57" t="inlineStr">
        <is>
          <t>Y</t>
        </is>
      </c>
      <c r="BN57" t="inlineStr">
        <is>
          <t>unknown</t>
        </is>
      </c>
      <c r="BO57" t="inlineStr">
        <is>
          <t>unknown</t>
        </is>
      </c>
      <c r="BP57" t="n">
        <v>10016</v>
      </c>
      <c r="BQ57" t="n">
        <v>40.744255</v>
      </c>
      <c r="BR57" t="n">
        <v>-73.983762</v>
      </c>
      <c r="BS57" t="inlineStr">
        <is>
          <t>Y</t>
        </is>
      </c>
      <c r="BT57" t="n">
        <v>0</v>
      </c>
      <c r="BU57" t="inlineStr">
        <is>
          <t>B-B-079</t>
        </is>
      </c>
      <c r="BV57" t="inlineStr">
        <is>
          <t>432 Park Avenue South (Samco Properties)</t>
        </is>
      </c>
      <c r="BW57" t="inlineStr">
        <is>
          <t>https://www.builtinnyc.com/company/pumpkin/offices</t>
        </is>
      </c>
      <c r="BX57" t="inlineStr">
        <is>
          <t>2026-10-23</t>
        </is>
      </c>
      <c r="BY57" t="inlineStr">
        <is>
          <t>builtin</t>
        </is>
      </c>
      <c r="BZ57" t="inlineStr">
        <is>
          <t>https://commercialobserver.com/2023/01/pumpkin-pet-insurance-takes-10k-sf-at-432-park-avenue/</t>
        </is>
      </c>
      <c r="CA57" t="inlineStr">
        <is>
          <t>2023-01-06</t>
        </is>
      </c>
      <c r="CB57" t="inlineStr"/>
      <c r="CC57" t="inlineStr">
        <is>
          <t>low</t>
        </is>
      </c>
      <c r="CD57" t="inlineStr"/>
      <c r="CE57" t="inlineStr">
        <is>
          <t>N</t>
        </is>
      </c>
      <c r="CF57" t="inlineStr"/>
      <c r="CG57" t="inlineStr"/>
      <c r="CH57" t="inlineStr">
        <is>
          <t>unknown</t>
        </is>
      </c>
      <c r="CI57" t="inlineStr"/>
      <c r="CJ57" t="inlineStr">
        <is>
          <t>unknown</t>
        </is>
      </c>
      <c r="CK57" t="inlineStr">
        <is>
          <t>N</t>
        </is>
      </c>
      <c r="CL57" t="inlineStr">
        <is>
          <t>Built In workplace type: Hybrid Workplace; typical time on-site: Flexible (box) but policy text: 2 to 3 days in person (lower figure used)</t>
        </is>
      </c>
      <c r="CM57" t="inlineStr">
        <is>
          <t>https://www.builtinnyc.com/company/pumpkin/offices</t>
        </is>
      </c>
      <c r="CN57" t="inlineStr">
        <is>
          <t>2026-10-24</t>
        </is>
      </c>
      <c r="CO57" t="n">
        <v>83</v>
      </c>
      <c r="CP57" t="inlineStr"/>
      <c r="CQ57" t="inlineStr">
        <is>
          <t>175 (Built In) staff (whole-company count) x 50% to 100% of them in the New York office (HQ New York; share assumed) x 67% (Partnership for NYC, firms under 500) in on a weekday = 59 to 117, central 83; low confidence; estimate until intake replaces it.</t>
        </is>
      </c>
      <c r="CR57" t="inlineStr">
        <is>
          <t>estimate until intake replaces it</t>
        </is>
      </c>
      <c r="CS57" t="n">
        <v>1</v>
      </c>
      <c r="CT57" t="n">
        <v>45</v>
      </c>
      <c r="CU57" t="n">
        <v>25</v>
      </c>
      <c r="CV57" t="n">
        <v>15</v>
      </c>
      <c r="CW57" t="n">
        <v>5</v>
      </c>
      <c r="CX57" t="n">
        <v>0</v>
      </c>
      <c r="CY57" t="n">
        <v>0</v>
      </c>
      <c r="CZ57" t="n">
        <v>0</v>
      </c>
      <c r="DA57" t="inlineStr"/>
      <c r="DB57" t="inlineStr"/>
      <c r="DC57" t="inlineStr"/>
      <c r="DD57" t="inlineStr"/>
      <c r="DE57" t="inlineStr"/>
      <c r="DF57" t="inlineStr">
        <is>
          <t>none</t>
        </is>
      </c>
      <c r="DG57" t="inlineStr">
        <is>
          <t>candidate</t>
        </is>
      </c>
      <c r="DH57" t="inlineStr"/>
      <c r="DI57" t="inlineStr"/>
      <c r="DJ57" t="inlineStr">
        <is>
          <t>10,000 sf</t>
        </is>
      </c>
      <c r="DK57" t="inlineStr">
        <is>
          <t>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is>
      </c>
      <c r="DL57" t="inlineStr"/>
      <c r="DM57" t="inlineStr"/>
      <c r="DN57" t="inlineStr"/>
      <c r="DO57" t="inlineStr"/>
      <c r="DP57" t="inlineStr"/>
      <c r="DQ57" t="inlineStr"/>
      <c r="DR57" t="inlineStr"/>
      <c r="DS57" t="inlineStr">
        <is>
          <t>none</t>
        </is>
      </c>
      <c r="DT57" t="inlineStr"/>
      <c r="DU57" t="inlineStr"/>
      <c r="DV57" t="inlineStr"/>
      <c r="DW57" t="inlineStr"/>
      <c r="DX57" t="inlineStr">
        <is>
          <t>N</t>
        </is>
      </c>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f>IF(ISNUMBER(MATCH(U57,{"queued","contacted","replied","call_booked","call_done","yes_in_principle","materials_sent"},0)),"Y","N")</f>
        <v/>
      </c>
      <c r="ES57">
        <f>IF(COUNTIFS($AP$2:$AP$1000,AP57,$ER$2:$ER$1000,"Y")+COUNTIFS($AP$2:$AP$1000,AP57,$T$2:$T$1000,"Y")&gt;0,"Y","N")</f>
        <v/>
      </c>
      <c r="ET57">
        <f>IF(AND(U57="new",T57="N",AT57="Y",AS57="",ES57="N"),"Y","N")</f>
        <v/>
      </c>
      <c r="EU57">
        <f>IF(ET57&lt;&gt;"Y","N",IF(COUNTIFS($AP$2:$AP$1000,AP57,$ET$2:$ET$1000,"Y",$J$2:$J$1000,"&gt;"&amp;J57)+COUNTIFS($AP$2:$AP$1000,AP57,$ET$2:$ET$1000,"Y",$J$2:$J$1000,J57,$EW$2:$EW$1000,"&lt;"&amp;EW57)=0,"Y","N"))</f>
        <v/>
      </c>
      <c r="EV57">
        <f>IF(Y57="","N",IF(Y57&lt;=10,"Y","N"))</f>
        <v/>
      </c>
      <c r="EW57">
        <f>ROW()-1</f>
        <v/>
      </c>
    </row>
    <row r="58">
      <c r="A58" t="inlineStr">
        <is>
          <t>AO-C-265</t>
        </is>
      </c>
      <c r="B58" t="inlineStr">
        <is>
          <t>Prosek Partners</t>
        </is>
      </c>
      <c r="C58" t="inlineStr"/>
      <c r="D58" t="inlineStr"/>
      <c r="E58" t="inlineStr"/>
      <c r="F58" t="inlineStr"/>
      <c r="G58" t="inlineStr"/>
      <c r="H58" t="inlineStr">
        <is>
          <t>none</t>
        </is>
      </c>
      <c r="I58" t="inlineStr">
        <is>
          <t>linkedin</t>
        </is>
      </c>
      <c r="J58" t="n">
        <v>44.9</v>
      </c>
      <c r="K58" t="inlineStr">
        <is>
          <t>Tuesday estimate 156 to 313 (low confidence), 501 to 1,000 staff company-wide, hybrid (days not stated), occupied at a high-confidence address; contacts not researched yet (below the top 50).</t>
        </is>
      </c>
      <c r="L58" t="inlineStr">
        <is>
          <t>151-250</t>
        </is>
      </c>
      <c r="M58" t="inlineStr"/>
      <c r="N58" t="inlineStr"/>
      <c r="O58" t="inlineStr"/>
      <c r="P58" t="inlineStr"/>
      <c r="Q58" t="inlineStr"/>
      <c r="R58" t="inlineStr">
        <is>
          <t>N</t>
        </is>
      </c>
      <c r="S58" t="inlineStr">
        <is>
          <t>unknown</t>
        </is>
      </c>
      <c r="T58" t="inlineStr">
        <is>
          <t>N</t>
        </is>
      </c>
      <c r="U58" t="inlineStr">
        <is>
          <t>new</t>
        </is>
      </c>
      <c r="V58" t="inlineStr">
        <is>
          <t>https://www.prosek.com/contact-us/</t>
        </is>
      </c>
      <c r="W58" t="inlineStr">
        <is>
          <t>2026-10-23</t>
        </is>
      </c>
      <c r="X58" t="inlineStr">
        <is>
          <t>office</t>
        </is>
      </c>
      <c r="Y58" t="inlineStr"/>
      <c r="Z58" t="n">
        <v>57</v>
      </c>
      <c r="AA58" t="inlineStr">
        <is>
          <t>N</t>
        </is>
      </c>
      <c r="AB58" t="inlineStr"/>
      <c r="AC58" t="inlineStr"/>
      <c r="AD58" t="inlineStr">
        <is>
          <t>none</t>
        </is>
      </c>
      <c r="AE58" t="inlineStr"/>
      <c r="AF58" t="inlineStr"/>
      <c r="AG58" t="inlineStr"/>
      <c r="AH58" t="inlineStr">
        <is>
          <t>none</t>
        </is>
      </c>
      <c r="AI58" t="inlineStr">
        <is>
          <t>28 East 28th Street</t>
        </is>
      </c>
      <c r="AJ58" t="n">
        <v>15</v>
      </c>
      <c r="AK58" t="inlineStr">
        <is>
          <t>occupied</t>
        </is>
      </c>
      <c r="AL58" t="n">
        <v>156</v>
      </c>
      <c r="AM58" t="n">
        <v>313</v>
      </c>
      <c r="AN58" t="inlineStr">
        <is>
          <t>low</t>
        </is>
      </c>
      <c r="AO58" t="inlineStr">
        <is>
          <t>hybrid-unspecified</t>
        </is>
      </c>
      <c r="AP58" t="inlineStr">
        <is>
          <t>AO-C-265</t>
        </is>
      </c>
      <c r="AQ58" t="inlineStr">
        <is>
          <t>N</t>
        </is>
      </c>
      <c r="AR58" t="inlineStr"/>
      <c r="AS58" t="inlineStr"/>
      <c r="AT58" t="inlineStr">
        <is>
          <t>N</t>
        </is>
      </c>
      <c r="AU58" t="inlineStr">
        <is>
          <t>no contact named on an opened page</t>
        </is>
      </c>
      <c r="AV58" t="inlineStr"/>
      <c r="AW58" t="inlineStr">
        <is>
          <t>N</t>
        </is>
      </c>
      <c r="AX58" t="inlineStr">
        <is>
          <t>pass</t>
        </is>
      </c>
      <c r="AY58" t="inlineStr">
        <is>
          <t>passes all hard gates</t>
        </is>
      </c>
      <c r="AZ58" t="inlineStr">
        <is>
          <t>company</t>
        </is>
      </c>
      <c r="BA58" t="inlineStr">
        <is>
          <t>B-C-265</t>
        </is>
      </c>
      <c r="BB58" t="inlineStr">
        <is>
          <t>https://www.prosek.com</t>
        </is>
      </c>
      <c r="BC58" t="inlineStr">
        <is>
          <t>communications and marketing agency</t>
        </is>
      </c>
      <c r="BD58" t="n">
        <v>549</v>
      </c>
      <c r="BE58" t="inlineStr"/>
      <c r="BF58" t="inlineStr">
        <is>
          <t>over-500</t>
        </is>
      </c>
      <c r="BG58" t="inlineStr">
        <is>
          <t>whole-company</t>
        </is>
      </c>
      <c r="BH58" t="inlineStr">
        <is>
          <t>single-source</t>
        </is>
      </c>
      <c r="BI58" t="inlineStr">
        <is>
          <t>https://www.builtinnyc.com/company/prosek-partners/offices</t>
        </is>
      </c>
      <c r="BJ58" t="inlineStr"/>
      <c r="BK58" t="inlineStr">
        <is>
          <t>501-1000</t>
        </is>
      </c>
      <c r="BL58" t="inlineStr">
        <is>
          <t>New York</t>
        </is>
      </c>
      <c r="BM58" t="inlineStr">
        <is>
          <t>Y</t>
        </is>
      </c>
      <c r="BN58" t="inlineStr">
        <is>
          <t>unknown</t>
        </is>
      </c>
      <c r="BO58" t="inlineStr">
        <is>
          <t>unknown</t>
        </is>
      </c>
      <c r="BP58" t="n">
        <v>10016</v>
      </c>
      <c r="BQ58" t="n">
        <v>40.743594</v>
      </c>
      <c r="BR58" t="n">
        <v>-73.98525100000001</v>
      </c>
      <c r="BS58" t="inlineStr">
        <is>
          <t>Y</t>
        </is>
      </c>
      <c r="BT58" t="n">
        <v>0</v>
      </c>
      <c r="BU58" t="inlineStr"/>
      <c r="BV58" t="inlineStr">
        <is>
          <t>unknown</t>
        </is>
      </c>
      <c r="BW58" t="inlineStr">
        <is>
          <t>https://www.prosek.com/contact-us/</t>
        </is>
      </c>
      <c r="BX58" t="inlineStr">
        <is>
          <t>2026-10-23</t>
        </is>
      </c>
      <c r="BY58" t="inlineStr">
        <is>
          <t>company-site</t>
        </is>
      </c>
      <c r="BZ58" t="inlineStr">
        <is>
          <t>https://commercialobserver.com/2022/06/communication-firm-prosek-partners-leases-34k-sf-at-28-east-28th-street/</t>
        </is>
      </c>
      <c r="CA58" t="inlineStr">
        <is>
          <t>2022-06-14</t>
        </is>
      </c>
      <c r="CB58" t="inlineStr"/>
      <c r="CC58" t="inlineStr">
        <is>
          <t>high</t>
        </is>
      </c>
      <c r="CD58" t="inlineStr"/>
      <c r="CE58" t="inlineStr">
        <is>
          <t>N</t>
        </is>
      </c>
      <c r="CF58" t="inlineStr"/>
      <c r="CG58" t="inlineStr"/>
      <c r="CH58" t="inlineStr">
        <is>
          <t>security desk</t>
        </is>
      </c>
      <c r="CI58" t="inlineStr"/>
      <c r="CJ58" t="inlineStr">
        <is>
          <t>unknown</t>
        </is>
      </c>
      <c r="CK58" t="inlineStr">
        <is>
          <t>N</t>
        </is>
      </c>
      <c r="CL58" t="inlineStr">
        <is>
          <t>Built In workplace type: Hybrid Workplace; typical time on-site: None; recent job tags: 3 Hybrid</t>
        </is>
      </c>
      <c r="CM58" t="inlineStr">
        <is>
          <t>https://www.builtinnyc.com/company/prosek-partners/offices</t>
        </is>
      </c>
      <c r="CN58" t="inlineStr">
        <is>
          <t>2026-10-24</t>
        </is>
      </c>
      <c r="CO58" t="n">
        <v>221</v>
      </c>
      <c r="CP58" t="inlineStr">
        <is>
          <t>may exceed 250</t>
        </is>
      </c>
      <c r="CQ58" t="inlineStr">
        <is>
          <t>549 (Built In) staff (whole-company count) x 50% to 100% of them in the New York office (HQ New York; share assumed) x 57% (Partnership for NYC, all Manhattan firms; no figure for 500 to 4,999) in on a weekday = 156 to 313, central 221; low confidence; estimate until intake replaces it.</t>
        </is>
      </c>
      <c r="CR58" t="inlineStr">
        <is>
          <t>estimate until intake replaces it</t>
        </is>
      </c>
      <c r="CS58" t="n">
        <v>0.68</v>
      </c>
      <c r="CT58" t="n">
        <v>44.9</v>
      </c>
      <c r="CU58" t="n">
        <v>16.9</v>
      </c>
      <c r="CV58" t="n">
        <v>6</v>
      </c>
      <c r="CW58" t="n">
        <v>7</v>
      </c>
      <c r="CX58" t="n">
        <v>15</v>
      </c>
      <c r="CY58" t="n">
        <v>0</v>
      </c>
      <c r="CZ58" t="n">
        <v>0</v>
      </c>
      <c r="DA58" t="inlineStr"/>
      <c r="DB58" t="inlineStr"/>
      <c r="DC58" t="inlineStr"/>
      <c r="DD58" t="inlineStr"/>
      <c r="DE58" t="inlineStr"/>
      <c r="DF58" t="inlineStr">
        <is>
          <t>none</t>
        </is>
      </c>
      <c r="DG58" t="inlineStr">
        <is>
          <t>near-miss-over-500</t>
        </is>
      </c>
      <c r="DH58" t="inlineStr">
        <is>
          <t>just-over-500 (501 to 1,000)</t>
        </is>
      </c>
      <c r="DI58" t="inlineStr">
        <is>
          <t>N</t>
        </is>
      </c>
      <c r="DJ58" t="inlineStr">
        <is>
          <t>34,000 sf</t>
        </is>
      </c>
      <c r="DK58" t="inlineStr">
        <is>
          <t>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is>
      </c>
      <c r="DL58" t="inlineStr"/>
      <c r="DM58" t="inlineStr"/>
      <c r="DN58" t="inlineStr"/>
      <c r="DO58" t="inlineStr"/>
      <c r="DP58" t="inlineStr"/>
      <c r="DQ58" t="inlineStr"/>
      <c r="DR58" t="inlineStr"/>
      <c r="DS58" t="inlineStr">
        <is>
          <t>none</t>
        </is>
      </c>
      <c r="DT58" t="inlineStr"/>
      <c r="DU58" t="inlineStr"/>
      <c r="DV58" t="inlineStr"/>
      <c r="DW58" t="inlineStr"/>
      <c r="DX58" t="inlineStr">
        <is>
          <t>N</t>
        </is>
      </c>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f>IF(ISNUMBER(MATCH(U58,{"queued","contacted","replied","call_booked","call_done","yes_in_principle","materials_sent"},0)),"Y","N")</f>
        <v/>
      </c>
      <c r="ES58">
        <f>IF(COUNTIFS($AP$2:$AP$1000,AP58,$ER$2:$ER$1000,"Y")+COUNTIFS($AP$2:$AP$1000,AP58,$T$2:$T$1000,"Y")&gt;0,"Y","N")</f>
        <v/>
      </c>
      <c r="ET58">
        <f>IF(AND(U58="new",T58="N",AT58="Y",AS58="",ES58="N"),"Y","N")</f>
        <v/>
      </c>
      <c r="EU58">
        <f>IF(ET58&lt;&gt;"Y","N",IF(COUNTIFS($AP$2:$AP$1000,AP58,$ET$2:$ET$1000,"Y",$J$2:$J$1000,"&gt;"&amp;J58)+COUNTIFS($AP$2:$AP$1000,AP58,$ET$2:$ET$1000,"Y",$J$2:$J$1000,J58,$EW$2:$EW$1000,"&lt;"&amp;EW58)=0,"Y","N"))</f>
        <v/>
      </c>
      <c r="EV58">
        <f>IF(Y58="","N",IF(Y58&lt;=10,"Y","N"))</f>
        <v/>
      </c>
      <c r="EW58">
        <f>ROW()-1</f>
        <v/>
      </c>
    </row>
    <row r="59">
      <c r="A59" t="inlineStr">
        <is>
          <t>AO-C-215</t>
        </is>
      </c>
      <c r="B59" t="inlineStr">
        <is>
          <t>AngelList</t>
        </is>
      </c>
      <c r="C59" t="inlineStr"/>
      <c r="D59" t="inlineStr"/>
      <c r="E59" t="inlineStr"/>
      <c r="F59" t="inlineStr"/>
      <c r="G59" t="inlineStr"/>
      <c r="H59" t="inlineStr">
        <is>
          <t>none</t>
        </is>
      </c>
      <c r="I59" t="inlineStr">
        <is>
          <t>linkedin</t>
        </is>
      </c>
      <c r="J59" t="n">
        <v>44.4</v>
      </c>
      <c r="K59" t="inlineStr">
        <is>
          <t>Tuesday estimate 15 to 295 (low confidence), 501 to 1,000 staff company-wide, on-site 5 days a week per its profile, occupancy-unconfirmed at a medium-confidence address; contacts not researched yet (below the top 50).</t>
        </is>
      </c>
      <c r="L59" t="inlineStr">
        <is>
          <t>40-75</t>
        </is>
      </c>
      <c r="M59" t="inlineStr"/>
      <c r="N59" t="inlineStr"/>
      <c r="O59" t="inlineStr"/>
      <c r="P59" t="inlineStr"/>
      <c r="Q59" t="inlineStr"/>
      <c r="R59" t="inlineStr">
        <is>
          <t>N</t>
        </is>
      </c>
      <c r="S59" t="inlineStr">
        <is>
          <t>unknown</t>
        </is>
      </c>
      <c r="T59" t="inlineStr">
        <is>
          <t>N</t>
        </is>
      </c>
      <c r="U59" t="inlineStr">
        <is>
          <t>new</t>
        </is>
      </c>
      <c r="V59" t="inlineStr">
        <is>
          <t>https://commercialobserver.com/2025/09/angellist-lease-257-park-avenue-south/</t>
        </is>
      </c>
      <c r="W59" t="inlineStr">
        <is>
          <t>2026-10-23</t>
        </is>
      </c>
      <c r="X59" t="inlineStr">
        <is>
          <t>office</t>
        </is>
      </c>
      <c r="Y59" t="inlineStr"/>
      <c r="Z59" t="n">
        <v>58</v>
      </c>
      <c r="AA59" t="inlineStr">
        <is>
          <t>N</t>
        </is>
      </c>
      <c r="AB59" t="inlineStr"/>
      <c r="AC59" t="inlineStr"/>
      <c r="AD59" t="inlineStr">
        <is>
          <t>none</t>
        </is>
      </c>
      <c r="AE59" t="inlineStr"/>
      <c r="AF59" t="inlineStr"/>
      <c r="AG59" t="inlineStr"/>
      <c r="AH59" t="inlineStr">
        <is>
          <t>none</t>
        </is>
      </c>
      <c r="AI59" t="inlineStr">
        <is>
          <t>257 Park Avenue South</t>
        </is>
      </c>
      <c r="AJ59" t="n">
        <v>18</v>
      </c>
      <c r="AK59" t="inlineStr">
        <is>
          <t>occupancy-unconfirmed</t>
        </is>
      </c>
      <c r="AL59" t="n">
        <v>15</v>
      </c>
      <c r="AM59" t="n">
        <v>295</v>
      </c>
      <c r="AN59" t="inlineStr">
        <is>
          <t>low</t>
        </is>
      </c>
      <c r="AO59" t="inlineStr">
        <is>
          <t>in-office-5</t>
        </is>
      </c>
      <c r="AP59" t="inlineStr">
        <is>
          <t>AO-C-215</t>
        </is>
      </c>
      <c r="AQ59" t="inlineStr">
        <is>
          <t>N</t>
        </is>
      </c>
      <c r="AR59" t="inlineStr"/>
      <c r="AS59" t="inlineStr"/>
      <c r="AT59" t="inlineStr">
        <is>
          <t>N</t>
        </is>
      </c>
      <c r="AU59" t="inlineStr">
        <is>
          <t>no contact named on an opened page</t>
        </is>
      </c>
      <c r="AV59" t="inlineStr"/>
      <c r="AW59" t="inlineStr">
        <is>
          <t>N</t>
        </is>
      </c>
      <c r="AX59" t="inlineStr">
        <is>
          <t>pass</t>
        </is>
      </c>
      <c r="AY59" t="inlineStr">
        <is>
          <t>passes all hard gates</t>
        </is>
      </c>
      <c r="AZ59" t="inlineStr">
        <is>
          <t>company</t>
        </is>
      </c>
      <c r="BA59" t="inlineStr">
        <is>
          <t>B-C-215</t>
        </is>
      </c>
      <c r="BB59" t="inlineStr">
        <is>
          <t>https://www.angellist.com</t>
        </is>
      </c>
      <c r="BC59" t="inlineStr">
        <is>
          <t>fintech (venture fund infrastructure)</t>
        </is>
      </c>
      <c r="BD59" t="n">
        <v>518</v>
      </c>
      <c r="BE59" t="inlineStr"/>
      <c r="BF59" t="inlineStr">
        <is>
          <t>over-500</t>
        </is>
      </c>
      <c r="BG59" t="inlineStr">
        <is>
          <t>whole-company</t>
        </is>
      </c>
      <c r="BH59" t="inlineStr">
        <is>
          <t>single-source</t>
        </is>
      </c>
      <c r="BI59" t="inlineStr">
        <is>
          <t>https://www.builtinnyc.com/company/angellist</t>
        </is>
      </c>
      <c r="BJ59" t="inlineStr"/>
      <c r="BK59" t="inlineStr">
        <is>
          <t>501-1000</t>
        </is>
      </c>
      <c r="BL59" t="inlineStr">
        <is>
          <t>San Francisco</t>
        </is>
      </c>
      <c r="BM59" t="inlineStr">
        <is>
          <t>N</t>
        </is>
      </c>
      <c r="BN59" t="inlineStr">
        <is>
          <t>unknown</t>
        </is>
      </c>
      <c r="BO59" t="inlineStr">
        <is>
          <t>unknown</t>
        </is>
      </c>
      <c r="BP59" t="n">
        <v>10010</v>
      </c>
      <c r="BQ59" t="n">
        <v>40.738577</v>
      </c>
      <c r="BR59" t="n">
        <v>-73.987151</v>
      </c>
      <c r="BS59" t="inlineStr">
        <is>
          <t>Y</t>
        </is>
      </c>
      <c r="BT59" t="n">
        <v>0</v>
      </c>
      <c r="BU59" t="inlineStr">
        <is>
          <t>B-B-032</t>
        </is>
      </c>
      <c r="BV59" t="inlineStr">
        <is>
          <t>Gramercy Park Building (Feil Organization)</t>
        </is>
      </c>
      <c r="BW59" t="inlineStr">
        <is>
          <t>https://commercialobserver.com/2025/09/angellist-lease-257-park-avenue-south/</t>
        </is>
      </c>
      <c r="BX59" t="inlineStr">
        <is>
          <t>2025-09-12</t>
        </is>
      </c>
      <c r="BY59" t="inlineStr">
        <is>
          <t>leasing-press</t>
        </is>
      </c>
      <c r="BZ59" t="inlineStr"/>
      <c r="CA59" t="inlineStr"/>
      <c r="CB59" t="inlineStr"/>
      <c r="CC59" t="inlineStr">
        <is>
          <t>medium</t>
        </is>
      </c>
      <c r="CD59" t="inlineStr"/>
      <c r="CE59" t="inlineStr">
        <is>
          <t>N</t>
        </is>
      </c>
      <c r="CF59" t="inlineStr"/>
      <c r="CG59" t="inlineStr"/>
      <c r="CH59" t="inlineStr">
        <is>
          <t>unknown</t>
        </is>
      </c>
      <c r="CI59" t="inlineStr"/>
      <c r="CJ59" t="inlineStr">
        <is>
          <t>unknown</t>
        </is>
      </c>
      <c r="CK59" t="inlineStr">
        <is>
          <t>N</t>
        </is>
      </c>
      <c r="CL59" t="inlineStr">
        <is>
          <t>Built In workplace type: OnSite Workplace; typical time on-site: 5 days a week; recent job tags: 3 Hybrid</t>
        </is>
      </c>
      <c r="CM59" t="inlineStr">
        <is>
          <t>https://www.builtinnyc.com/company/angellist/offices</t>
        </is>
      </c>
      <c r="CN59" t="inlineStr">
        <is>
          <t>2026-10-24</t>
        </is>
      </c>
      <c r="CO59" t="n">
        <v>67</v>
      </c>
      <c r="CP59" t="inlineStr">
        <is>
          <t>may be under 30;may exceed 250</t>
        </is>
      </c>
      <c r="CQ59" t="inlineStr">
        <is>
          <t>518 (Built In) staff (whole-company count) x 5% to 100% of them in the New York office (HQ outside New York; share assumed) x 57% (Partnership for NYC, all Manhattan firms; no figure for 500 to 4,999) in on a weekday = 15 to 295, central 67; low confidence; estimate until intake replaces it.</t>
        </is>
      </c>
      <c r="CR59" t="inlineStr">
        <is>
          <t>estimate until intake replaces it</t>
        </is>
      </c>
      <c r="CS59" t="n">
        <v>0.62</v>
      </c>
      <c r="CT59" t="n">
        <v>44.4</v>
      </c>
      <c r="CU59" t="n">
        <v>15.4</v>
      </c>
      <c r="CV59" t="n">
        <v>6</v>
      </c>
      <c r="CW59" t="n">
        <v>15</v>
      </c>
      <c r="CX59" t="n">
        <v>8</v>
      </c>
      <c r="CY59" t="n">
        <v>0</v>
      </c>
      <c r="CZ59" t="n">
        <v>0</v>
      </c>
      <c r="DA59" t="inlineStr"/>
      <c r="DB59" t="inlineStr"/>
      <c r="DC59" t="inlineStr"/>
      <c r="DD59" t="inlineStr"/>
      <c r="DE59" t="inlineStr"/>
      <c r="DF59" t="inlineStr">
        <is>
          <t>none</t>
        </is>
      </c>
      <c r="DG59" t="inlineStr">
        <is>
          <t>near-miss-over-500</t>
        </is>
      </c>
      <c r="DH59" t="inlineStr">
        <is>
          <t>just-over-500 (501 to 1,000)</t>
        </is>
      </c>
      <c r="DI59" t="inlineStr">
        <is>
          <t>N</t>
        </is>
      </c>
      <c r="DJ59" t="inlineStr">
        <is>
          <t>12,900 sf</t>
        </is>
      </c>
      <c r="DK59" t="inlineStr">
        <is>
          <t>Seven-year lease of the full 18th floor (12,900 sf). Built In shows 518 total employees (just over 500), HQ San Francisco, NYC office listed without a street. Near-miss on size.</t>
        </is>
      </c>
      <c r="DL59" t="inlineStr"/>
      <c r="DM59" t="inlineStr"/>
      <c r="DN59" t="inlineStr"/>
      <c r="DO59" t="inlineStr"/>
      <c r="DP59" t="inlineStr"/>
      <c r="DQ59" t="inlineStr"/>
      <c r="DR59" t="inlineStr"/>
      <c r="DS59" t="inlineStr">
        <is>
          <t>none</t>
        </is>
      </c>
      <c r="DT59" t="inlineStr"/>
      <c r="DU59" t="inlineStr"/>
      <c r="DV59" t="inlineStr"/>
      <c r="DW59" t="inlineStr"/>
      <c r="DX59" t="inlineStr">
        <is>
          <t>N</t>
        </is>
      </c>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f>IF(ISNUMBER(MATCH(U59,{"queued","contacted","replied","call_booked","call_done","yes_in_principle","materials_sent"},0)),"Y","N")</f>
        <v/>
      </c>
      <c r="ES59">
        <f>IF(COUNTIFS($AP$2:$AP$1000,AP59,$ER$2:$ER$1000,"Y")+COUNTIFS($AP$2:$AP$1000,AP59,$T$2:$T$1000,"Y")&gt;0,"Y","N")</f>
        <v/>
      </c>
      <c r="ET59">
        <f>IF(AND(U59="new",T59="N",AT59="Y",AS59="",ES59="N"),"Y","N")</f>
        <v/>
      </c>
      <c r="EU59">
        <f>IF(ET59&lt;&gt;"Y","N",IF(COUNTIFS($AP$2:$AP$1000,AP59,$ET$2:$ET$1000,"Y",$J$2:$J$1000,"&gt;"&amp;J59)+COUNTIFS($AP$2:$AP$1000,AP59,$ET$2:$ET$1000,"Y",$J$2:$J$1000,J59,$EW$2:$EW$1000,"&lt;"&amp;EW59)=0,"Y","N"))</f>
        <v/>
      </c>
      <c r="EV59">
        <f>IF(Y59="","N",IF(Y59&lt;=10,"Y","N"))</f>
        <v/>
      </c>
      <c r="EW59">
        <f>ROW()-1</f>
        <v/>
      </c>
    </row>
    <row r="60">
      <c r="A60" t="inlineStr">
        <is>
          <t>AO-C-003</t>
        </is>
      </c>
      <c r="B60" t="inlineStr">
        <is>
          <t>First Look Media</t>
        </is>
      </c>
      <c r="C60" t="inlineStr"/>
      <c r="D60" t="inlineStr"/>
      <c r="E60" t="inlineStr"/>
      <c r="F60" t="inlineStr"/>
      <c r="G60" t="inlineStr"/>
      <c r="H60" t="inlineStr">
        <is>
          <t>none</t>
        </is>
      </c>
      <c r="I60" t="inlineStr">
        <is>
          <t>linkedin</t>
        </is>
      </c>
      <c r="J60" t="n">
        <v>44.3</v>
      </c>
      <c r="K60" t="inlineStr">
        <is>
          <t>Tuesday estimate 11 to 86 (low confidence), under 500 staff company-wide, on-site 5 days a week per its profile, occupancy-unconfirmed at a low-confidence address; contacts not researched yet (below the top 50).</t>
        </is>
      </c>
      <c r="L60" t="inlineStr">
        <is>
          <t>under-40</t>
        </is>
      </c>
      <c r="M60" t="inlineStr"/>
      <c r="N60" t="inlineStr"/>
      <c r="O60" t="inlineStr"/>
      <c r="P60" t="inlineStr"/>
      <c r="Q60" t="inlineStr"/>
      <c r="R60" t="inlineStr">
        <is>
          <t>N</t>
        </is>
      </c>
      <c r="S60" t="inlineStr">
        <is>
          <t>unknown</t>
        </is>
      </c>
      <c r="T60" t="inlineStr">
        <is>
          <t>N</t>
        </is>
      </c>
      <c r="U60" t="inlineStr">
        <is>
          <t>new</t>
        </is>
      </c>
      <c r="V60" t="inlineStr">
        <is>
          <t>https://rebusinessonline.com/first-look-media-signs-7896-sf-office-lease-at-853-broadway-in-manhattan/</t>
        </is>
      </c>
      <c r="W60" t="inlineStr">
        <is>
          <t>2026-10-23</t>
        </is>
      </c>
      <c r="X60" t="inlineStr">
        <is>
          <t>office</t>
        </is>
      </c>
      <c r="Y60" t="inlineStr"/>
      <c r="Z60" t="n">
        <v>59</v>
      </c>
      <c r="AA60" t="inlineStr">
        <is>
          <t>N</t>
        </is>
      </c>
      <c r="AB60" t="inlineStr">
        <is>
          <t>Tuesday estimate band under-40: founder's call (set founder_ok_to_queue = Y to queue)</t>
        </is>
      </c>
      <c r="AC60" t="inlineStr"/>
      <c r="AD60" t="inlineStr">
        <is>
          <t>none</t>
        </is>
      </c>
      <c r="AE60" t="inlineStr"/>
      <c r="AF60" t="inlineStr"/>
      <c r="AG60" t="inlineStr"/>
      <c r="AH60" t="inlineStr">
        <is>
          <t>none</t>
        </is>
      </c>
      <c r="AI60" t="inlineStr">
        <is>
          <t>853 Broadway</t>
        </is>
      </c>
      <c r="AJ60" t="n">
        <v>10</v>
      </c>
      <c r="AK60" t="inlineStr">
        <is>
          <t>occupancy-unconfirmed</t>
        </is>
      </c>
      <c r="AL60" t="n">
        <v>11</v>
      </c>
      <c r="AM60" t="n">
        <v>86</v>
      </c>
      <c r="AN60" t="inlineStr">
        <is>
          <t>low</t>
        </is>
      </c>
      <c r="AO60" t="inlineStr">
        <is>
          <t>in-office-5</t>
        </is>
      </c>
      <c r="AP60" t="inlineStr">
        <is>
          <t>AO-C-003</t>
        </is>
      </c>
      <c r="AQ60" t="inlineStr">
        <is>
          <t>N</t>
        </is>
      </c>
      <c r="AR60" t="inlineStr"/>
      <c r="AS60" t="inlineStr"/>
      <c r="AT60" t="inlineStr">
        <is>
          <t>N</t>
        </is>
      </c>
      <c r="AU60" t="inlineStr">
        <is>
          <t>no contact named on an opened page; Tuesday estimate band under-40: founder's call</t>
        </is>
      </c>
      <c r="AV60" t="inlineStr"/>
      <c r="AW60" t="inlineStr">
        <is>
          <t>Y</t>
        </is>
      </c>
      <c r="AX60" t="inlineStr">
        <is>
          <t>pass</t>
        </is>
      </c>
      <c r="AY60" t="inlineStr">
        <is>
          <t>passes all hard gates</t>
        </is>
      </c>
      <c r="AZ60" t="inlineStr">
        <is>
          <t>company</t>
        </is>
      </c>
      <c r="BA60" t="inlineStr">
        <is>
          <t>B-C-003</t>
        </is>
      </c>
      <c r="BB60" t="inlineStr">
        <is>
          <t>unknown</t>
        </is>
      </c>
      <c r="BC60" t="inlineStr">
        <is>
          <t>nonprofit media (streaming and production)</t>
        </is>
      </c>
      <c r="BD60" t="n">
        <v>129</v>
      </c>
      <c r="BE60" t="n">
        <v>32</v>
      </c>
      <c r="BF60" t="inlineStr">
        <is>
          <t>unknown</t>
        </is>
      </c>
      <c r="BG60" t="inlineStr">
        <is>
          <t>unknown</t>
        </is>
      </c>
      <c r="BH60" t="inlineStr">
        <is>
          <t>disagree</t>
        </is>
      </c>
      <c r="BI60" t="inlineStr">
        <is>
          <t>https://www.builtinnyc.com/company/first-look-media</t>
        </is>
      </c>
      <c r="BJ60" t="inlineStr">
        <is>
          <t>https://www.reveliolabs.com/companies/first-look-media/employees</t>
        </is>
      </c>
      <c r="BK60" t="inlineStr">
        <is>
          <t>le500</t>
        </is>
      </c>
      <c r="BL60" t="inlineStr">
        <is>
          <t>New York</t>
        </is>
      </c>
      <c r="BM60" t="inlineStr">
        <is>
          <t>Y</t>
        </is>
      </c>
      <c r="BN60" t="inlineStr">
        <is>
          <t>unknown</t>
        </is>
      </c>
      <c r="BO60" t="inlineStr">
        <is>
          <t>unknown</t>
        </is>
      </c>
      <c r="BP60" t="n">
        <v>10003</v>
      </c>
      <c r="BQ60" t="n">
        <v>40.734626</v>
      </c>
      <c r="BR60" t="n">
        <v>-73.9911</v>
      </c>
      <c r="BS60" t="inlineStr">
        <is>
          <t>Y</t>
        </is>
      </c>
      <c r="BT60" t="n">
        <v>0</v>
      </c>
      <c r="BU60" t="inlineStr">
        <is>
          <t>B-B-001</t>
        </is>
      </c>
      <c r="BV60" t="inlineStr">
        <is>
          <t>853 Broadway (Union Building)</t>
        </is>
      </c>
      <c r="BW60" t="inlineStr">
        <is>
          <t>https://rebusinessonline.com/first-look-media-signs-7896-sf-office-lease-at-853-broadway-in-manhattan/</t>
        </is>
      </c>
      <c r="BX60" t="inlineStr">
        <is>
          <t>2023-06-07</t>
        </is>
      </c>
      <c r="BY60" t="inlineStr">
        <is>
          <t>leasing-press</t>
        </is>
      </c>
      <c r="BZ60" t="inlineStr"/>
      <c r="CA60" t="inlineStr"/>
      <c r="CB60" t="inlineStr"/>
      <c r="CC60" t="inlineStr">
        <is>
          <t>low</t>
        </is>
      </c>
      <c r="CD60" t="inlineStr"/>
      <c r="CE60" t="inlineStr">
        <is>
          <t>N</t>
        </is>
      </c>
      <c r="CF60" t="inlineStr"/>
      <c r="CG60" t="inlineStr"/>
      <c r="CH60" t="inlineStr">
        <is>
          <t>security desk</t>
        </is>
      </c>
      <c r="CI60" t="inlineStr">
        <is>
          <t>https://853broadway.sharplaunch.com/</t>
        </is>
      </c>
      <c r="CJ60" t="inlineStr">
        <is>
          <t>unknown</t>
        </is>
      </c>
      <c r="CK60" t="inlineStr">
        <is>
          <t>N</t>
        </is>
      </c>
      <c r="CL60" t="inlineStr">
        <is>
          <t>Built In workplace type: OnSite Workplace; typical time on-site: 5 days a week</t>
        </is>
      </c>
      <c r="CM60" t="inlineStr">
        <is>
          <t>https://www.builtinnyc.com/company/first-look-media/offices</t>
        </is>
      </c>
      <c r="CN60" t="inlineStr">
        <is>
          <t>2026-10-24</t>
        </is>
      </c>
      <c r="CO60" t="n">
        <v>31</v>
      </c>
      <c r="CP60" t="inlineStr">
        <is>
          <t>may be under 30;30 to 39 is the founder's call</t>
        </is>
      </c>
      <c r="CQ60" t="inlineStr">
        <is>
          <t>129 (Built In) and 32 (Revelio Labs) staff (whole-company count) x 50% to 100% of them in the New York office (HQ New York; share assumed) x 67% (Partnership for NYC, firms under 500) in on a weekday = 11 to 86, central 31; low confidence; estimate until intake replaces it.</t>
        </is>
      </c>
      <c r="CR60" t="inlineStr">
        <is>
          <t>estimate until intake replaces it</t>
        </is>
      </c>
      <c r="CS60" t="n">
        <v>0.37</v>
      </c>
      <c r="CT60" t="n">
        <v>44.3</v>
      </c>
      <c r="CU60" t="n">
        <v>9.300000000000001</v>
      </c>
      <c r="CV60" t="n">
        <v>15</v>
      </c>
      <c r="CW60" t="n">
        <v>15</v>
      </c>
      <c r="CX60" t="n">
        <v>5</v>
      </c>
      <c r="CY60" t="n">
        <v>0</v>
      </c>
      <c r="CZ60" t="n">
        <v>0</v>
      </c>
      <c r="DA60" t="inlineStr"/>
      <c r="DB60" t="inlineStr"/>
      <c r="DC60" t="inlineStr"/>
      <c r="DD60" t="inlineStr"/>
      <c r="DE60" t="inlineStr"/>
      <c r="DF60" t="inlineStr">
        <is>
          <t>none</t>
        </is>
      </c>
      <c r="DG60" t="inlineStr">
        <is>
          <t>candidate</t>
        </is>
      </c>
      <c r="DH60" t="inlineStr"/>
      <c r="DI60" t="inlineStr"/>
      <c r="DJ60" t="inlineStr">
        <is>
          <t>7,896 sf</t>
        </is>
      </c>
      <c r="DK60" t="inlineStr">
        <is>
          <t>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is>
      </c>
      <c r="DL60" t="inlineStr"/>
      <c r="DM60" t="inlineStr"/>
      <c r="DN60" t="inlineStr"/>
      <c r="DO60" t="inlineStr"/>
      <c r="DP60" t="inlineStr"/>
      <c r="DQ60" t="inlineStr"/>
      <c r="DR60" t="inlineStr"/>
      <c r="DS60" t="inlineStr">
        <is>
          <t>none</t>
        </is>
      </c>
      <c r="DT60" t="inlineStr"/>
      <c r="DU60" t="inlineStr"/>
      <c r="DV60" t="inlineStr"/>
      <c r="DW60" t="inlineStr"/>
      <c r="DX60" t="inlineStr">
        <is>
          <t>N</t>
        </is>
      </c>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f>IF(ISNUMBER(MATCH(U60,{"queued","contacted","replied","call_booked","call_done","yes_in_principle","materials_sent"},0)),"Y","N")</f>
        <v/>
      </c>
      <c r="ES60">
        <f>IF(COUNTIFS($AP$2:$AP$1000,AP60,$ER$2:$ER$1000,"Y")+COUNTIFS($AP$2:$AP$1000,AP60,$T$2:$T$1000,"Y")&gt;0,"Y","N")</f>
        <v/>
      </c>
      <c r="ET60">
        <f>IF(AND(U60="new",T60="N",AT60="Y",AS60="",ES60="N"),"Y","N")</f>
        <v/>
      </c>
      <c r="EU60">
        <f>IF(ET60&lt;&gt;"Y","N",IF(COUNTIFS($AP$2:$AP$1000,AP60,$ET$2:$ET$1000,"Y",$J$2:$J$1000,"&gt;"&amp;J60)+COUNTIFS($AP$2:$AP$1000,AP60,$ET$2:$ET$1000,"Y",$J$2:$J$1000,J60,$EW$2:$EW$1000,"&lt;"&amp;EW60)=0,"Y","N"))</f>
        <v/>
      </c>
      <c r="EV60">
        <f>IF(Y60="","N",IF(Y60&lt;=10,"Y","N"))</f>
        <v/>
      </c>
      <c r="EW60">
        <f>ROW()-1</f>
        <v/>
      </c>
    </row>
    <row r="61">
      <c r="A61" t="inlineStr">
        <is>
          <t>AO-C-172</t>
        </is>
      </c>
      <c r="B61" t="inlineStr">
        <is>
          <t>Agentio</t>
        </is>
      </c>
      <c r="C61" t="inlineStr"/>
      <c r="D61" t="inlineStr"/>
      <c r="E61" t="inlineStr"/>
      <c r="F61" t="inlineStr"/>
      <c r="G61" t="inlineStr"/>
      <c r="H61" t="inlineStr">
        <is>
          <t>none</t>
        </is>
      </c>
      <c r="I61" t="inlineStr">
        <is>
          <t>linkedin</t>
        </is>
      </c>
      <c r="J61" t="n">
        <v>43.8</v>
      </c>
      <c r="K61" t="inlineStr">
        <is>
          <t>Tuesday estimate 22 to 48 (low confidence), under 500 staff company-wide, on-site 5 days a week per its profile, occupancy-unconfirmed at a medium-confidence address (hold: still in a coworking space until the move); contacts not researched yet (below the top 50).</t>
        </is>
      </c>
      <c r="L61" t="inlineStr">
        <is>
          <t>under-40</t>
        </is>
      </c>
      <c r="M61" t="inlineStr"/>
      <c r="N61" t="inlineStr"/>
      <c r="O61" t="inlineStr">
        <is>
          <t>New or renewed lease at 295 Fifth Avenue reported 2026-03-31</t>
        </is>
      </c>
      <c r="P61" t="inlineStr">
        <is>
          <t>https://commercialobserver.com/2026/03/agentio-lease-295-fifth-avenue/</t>
        </is>
      </c>
      <c r="Q61" t="inlineStr">
        <is>
          <t>2026-03-31</t>
        </is>
      </c>
      <c r="R61" t="inlineStr">
        <is>
          <t>N</t>
        </is>
      </c>
      <c r="S61" t="inlineStr">
        <is>
          <t>unknown</t>
        </is>
      </c>
      <c r="T61" t="inlineStr">
        <is>
          <t>N</t>
        </is>
      </c>
      <c r="U61" t="inlineStr">
        <is>
          <t>new</t>
        </is>
      </c>
      <c r="V61" t="inlineStr">
        <is>
          <t>https://commercialobserver.com/2026/03/agentio-lease-295-fifth-avenue/</t>
        </is>
      </c>
      <c r="W61" t="inlineStr">
        <is>
          <t>2026-10-23</t>
        </is>
      </c>
      <c r="X61" t="inlineStr">
        <is>
          <t>office</t>
        </is>
      </c>
      <c r="Y61" t="inlineStr"/>
      <c r="Z61" t="n">
        <v>60</v>
      </c>
      <c r="AA61" t="inlineStr">
        <is>
          <t>N</t>
        </is>
      </c>
      <c r="AB61" t="inlineStr">
        <is>
          <t>Tuesday estimate band under-40: founder's call (set founder_ok_to_queue = Y to queue)</t>
        </is>
      </c>
      <c r="AC61" t="inlineStr"/>
      <c r="AD61" t="inlineStr">
        <is>
          <t>none</t>
        </is>
      </c>
      <c r="AE61" t="inlineStr"/>
      <c r="AF61" t="inlineStr"/>
      <c r="AG61" t="inlineStr"/>
      <c r="AH61" t="inlineStr">
        <is>
          <t>none</t>
        </is>
      </c>
      <c r="AI61" t="inlineStr">
        <is>
          <t>295 Fifth Avenue</t>
        </is>
      </c>
      <c r="AJ61" t="inlineStr">
        <is>
          <t>11 (part)</t>
        </is>
      </c>
      <c r="AK61" t="inlineStr">
        <is>
          <t>occupancy-unconfirmed</t>
        </is>
      </c>
      <c r="AL61" t="n">
        <v>22</v>
      </c>
      <c r="AM61" t="n">
        <v>48</v>
      </c>
      <c r="AN61" t="inlineStr">
        <is>
          <t>low</t>
        </is>
      </c>
      <c r="AO61" t="inlineStr">
        <is>
          <t>in-office-5</t>
        </is>
      </c>
      <c r="AP61" t="inlineStr">
        <is>
          <t>AO-C-172</t>
        </is>
      </c>
      <c r="AQ61" t="inlineStr">
        <is>
          <t>Y</t>
        </is>
      </c>
      <c r="AR61" t="inlineStr">
        <is>
          <t>still in a coworking space until the move</t>
        </is>
      </c>
      <c r="AS61" t="inlineStr"/>
      <c r="AT61" t="inlineStr">
        <is>
          <t>N</t>
        </is>
      </c>
      <c r="AU61" t="inlineStr">
        <is>
          <t>on hold: still in a coworking space until the move; no contact named on an opened page; Tuesday estimate band under-40: founder's call</t>
        </is>
      </c>
      <c r="AV61" t="inlineStr"/>
      <c r="AW61" t="inlineStr">
        <is>
          <t>Y</t>
        </is>
      </c>
      <c r="AX61" t="inlineStr">
        <is>
          <t>pass</t>
        </is>
      </c>
      <c r="AY61" t="inlineStr">
        <is>
          <t>passes all hard gates</t>
        </is>
      </c>
      <c r="AZ61" t="inlineStr">
        <is>
          <t>company</t>
        </is>
      </c>
      <c r="BA61" t="inlineStr">
        <is>
          <t>B-C-172</t>
        </is>
      </c>
      <c r="BB61" t="inlineStr">
        <is>
          <t>unknown</t>
        </is>
      </c>
      <c r="BC61" t="inlineStr">
        <is>
          <t>adtech (AI creator advertising)</t>
        </is>
      </c>
      <c r="BD61" t="n">
        <v>65</v>
      </c>
      <c r="BE61" t="n">
        <v>71</v>
      </c>
      <c r="BF61" t="inlineStr">
        <is>
          <t>40-75</t>
        </is>
      </c>
      <c r="BG61" t="inlineStr">
        <is>
          <t>whole-company</t>
        </is>
      </c>
      <c r="BH61" t="inlineStr">
        <is>
          <t>agree</t>
        </is>
      </c>
      <c r="BI61" t="inlineStr">
        <is>
          <t>https://www.builtinnyc.com/company/agentio/offices</t>
        </is>
      </c>
      <c r="BJ61" t="inlineStr">
        <is>
          <t>https://www.reveliolabs.com/companies/agentio/employees</t>
        </is>
      </c>
      <c r="BK61" t="inlineStr">
        <is>
          <t>le500</t>
        </is>
      </c>
      <c r="BL61" t="inlineStr">
        <is>
          <t>New York</t>
        </is>
      </c>
      <c r="BM61" t="inlineStr">
        <is>
          <t>Y</t>
        </is>
      </c>
      <c r="BN61" t="inlineStr">
        <is>
          <t>unknown</t>
        </is>
      </c>
      <c r="BO61" t="inlineStr">
        <is>
          <t>unknown</t>
        </is>
      </c>
      <c r="BP61" t="n">
        <v>10016</v>
      </c>
      <c r="BQ61" t="n">
        <v>40.746186</v>
      </c>
      <c r="BR61" t="n">
        <v>-73.985981</v>
      </c>
      <c r="BS61" t="inlineStr">
        <is>
          <t>Y</t>
        </is>
      </c>
      <c r="BT61" t="n">
        <v>0</v>
      </c>
      <c r="BU61" t="inlineStr">
        <is>
          <t>B-B-082</t>
        </is>
      </c>
      <c r="BV61" t="inlineStr">
        <is>
          <t>Textile Building, 295 Fifth Avenue (Tribeca Investment Group, PGIM Real Estate, Meadow Partners)</t>
        </is>
      </c>
      <c r="BW61" t="inlineStr">
        <is>
          <t>https://commercialobserver.com/2026/03/agentio-lease-295-fifth-avenue/</t>
        </is>
      </c>
      <c r="BX61" t="inlineStr">
        <is>
          <t>2026-03-31</t>
        </is>
      </c>
      <c r="BY61" t="inlineStr">
        <is>
          <t>leasing-press</t>
        </is>
      </c>
      <c r="BZ61" t="inlineStr">
        <is>
          <t>https://www.builtinnyc.com/company/agentio/offices</t>
        </is>
      </c>
      <c r="CA61" t="inlineStr">
        <is>
          <t>2026-10-23</t>
        </is>
      </c>
      <c r="CB61" t="inlineStr"/>
      <c r="CC61" t="inlineStr">
        <is>
          <t>medium</t>
        </is>
      </c>
      <c r="CD61" t="inlineStr"/>
      <c r="CE61" t="inlineStr">
        <is>
          <t>N</t>
        </is>
      </c>
      <c r="CF61" t="inlineStr"/>
      <c r="CG61" t="inlineStr"/>
      <c r="CH61" t="inlineStr">
        <is>
          <t>unknown</t>
        </is>
      </c>
      <c r="CI61" t="inlineStr"/>
      <c r="CJ61" t="inlineStr">
        <is>
          <t>unknown</t>
        </is>
      </c>
      <c r="CK61" t="inlineStr">
        <is>
          <t>N</t>
        </is>
      </c>
      <c r="CL61" t="inlineStr">
        <is>
          <t>Built In workplace type: OnSite Workplace; typical time on-site: 5 days a week; recent job tags: 3 In-Office</t>
        </is>
      </c>
      <c r="CM61" t="inlineStr">
        <is>
          <t>https://www.builtinnyc.com/company/agentio/offices</t>
        </is>
      </c>
      <c r="CN61" t="inlineStr">
        <is>
          <t>2026-10-24</t>
        </is>
      </c>
      <c r="CO61" t="n">
        <v>32</v>
      </c>
      <c r="CP61" t="inlineStr">
        <is>
          <t>may be under 30;30 to 39 is the founder's call</t>
        </is>
      </c>
      <c r="CQ61" t="inlineStr">
        <is>
          <t>65 (Built In) and 71 (Revelio Labs) staff (whole-company count) x 50% to 100% of them in the New York office (HQ New York; share assumed) x 67% (Partnership for NYC, firms under 500) in on a weekday = 22 to 48, central 32; low confidence; estimate until intake replaces it.</t>
        </is>
      </c>
      <c r="CR61" t="inlineStr">
        <is>
          <t>estimate until intake replaces it</t>
        </is>
      </c>
      <c r="CS61" t="n">
        <v>0.23</v>
      </c>
      <c r="CT61" t="n">
        <v>43.8</v>
      </c>
      <c r="CU61" t="n">
        <v>5.8</v>
      </c>
      <c r="CV61" t="n">
        <v>15</v>
      </c>
      <c r="CW61" t="n">
        <v>15</v>
      </c>
      <c r="CX61" t="n">
        <v>8</v>
      </c>
      <c r="CY61" t="n">
        <v>0</v>
      </c>
      <c r="CZ61" t="n">
        <v>0</v>
      </c>
      <c r="DA61" t="inlineStr"/>
      <c r="DB61" t="inlineStr"/>
      <c r="DC61" t="inlineStr"/>
      <c r="DD61" t="inlineStr"/>
      <c r="DE61" t="inlineStr"/>
      <c r="DF61" t="inlineStr">
        <is>
          <t>none</t>
        </is>
      </c>
      <c r="DG61" t="inlineStr">
        <is>
          <t>candidate</t>
        </is>
      </c>
      <c r="DH61" t="inlineStr"/>
      <c r="DI61" t="inlineStr"/>
      <c r="DJ61" t="inlineStr">
        <is>
          <t>20,000 sf</t>
        </is>
      </c>
      <c r="DK61" t="inlineStr">
        <is>
          <t>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is>
      </c>
      <c r="DL61" t="inlineStr"/>
      <c r="DM61" t="inlineStr"/>
      <c r="DN61" t="inlineStr"/>
      <c r="DO61" t="inlineStr"/>
      <c r="DP61" t="inlineStr"/>
      <c r="DQ61" t="inlineStr"/>
      <c r="DR61" t="inlineStr"/>
      <c r="DS61" t="inlineStr">
        <is>
          <t>none</t>
        </is>
      </c>
      <c r="DT61" t="inlineStr"/>
      <c r="DU61" t="inlineStr"/>
      <c r="DV61" t="inlineStr"/>
      <c r="DW61" t="inlineStr"/>
      <c r="DX61" t="inlineStr">
        <is>
          <t>N</t>
        </is>
      </c>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f>IF(ISNUMBER(MATCH(U61,{"queued","contacted","replied","call_booked","call_done","yes_in_principle","materials_sent"},0)),"Y","N")</f>
        <v/>
      </c>
      <c r="ES61">
        <f>IF(COUNTIFS($AP$2:$AP$1000,AP61,$ER$2:$ER$1000,"Y")+COUNTIFS($AP$2:$AP$1000,AP61,$T$2:$T$1000,"Y")&gt;0,"Y","N")</f>
        <v/>
      </c>
      <c r="ET61">
        <f>IF(AND(U61="new",T61="N",AT61="Y",AS61="",ES61="N"),"Y","N")</f>
        <v/>
      </c>
      <c r="EU61">
        <f>IF(ET61&lt;&gt;"Y","N",IF(COUNTIFS($AP$2:$AP$1000,AP61,$ET$2:$ET$1000,"Y",$J$2:$J$1000,"&gt;"&amp;J61)+COUNTIFS($AP$2:$AP$1000,AP61,$ET$2:$ET$1000,"Y",$J$2:$J$1000,J61,$EW$2:$EW$1000,"&lt;"&amp;EW61)=0,"Y","N"))</f>
        <v/>
      </c>
      <c r="EV61">
        <f>IF(Y61="","N",IF(Y61&lt;=10,"Y","N"))</f>
        <v/>
      </c>
      <c r="EW61">
        <f>ROW()-1</f>
        <v/>
      </c>
    </row>
    <row r="62">
      <c r="A62" t="inlineStr">
        <is>
          <t>AO-C-240</t>
        </is>
      </c>
      <c r="B62" t="inlineStr">
        <is>
          <t>PitchBook</t>
        </is>
      </c>
      <c r="C62" t="inlineStr"/>
      <c r="D62" t="inlineStr"/>
      <c r="E62" t="inlineStr"/>
      <c r="F62" t="inlineStr"/>
      <c r="G62" t="inlineStr"/>
      <c r="H62" t="inlineStr">
        <is>
          <t>none</t>
        </is>
      </c>
      <c r="I62" t="inlineStr">
        <is>
          <t>linkedin</t>
        </is>
      </c>
      <c r="J62" t="n">
        <v>43.5</v>
      </c>
      <c r="K62" t="inlineStr">
        <is>
          <t>Tuesday estimate 63 to 1256 (low confidence), 1,001 to 4,999 staff company-wide, on-site 5 days a week per its profile, occupied at a high-confidence address; contacts not researched yet (below the top 50).</t>
        </is>
      </c>
      <c r="L62" t="inlineStr">
        <is>
          <t>251-500</t>
        </is>
      </c>
      <c r="M62" t="inlineStr"/>
      <c r="N62" t="inlineStr"/>
      <c r="O62" t="inlineStr"/>
      <c r="P62" t="inlineStr"/>
      <c r="Q62" t="inlineStr"/>
      <c r="R62" t="inlineStr">
        <is>
          <t>N</t>
        </is>
      </c>
      <c r="S62" t="inlineStr">
        <is>
          <t>unknown</t>
        </is>
      </c>
      <c r="T62" t="inlineStr">
        <is>
          <t>N</t>
        </is>
      </c>
      <c r="U62" t="inlineStr">
        <is>
          <t>new</t>
        </is>
      </c>
      <c r="V62" t="inlineStr">
        <is>
          <t>https://commercialobserver.com/2026/02/bluefish-lease-315-park-avenue-south/</t>
        </is>
      </c>
      <c r="W62" t="inlineStr">
        <is>
          <t>2026-10-23</t>
        </is>
      </c>
      <c r="X62" t="inlineStr">
        <is>
          <t>office</t>
        </is>
      </c>
      <c r="Y62" t="inlineStr"/>
      <c r="Z62" t="n">
        <v>61</v>
      </c>
      <c r="AA62" t="inlineStr">
        <is>
          <t>N</t>
        </is>
      </c>
      <c r="AB62" t="inlineStr">
        <is>
          <t>Tuesday estimate band 251-500: founder's call (set founder_ok_to_queue = Y to queue)</t>
        </is>
      </c>
      <c r="AC62" t="inlineStr"/>
      <c r="AD62" t="inlineStr">
        <is>
          <t>none</t>
        </is>
      </c>
      <c r="AE62" t="inlineStr"/>
      <c r="AF62" t="inlineStr"/>
      <c r="AG62" t="inlineStr"/>
      <c r="AH62" t="inlineStr">
        <is>
          <t>none</t>
        </is>
      </c>
      <c r="AI62" t="inlineStr">
        <is>
          <t>315 Park Avenue South</t>
        </is>
      </c>
      <c r="AJ62" t="inlineStr">
        <is>
          <t>unknown</t>
        </is>
      </c>
      <c r="AK62" t="inlineStr">
        <is>
          <t>occupied</t>
        </is>
      </c>
      <c r="AL62" t="n">
        <v>63</v>
      </c>
      <c r="AM62" t="n">
        <v>1256</v>
      </c>
      <c r="AN62" t="inlineStr">
        <is>
          <t>low</t>
        </is>
      </c>
      <c r="AO62" t="inlineStr">
        <is>
          <t>in-office-5</t>
        </is>
      </c>
      <c r="AP62" t="inlineStr">
        <is>
          <t>AO-C-240</t>
        </is>
      </c>
      <c r="AQ62" t="inlineStr">
        <is>
          <t>N</t>
        </is>
      </c>
      <c r="AR62" t="inlineStr"/>
      <c r="AS62" t="inlineStr"/>
      <c r="AT62" t="inlineStr">
        <is>
          <t>N</t>
        </is>
      </c>
      <c r="AU62" t="inlineStr">
        <is>
          <t>no contact named on an opened page; Tuesday estimate band 251-500: founder's call</t>
        </is>
      </c>
      <c r="AV62" t="inlineStr"/>
      <c r="AW62" t="inlineStr">
        <is>
          <t>Y</t>
        </is>
      </c>
      <c r="AX62" t="inlineStr">
        <is>
          <t>pass</t>
        </is>
      </c>
      <c r="AY62" t="inlineStr">
        <is>
          <t>passes all hard gates</t>
        </is>
      </c>
      <c r="AZ62" t="inlineStr">
        <is>
          <t>company</t>
        </is>
      </c>
      <c r="BA62" t="inlineStr">
        <is>
          <t>B-C-240</t>
        </is>
      </c>
      <c r="BB62" t="inlineStr">
        <is>
          <t>https://pitchbook.com/</t>
        </is>
      </c>
      <c r="BC62" t="inlineStr">
        <is>
          <t>Financial data / software</t>
        </is>
      </c>
      <c r="BD62" t="n">
        <v>2203</v>
      </c>
      <c r="BE62" t="inlineStr"/>
      <c r="BF62" t="inlineStr">
        <is>
          <t>over-500</t>
        </is>
      </c>
      <c r="BG62" t="inlineStr">
        <is>
          <t>whole-company</t>
        </is>
      </c>
      <c r="BH62" t="inlineStr">
        <is>
          <t>single-source</t>
        </is>
      </c>
      <c r="BI62" t="inlineStr">
        <is>
          <t>https://www.builtinnyc.com/company/pitchbook/offices</t>
        </is>
      </c>
      <c r="BJ62" t="inlineStr"/>
      <c r="BK62" t="inlineStr">
        <is>
          <t>1001-4999</t>
        </is>
      </c>
      <c r="BL62" t="inlineStr">
        <is>
          <t>Seattle</t>
        </is>
      </c>
      <c r="BM62" t="inlineStr">
        <is>
          <t>N</t>
        </is>
      </c>
      <c r="BN62" t="inlineStr">
        <is>
          <t>unknown</t>
        </is>
      </c>
      <c r="BO62" t="inlineStr">
        <is>
          <t>unknown</t>
        </is>
      </c>
      <c r="BP62" t="n">
        <v>10010</v>
      </c>
      <c r="BQ62" t="n">
        <v>40.740567</v>
      </c>
      <c r="BR62" t="n">
        <v>-73.985832</v>
      </c>
      <c r="BS62" t="inlineStr">
        <is>
          <t>Y</t>
        </is>
      </c>
      <c r="BT62" t="n">
        <v>0</v>
      </c>
      <c r="BU62" t="inlineStr"/>
      <c r="BV62" t="inlineStr">
        <is>
          <t>unknown</t>
        </is>
      </c>
      <c r="BW62" t="inlineStr">
        <is>
          <t>https://commercialobserver.com/2026/02/bluefish-lease-315-park-avenue-south/</t>
        </is>
      </c>
      <c r="BX62" t="inlineStr">
        <is>
          <t>2026-02</t>
        </is>
      </c>
      <c r="BY62" t="inlineStr">
        <is>
          <t>leasing-press</t>
        </is>
      </c>
      <c r="BZ62" t="inlineStr">
        <is>
          <t>https://www.builtinnyc.com/company/pitchbook/offices</t>
        </is>
      </c>
      <c r="CA62" t="inlineStr">
        <is>
          <t>2026-10-23</t>
        </is>
      </c>
      <c r="CB62" t="inlineStr"/>
      <c r="CC62" t="inlineStr">
        <is>
          <t>high</t>
        </is>
      </c>
      <c r="CD62" t="inlineStr"/>
      <c r="CE62" t="inlineStr">
        <is>
          <t>N</t>
        </is>
      </c>
      <c r="CF62" t="inlineStr"/>
      <c r="CG62" t="inlineStr"/>
      <c r="CH62" t="inlineStr">
        <is>
          <t>security desk</t>
        </is>
      </c>
      <c r="CI62" t="inlineStr"/>
      <c r="CJ62" t="inlineStr">
        <is>
          <t>unknown</t>
        </is>
      </c>
      <c r="CK62" t="inlineStr">
        <is>
          <t>N</t>
        </is>
      </c>
      <c r="CL62" t="inlineStr">
        <is>
          <t>Built In workplace type: OnSite Workplace; typical time on-site: 5 days a week; recent job tags: 3 In-Office</t>
        </is>
      </c>
      <c r="CM62" t="inlineStr">
        <is>
          <t>https://www.builtinnyc.com/company/pitchbook/offices</t>
        </is>
      </c>
      <c r="CN62" t="inlineStr">
        <is>
          <t>2026-10-24</t>
        </is>
      </c>
      <c r="CO62" t="n">
        <v>281</v>
      </c>
      <c r="CP62" t="inlineStr">
        <is>
          <t>may exceed 250</t>
        </is>
      </c>
      <c r="CQ62" t="inlineStr">
        <is>
          <t>2203 (Built In) staff (whole-company count) x 5% to 100% of them in the New York office (HQ outside New York; share assumed) x 57% (Partnership for NYC, all Manhattan firms; no figure for 500 to 4,999) in on a weekday = 63 to 1256, central 281; low confidence; estimate until intake replaces it.</t>
        </is>
      </c>
      <c r="CR62" t="inlineStr">
        <is>
          <t>estimate until intake replaces it</t>
        </is>
      </c>
      <c r="CS62" t="n">
        <v>0.46</v>
      </c>
      <c r="CT62" t="n">
        <v>43.5</v>
      </c>
      <c r="CU62" t="n">
        <v>11.5</v>
      </c>
      <c r="CV62" t="n">
        <v>2</v>
      </c>
      <c r="CW62" t="n">
        <v>15</v>
      </c>
      <c r="CX62" t="n">
        <v>15</v>
      </c>
      <c r="CY62" t="n">
        <v>0</v>
      </c>
      <c r="CZ62" t="n">
        <v>0</v>
      </c>
      <c r="DA62" t="inlineStr"/>
      <c r="DB62" t="inlineStr"/>
      <c r="DC62" t="inlineStr"/>
      <c r="DD62" t="inlineStr"/>
      <c r="DE62" t="inlineStr"/>
      <c r="DF62" t="inlineStr">
        <is>
          <t>none</t>
        </is>
      </c>
      <c r="DG62" t="inlineStr">
        <is>
          <t>near-miss-over-500</t>
        </is>
      </c>
      <c r="DH62" t="inlineStr">
        <is>
          <t>over-1,000 (1,001 to 4,999)</t>
        </is>
      </c>
      <c r="DI62" t="inlineStr">
        <is>
          <t>N</t>
        </is>
      </c>
      <c r="DJ62" t="inlineStr"/>
      <c r="DK62" t="inlineStr">
        <is>
          <t>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is>
      </c>
      <c r="DL62" t="inlineStr"/>
      <c r="DM62" t="inlineStr"/>
      <c r="DN62" t="inlineStr"/>
      <c r="DO62" t="inlineStr"/>
      <c r="DP62" t="inlineStr"/>
      <c r="DQ62" t="inlineStr"/>
      <c r="DR62" t="inlineStr"/>
      <c r="DS62" t="inlineStr">
        <is>
          <t>none</t>
        </is>
      </c>
      <c r="DT62" t="inlineStr"/>
      <c r="DU62" t="inlineStr"/>
      <c r="DV62" t="inlineStr"/>
      <c r="DW62" t="inlineStr"/>
      <c r="DX62" t="inlineStr">
        <is>
          <t>N</t>
        </is>
      </c>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f>IF(ISNUMBER(MATCH(U62,{"queued","contacted","replied","call_booked","call_done","yes_in_principle","materials_sent"},0)),"Y","N")</f>
        <v/>
      </c>
      <c r="ES62">
        <f>IF(COUNTIFS($AP$2:$AP$1000,AP62,$ER$2:$ER$1000,"Y")+COUNTIFS($AP$2:$AP$1000,AP62,$T$2:$T$1000,"Y")&gt;0,"Y","N")</f>
        <v/>
      </c>
      <c r="ET62">
        <f>IF(AND(U62="new",T62="N",AT62="Y",AS62="",ES62="N"),"Y","N")</f>
        <v/>
      </c>
      <c r="EU62">
        <f>IF(ET62&lt;&gt;"Y","N",IF(COUNTIFS($AP$2:$AP$1000,AP62,$ET$2:$ET$1000,"Y",$J$2:$J$1000,"&gt;"&amp;J62)+COUNTIFS($AP$2:$AP$1000,AP62,$ET$2:$ET$1000,"Y",$J$2:$J$1000,J62,$EW$2:$EW$1000,"&lt;"&amp;EW62)=0,"Y","N"))</f>
        <v/>
      </c>
      <c r="EV62">
        <f>IF(Y62="","N",IF(Y62&lt;=10,"Y","N"))</f>
        <v/>
      </c>
      <c r="EW62">
        <f>ROW()-1</f>
        <v/>
      </c>
    </row>
    <row r="63">
      <c r="A63" t="inlineStr">
        <is>
          <t>AO-C-228</t>
        </is>
      </c>
      <c r="B63" t="inlineStr">
        <is>
          <t>TileBar</t>
        </is>
      </c>
      <c r="C63" t="inlineStr"/>
      <c r="D63" t="inlineStr"/>
      <c r="E63" t="inlineStr"/>
      <c r="F63" t="inlineStr"/>
      <c r="G63" t="inlineStr"/>
      <c r="H63" t="inlineStr">
        <is>
          <t>none</t>
        </is>
      </c>
      <c r="I63" t="inlineStr">
        <is>
          <t>linkedin</t>
        </is>
      </c>
      <c r="J63" t="n">
        <v>43.2</v>
      </c>
      <c r="K63" t="inlineStr">
        <is>
          <t>Tuesday estimate 16 to 328 (low confidence), 501 to 1,000 staff company-wide, hybrid (days not stated), occupied at a high-confidence address; contacts not researched yet (below the top 50).</t>
        </is>
      </c>
      <c r="L63" t="inlineStr">
        <is>
          <t>40-75</t>
        </is>
      </c>
      <c r="M63" t="inlineStr"/>
      <c r="N63" t="inlineStr"/>
      <c r="O63" t="inlineStr"/>
      <c r="P63" t="inlineStr"/>
      <c r="Q63" t="inlineStr"/>
      <c r="R63" t="inlineStr">
        <is>
          <t>N</t>
        </is>
      </c>
      <c r="S63" t="inlineStr">
        <is>
          <t>unknown</t>
        </is>
      </c>
      <c r="T63" t="inlineStr">
        <is>
          <t>N</t>
        </is>
      </c>
      <c r="U63" t="inlineStr">
        <is>
          <t>new</t>
        </is>
      </c>
      <c r="V63" t="inlineStr">
        <is>
          <t>https://rebusinessonline.com/tilebar-signs-34000-sf-office-lease-in-manhattans-flatiron-district/</t>
        </is>
      </c>
      <c r="W63" t="inlineStr">
        <is>
          <t>2026-10-23</t>
        </is>
      </c>
      <c r="X63" t="inlineStr">
        <is>
          <t>office</t>
        </is>
      </c>
      <c r="Y63" t="inlineStr"/>
      <c r="Z63" t="n">
        <v>62</v>
      </c>
      <c r="AA63" t="inlineStr">
        <is>
          <t>N</t>
        </is>
      </c>
      <c r="AB63" t="inlineStr"/>
      <c r="AC63" t="inlineStr"/>
      <c r="AD63" t="inlineStr">
        <is>
          <t>none</t>
        </is>
      </c>
      <c r="AE63" t="inlineStr"/>
      <c r="AF63" t="inlineStr"/>
      <c r="AG63" t="inlineStr"/>
      <c r="AH63" t="inlineStr">
        <is>
          <t>none</t>
        </is>
      </c>
      <c r="AI63" t="inlineStr">
        <is>
          <t>53 West 23rd Street</t>
        </is>
      </c>
      <c r="AJ63" t="inlineStr">
        <is>
          <t>3 and 4</t>
        </is>
      </c>
      <c r="AK63" t="inlineStr">
        <is>
          <t>occupied</t>
        </is>
      </c>
      <c r="AL63" t="n">
        <v>16</v>
      </c>
      <c r="AM63" t="n">
        <v>328</v>
      </c>
      <c r="AN63" t="inlineStr">
        <is>
          <t>low</t>
        </is>
      </c>
      <c r="AO63" t="inlineStr">
        <is>
          <t>hybrid-unspecified</t>
        </is>
      </c>
      <c r="AP63" t="inlineStr">
        <is>
          <t>AO-C-228</t>
        </is>
      </c>
      <c r="AQ63" t="inlineStr">
        <is>
          <t>N</t>
        </is>
      </c>
      <c r="AR63" t="inlineStr"/>
      <c r="AS63" t="inlineStr"/>
      <c r="AT63" t="inlineStr">
        <is>
          <t>N</t>
        </is>
      </c>
      <c r="AU63" t="inlineStr">
        <is>
          <t>no contact named on an opened page</t>
        </is>
      </c>
      <c r="AV63" t="inlineStr"/>
      <c r="AW63" t="inlineStr">
        <is>
          <t>N</t>
        </is>
      </c>
      <c r="AX63" t="inlineStr">
        <is>
          <t>pass</t>
        </is>
      </c>
      <c r="AY63" t="inlineStr">
        <is>
          <t>passes all hard gates</t>
        </is>
      </c>
      <c r="AZ63" t="inlineStr">
        <is>
          <t>company</t>
        </is>
      </c>
      <c r="BA63" t="inlineStr">
        <is>
          <t>B-C-228</t>
        </is>
      </c>
      <c r="BB63" t="inlineStr">
        <is>
          <t>https://www.tilebar.com/</t>
        </is>
      </c>
      <c r="BC63" t="inlineStr">
        <is>
          <t>Consumer brand (tile and surfaces) / showroom</t>
        </is>
      </c>
      <c r="BD63" t="n">
        <v>575</v>
      </c>
      <c r="BE63" t="inlineStr"/>
      <c r="BF63" t="inlineStr">
        <is>
          <t>over-500</t>
        </is>
      </c>
      <c r="BG63" t="inlineStr">
        <is>
          <t>whole-company</t>
        </is>
      </c>
      <c r="BH63" t="inlineStr">
        <is>
          <t>single-source</t>
        </is>
      </c>
      <c r="BI63" t="inlineStr">
        <is>
          <t>https://www.builtinnyc.com/company/tilebar/offices</t>
        </is>
      </c>
      <c r="BJ63" t="inlineStr"/>
      <c r="BK63" t="inlineStr">
        <is>
          <t>501-1000</t>
        </is>
      </c>
      <c r="BL63" t="inlineStr">
        <is>
          <t>Inwood</t>
        </is>
      </c>
      <c r="BM63" t="inlineStr">
        <is>
          <t>N</t>
        </is>
      </c>
      <c r="BN63" t="inlineStr">
        <is>
          <t>unknown</t>
        </is>
      </c>
      <c r="BO63" t="inlineStr">
        <is>
          <t>unknown</t>
        </is>
      </c>
      <c r="BP63" t="n">
        <v>10010</v>
      </c>
      <c r="BQ63" t="n">
        <v>40.742654</v>
      </c>
      <c r="BR63" t="n">
        <v>-73.991559</v>
      </c>
      <c r="BS63" t="inlineStr">
        <is>
          <t>Y</t>
        </is>
      </c>
      <c r="BT63" t="n">
        <v>0</v>
      </c>
      <c r="BU63" t="inlineStr">
        <is>
          <t>B-B-050</t>
        </is>
      </c>
      <c r="BV63" t="inlineStr">
        <is>
          <t>49-53 West 23rd Street (Adams &amp; Company)</t>
        </is>
      </c>
      <c r="BW63" t="inlineStr">
        <is>
          <t>https://rebusinessonline.com/tilebar-signs-34000-sf-office-lease-in-manhattans-flatiron-district/</t>
        </is>
      </c>
      <c r="BX63" t="inlineStr">
        <is>
          <t>2025-04-18</t>
        </is>
      </c>
      <c r="BY63" t="inlineStr">
        <is>
          <t>leasing-press</t>
        </is>
      </c>
      <c r="BZ63" t="inlineStr">
        <is>
          <t>https://commercialobserver.com/2025/10/huge-lease-adams-53-west-23rd-street/</t>
        </is>
      </c>
      <c r="CA63" t="inlineStr">
        <is>
          <t>2025-10-02</t>
        </is>
      </c>
      <c r="CB63" t="inlineStr"/>
      <c r="CC63" t="inlineStr">
        <is>
          <t>high</t>
        </is>
      </c>
      <c r="CD63" t="inlineStr"/>
      <c r="CE63" t="inlineStr">
        <is>
          <t>N</t>
        </is>
      </c>
      <c r="CF63" t="inlineStr"/>
      <c r="CG63" t="inlineStr"/>
      <c r="CH63" t="inlineStr">
        <is>
          <t>security desk</t>
        </is>
      </c>
      <c r="CI63" t="inlineStr">
        <is>
          <t>https://www.adamsre.com/collections/madison-square-park/products/53-west-23rd</t>
        </is>
      </c>
      <c r="CJ63" t="inlineStr">
        <is>
          <t>unknown</t>
        </is>
      </c>
      <c r="CK63" t="inlineStr">
        <is>
          <t>N</t>
        </is>
      </c>
      <c r="CL63" t="inlineStr">
        <is>
          <t>Built In workplace type: Hybrid Workplace; typical time on-site: None</t>
        </is>
      </c>
      <c r="CM63" t="inlineStr">
        <is>
          <t>https://www.builtinnyc.com/company/tilebar/offices</t>
        </is>
      </c>
      <c r="CN63" t="inlineStr">
        <is>
          <t>2026-10-24</t>
        </is>
      </c>
      <c r="CO63" t="n">
        <v>72</v>
      </c>
      <c r="CP63" t="inlineStr">
        <is>
          <t>may be under 30;may exceed 250</t>
        </is>
      </c>
      <c r="CQ63" t="inlineStr">
        <is>
          <t>575 (Built In) staff (whole-company count) x 5% to 100% of them in the New York office (HQ outside New York; share assumed) x 57% (Partnership for NYC, all Manhattan firms; no figure for 500 to 4,999) in on a weekday = 16 to 328, central 72; low confidence; estimate until intake replaces it.</t>
        </is>
      </c>
      <c r="CR63" t="inlineStr">
        <is>
          <t>estimate until intake replaces it</t>
        </is>
      </c>
      <c r="CS63" t="n">
        <v>0.61</v>
      </c>
      <c r="CT63" t="n">
        <v>43.2</v>
      </c>
      <c r="CU63" t="n">
        <v>15.2</v>
      </c>
      <c r="CV63" t="n">
        <v>6</v>
      </c>
      <c r="CW63" t="n">
        <v>7</v>
      </c>
      <c r="CX63" t="n">
        <v>15</v>
      </c>
      <c r="CY63" t="n">
        <v>0</v>
      </c>
      <c r="CZ63" t="n">
        <v>0</v>
      </c>
      <c r="DA63" t="inlineStr"/>
      <c r="DB63" t="inlineStr"/>
      <c r="DC63" t="inlineStr"/>
      <c r="DD63" t="inlineStr"/>
      <c r="DE63" t="inlineStr"/>
      <c r="DF63" t="inlineStr">
        <is>
          <t>none</t>
        </is>
      </c>
      <c r="DG63" t="inlineStr">
        <is>
          <t>near-miss-over-500</t>
        </is>
      </c>
      <c r="DH63" t="inlineStr">
        <is>
          <t>just-over-500 (501 to 1,000)</t>
        </is>
      </c>
      <c r="DI63" t="inlineStr">
        <is>
          <t>N</t>
        </is>
      </c>
      <c r="DJ63" t="inlineStr">
        <is>
          <t>34,000 sf</t>
        </is>
      </c>
      <c r="DK63" t="inlineStr">
        <is>
          <t>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DL63" t="inlineStr"/>
      <c r="DM63" t="inlineStr"/>
      <c r="DN63" t="inlineStr"/>
      <c r="DO63" t="inlineStr"/>
      <c r="DP63" t="inlineStr"/>
      <c r="DQ63" t="inlineStr"/>
      <c r="DR63" t="inlineStr"/>
      <c r="DS63" t="inlineStr">
        <is>
          <t>none</t>
        </is>
      </c>
      <c r="DT63" t="inlineStr"/>
      <c r="DU63" t="inlineStr"/>
      <c r="DV63" t="inlineStr"/>
      <c r="DW63" t="inlineStr"/>
      <c r="DX63" t="inlineStr">
        <is>
          <t>N</t>
        </is>
      </c>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f>IF(ISNUMBER(MATCH(U63,{"queued","contacted","replied","call_booked","call_done","yes_in_principle","materials_sent"},0)),"Y","N")</f>
        <v/>
      </c>
      <c r="ES63">
        <f>IF(COUNTIFS($AP$2:$AP$1000,AP63,$ER$2:$ER$1000,"Y")+COUNTIFS($AP$2:$AP$1000,AP63,$T$2:$T$1000,"Y")&gt;0,"Y","N")</f>
        <v/>
      </c>
      <c r="ET63">
        <f>IF(AND(U63="new",T63="N",AT63="Y",AS63="",ES63="N"),"Y","N")</f>
        <v/>
      </c>
      <c r="EU63">
        <f>IF(ET63&lt;&gt;"Y","N",IF(COUNTIFS($AP$2:$AP$1000,AP63,$ET$2:$ET$1000,"Y",$J$2:$J$1000,"&gt;"&amp;J63)+COUNTIFS($AP$2:$AP$1000,AP63,$ET$2:$ET$1000,"Y",$J$2:$J$1000,J63,$EW$2:$EW$1000,"&lt;"&amp;EW63)=0,"Y","N"))</f>
        <v/>
      </c>
      <c r="EV63">
        <f>IF(Y63="","N",IF(Y63&lt;=10,"Y","N"))</f>
        <v/>
      </c>
      <c r="EW63">
        <f>ROW()-1</f>
        <v/>
      </c>
    </row>
    <row r="64">
      <c r="A64" t="inlineStr">
        <is>
          <t>AO-C-103</t>
        </is>
      </c>
      <c r="B64" t="inlineStr">
        <is>
          <t>Clay</t>
        </is>
      </c>
      <c r="C64" t="inlineStr"/>
      <c r="D64" t="inlineStr"/>
      <c r="E64" t="inlineStr"/>
      <c r="F64" t="inlineStr"/>
      <c r="G64" t="inlineStr"/>
      <c r="H64" t="inlineStr">
        <is>
          <t>none</t>
        </is>
      </c>
      <c r="I64" t="inlineStr">
        <is>
          <t>linkedin</t>
        </is>
      </c>
      <c r="J64" t="n">
        <v>42.9</v>
      </c>
      <c r="K64" t="inlineStr">
        <is>
          <t>Tuesday estimate 27 to 405 (low confidence), 501 to 1,000 staff company-wide, on-site 5 days a week per its profile, signed-not-occupied at a medium-confidence address (hold: lease signed, move not confirmed); contacts not researched yet (below the top 50).</t>
        </is>
      </c>
      <c r="L64" t="inlineStr">
        <is>
          <t>76-150</t>
        </is>
      </c>
      <c r="M64" t="inlineStr"/>
      <c r="N64" t="inlineStr"/>
      <c r="O64" t="inlineStr">
        <is>
          <t>New or renewed lease at 11 Madison Avenue reported 2026-03-09</t>
        </is>
      </c>
      <c r="P64" t="inlineStr">
        <is>
          <t>https://commercialobserver.com/2026/03/clay-ai-lease-sl-green-11-madison-avenue/</t>
        </is>
      </c>
      <c r="Q64" t="inlineStr">
        <is>
          <t>2026-03-09</t>
        </is>
      </c>
      <c r="R64" t="inlineStr">
        <is>
          <t>N</t>
        </is>
      </c>
      <c r="S64" t="inlineStr">
        <is>
          <t>unknown</t>
        </is>
      </c>
      <c r="T64" t="inlineStr">
        <is>
          <t>N</t>
        </is>
      </c>
      <c r="U64" t="inlineStr">
        <is>
          <t>new</t>
        </is>
      </c>
      <c r="V64" t="inlineStr">
        <is>
          <t>https://commercialobserver.com/2026/03/clay-ai-lease-sl-green-11-madison-avenue/</t>
        </is>
      </c>
      <c r="W64" t="inlineStr">
        <is>
          <t>2026-10-23</t>
        </is>
      </c>
      <c r="X64" t="inlineStr">
        <is>
          <t>office</t>
        </is>
      </c>
      <c r="Y64" t="inlineStr"/>
      <c r="Z64" t="n">
        <v>63</v>
      </c>
      <c r="AA64" t="inlineStr">
        <is>
          <t>N</t>
        </is>
      </c>
      <c r="AB64" t="inlineStr"/>
      <c r="AC64" t="inlineStr"/>
      <c r="AD64" t="inlineStr">
        <is>
          <t>none</t>
        </is>
      </c>
      <c r="AE64" t="inlineStr"/>
      <c r="AF64" t="inlineStr"/>
      <c r="AG64" t="inlineStr"/>
      <c r="AH64" t="inlineStr">
        <is>
          <t>none</t>
        </is>
      </c>
      <c r="AI64" t="inlineStr">
        <is>
          <t>11 Madison Avenue</t>
        </is>
      </c>
      <c r="AJ64" t="inlineStr">
        <is>
          <t>14, 16 and part of 15</t>
        </is>
      </c>
      <c r="AK64" t="inlineStr">
        <is>
          <t>signed-not-occupied</t>
        </is>
      </c>
      <c r="AL64" t="n">
        <v>27</v>
      </c>
      <c r="AM64" t="n">
        <v>405</v>
      </c>
      <c r="AN64" t="inlineStr">
        <is>
          <t>low</t>
        </is>
      </c>
      <c r="AO64" t="inlineStr">
        <is>
          <t>in-office-5</t>
        </is>
      </c>
      <c r="AP64" t="inlineStr">
        <is>
          <t>AO-C-103</t>
        </is>
      </c>
      <c r="AQ64" t="inlineStr">
        <is>
          <t>Y</t>
        </is>
      </c>
      <c r="AR64" t="inlineStr">
        <is>
          <t>lease signed, move not confirmed: check the lobby directory before outreach (B)</t>
        </is>
      </c>
      <c r="AS64" t="inlineStr"/>
      <c r="AT64" t="inlineStr">
        <is>
          <t>N</t>
        </is>
      </c>
      <c r="AU64" t="inlineStr">
        <is>
          <t>on hold: lease signed, move not confirmed: check the lobby directory before outreach (B); no contact named on an opened page</t>
        </is>
      </c>
      <c r="AV64" t="inlineStr"/>
      <c r="AW64" t="inlineStr">
        <is>
          <t>N</t>
        </is>
      </c>
      <c r="AX64" t="inlineStr">
        <is>
          <t>pass</t>
        </is>
      </c>
      <c r="AY64" t="inlineStr">
        <is>
          <t>passes all hard gates</t>
        </is>
      </c>
      <c r="AZ64" t="inlineStr">
        <is>
          <t>company</t>
        </is>
      </c>
      <c r="BA64" t="inlineStr">
        <is>
          <t>B-C-103</t>
        </is>
      </c>
      <c r="BB64" t="inlineStr">
        <is>
          <t>https://www.clay.com/</t>
        </is>
      </c>
      <c r="BC64" t="inlineStr">
        <is>
          <t>Software (AI sales / go-to-market)</t>
        </is>
      </c>
      <c r="BD64" t="n">
        <v>710</v>
      </c>
      <c r="BE64" t="n">
        <v>93</v>
      </c>
      <c r="BF64" t="inlineStr">
        <is>
          <t>over-500</t>
        </is>
      </c>
      <c r="BG64" t="inlineStr">
        <is>
          <t>whole-company</t>
        </is>
      </c>
      <c r="BH64" t="inlineStr">
        <is>
          <t>over-500-second-source</t>
        </is>
      </c>
      <c r="BI64" t="inlineStr">
        <is>
          <t>https://www.reveliolabs.com/companies/clay-labs/employees</t>
        </is>
      </c>
      <c r="BJ64" t="inlineStr">
        <is>
          <t>https://www.builtinnyc.com/company/clay/offices</t>
        </is>
      </c>
      <c r="BK64" t="inlineStr">
        <is>
          <t>501-1000</t>
        </is>
      </c>
      <c r="BL64" t="inlineStr">
        <is>
          <t>New York</t>
        </is>
      </c>
      <c r="BM64" t="inlineStr">
        <is>
          <t>Y</t>
        </is>
      </c>
      <c r="BN64" t="inlineStr">
        <is>
          <t>unknown</t>
        </is>
      </c>
      <c r="BO64" t="inlineStr">
        <is>
          <t>unknown</t>
        </is>
      </c>
      <c r="BP64" t="n">
        <v>10010</v>
      </c>
      <c r="BQ64" t="n">
        <v>40.741761</v>
      </c>
      <c r="BR64" t="n">
        <v>-73.987033</v>
      </c>
      <c r="BS64" t="inlineStr">
        <is>
          <t>Y</t>
        </is>
      </c>
      <c r="BT64" t="n">
        <v>0</v>
      </c>
      <c r="BU64" t="inlineStr">
        <is>
          <t>B-B-052</t>
        </is>
      </c>
      <c r="BV64" t="inlineStr">
        <is>
          <t>11 Madison Avenue (SL Green); Sony Music uses 25 Madison Ave entrance</t>
        </is>
      </c>
      <c r="BW64" t="inlineStr">
        <is>
          <t>https://commercialobserver.com/2026/03/clay-ai-lease-sl-green-11-madison-avenue/</t>
        </is>
      </c>
      <c r="BX64" t="inlineStr">
        <is>
          <t>2026-03-09</t>
        </is>
      </c>
      <c r="BY64" t="inlineStr">
        <is>
          <t>leasing-press</t>
        </is>
      </c>
      <c r="BZ64" t="inlineStr">
        <is>
          <t>https://www.metro-manhattan.com/neighborhoods/midtown-south/flatiron/</t>
        </is>
      </c>
      <c r="CA64" t="inlineStr">
        <is>
          <t>2026-06</t>
        </is>
      </c>
      <c r="CB64" t="inlineStr"/>
      <c r="CC64" t="inlineStr">
        <is>
          <t>medium</t>
        </is>
      </c>
      <c r="CD64" t="inlineStr">
        <is>
          <t>unknown</t>
        </is>
      </c>
      <c r="CE64" t="inlineStr">
        <is>
          <t>N</t>
        </is>
      </c>
      <c r="CF64" t="inlineStr"/>
      <c r="CG64" t="inlineStr"/>
      <c r="CH64" t="inlineStr">
        <is>
          <t>loading dock</t>
        </is>
      </c>
      <c r="CI64" t="inlineStr">
        <is>
          <t>https://en.wikipedia.org/wiki/11_Madison_Avenue</t>
        </is>
      </c>
      <c r="CJ64" t="inlineStr">
        <is>
          <t>unknown</t>
        </is>
      </c>
      <c r="CK64" t="inlineStr">
        <is>
          <t>N</t>
        </is>
      </c>
      <c r="CL64" t="inlineStr">
        <is>
          <t>Built In workplace type: OnSite Workplace; typical time on-site: 5 days a week</t>
        </is>
      </c>
      <c r="CM64" t="inlineStr">
        <is>
          <t>https://www.builtinnyc.com/company/clay/offices</t>
        </is>
      </c>
      <c r="CN64" t="inlineStr">
        <is>
          <t>2026-10-24</t>
        </is>
      </c>
      <c r="CO64" t="n">
        <v>105</v>
      </c>
      <c r="CP64" t="inlineStr">
        <is>
          <t>may be under 30;may exceed 250</t>
        </is>
      </c>
      <c r="CQ64" t="inlineStr">
        <is>
          <t>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is>
      </c>
      <c r="CR64" t="inlineStr">
        <is>
          <t>estimate until intake replaces it</t>
        </is>
      </c>
      <c r="CS64" t="n">
        <v>0.68</v>
      </c>
      <c r="CT64" t="n">
        <v>42.9</v>
      </c>
      <c r="CU64" t="n">
        <v>16.9</v>
      </c>
      <c r="CV64" t="n">
        <v>6</v>
      </c>
      <c r="CW64" t="n">
        <v>15</v>
      </c>
      <c r="CX64" t="n">
        <v>5</v>
      </c>
      <c r="CY64" t="n">
        <v>0</v>
      </c>
      <c r="CZ64" t="n">
        <v>0</v>
      </c>
      <c r="DA64" t="inlineStr"/>
      <c r="DB64" t="inlineStr"/>
      <c r="DC64" t="inlineStr"/>
      <c r="DD64" t="inlineStr"/>
      <c r="DE64" t="inlineStr"/>
      <c r="DF64" t="inlineStr">
        <is>
          <t>none</t>
        </is>
      </c>
      <c r="DG64" t="inlineStr">
        <is>
          <t>near-miss-over-500</t>
        </is>
      </c>
      <c r="DH64" t="inlineStr">
        <is>
          <t>just-over-500 (501 to 1,000)</t>
        </is>
      </c>
      <c r="DI64" t="inlineStr">
        <is>
          <t>N</t>
        </is>
      </c>
      <c r="DJ64" t="inlineStr">
        <is>
          <t>163,095 sf;202,875 sf</t>
        </is>
      </c>
      <c r="DK64" t="inlineStr">
        <is>
          <t>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L64" t="inlineStr"/>
      <c r="DM64" t="inlineStr"/>
      <c r="DN64" t="inlineStr"/>
      <c r="DO64" t="inlineStr"/>
      <c r="DP64" t="inlineStr"/>
      <c r="DQ64" t="inlineStr"/>
      <c r="DR64" t="inlineStr"/>
      <c r="DS64" t="inlineStr">
        <is>
          <t>none</t>
        </is>
      </c>
      <c r="DT64" t="inlineStr"/>
      <c r="DU64" t="inlineStr"/>
      <c r="DV64" t="inlineStr"/>
      <c r="DW64" t="inlineStr"/>
      <c r="DX64" t="inlineStr">
        <is>
          <t>N</t>
        </is>
      </c>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f>IF(ISNUMBER(MATCH(U64,{"queued","contacted","replied","call_booked","call_done","yes_in_principle","materials_sent"},0)),"Y","N")</f>
        <v/>
      </c>
      <c r="ES64">
        <f>IF(COUNTIFS($AP$2:$AP$1000,AP64,$ER$2:$ER$1000,"Y")+COUNTIFS($AP$2:$AP$1000,AP64,$T$2:$T$1000,"Y")&gt;0,"Y","N")</f>
        <v/>
      </c>
      <c r="ET64">
        <f>IF(AND(U64="new",T64="N",AT64="Y",AS64="",ES64="N"),"Y","N")</f>
        <v/>
      </c>
      <c r="EU64">
        <f>IF(ET64&lt;&gt;"Y","N",IF(COUNTIFS($AP$2:$AP$1000,AP64,$ET$2:$ET$1000,"Y",$J$2:$J$1000,"&gt;"&amp;J64)+COUNTIFS($AP$2:$AP$1000,AP64,$ET$2:$ET$1000,"Y",$J$2:$J$1000,J64,$EW$2:$EW$1000,"&lt;"&amp;EW64)=0,"Y","N"))</f>
        <v/>
      </c>
      <c r="EV64">
        <f>IF(Y64="","N",IF(Y64&lt;=10,"Y","N"))</f>
        <v/>
      </c>
      <c r="EW64">
        <f>ROW()-1</f>
        <v/>
      </c>
    </row>
    <row r="65">
      <c r="A65" t="inlineStr">
        <is>
          <t>AO-C-032</t>
        </is>
      </c>
      <c r="B65" t="inlineStr">
        <is>
          <t>Roboflow</t>
        </is>
      </c>
      <c r="C65" t="inlineStr"/>
      <c r="D65" t="inlineStr"/>
      <c r="E65" t="inlineStr"/>
      <c r="F65" t="inlineStr"/>
      <c r="G65" t="inlineStr"/>
      <c r="H65" t="inlineStr">
        <is>
          <t>none</t>
        </is>
      </c>
      <c r="I65" t="inlineStr">
        <is>
          <t>linkedin</t>
        </is>
      </c>
      <c r="J65" t="n">
        <v>42.4</v>
      </c>
      <c r="K65" t="inlineStr">
        <is>
          <t>Tuesday estimate 1 to 88 (low confidence), under 500 staff company-wide, on-site 5 days a week per its profile, occupancy-unconfirmed at a medium-confidence address; contacts not researched yet (below the top 50).</t>
        </is>
      </c>
      <c r="L65" t="inlineStr">
        <is>
          <t>under-40</t>
        </is>
      </c>
      <c r="M65" t="inlineStr"/>
      <c r="N65" t="inlineStr"/>
      <c r="O65" t="inlineStr"/>
      <c r="P65" t="inlineStr"/>
      <c r="Q65" t="inlineStr"/>
      <c r="R65" t="inlineStr">
        <is>
          <t>N</t>
        </is>
      </c>
      <c r="S65" t="inlineStr">
        <is>
          <t>unknown</t>
        </is>
      </c>
      <c r="T65" t="inlineStr">
        <is>
          <t>N</t>
        </is>
      </c>
      <c r="U65" t="inlineStr">
        <is>
          <t>new</t>
        </is>
      </c>
      <c r="V65" t="inlineStr">
        <is>
          <t>https://www.mannpublications.com/mannreport/2025/08/25/moinian-signs-33000sf-across-flatiron-portfolio/</t>
        </is>
      </c>
      <c r="W65" t="inlineStr">
        <is>
          <t>2026-10-23</t>
        </is>
      </c>
      <c r="X65" t="inlineStr">
        <is>
          <t>office</t>
        </is>
      </c>
      <c r="Y65" t="inlineStr"/>
      <c r="Z65" t="n">
        <v>64</v>
      </c>
      <c r="AA65" t="inlineStr">
        <is>
          <t>N</t>
        </is>
      </c>
      <c r="AB65" t="inlineStr">
        <is>
          <t>Tuesday estimate band under-40: founder's call (set founder_ok_to_queue = Y to queue)</t>
        </is>
      </c>
      <c r="AC65" t="inlineStr"/>
      <c r="AD65" t="inlineStr">
        <is>
          <t>none</t>
        </is>
      </c>
      <c r="AE65" t="inlineStr"/>
      <c r="AF65" t="inlineStr"/>
      <c r="AG65" t="inlineStr"/>
      <c r="AH65" t="inlineStr">
        <is>
          <t>none</t>
        </is>
      </c>
      <c r="AI65" t="inlineStr">
        <is>
          <t>10 West 18th Street</t>
        </is>
      </c>
      <c r="AJ65" t="inlineStr">
        <is>
          <t>unknown</t>
        </is>
      </c>
      <c r="AK65" t="inlineStr">
        <is>
          <t>occupancy-unconfirmed</t>
        </is>
      </c>
      <c r="AL65" t="n">
        <v>1</v>
      </c>
      <c r="AM65" t="n">
        <v>88</v>
      </c>
      <c r="AN65" t="inlineStr">
        <is>
          <t>low</t>
        </is>
      </c>
      <c r="AO65" t="inlineStr">
        <is>
          <t>in-office-5</t>
        </is>
      </c>
      <c r="AP65" t="inlineStr">
        <is>
          <t>AO-C-032</t>
        </is>
      </c>
      <c r="AQ65" t="inlineStr">
        <is>
          <t>N</t>
        </is>
      </c>
      <c r="AR65" t="inlineStr"/>
      <c r="AS65" t="inlineStr"/>
      <c r="AT65" t="inlineStr">
        <is>
          <t>N</t>
        </is>
      </c>
      <c r="AU65" t="inlineStr">
        <is>
          <t>no contact named on an opened page; Tuesday estimate band under-40: founder's call</t>
        </is>
      </c>
      <c r="AV65" t="inlineStr"/>
      <c r="AW65" t="inlineStr">
        <is>
          <t>Y</t>
        </is>
      </c>
      <c r="AX65" t="inlineStr">
        <is>
          <t>pass</t>
        </is>
      </c>
      <c r="AY65" t="inlineStr">
        <is>
          <t>passes all hard gates</t>
        </is>
      </c>
      <c r="AZ65" t="inlineStr">
        <is>
          <t>company</t>
        </is>
      </c>
      <c r="BA65" t="inlineStr">
        <is>
          <t>B-C-032</t>
        </is>
      </c>
      <c r="BB65" t="inlineStr">
        <is>
          <t>https://roboflow.com</t>
        </is>
      </c>
      <c r="BC65" t="inlineStr">
        <is>
          <t>computer vision software</t>
        </is>
      </c>
      <c r="BD65" t="n">
        <v>44</v>
      </c>
      <c r="BE65" t="n">
        <v>132</v>
      </c>
      <c r="BF65" t="inlineStr">
        <is>
          <t>unknown</t>
        </is>
      </c>
      <c r="BG65" t="inlineStr">
        <is>
          <t>unknown</t>
        </is>
      </c>
      <c r="BH65" t="inlineStr">
        <is>
          <t>disagree</t>
        </is>
      </c>
      <c r="BI65" t="inlineStr">
        <is>
          <t>https://www.builtinnyc.com/company/roboflow</t>
        </is>
      </c>
      <c r="BJ65" t="inlineStr">
        <is>
          <t>https://www.reveliolabs.com/companies/roboflow/employees</t>
        </is>
      </c>
      <c r="BK65" t="inlineStr">
        <is>
          <t>le500</t>
        </is>
      </c>
      <c r="BL65" t="inlineStr">
        <is>
          <t>San Francisco</t>
        </is>
      </c>
      <c r="BM65" t="inlineStr">
        <is>
          <t>N</t>
        </is>
      </c>
      <c r="BN65" t="inlineStr">
        <is>
          <t>unknown</t>
        </is>
      </c>
      <c r="BO65" t="inlineStr">
        <is>
          <t>unknown</t>
        </is>
      </c>
      <c r="BP65" t="n">
        <v>10011</v>
      </c>
      <c r="BQ65" t="n">
        <v>40.738754</v>
      </c>
      <c r="BR65" t="n">
        <v>-73.99292199999999</v>
      </c>
      <c r="BS65" t="inlineStr">
        <is>
          <t>Y</t>
        </is>
      </c>
      <c r="BT65" t="n">
        <v>0</v>
      </c>
      <c r="BU65" t="inlineStr">
        <is>
          <t>B-B-015</t>
        </is>
      </c>
      <c r="BV65" t="inlineStr">
        <is>
          <t>10 West 18th Street</t>
        </is>
      </c>
      <c r="BW65" t="inlineStr">
        <is>
          <t>https://www.mannpublications.com/mannreport/2025/08/25/moinian-signs-33000sf-across-flatiron-portfolio/</t>
        </is>
      </c>
      <c r="BX65" t="inlineStr">
        <is>
          <t>2025-08-25</t>
        </is>
      </c>
      <c r="BY65" t="inlineStr">
        <is>
          <t>leasing-press</t>
        </is>
      </c>
      <c r="BZ65" t="inlineStr"/>
      <c r="CA65" t="inlineStr"/>
      <c r="CB65" t="inlineStr"/>
      <c r="CC65" t="inlineStr">
        <is>
          <t>medium</t>
        </is>
      </c>
      <c r="CD65" t="inlineStr"/>
      <c r="CE65" t="inlineStr">
        <is>
          <t>N</t>
        </is>
      </c>
      <c r="CF65" t="inlineStr"/>
      <c r="CG65" t="inlineStr"/>
      <c r="CH65" t="inlineStr">
        <is>
          <t>unknown</t>
        </is>
      </c>
      <c r="CI65" t="inlineStr"/>
      <c r="CJ65" t="inlineStr">
        <is>
          <t>unknown</t>
        </is>
      </c>
      <c r="CK65" t="inlineStr">
        <is>
          <t>N</t>
        </is>
      </c>
      <c r="CL65" t="inlineStr">
        <is>
          <t>Built In workplace type: OnSite Workplace; typical time on-site: 5 days a week; recent job tags: 2 Hybrid, 1 In-Office</t>
        </is>
      </c>
      <c r="CM65" t="inlineStr">
        <is>
          <t>https://www.builtinnyc.com/company/roboflow/offices</t>
        </is>
      </c>
      <c r="CN65" t="inlineStr">
        <is>
          <t>2026-10-24</t>
        </is>
      </c>
      <c r="CO65" t="n">
        <v>9</v>
      </c>
      <c r="CP65" t="inlineStr">
        <is>
          <t>may be under 30;central estimate under 30</t>
        </is>
      </c>
      <c r="CQ65" t="inlineStr">
        <is>
          <t>44 (Built In) and 132 (Revelio Labs) staff (whole-company count) x 5% to 100% of them in the New York office (HQ outside New York; share assumed) x 67% (Partnership for NYC, firms under 500) in on a weekday = 1 to 88, central 9; low confidence; estimate until intake replaces it.</t>
        </is>
      </c>
      <c r="CR65" t="inlineStr">
        <is>
          <t>estimate until intake replaces it</t>
        </is>
      </c>
      <c r="CS65" t="n">
        <v>0.18</v>
      </c>
      <c r="CT65" t="n">
        <v>42.4</v>
      </c>
      <c r="CU65" t="n">
        <v>4.4</v>
      </c>
      <c r="CV65" t="n">
        <v>15</v>
      </c>
      <c r="CW65" t="n">
        <v>15</v>
      </c>
      <c r="CX65" t="n">
        <v>8</v>
      </c>
      <c r="CY65" t="n">
        <v>0</v>
      </c>
      <c r="CZ65" t="n">
        <v>0</v>
      </c>
      <c r="DA65" t="inlineStr"/>
      <c r="DB65" t="inlineStr"/>
      <c r="DC65" t="inlineStr"/>
      <c r="DD65" t="inlineStr"/>
      <c r="DE65" t="inlineStr"/>
      <c r="DF65" t="inlineStr">
        <is>
          <t>none</t>
        </is>
      </c>
      <c r="DG65" t="inlineStr">
        <is>
          <t>candidate</t>
        </is>
      </c>
      <c r="DH65" t="inlineStr"/>
      <c r="DI65" t="inlineStr"/>
      <c r="DJ65" t="inlineStr"/>
      <c r="DK65" t="inlineStr">
        <is>
          <t>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is>
      </c>
      <c r="DL65" t="inlineStr"/>
      <c r="DM65" t="inlineStr"/>
      <c r="DN65" t="inlineStr"/>
      <c r="DO65" t="inlineStr"/>
      <c r="DP65" t="inlineStr"/>
      <c r="DQ65" t="inlineStr"/>
      <c r="DR65" t="inlineStr"/>
      <c r="DS65" t="inlineStr">
        <is>
          <t>none</t>
        </is>
      </c>
      <c r="DT65" t="inlineStr"/>
      <c r="DU65" t="inlineStr"/>
      <c r="DV65" t="inlineStr"/>
      <c r="DW65" t="inlineStr"/>
      <c r="DX65" t="inlineStr">
        <is>
          <t>N</t>
        </is>
      </c>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f>IF(ISNUMBER(MATCH(U65,{"queued","contacted","replied","call_booked","call_done","yes_in_principle","materials_sent"},0)),"Y","N")</f>
        <v/>
      </c>
      <c r="ES65">
        <f>IF(COUNTIFS($AP$2:$AP$1000,AP65,$ER$2:$ER$1000,"Y")+COUNTIFS($AP$2:$AP$1000,AP65,$T$2:$T$1000,"Y")&gt;0,"Y","N")</f>
        <v/>
      </c>
      <c r="ET65">
        <f>IF(AND(U65="new",T65="N",AT65="Y",AS65="",ES65="N"),"Y","N")</f>
        <v/>
      </c>
      <c r="EU65">
        <f>IF(ET65&lt;&gt;"Y","N",IF(COUNTIFS($AP$2:$AP$1000,AP65,$ET$2:$ET$1000,"Y",$J$2:$J$1000,"&gt;"&amp;J65)+COUNTIFS($AP$2:$AP$1000,AP65,$ET$2:$ET$1000,"Y",$J$2:$J$1000,J65,$EW$2:$EW$1000,"&lt;"&amp;EW65)=0,"Y","N"))</f>
        <v/>
      </c>
      <c r="EV65">
        <f>IF(Y65="","N",IF(Y65&lt;=10,"Y","N"))</f>
        <v/>
      </c>
      <c r="EW65">
        <f>ROW()-1</f>
        <v/>
      </c>
    </row>
    <row r="66">
      <c r="A66" t="inlineStr">
        <is>
          <t>AO-C-260</t>
        </is>
      </c>
      <c r="B66" t="inlineStr">
        <is>
          <t>Grimshaw (New York studio)</t>
        </is>
      </c>
      <c r="C66" t="inlineStr"/>
      <c r="D66" t="inlineStr"/>
      <c r="E66" t="inlineStr"/>
      <c r="F66" t="inlineStr"/>
      <c r="G66" t="inlineStr"/>
      <c r="H66" t="inlineStr">
        <is>
          <t>none</t>
        </is>
      </c>
      <c r="I66" t="inlineStr">
        <is>
          <t>linkedin</t>
        </is>
      </c>
      <c r="J66" t="n">
        <v>42.3</v>
      </c>
      <c r="K66" t="inlineStr">
        <is>
          <t>Tuesday estimate 17 to 342 (low confidence), 501 to 1,000 staff company-wide, no attendance signal, occupied at a high-confidence address; contacts not researched yet (below the top 50).</t>
        </is>
      </c>
      <c r="L66" t="inlineStr">
        <is>
          <t>76-150</t>
        </is>
      </c>
      <c r="M66" t="inlineStr"/>
      <c r="N66" t="inlineStr"/>
      <c r="O66" t="inlineStr"/>
      <c r="P66" t="inlineStr"/>
      <c r="Q66" t="inlineStr"/>
      <c r="R66" t="inlineStr">
        <is>
          <t>N</t>
        </is>
      </c>
      <c r="S66" t="inlineStr">
        <is>
          <t>unknown</t>
        </is>
      </c>
      <c r="T66" t="inlineStr">
        <is>
          <t>N</t>
        </is>
      </c>
      <c r="U66" t="inlineStr">
        <is>
          <t>new</t>
        </is>
      </c>
      <c r="V66" t="inlineStr">
        <is>
          <t>https://grimshaw.global/contact/</t>
        </is>
      </c>
      <c r="W66" t="inlineStr">
        <is>
          <t>2026-10-23</t>
        </is>
      </c>
      <c r="X66" t="inlineStr">
        <is>
          <t>office</t>
        </is>
      </c>
      <c r="Y66" t="inlineStr"/>
      <c r="Z66" t="n">
        <v>65</v>
      </c>
      <c r="AA66" t="inlineStr">
        <is>
          <t>N</t>
        </is>
      </c>
      <c r="AB66" t="inlineStr"/>
      <c r="AC66" t="inlineStr"/>
      <c r="AD66" t="inlineStr">
        <is>
          <t>none</t>
        </is>
      </c>
      <c r="AE66" t="inlineStr"/>
      <c r="AF66" t="inlineStr"/>
      <c r="AG66" t="inlineStr"/>
      <c r="AH66" t="inlineStr">
        <is>
          <t>none</t>
        </is>
      </c>
      <c r="AI66" t="inlineStr">
        <is>
          <t>60 Madison Avenue</t>
        </is>
      </c>
      <c r="AJ66" t="n">
        <v>4</v>
      </c>
      <c r="AK66" t="inlineStr">
        <is>
          <t>occupied</t>
        </is>
      </c>
      <c r="AL66" t="n">
        <v>17</v>
      </c>
      <c r="AM66" t="n">
        <v>342</v>
      </c>
      <c r="AN66" t="inlineStr">
        <is>
          <t>low</t>
        </is>
      </c>
      <c r="AO66" t="inlineStr">
        <is>
          <t>unknown</t>
        </is>
      </c>
      <c r="AP66" t="inlineStr">
        <is>
          <t>AO-C-260</t>
        </is>
      </c>
      <c r="AQ66" t="inlineStr">
        <is>
          <t>N</t>
        </is>
      </c>
      <c r="AR66" t="inlineStr"/>
      <c r="AS66" t="inlineStr"/>
      <c r="AT66" t="inlineStr">
        <is>
          <t>N</t>
        </is>
      </c>
      <c r="AU66" t="inlineStr">
        <is>
          <t>no contact named on an opened page</t>
        </is>
      </c>
      <c r="AV66" t="inlineStr"/>
      <c r="AW66" t="inlineStr">
        <is>
          <t>N</t>
        </is>
      </c>
      <c r="AX66" t="inlineStr">
        <is>
          <t>pass</t>
        </is>
      </c>
      <c r="AY66" t="inlineStr">
        <is>
          <t>passes all hard gates</t>
        </is>
      </c>
      <c r="AZ66" t="inlineStr">
        <is>
          <t>company</t>
        </is>
      </c>
      <c r="BA66" t="inlineStr">
        <is>
          <t>B-C-260</t>
        </is>
      </c>
      <c r="BB66" t="inlineStr">
        <is>
          <t>https://grimshaw.global</t>
        </is>
      </c>
      <c r="BC66" t="inlineStr">
        <is>
          <t>architecture</t>
        </is>
      </c>
      <c r="BD66" t="n">
        <v>600</v>
      </c>
      <c r="BE66" t="inlineStr"/>
      <c r="BF66" t="inlineStr">
        <is>
          <t>over-500</t>
        </is>
      </c>
      <c r="BG66" t="inlineStr">
        <is>
          <t>whole-company</t>
        </is>
      </c>
      <c r="BH66" t="inlineStr">
        <is>
          <t>single-source</t>
        </is>
      </c>
      <c r="BI66" t="inlineStr">
        <is>
          <t>https://en.wikipedia.org/wiki/Grimshaw_Architects</t>
        </is>
      </c>
      <c r="BJ66" t="inlineStr"/>
      <c r="BK66" t="inlineStr">
        <is>
          <t>501-1000</t>
        </is>
      </c>
      <c r="BL66" t="inlineStr">
        <is>
          <t>unknown</t>
        </is>
      </c>
      <c r="BM66" t="inlineStr">
        <is>
          <t>unknown</t>
        </is>
      </c>
      <c r="BN66" t="inlineStr">
        <is>
          <t>unknown</t>
        </is>
      </c>
      <c r="BO66" t="inlineStr">
        <is>
          <t>unknown</t>
        </is>
      </c>
      <c r="BP66" t="n">
        <v>10010</v>
      </c>
      <c r="BQ66" t="n">
        <v>40.743288</v>
      </c>
      <c r="BR66" t="n">
        <v>-73.986627</v>
      </c>
      <c r="BS66" t="inlineStr">
        <is>
          <t>Y</t>
        </is>
      </c>
      <c r="BT66" t="n">
        <v>0</v>
      </c>
      <c r="BU66" t="inlineStr">
        <is>
          <t>B-B-066</t>
        </is>
      </c>
      <c r="BV66" t="inlineStr">
        <is>
          <t>60 Madison Avenue (Moinian Group)</t>
        </is>
      </c>
      <c r="BW66" t="inlineStr">
        <is>
          <t>https://grimshaw.global/contact/</t>
        </is>
      </c>
      <c r="BX66" t="inlineStr">
        <is>
          <t>2026-10-23</t>
        </is>
      </c>
      <c r="BY66" t="inlineStr">
        <is>
          <t>company-site</t>
        </is>
      </c>
      <c r="BZ66" t="inlineStr">
        <is>
          <t>https://commercialobserver.com/2022/12/grimshaw-architects-takes-19k-sf-offices-by-madison-square-park/</t>
        </is>
      </c>
      <c r="CA66" t="inlineStr">
        <is>
          <t>2022-12-01</t>
        </is>
      </c>
      <c r="CB66" t="inlineStr"/>
      <c r="CC66" t="inlineStr">
        <is>
          <t>high</t>
        </is>
      </c>
      <c r="CD66" t="inlineStr"/>
      <c r="CE66" t="inlineStr">
        <is>
          <t>N</t>
        </is>
      </c>
      <c r="CF66" t="inlineStr"/>
      <c r="CG66" t="inlineStr"/>
      <c r="CH66" t="inlineStr">
        <is>
          <t>unknown</t>
        </is>
      </c>
      <c r="CI66" t="inlineStr"/>
      <c r="CJ66" t="inlineStr">
        <is>
          <t>unknown</t>
        </is>
      </c>
      <c r="CK66" t="inlineStr">
        <is>
          <t>N</t>
        </is>
      </c>
      <c r="CL66" t="inlineStr">
        <is>
          <t>unknown</t>
        </is>
      </c>
      <c r="CM66" t="inlineStr"/>
      <c r="CN66" t="inlineStr"/>
      <c r="CO66" t="n">
        <v>76</v>
      </c>
      <c r="CP66" t="inlineStr">
        <is>
          <t>may be under 30;may exceed 250</t>
        </is>
      </c>
      <c r="CQ66" t="inlineStr">
        <is>
          <t>600 (Wikipedia) staff (whole-company count) x 5% to 100% of them in the New York office (HQ city unknown; share assumed) x 57% (Partnership for NYC, all Manhattan firms; no figure for 500 to 4,999) in on a weekday = 17 to 342, central 76; low confidence; estimate until intake replaces it.</t>
        </is>
      </c>
      <c r="CR66" t="inlineStr">
        <is>
          <t>estimate until intake replaces it</t>
        </is>
      </c>
      <c r="CS66" t="n">
        <v>0.61</v>
      </c>
      <c r="CT66" t="n">
        <v>42.3</v>
      </c>
      <c r="CU66" t="n">
        <v>15.3</v>
      </c>
      <c r="CV66" t="n">
        <v>6</v>
      </c>
      <c r="CW66" t="n">
        <v>6</v>
      </c>
      <c r="CX66" t="n">
        <v>15</v>
      </c>
      <c r="CY66" t="n">
        <v>0</v>
      </c>
      <c r="CZ66" t="n">
        <v>0</v>
      </c>
      <c r="DA66" t="inlineStr"/>
      <c r="DB66" t="inlineStr"/>
      <c r="DC66" t="inlineStr"/>
      <c r="DD66" t="inlineStr"/>
      <c r="DE66" t="inlineStr"/>
      <c r="DF66" t="inlineStr">
        <is>
          <t>none</t>
        </is>
      </c>
      <c r="DG66" t="inlineStr">
        <is>
          <t>near-miss-over-500</t>
        </is>
      </c>
      <c r="DH66" t="inlineStr">
        <is>
          <t>just-over-500 (501 to 1,000)</t>
        </is>
      </c>
      <c r="DI66" t="inlineStr">
        <is>
          <t>N</t>
        </is>
      </c>
      <c r="DJ66" t="inlineStr">
        <is>
          <t>18,800 sf</t>
        </is>
      </c>
      <c r="DK66" t="inlineStr">
        <is>
          <t>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is>
      </c>
      <c r="DL66" t="inlineStr"/>
      <c r="DM66" t="inlineStr"/>
      <c r="DN66" t="inlineStr"/>
      <c r="DO66" t="inlineStr"/>
      <c r="DP66" t="inlineStr"/>
      <c r="DQ66" t="inlineStr"/>
      <c r="DR66" t="inlineStr"/>
      <c r="DS66" t="inlineStr">
        <is>
          <t>none</t>
        </is>
      </c>
      <c r="DT66" t="inlineStr"/>
      <c r="DU66" t="inlineStr"/>
      <c r="DV66" t="inlineStr"/>
      <c r="DW66" t="inlineStr"/>
      <c r="DX66" t="inlineStr">
        <is>
          <t>N</t>
        </is>
      </c>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f>IF(ISNUMBER(MATCH(U66,{"queued","contacted","replied","call_booked","call_done","yes_in_principle","materials_sent"},0)),"Y","N")</f>
        <v/>
      </c>
      <c r="ES66">
        <f>IF(COUNTIFS($AP$2:$AP$1000,AP66,$ER$2:$ER$1000,"Y")+COUNTIFS($AP$2:$AP$1000,AP66,$T$2:$T$1000,"Y")&gt;0,"Y","N")</f>
        <v/>
      </c>
      <c r="ET66">
        <f>IF(AND(U66="new",T66="N",AT66="Y",AS66="",ES66="N"),"Y","N")</f>
        <v/>
      </c>
      <c r="EU66">
        <f>IF(ET66&lt;&gt;"Y","N",IF(COUNTIFS($AP$2:$AP$1000,AP66,$ET$2:$ET$1000,"Y",$J$2:$J$1000,"&gt;"&amp;J66)+COUNTIFS($AP$2:$AP$1000,AP66,$ET$2:$ET$1000,"Y",$J$2:$J$1000,J66,$EW$2:$EW$1000,"&lt;"&amp;EW66)=0,"Y","N"))</f>
        <v/>
      </c>
      <c r="EV66">
        <f>IF(Y66="","N",IF(Y66&lt;=10,"Y","N"))</f>
        <v/>
      </c>
      <c r="EW66">
        <f>ROW()-1</f>
        <v/>
      </c>
    </row>
    <row r="67">
      <c r="A67" t="inlineStr">
        <is>
          <t>AO-C-021</t>
        </is>
      </c>
      <c r="B67" t="inlineStr">
        <is>
          <t>Scale Microgrids</t>
        </is>
      </c>
      <c r="C67" t="inlineStr"/>
      <c r="D67" t="inlineStr"/>
      <c r="E67" t="inlineStr"/>
      <c r="F67" t="inlineStr"/>
      <c r="G67" t="inlineStr"/>
      <c r="H67" t="inlineStr">
        <is>
          <t>none</t>
        </is>
      </c>
      <c r="I67" t="inlineStr">
        <is>
          <t>linkedin</t>
        </is>
      </c>
      <c r="J67" t="n">
        <v>41.8</v>
      </c>
      <c r="K67" t="inlineStr">
        <is>
          <t>Tuesday estimate 3 to 64 (low confidence), under 500 staff company-wide, on-site 5 days a week per its profile, occupancy-unconfirmed at a medium-confidence address; contacts not researched yet (below the top 50).</t>
        </is>
      </c>
      <c r="L67" t="inlineStr">
        <is>
          <t>under-40</t>
        </is>
      </c>
      <c r="M67" t="inlineStr"/>
      <c r="N67" t="inlineStr"/>
      <c r="O67" t="inlineStr"/>
      <c r="P67" t="inlineStr"/>
      <c r="Q67" t="inlineStr"/>
      <c r="R67" t="inlineStr">
        <is>
          <t>N</t>
        </is>
      </c>
      <c r="S67" t="inlineStr">
        <is>
          <t>unknown</t>
        </is>
      </c>
      <c r="T67" t="inlineStr">
        <is>
          <t>N</t>
        </is>
      </c>
      <c r="U67" t="inlineStr">
        <is>
          <t>new</t>
        </is>
      </c>
      <c r="V67" t="inlineStr">
        <is>
          <t>https://commercialobserver.com/2025/03/faire-lease-26-west-17th-street/</t>
        </is>
      </c>
      <c r="W67" t="inlineStr">
        <is>
          <t>2026-10-23</t>
        </is>
      </c>
      <c r="X67" t="inlineStr">
        <is>
          <t>office</t>
        </is>
      </c>
      <c r="Y67" t="inlineStr"/>
      <c r="Z67" t="n">
        <v>66</v>
      </c>
      <c r="AA67" t="inlineStr">
        <is>
          <t>N</t>
        </is>
      </c>
      <c r="AB67" t="inlineStr">
        <is>
          <t>Tuesday estimate band under-40: founder's call (set founder_ok_to_queue = Y to queue)</t>
        </is>
      </c>
      <c r="AC67" t="inlineStr"/>
      <c r="AD67" t="inlineStr">
        <is>
          <t>none</t>
        </is>
      </c>
      <c r="AE67" t="inlineStr"/>
      <c r="AF67" t="inlineStr"/>
      <c r="AG67" t="inlineStr"/>
      <c r="AH67" t="inlineStr">
        <is>
          <t>none</t>
        </is>
      </c>
      <c r="AI67" t="inlineStr">
        <is>
          <t>26 West 17th Street</t>
        </is>
      </c>
      <c r="AJ67" t="n">
        <v>11</v>
      </c>
      <c r="AK67" t="inlineStr">
        <is>
          <t>occupancy-unconfirmed</t>
        </is>
      </c>
      <c r="AL67" t="n">
        <v>3</v>
      </c>
      <c r="AM67" t="n">
        <v>64</v>
      </c>
      <c r="AN67" t="inlineStr">
        <is>
          <t>low</t>
        </is>
      </c>
      <c r="AO67" t="inlineStr">
        <is>
          <t>in-office-5</t>
        </is>
      </c>
      <c r="AP67" t="inlineStr">
        <is>
          <t>AO-C-021</t>
        </is>
      </c>
      <c r="AQ67" t="inlineStr">
        <is>
          <t>N</t>
        </is>
      </c>
      <c r="AR67" t="inlineStr"/>
      <c r="AS67" t="inlineStr"/>
      <c r="AT67" t="inlineStr">
        <is>
          <t>N</t>
        </is>
      </c>
      <c r="AU67" t="inlineStr">
        <is>
          <t>no contact named on an opened page; Tuesday estimate band under-40: founder's call</t>
        </is>
      </c>
      <c r="AV67" t="inlineStr"/>
      <c r="AW67" t="inlineStr">
        <is>
          <t>Y</t>
        </is>
      </c>
      <c r="AX67" t="inlineStr">
        <is>
          <t>pass</t>
        </is>
      </c>
      <c r="AY67" t="inlineStr">
        <is>
          <t>passes all hard gates</t>
        </is>
      </c>
      <c r="AZ67" t="inlineStr">
        <is>
          <t>company</t>
        </is>
      </c>
      <c r="BA67" t="inlineStr">
        <is>
          <t>B-C-021</t>
        </is>
      </c>
      <c r="BB67" t="inlineStr">
        <is>
          <t>https://www.scalemicrogrids.com</t>
        </is>
      </c>
      <c r="BC67" t="inlineStr">
        <is>
          <t>energy infrastructure finance</t>
        </is>
      </c>
      <c r="BD67" t="n">
        <v>95</v>
      </c>
      <c r="BE67" t="inlineStr"/>
      <c r="BF67" t="inlineStr">
        <is>
          <t>76-150</t>
        </is>
      </c>
      <c r="BG67" t="inlineStr">
        <is>
          <t>whole-company</t>
        </is>
      </c>
      <c r="BH67" t="inlineStr">
        <is>
          <t>single-source</t>
        </is>
      </c>
      <c r="BI67" t="inlineStr">
        <is>
          <t>https://www.builtinnyc.com/company/scale-microgrids</t>
        </is>
      </c>
      <c r="BJ67" t="inlineStr"/>
      <c r="BK67" t="inlineStr">
        <is>
          <t>le500</t>
        </is>
      </c>
      <c r="BL67" t="inlineStr">
        <is>
          <t>Ridgewood</t>
        </is>
      </c>
      <c r="BM67" t="inlineStr">
        <is>
          <t>N</t>
        </is>
      </c>
      <c r="BN67" t="inlineStr">
        <is>
          <t>unknown</t>
        </is>
      </c>
      <c r="BO67" t="inlineStr">
        <is>
          <t>unknown</t>
        </is>
      </c>
      <c r="BP67" t="n">
        <v>10011</v>
      </c>
      <c r="BQ67" t="n">
        <v>40.738405</v>
      </c>
      <c r="BR67" t="n">
        <v>-73.99393999999999</v>
      </c>
      <c r="BS67" t="inlineStr">
        <is>
          <t>Y</t>
        </is>
      </c>
      <c r="BT67" t="n">
        <v>0</v>
      </c>
      <c r="BU67" t="inlineStr">
        <is>
          <t>B-B-008</t>
        </is>
      </c>
      <c r="BV67" t="inlineStr">
        <is>
          <t>26 West 17th Street</t>
        </is>
      </c>
      <c r="BW67" t="inlineStr">
        <is>
          <t>https://commercialobserver.com/2025/03/faire-lease-26-west-17th-street/</t>
        </is>
      </c>
      <c r="BX67" t="inlineStr">
        <is>
          <t>2025-03-27</t>
        </is>
      </c>
      <c r="BY67" t="inlineStr">
        <is>
          <t>leasing-press</t>
        </is>
      </c>
      <c r="BZ67" t="inlineStr">
        <is>
          <t>https://www.scalemicrogrids.com/contact</t>
        </is>
      </c>
      <c r="CA67" t="inlineStr">
        <is>
          <t>2026-10-23</t>
        </is>
      </c>
      <c r="CB67" t="inlineStr"/>
      <c r="CC67" t="inlineStr">
        <is>
          <t>medium</t>
        </is>
      </c>
      <c r="CD67" t="inlineStr"/>
      <c r="CE67" t="inlineStr">
        <is>
          <t>N</t>
        </is>
      </c>
      <c r="CF67" t="inlineStr"/>
      <c r="CG67" t="inlineStr"/>
      <c r="CH67" t="inlineStr">
        <is>
          <t>unknown</t>
        </is>
      </c>
      <c r="CI67" t="inlineStr"/>
      <c r="CJ67" t="inlineStr">
        <is>
          <t>unknown</t>
        </is>
      </c>
      <c r="CK67" t="inlineStr">
        <is>
          <t>N</t>
        </is>
      </c>
      <c r="CL67" t="inlineStr">
        <is>
          <t>Built In workplace type: OnSite Workplace; typical time on-site: 5 days a week; recent job tags: 2 Hybrid, 1 In-Office</t>
        </is>
      </c>
      <c r="CM67" t="inlineStr">
        <is>
          <t>https://www.builtinnyc.com/company/scale-microgrids/offices</t>
        </is>
      </c>
      <c r="CN67" t="inlineStr">
        <is>
          <t>2026-10-24</t>
        </is>
      </c>
      <c r="CO67" t="n">
        <v>14</v>
      </c>
      <c r="CP67" t="inlineStr">
        <is>
          <t>may be under 30;central estimate under 30</t>
        </is>
      </c>
      <c r="CQ67" t="inlineStr">
        <is>
          <t>95 (Built In) staff (whole-company count) x 5% to 100% of them in the New York office (HQ outside New York; share assumed) x 67% (Partnership for NYC, firms under 500) in on a weekday = 3 to 64, central 14; low confidence; estimate until intake replaces it.</t>
        </is>
      </c>
      <c r="CR67" t="inlineStr">
        <is>
          <t>estimate until intake replaces it</t>
        </is>
      </c>
      <c r="CS67" t="n">
        <v>0.15</v>
      </c>
      <c r="CT67" t="n">
        <v>41.8</v>
      </c>
      <c r="CU67" t="n">
        <v>3.8</v>
      </c>
      <c r="CV67" t="n">
        <v>15</v>
      </c>
      <c r="CW67" t="n">
        <v>15</v>
      </c>
      <c r="CX67" t="n">
        <v>8</v>
      </c>
      <c r="CY67" t="n">
        <v>0</v>
      </c>
      <c r="CZ67" t="n">
        <v>0</v>
      </c>
      <c r="DA67" t="inlineStr"/>
      <c r="DB67" t="inlineStr"/>
      <c r="DC67" t="inlineStr"/>
      <c r="DD67" t="inlineStr"/>
      <c r="DE67" t="inlineStr"/>
      <c r="DF67" t="inlineStr">
        <is>
          <t>none</t>
        </is>
      </c>
      <c r="DG67" t="inlineStr">
        <is>
          <t>candidate</t>
        </is>
      </c>
      <c r="DH67" t="inlineStr"/>
      <c r="DI67" t="inlineStr"/>
      <c r="DJ67" t="inlineStr">
        <is>
          <t>10,000 sf</t>
        </is>
      </c>
      <c r="DK67" t="inlineStr">
        <is>
          <t>CO 2025-03-27: 10,000 sf on the 11th floor. Built In NYC: 95 total employees, HQ Ridgewood NJ. Company contact page lists a New York regional office (city only, no street), so second source confirms NYC presence, not the street address.</t>
        </is>
      </c>
      <c r="DL67" t="inlineStr"/>
      <c r="DM67" t="inlineStr"/>
      <c r="DN67" t="inlineStr"/>
      <c r="DO67" t="inlineStr"/>
      <c r="DP67" t="inlineStr"/>
      <c r="DQ67" t="inlineStr"/>
      <c r="DR67" t="inlineStr"/>
      <c r="DS67" t="inlineStr">
        <is>
          <t>none</t>
        </is>
      </c>
      <c r="DT67" t="inlineStr"/>
      <c r="DU67" t="inlineStr"/>
      <c r="DV67" t="inlineStr"/>
      <c r="DW67" t="inlineStr"/>
      <c r="DX67" t="inlineStr">
        <is>
          <t>N</t>
        </is>
      </c>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f>IF(ISNUMBER(MATCH(U67,{"queued","contacted","replied","call_booked","call_done","yes_in_principle","materials_sent"},0)),"Y","N")</f>
        <v/>
      </c>
      <c r="ES67">
        <f>IF(COUNTIFS($AP$2:$AP$1000,AP67,$ER$2:$ER$1000,"Y")+COUNTIFS($AP$2:$AP$1000,AP67,$T$2:$T$1000,"Y")&gt;0,"Y","N")</f>
        <v/>
      </c>
      <c r="ET67">
        <f>IF(AND(U67="new",T67="N",AT67="Y",AS67="",ES67="N"),"Y","N")</f>
        <v/>
      </c>
      <c r="EU67">
        <f>IF(ET67&lt;&gt;"Y","N",IF(COUNTIFS($AP$2:$AP$1000,AP67,$ET$2:$ET$1000,"Y",$J$2:$J$1000,"&gt;"&amp;J67)+COUNTIFS($AP$2:$AP$1000,AP67,$ET$2:$ET$1000,"Y",$J$2:$J$1000,J67,$EW$2:$EW$1000,"&lt;"&amp;EW67)=0,"Y","N"))</f>
        <v/>
      </c>
      <c r="EV67">
        <f>IF(Y67="","N",IF(Y67&lt;=10,"Y","N"))</f>
        <v/>
      </c>
      <c r="EW67">
        <f>ROW()-1</f>
        <v/>
      </c>
    </row>
    <row r="68">
      <c r="A68" t="inlineStr">
        <is>
          <t>AO-C-193</t>
        </is>
      </c>
      <c r="B68" t="inlineStr">
        <is>
          <t>Chime</t>
        </is>
      </c>
      <c r="C68" t="inlineStr"/>
      <c r="D68" t="inlineStr"/>
      <c r="E68" t="inlineStr"/>
      <c r="F68" t="inlineStr"/>
      <c r="G68" t="inlineStr"/>
      <c r="H68" t="inlineStr">
        <is>
          <t>none</t>
        </is>
      </c>
      <c r="I68" t="inlineStr">
        <is>
          <t>linkedin</t>
        </is>
      </c>
      <c r="J68" t="n">
        <v>41.7</v>
      </c>
      <c r="K68" t="inlineStr">
        <is>
          <t>Tuesday estimate 43 to 855 (low confidence), 1,001 to 4,999 staff company-wide, hybrid 4 days, occupied at a medium-confidence address; contacts not researched yet (below the top 50).</t>
        </is>
      </c>
      <c r="L68" t="inlineStr">
        <is>
          <t>151-250</t>
        </is>
      </c>
      <c r="M68" t="inlineStr"/>
      <c r="N68" t="inlineStr"/>
      <c r="O68" t="inlineStr"/>
      <c r="P68" t="inlineStr"/>
      <c r="Q68" t="inlineStr"/>
      <c r="R68" t="inlineStr">
        <is>
          <t>N</t>
        </is>
      </c>
      <c r="S68" t="inlineStr">
        <is>
          <t>unknown</t>
        </is>
      </c>
      <c r="T68" t="inlineStr">
        <is>
          <t>N</t>
        </is>
      </c>
      <c r="U68" t="inlineStr">
        <is>
          <t>new</t>
        </is>
      </c>
      <c r="V68" t="inlineStr">
        <is>
          <t>https://commercialobserver.com/?p=521355</t>
        </is>
      </c>
      <c r="W68" t="inlineStr">
        <is>
          <t>2026-10-23</t>
        </is>
      </c>
      <c r="X68" t="inlineStr">
        <is>
          <t>office</t>
        </is>
      </c>
      <c r="Y68" t="inlineStr"/>
      <c r="Z68" t="n">
        <v>67</v>
      </c>
      <c r="AA68" t="inlineStr">
        <is>
          <t>N</t>
        </is>
      </c>
      <c r="AB68" t="inlineStr"/>
      <c r="AC68" t="inlineStr"/>
      <c r="AD68" t="inlineStr">
        <is>
          <t>none</t>
        </is>
      </c>
      <c r="AE68" t="inlineStr"/>
      <c r="AF68" t="inlineStr"/>
      <c r="AG68" t="inlineStr"/>
      <c r="AH68" t="inlineStr">
        <is>
          <t>none</t>
        </is>
      </c>
      <c r="AI68" t="inlineStr">
        <is>
          <t>122 Fifth Avenue</t>
        </is>
      </c>
      <c r="AJ68" t="inlineStr">
        <is>
          <t>unknown</t>
        </is>
      </c>
      <c r="AK68" t="inlineStr">
        <is>
          <t>occupied</t>
        </is>
      </c>
      <c r="AL68" t="n">
        <v>43</v>
      </c>
      <c r="AM68" t="n">
        <v>855</v>
      </c>
      <c r="AN68" t="inlineStr">
        <is>
          <t>low</t>
        </is>
      </c>
      <c r="AO68" t="inlineStr">
        <is>
          <t>hybrid-4</t>
        </is>
      </c>
      <c r="AP68" t="inlineStr">
        <is>
          <t>AO-C-193</t>
        </is>
      </c>
      <c r="AQ68" t="inlineStr">
        <is>
          <t>N</t>
        </is>
      </c>
      <c r="AR68" t="inlineStr"/>
      <c r="AS68" t="inlineStr"/>
      <c r="AT68" t="inlineStr">
        <is>
          <t>N</t>
        </is>
      </c>
      <c r="AU68" t="inlineStr">
        <is>
          <t>no contact named on an opened page</t>
        </is>
      </c>
      <c r="AV68" t="inlineStr"/>
      <c r="AW68" t="inlineStr">
        <is>
          <t>N</t>
        </is>
      </c>
      <c r="AX68" t="inlineStr">
        <is>
          <t>pass</t>
        </is>
      </c>
      <c r="AY68" t="inlineStr">
        <is>
          <t>passes all hard gates</t>
        </is>
      </c>
      <c r="AZ68" t="inlineStr">
        <is>
          <t>company</t>
        </is>
      </c>
      <c r="BA68" t="inlineStr">
        <is>
          <t>B-C-193</t>
        </is>
      </c>
      <c r="BB68" t="inlineStr">
        <is>
          <t>https://www.chime.com</t>
        </is>
      </c>
      <c r="BC68" t="inlineStr">
        <is>
          <t>fintech (consumer banking)</t>
        </is>
      </c>
      <c r="BD68" t="n">
        <v>1500</v>
      </c>
      <c r="BE68" t="inlineStr"/>
      <c r="BF68" t="inlineStr">
        <is>
          <t>over-500</t>
        </is>
      </c>
      <c r="BG68" t="inlineStr">
        <is>
          <t>whole-company</t>
        </is>
      </c>
      <c r="BH68" t="inlineStr">
        <is>
          <t>single-source</t>
        </is>
      </c>
      <c r="BI68" t="inlineStr">
        <is>
          <t>https://www.builtinnyc.com/company/chime</t>
        </is>
      </c>
      <c r="BJ68" t="inlineStr"/>
      <c r="BK68" t="inlineStr">
        <is>
          <t>1001-4999</t>
        </is>
      </c>
      <c r="BL68" t="inlineStr">
        <is>
          <t>San Francisco</t>
        </is>
      </c>
      <c r="BM68" t="inlineStr">
        <is>
          <t>N</t>
        </is>
      </c>
      <c r="BN68" t="inlineStr">
        <is>
          <t>unknown</t>
        </is>
      </c>
      <c r="BO68" t="inlineStr">
        <is>
          <t>unknown</t>
        </is>
      </c>
      <c r="BP68" t="n">
        <v>10011</v>
      </c>
      <c r="BQ68" t="n">
        <v>40.738461</v>
      </c>
      <c r="BR68" t="n">
        <v>-73.99252300000001</v>
      </c>
      <c r="BS68" t="inlineStr">
        <is>
          <t>Y</t>
        </is>
      </c>
      <c r="BT68" t="n">
        <v>0</v>
      </c>
      <c r="BU68" t="inlineStr"/>
      <c r="BV68" t="inlineStr">
        <is>
          <t>unknown</t>
        </is>
      </c>
      <c r="BW68" t="inlineStr">
        <is>
          <t>https://commercialobserver.com/?p=521355</t>
        </is>
      </c>
      <c r="BX68" t="inlineStr">
        <is>
          <t>2025-05-08</t>
        </is>
      </c>
      <c r="BY68" t="inlineStr">
        <is>
          <t>leasing-press</t>
        </is>
      </c>
      <c r="BZ68" t="inlineStr">
        <is>
          <t>https://commercialobserver.com/2026/06/ebay-lease-bromley-companies-122-fifth-avenue/</t>
        </is>
      </c>
      <c r="CA68" t="inlineStr">
        <is>
          <t>2026-06-02</t>
        </is>
      </c>
      <c r="CB68" t="inlineStr"/>
      <c r="CC68" t="inlineStr">
        <is>
          <t>medium</t>
        </is>
      </c>
      <c r="CD68" t="inlineStr"/>
      <c r="CE68" t="inlineStr">
        <is>
          <t>N</t>
        </is>
      </c>
      <c r="CF68" t="inlineStr"/>
      <c r="CG68" t="inlineStr"/>
      <c r="CH68" t="inlineStr">
        <is>
          <t>unknown</t>
        </is>
      </c>
      <c r="CI68" t="inlineStr"/>
      <c r="CJ68" t="inlineStr">
        <is>
          <t>unknown</t>
        </is>
      </c>
      <c r="CK68" t="inlineStr">
        <is>
          <t>N</t>
        </is>
      </c>
      <c r="CL68" t="inlineStr">
        <is>
          <t>Built In workplace type: Hybrid Workplace; typical time on-site: 4 days a week</t>
        </is>
      </c>
      <c r="CM68" t="inlineStr">
        <is>
          <t>https://www.builtinnyc.com/company/chime/offices</t>
        </is>
      </c>
      <c r="CN68" t="inlineStr">
        <is>
          <t>2026-10-24</t>
        </is>
      </c>
      <c r="CO68" t="n">
        <v>192</v>
      </c>
      <c r="CP68" t="inlineStr">
        <is>
          <t>may exceed 250</t>
        </is>
      </c>
      <c r="CQ68" t="inlineStr">
        <is>
          <t>1500 (Built In) staff (whole-company count) x 5% to 100% of them in the New York office (HQ outside New York; share assumed) x 57% (Partnership for NYC, all Manhattan firms; no figure for 500 to 4,999) in on a weekday = 43 to 855, central 192; low confidence; estimate until intake replaces it.</t>
        </is>
      </c>
      <c r="CR68" t="inlineStr">
        <is>
          <t>estimate until intake replaces it</t>
        </is>
      </c>
      <c r="CS68" t="n">
        <v>0.59</v>
      </c>
      <c r="CT68" t="n">
        <v>41.7</v>
      </c>
      <c r="CU68" t="n">
        <v>14.7</v>
      </c>
      <c r="CV68" t="n">
        <v>2</v>
      </c>
      <c r="CW68" t="n">
        <v>12</v>
      </c>
      <c r="CX68" t="n">
        <v>13</v>
      </c>
      <c r="CY68" t="n">
        <v>0</v>
      </c>
      <c r="CZ68" t="n">
        <v>0</v>
      </c>
      <c r="DA68" t="inlineStr"/>
      <c r="DB68" t="inlineStr"/>
      <c r="DC68" t="inlineStr"/>
      <c r="DD68" t="inlineStr"/>
      <c r="DE68" t="inlineStr"/>
      <c r="DF68" t="inlineStr">
        <is>
          <t>none</t>
        </is>
      </c>
      <c r="DG68" t="inlineStr">
        <is>
          <t>near-miss-over-500</t>
        </is>
      </c>
      <c r="DH68" t="inlineStr">
        <is>
          <t>over-1,000 (1,001 to 4,999)</t>
        </is>
      </c>
      <c r="DI68" t="inlineStr">
        <is>
          <t>N</t>
        </is>
      </c>
      <c r="DJ68" t="inlineStr">
        <is>
          <t>84,000 sf</t>
        </is>
      </c>
      <c r="DK68" t="inlineStr">
        <is>
          <t>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is>
      </c>
      <c r="DL68" t="inlineStr"/>
      <c r="DM68" t="inlineStr"/>
      <c r="DN68" t="inlineStr"/>
      <c r="DO68" t="inlineStr"/>
      <c r="DP68" t="inlineStr"/>
      <c r="DQ68" t="inlineStr"/>
      <c r="DR68" t="inlineStr"/>
      <c r="DS68" t="inlineStr">
        <is>
          <t>none</t>
        </is>
      </c>
      <c r="DT68" t="inlineStr"/>
      <c r="DU68" t="inlineStr"/>
      <c r="DV68" t="inlineStr"/>
      <c r="DW68" t="inlineStr"/>
      <c r="DX68" t="inlineStr">
        <is>
          <t>N</t>
        </is>
      </c>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f>IF(ISNUMBER(MATCH(U68,{"queued","contacted","replied","call_booked","call_done","yes_in_principle","materials_sent"},0)),"Y","N")</f>
        <v/>
      </c>
      <c r="ES68">
        <f>IF(COUNTIFS($AP$2:$AP$1000,AP68,$ER$2:$ER$1000,"Y")+COUNTIFS($AP$2:$AP$1000,AP68,$T$2:$T$1000,"Y")&gt;0,"Y","N")</f>
        <v/>
      </c>
      <c r="ET68">
        <f>IF(AND(U68="new",T68="N",AT68="Y",AS68="",ES68="N"),"Y","N")</f>
        <v/>
      </c>
      <c r="EU68">
        <f>IF(ET68&lt;&gt;"Y","N",IF(COUNTIFS($AP$2:$AP$1000,AP68,$ET$2:$ET$1000,"Y",$J$2:$J$1000,"&gt;"&amp;J68)+COUNTIFS($AP$2:$AP$1000,AP68,$ET$2:$ET$1000,"Y",$J$2:$J$1000,J68,$EW$2:$EW$1000,"&lt;"&amp;EW68)=0,"Y","N"))</f>
        <v/>
      </c>
      <c r="EV68">
        <f>IF(Y68="","N",IF(Y68&lt;=10,"Y","N"))</f>
        <v/>
      </c>
      <c r="EW68">
        <f>ROW()-1</f>
        <v/>
      </c>
    </row>
    <row r="69">
      <c r="A69" t="inlineStr">
        <is>
          <t>AO-C-019</t>
        </is>
      </c>
      <c r="B69" t="inlineStr">
        <is>
          <t>Thinking Machines Lab</t>
        </is>
      </c>
      <c r="C69" t="inlineStr"/>
      <c r="D69" t="inlineStr"/>
      <c r="E69" t="inlineStr"/>
      <c r="F69" t="inlineStr"/>
      <c r="G69" t="inlineStr"/>
      <c r="H69" t="inlineStr">
        <is>
          <t>none</t>
        </is>
      </c>
      <c r="I69" t="inlineStr">
        <is>
          <t>linkedin</t>
        </is>
      </c>
      <c r="J69" t="n">
        <v>41.7</v>
      </c>
      <c r="K69" t="inlineStr">
        <is>
          <t>Tuesday estimate 3 to 103 (low confidence), under 500 staff company-wide, on-site 5 days a week per its profile, signed-not-occupied at a medium-confidence address (hold: lease signed, move not confirmed); contacts not researched yet (below the top 50).</t>
        </is>
      </c>
      <c r="L69" t="inlineStr">
        <is>
          <t>under-40</t>
        </is>
      </c>
      <c r="M69" t="inlineStr"/>
      <c r="N69" t="inlineStr"/>
      <c r="O69" t="inlineStr">
        <is>
          <t>New or renewed lease at 79 Fifth Avenue reported 2026-08-26</t>
        </is>
      </c>
      <c r="P69" t="inlineStr">
        <is>
          <t>https://commercialobserver.com/2026/08/thinking-machines-lab-79-fifth-avenue-lease/</t>
        </is>
      </c>
      <c r="Q69" t="inlineStr">
        <is>
          <t>2026-08-26</t>
        </is>
      </c>
      <c r="R69" t="inlineStr">
        <is>
          <t>N</t>
        </is>
      </c>
      <c r="S69" t="inlineStr">
        <is>
          <t>unknown</t>
        </is>
      </c>
      <c r="T69" t="inlineStr">
        <is>
          <t>N</t>
        </is>
      </c>
      <c r="U69" t="inlineStr">
        <is>
          <t>new</t>
        </is>
      </c>
      <c r="V69" t="inlineStr">
        <is>
          <t>https://commercialobserver.com/2026/08/thinking-machines-lab-79-fifth-avenue-lease/</t>
        </is>
      </c>
      <c r="W69" t="inlineStr">
        <is>
          <t>2026-10-23</t>
        </is>
      </c>
      <c r="X69" t="inlineStr">
        <is>
          <t>office</t>
        </is>
      </c>
      <c r="Y69" t="inlineStr"/>
      <c r="Z69" t="n">
        <v>68</v>
      </c>
      <c r="AA69" t="inlineStr">
        <is>
          <t>N</t>
        </is>
      </c>
      <c r="AB69" t="inlineStr">
        <is>
          <t>Tuesday estimate band under-40: founder's call (set founder_ok_to_queue = Y to queue)</t>
        </is>
      </c>
      <c r="AC69" t="inlineStr"/>
      <c r="AD69" t="inlineStr">
        <is>
          <t>none</t>
        </is>
      </c>
      <c r="AE69" t="inlineStr"/>
      <c r="AF69" t="inlineStr"/>
      <c r="AG69" t="inlineStr"/>
      <c r="AH69" t="inlineStr">
        <is>
          <t>none</t>
        </is>
      </c>
      <c r="AI69" t="inlineStr">
        <is>
          <t>79 Fifth Avenue</t>
        </is>
      </c>
      <c r="AJ69" t="n">
        <v>4</v>
      </c>
      <c r="AK69" t="inlineStr">
        <is>
          <t>signed-not-occupied</t>
        </is>
      </c>
      <c r="AL69" t="n">
        <v>3</v>
      </c>
      <c r="AM69" t="n">
        <v>103</v>
      </c>
      <c r="AN69" t="inlineStr">
        <is>
          <t>low</t>
        </is>
      </c>
      <c r="AO69" t="inlineStr">
        <is>
          <t>in-office-5</t>
        </is>
      </c>
      <c r="AP69" t="inlineStr">
        <is>
          <t>AO-C-019</t>
        </is>
      </c>
      <c r="AQ69" t="inlineStr">
        <is>
          <t>Y</t>
        </is>
      </c>
      <c r="AR69" t="inlineStr">
        <is>
          <t>lease signed, move not confirmed: check the lobby directory before outreach (B)</t>
        </is>
      </c>
      <c r="AS69" t="inlineStr"/>
      <c r="AT69" t="inlineStr">
        <is>
          <t>N</t>
        </is>
      </c>
      <c r="AU69" t="inlineStr">
        <is>
          <t>on hold: lease signed, move not confirmed: check the lobby directory before outreach (B); no contact named on an opened page; Tuesday estimate band under-40: founder's call</t>
        </is>
      </c>
      <c r="AV69" t="inlineStr"/>
      <c r="AW69" t="inlineStr">
        <is>
          <t>Y</t>
        </is>
      </c>
      <c r="AX69" t="inlineStr">
        <is>
          <t>pass</t>
        </is>
      </c>
      <c r="AY69" t="inlineStr">
        <is>
          <t>passes all hard gates</t>
        </is>
      </c>
      <c r="AZ69" t="inlineStr">
        <is>
          <t>company</t>
        </is>
      </c>
      <c r="BA69" t="inlineStr">
        <is>
          <t>B-C-019</t>
        </is>
      </c>
      <c r="BB69" t="inlineStr">
        <is>
          <t>https://thinkingmachines.ai</t>
        </is>
      </c>
      <c r="BC69" t="inlineStr">
        <is>
          <t>AI research</t>
        </is>
      </c>
      <c r="BD69" t="n">
        <v>91</v>
      </c>
      <c r="BE69" t="n">
        <v>153</v>
      </c>
      <c r="BF69" t="inlineStr">
        <is>
          <t>unknown</t>
        </is>
      </c>
      <c r="BG69" t="inlineStr">
        <is>
          <t>unknown</t>
        </is>
      </c>
      <c r="BH69" t="inlineStr">
        <is>
          <t>disagree</t>
        </is>
      </c>
      <c r="BI69" t="inlineStr">
        <is>
          <t>https://www.builtinnyc.com/company/thinking-machines-lab</t>
        </is>
      </c>
      <c r="BJ69" t="inlineStr">
        <is>
          <t>https://www.reveliolabs.com/companies/thinking-machines-lab/employees</t>
        </is>
      </c>
      <c r="BK69" t="inlineStr">
        <is>
          <t>le500</t>
        </is>
      </c>
      <c r="BL69" t="inlineStr">
        <is>
          <t>San Francisco</t>
        </is>
      </c>
      <c r="BM69" t="inlineStr">
        <is>
          <t>N</t>
        </is>
      </c>
      <c r="BN69" t="inlineStr">
        <is>
          <t>unknown</t>
        </is>
      </c>
      <c r="BO69" t="inlineStr">
        <is>
          <t>unknown</t>
        </is>
      </c>
      <c r="BP69" t="n">
        <v>10003</v>
      </c>
      <c r="BQ69" t="n">
        <v>40.737054</v>
      </c>
      <c r="BR69" t="n">
        <v>-73.99263500000001</v>
      </c>
      <c r="BS69" t="inlineStr">
        <is>
          <t>Y</t>
        </is>
      </c>
      <c r="BT69" t="n">
        <v>0</v>
      </c>
      <c r="BU69" t="inlineStr">
        <is>
          <t>B-B-007</t>
        </is>
      </c>
      <c r="BV69" t="inlineStr">
        <is>
          <t>79 Fifth Avenue</t>
        </is>
      </c>
      <c r="BW69" t="inlineStr">
        <is>
          <t>https://commercialobserver.com/2026/08/thinking-machines-lab-79-fifth-avenue-lease/</t>
        </is>
      </c>
      <c r="BX69" t="inlineStr">
        <is>
          <t>2026-08-26</t>
        </is>
      </c>
      <c r="BY69" t="inlineStr">
        <is>
          <t>leasing-press</t>
        </is>
      </c>
      <c r="BZ69" t="inlineStr"/>
      <c r="CA69" t="inlineStr"/>
      <c r="CB69" t="inlineStr"/>
      <c r="CC69" t="inlineStr">
        <is>
          <t>medium</t>
        </is>
      </c>
      <c r="CD69" t="inlineStr">
        <is>
          <t>unknown</t>
        </is>
      </c>
      <c r="CE69" t="inlineStr">
        <is>
          <t>N</t>
        </is>
      </c>
      <c r="CF69" t="inlineStr"/>
      <c r="CG69" t="inlineStr"/>
      <c r="CH69" t="inlineStr">
        <is>
          <t>unknown</t>
        </is>
      </c>
      <c r="CI69" t="inlineStr"/>
      <c r="CJ69" t="inlineStr">
        <is>
          <t>unknown</t>
        </is>
      </c>
      <c r="CK69" t="inlineStr">
        <is>
          <t>N</t>
        </is>
      </c>
      <c r="CL69" t="inlineStr">
        <is>
          <t>Built In workplace type: OnSite Workplace; typical time on-site: 5 days a week; recent job tags: 3 In-Office</t>
        </is>
      </c>
      <c r="CM69" t="inlineStr">
        <is>
          <t>https://www.builtinnyc.com/company/thinking-machines-lab/offices</t>
        </is>
      </c>
      <c r="CN69" t="inlineStr">
        <is>
          <t>2026-10-24</t>
        </is>
      </c>
      <c r="CO69" t="n">
        <v>18</v>
      </c>
      <c r="CP69" t="inlineStr">
        <is>
          <t>may be under 30;central estimate under 30</t>
        </is>
      </c>
      <c r="CQ69" t="inlineStr">
        <is>
          <t>91 (Built In) and 153 (Revelio Labs) staff (whole-company count) x 5% to 100% of them in the New York office (HQ outside New York; share assumed) x 67% (Partnership for NYC, firms under 500) in on a weekday = 3 to 103, central 18; low confidence; estimate until intake replaces it.</t>
        </is>
      </c>
      <c r="CR69" t="inlineStr">
        <is>
          <t>estimate until intake replaces it</t>
        </is>
      </c>
      <c r="CS69" t="n">
        <v>0.27</v>
      </c>
      <c r="CT69" t="n">
        <v>41.7</v>
      </c>
      <c r="CU69" t="n">
        <v>6.7</v>
      </c>
      <c r="CV69" t="n">
        <v>15</v>
      </c>
      <c r="CW69" t="n">
        <v>15</v>
      </c>
      <c r="CX69" t="n">
        <v>5</v>
      </c>
      <c r="CY69" t="n">
        <v>0</v>
      </c>
      <c r="CZ69" t="n">
        <v>0</v>
      </c>
      <c r="DA69" t="inlineStr"/>
      <c r="DB69" t="inlineStr"/>
      <c r="DC69" t="inlineStr"/>
      <c r="DD69" t="inlineStr"/>
      <c r="DE69" t="inlineStr"/>
      <c r="DF69" t="inlineStr">
        <is>
          <t>none</t>
        </is>
      </c>
      <c r="DG69" t="inlineStr">
        <is>
          <t>candidate</t>
        </is>
      </c>
      <c r="DH69" t="inlineStr"/>
      <c r="DI69" t="inlineStr"/>
      <c r="DJ69" t="inlineStr">
        <is>
          <t>21,500 sf</t>
        </is>
      </c>
      <c r="DK69" t="inlineStr">
        <is>
          <t>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is>
      </c>
      <c r="DL69" t="inlineStr"/>
      <c r="DM69" t="inlineStr"/>
      <c r="DN69" t="inlineStr"/>
      <c r="DO69" t="inlineStr"/>
      <c r="DP69" t="inlineStr"/>
      <c r="DQ69" t="inlineStr"/>
      <c r="DR69" t="inlineStr"/>
      <c r="DS69" t="inlineStr">
        <is>
          <t>none</t>
        </is>
      </c>
      <c r="DT69" t="inlineStr"/>
      <c r="DU69" t="inlineStr"/>
      <c r="DV69" t="inlineStr"/>
      <c r="DW69" t="inlineStr"/>
      <c r="DX69" t="inlineStr">
        <is>
          <t>N</t>
        </is>
      </c>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f>IF(ISNUMBER(MATCH(U69,{"queued","contacted","replied","call_booked","call_done","yes_in_principle","materials_sent"},0)),"Y","N")</f>
        <v/>
      </c>
      <c r="ES69">
        <f>IF(COUNTIFS($AP$2:$AP$1000,AP69,$ER$2:$ER$1000,"Y")+COUNTIFS($AP$2:$AP$1000,AP69,$T$2:$T$1000,"Y")&gt;0,"Y","N")</f>
        <v/>
      </c>
      <c r="ET69">
        <f>IF(AND(U69="new",T69="N",AT69="Y",AS69="",ES69="N"),"Y","N")</f>
        <v/>
      </c>
      <c r="EU69">
        <f>IF(ET69&lt;&gt;"Y","N",IF(COUNTIFS($AP$2:$AP$1000,AP69,$ET$2:$ET$1000,"Y",$J$2:$J$1000,"&gt;"&amp;J69)+COUNTIFS($AP$2:$AP$1000,AP69,$ET$2:$ET$1000,"Y",$J$2:$J$1000,J69,$EW$2:$EW$1000,"&lt;"&amp;EW69)=0,"Y","N"))</f>
        <v/>
      </c>
      <c r="EV69">
        <f>IF(Y69="","N",IF(Y69&lt;=10,"Y","N"))</f>
        <v/>
      </c>
      <c r="EW69">
        <f>ROW()-1</f>
        <v/>
      </c>
    </row>
    <row r="70">
      <c r="A70" t="inlineStr">
        <is>
          <t>AO-C-217</t>
        </is>
      </c>
      <c r="B70" t="inlineStr">
        <is>
          <t>Airtable</t>
        </is>
      </c>
      <c r="C70" t="inlineStr"/>
      <c r="D70" t="inlineStr"/>
      <c r="E70" t="inlineStr"/>
      <c r="F70" t="inlineStr"/>
      <c r="G70" t="inlineStr"/>
      <c r="H70" t="inlineStr">
        <is>
          <t>none</t>
        </is>
      </c>
      <c r="I70" t="inlineStr">
        <is>
          <t>linkedin</t>
        </is>
      </c>
      <c r="J70" t="n">
        <v>41.4</v>
      </c>
      <c r="K70" t="inlineStr">
        <is>
          <t>Tuesday estimate 26 to 513 (low confidence), 501 to 1,000 staff company-wide, on-site 5 days a week per its profile, occupancy-unconfirmed at a low-confidence address; contacts not researched yet (below the top 50).</t>
        </is>
      </c>
      <c r="L70" t="inlineStr">
        <is>
          <t>76-150</t>
        </is>
      </c>
      <c r="M70" t="inlineStr"/>
      <c r="N70" t="inlineStr"/>
      <c r="O70" t="inlineStr"/>
      <c r="P70" t="inlineStr"/>
      <c r="Q70" t="inlineStr"/>
      <c r="R70" t="inlineStr">
        <is>
          <t>N</t>
        </is>
      </c>
      <c r="S70" t="inlineStr">
        <is>
          <t>unknown</t>
        </is>
      </c>
      <c r="T70" t="inlineStr">
        <is>
          <t>N</t>
        </is>
      </c>
      <c r="U70" t="inlineStr">
        <is>
          <t>new</t>
        </is>
      </c>
      <c r="V70" t="inlineStr">
        <is>
          <t>https://www.builtinnyc.com/company/airtable/offices</t>
        </is>
      </c>
      <c r="W70" t="inlineStr">
        <is>
          <t>2026-10-23</t>
        </is>
      </c>
      <c r="X70" t="inlineStr">
        <is>
          <t>office</t>
        </is>
      </c>
      <c r="Y70" t="inlineStr"/>
      <c r="Z70" t="n">
        <v>69</v>
      </c>
      <c r="AA70" t="inlineStr">
        <is>
          <t>N</t>
        </is>
      </c>
      <c r="AB70" t="inlineStr"/>
      <c r="AC70" t="inlineStr"/>
      <c r="AD70" t="inlineStr">
        <is>
          <t>none</t>
        </is>
      </c>
      <c r="AE70" t="inlineStr"/>
      <c r="AF70" t="inlineStr"/>
      <c r="AG70" t="inlineStr"/>
      <c r="AH70" t="inlineStr">
        <is>
          <t>none</t>
        </is>
      </c>
      <c r="AI70" t="inlineStr">
        <is>
          <t>35 East 21st Street</t>
        </is>
      </c>
      <c r="AJ70" t="inlineStr">
        <is>
          <t>unknown</t>
        </is>
      </c>
      <c r="AK70" t="inlineStr">
        <is>
          <t>occupancy-unconfirmed</t>
        </is>
      </c>
      <c r="AL70" t="n">
        <v>26</v>
      </c>
      <c r="AM70" t="n">
        <v>513</v>
      </c>
      <c r="AN70" t="inlineStr">
        <is>
          <t>low</t>
        </is>
      </c>
      <c r="AO70" t="inlineStr">
        <is>
          <t>in-office-5</t>
        </is>
      </c>
      <c r="AP70" t="inlineStr">
        <is>
          <t>AO-C-217</t>
        </is>
      </c>
      <c r="AQ70" t="inlineStr">
        <is>
          <t>N</t>
        </is>
      </c>
      <c r="AR70" t="inlineStr"/>
      <c r="AS70" t="inlineStr"/>
      <c r="AT70" t="inlineStr">
        <is>
          <t>N</t>
        </is>
      </c>
      <c r="AU70" t="inlineStr">
        <is>
          <t>no contact named on an opened page</t>
        </is>
      </c>
      <c r="AV70" t="inlineStr"/>
      <c r="AW70" t="inlineStr">
        <is>
          <t>N</t>
        </is>
      </c>
      <c r="AX70" t="inlineStr">
        <is>
          <t>pass</t>
        </is>
      </c>
      <c r="AY70" t="inlineStr">
        <is>
          <t>passes all hard gates</t>
        </is>
      </c>
      <c r="AZ70" t="inlineStr">
        <is>
          <t>company</t>
        </is>
      </c>
      <c r="BA70" t="inlineStr">
        <is>
          <t>B-C-217</t>
        </is>
      </c>
      <c r="BB70" t="inlineStr">
        <is>
          <t>https://www.airtable.com</t>
        </is>
      </c>
      <c r="BC70" t="inlineStr">
        <is>
          <t>software (no-code database)</t>
        </is>
      </c>
      <c r="BD70" t="n">
        <v>900</v>
      </c>
      <c r="BE70" t="inlineStr"/>
      <c r="BF70" t="inlineStr">
        <is>
          <t>over-500</t>
        </is>
      </c>
      <c r="BG70" t="inlineStr">
        <is>
          <t>whole-company</t>
        </is>
      </c>
      <c r="BH70" t="inlineStr">
        <is>
          <t>single-source</t>
        </is>
      </c>
      <c r="BI70" t="inlineStr">
        <is>
          <t>https://www.builtinnyc.com/company/airtable</t>
        </is>
      </c>
      <c r="BJ70" t="inlineStr"/>
      <c r="BK70" t="inlineStr">
        <is>
          <t>501-1000</t>
        </is>
      </c>
      <c r="BL70" t="inlineStr">
        <is>
          <t>San Francisco</t>
        </is>
      </c>
      <c r="BM70" t="inlineStr">
        <is>
          <t>N</t>
        </is>
      </c>
      <c r="BN70" t="inlineStr">
        <is>
          <t>unknown</t>
        </is>
      </c>
      <c r="BO70" t="inlineStr">
        <is>
          <t>unknown</t>
        </is>
      </c>
      <c r="BP70" t="inlineStr"/>
      <c r="BQ70" t="n">
        <v>40.739614</v>
      </c>
      <c r="BR70" t="n">
        <v>-73.988361</v>
      </c>
      <c r="BS70" t="inlineStr">
        <is>
          <t>Y</t>
        </is>
      </c>
      <c r="BT70" t="n">
        <v>0</v>
      </c>
      <c r="BU70" t="inlineStr"/>
      <c r="BV70" t="inlineStr">
        <is>
          <t>unknown</t>
        </is>
      </c>
      <c r="BW70" t="inlineStr">
        <is>
          <t>https://www.builtinnyc.com/company/airtable/offices</t>
        </is>
      </c>
      <c r="BX70" t="inlineStr">
        <is>
          <t>2026-10-23</t>
        </is>
      </c>
      <c r="BY70" t="inlineStr">
        <is>
          <t>builtin</t>
        </is>
      </c>
      <c r="BZ70" t="inlineStr"/>
      <c r="CA70" t="inlineStr"/>
      <c r="CB70" t="inlineStr"/>
      <c r="CC70" t="inlineStr">
        <is>
          <t>low</t>
        </is>
      </c>
      <c r="CD70" t="inlineStr"/>
      <c r="CE70" t="inlineStr">
        <is>
          <t>N</t>
        </is>
      </c>
      <c r="CF70" t="inlineStr"/>
      <c r="CG70" t="inlineStr"/>
      <c r="CH70" t="inlineStr">
        <is>
          <t>unknown</t>
        </is>
      </c>
      <c r="CI70" t="inlineStr"/>
      <c r="CJ70" t="inlineStr">
        <is>
          <t>unknown</t>
        </is>
      </c>
      <c r="CK70" t="inlineStr">
        <is>
          <t>N</t>
        </is>
      </c>
      <c r="CL70" t="inlineStr">
        <is>
          <t>Built In workplace type: OnSite Workplace; typical time on-site: 5 days a week; recent job tags: 3 Remote</t>
        </is>
      </c>
      <c r="CM70" t="inlineStr">
        <is>
          <t>https://www.builtinnyc.com/company/airtable/offices</t>
        </is>
      </c>
      <c r="CN70" t="inlineStr">
        <is>
          <t>2026-10-24</t>
        </is>
      </c>
      <c r="CO70" t="n">
        <v>115</v>
      </c>
      <c r="CP70" t="inlineStr">
        <is>
          <t>may be under 30;may exceed 250</t>
        </is>
      </c>
      <c r="CQ70" t="inlineStr">
        <is>
          <t>900 (Built In) staff (whole-company count) x 5% to 100% of them in the New York office (HQ outside New York; share assumed) x 57% (Partnership for NYC, all Manhattan firms; no figure for 500 to 4,999) in on a weekday = 26 to 513, central 115; low confidence; estimate until intake replaces it.</t>
        </is>
      </c>
      <c r="CR70" t="inlineStr">
        <is>
          <t>estimate until intake replaces it</t>
        </is>
      </c>
      <c r="CS70" t="n">
        <v>0.61</v>
      </c>
      <c r="CT70" t="n">
        <v>41.4</v>
      </c>
      <c r="CU70" t="n">
        <v>15.4</v>
      </c>
      <c r="CV70" t="n">
        <v>6</v>
      </c>
      <c r="CW70" t="n">
        <v>15</v>
      </c>
      <c r="CX70" t="n">
        <v>5</v>
      </c>
      <c r="CY70" t="n">
        <v>0</v>
      </c>
      <c r="CZ70" t="n">
        <v>0</v>
      </c>
      <c r="DA70" t="inlineStr"/>
      <c r="DB70" t="inlineStr"/>
      <c r="DC70" t="inlineStr"/>
      <c r="DD70" t="inlineStr"/>
      <c r="DE70" t="inlineStr"/>
      <c r="DF70" t="inlineStr">
        <is>
          <t>none</t>
        </is>
      </c>
      <c r="DG70" t="inlineStr">
        <is>
          <t>near-miss-over-500</t>
        </is>
      </c>
      <c r="DH70" t="inlineStr">
        <is>
          <t>just-over-500 (501 to 1,000)</t>
        </is>
      </c>
      <c r="DI70" t="inlineStr">
        <is>
          <t>N</t>
        </is>
      </c>
      <c r="DJ70" t="inlineStr"/>
      <c r="DK70" t="inlineStr">
        <is>
          <t>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L70" t="inlineStr"/>
      <c r="DM70" t="inlineStr"/>
      <c r="DN70" t="inlineStr"/>
      <c r="DO70" t="inlineStr"/>
      <c r="DP70" t="inlineStr"/>
      <c r="DQ70" t="inlineStr"/>
      <c r="DR70" t="inlineStr"/>
      <c r="DS70" t="inlineStr">
        <is>
          <t>none</t>
        </is>
      </c>
      <c r="DT70" t="inlineStr"/>
      <c r="DU70" t="inlineStr"/>
      <c r="DV70" t="inlineStr"/>
      <c r="DW70" t="inlineStr"/>
      <c r="DX70" t="inlineStr">
        <is>
          <t>N</t>
        </is>
      </c>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f>IF(ISNUMBER(MATCH(U70,{"queued","contacted","replied","call_booked","call_done","yes_in_principle","materials_sent"},0)),"Y","N")</f>
        <v/>
      </c>
      <c r="ES70">
        <f>IF(COUNTIFS($AP$2:$AP$1000,AP70,$ER$2:$ER$1000,"Y")+COUNTIFS($AP$2:$AP$1000,AP70,$T$2:$T$1000,"Y")&gt;0,"Y","N")</f>
        <v/>
      </c>
      <c r="ET70">
        <f>IF(AND(U70="new",T70="N",AT70="Y",AS70="",ES70="N"),"Y","N")</f>
        <v/>
      </c>
      <c r="EU70">
        <f>IF(ET70&lt;&gt;"Y","N",IF(COUNTIFS($AP$2:$AP$1000,AP70,$ET$2:$ET$1000,"Y",$J$2:$J$1000,"&gt;"&amp;J70)+COUNTIFS($AP$2:$AP$1000,AP70,$ET$2:$ET$1000,"Y",$J$2:$J$1000,J70,$EW$2:$EW$1000,"&lt;"&amp;EW70)=0,"Y","N"))</f>
        <v/>
      </c>
      <c r="EV70">
        <f>IF(Y70="","N",IF(Y70&lt;=10,"Y","N"))</f>
        <v/>
      </c>
      <c r="EW70">
        <f>ROW()-1</f>
        <v/>
      </c>
    </row>
    <row r="71">
      <c r="A71" t="inlineStr">
        <is>
          <t>AO-C-262</t>
        </is>
      </c>
      <c r="B71" t="inlineStr">
        <is>
          <t>Criteo</t>
        </is>
      </c>
      <c r="C71" t="inlineStr"/>
      <c r="D71" t="inlineStr"/>
      <c r="E71" t="inlineStr"/>
      <c r="F71" t="inlineStr"/>
      <c r="G71" t="inlineStr"/>
      <c r="H71" t="inlineStr">
        <is>
          <t>none</t>
        </is>
      </c>
      <c r="I71" t="inlineStr">
        <is>
          <t>linkedin</t>
        </is>
      </c>
      <c r="J71" t="n">
        <v>41.3</v>
      </c>
      <c r="K71" t="inlineStr">
        <is>
          <t>Tuesday estimate 82 to 1635 (low confidence), 1,001 to 4,999 staff company-wide, on-site 5 days a week per its profile, occupied at a high-confidence address; contacts not researched yet (below the top 50).</t>
        </is>
      </c>
      <c r="L71" t="inlineStr">
        <is>
          <t>251-500</t>
        </is>
      </c>
      <c r="M71" t="inlineStr"/>
      <c r="N71" t="inlineStr"/>
      <c r="O71" t="inlineStr"/>
      <c r="P71" t="inlineStr"/>
      <c r="Q71" t="inlineStr"/>
      <c r="R71" t="inlineStr">
        <is>
          <t>N</t>
        </is>
      </c>
      <c r="S71" t="inlineStr">
        <is>
          <t>unknown</t>
        </is>
      </c>
      <c r="T71" t="inlineStr">
        <is>
          <t>N</t>
        </is>
      </c>
      <c r="U71" t="inlineStr">
        <is>
          <t>new</t>
        </is>
      </c>
      <c r="V71" t="inlineStr">
        <is>
          <t>https://commercialobserver.com/2024/11/criteo-lease-387-park-avenue-south/</t>
        </is>
      </c>
      <c r="W71" t="inlineStr">
        <is>
          <t>2026-10-23</t>
        </is>
      </c>
      <c r="X71" t="inlineStr">
        <is>
          <t>office</t>
        </is>
      </c>
      <c r="Y71" t="inlineStr"/>
      <c r="Z71" t="n">
        <v>70</v>
      </c>
      <c r="AA71" t="inlineStr">
        <is>
          <t>N</t>
        </is>
      </c>
      <c r="AB71" t="inlineStr">
        <is>
          <t>Tuesday estimate band 251-500: founder's call (set founder_ok_to_queue = Y to queue)</t>
        </is>
      </c>
      <c r="AC71" t="inlineStr"/>
      <c r="AD71" t="inlineStr">
        <is>
          <t>none</t>
        </is>
      </c>
      <c r="AE71" t="inlineStr"/>
      <c r="AF71" t="inlineStr"/>
      <c r="AG71" t="inlineStr"/>
      <c r="AH71" t="inlineStr">
        <is>
          <t>none</t>
        </is>
      </c>
      <c r="AI71" t="inlineStr">
        <is>
          <t>387 Park Avenue South</t>
        </is>
      </c>
      <c r="AJ71" t="inlineStr">
        <is>
          <t>top floor and penthouse</t>
        </is>
      </c>
      <c r="AK71" t="inlineStr">
        <is>
          <t>occupied</t>
        </is>
      </c>
      <c r="AL71" t="n">
        <v>82</v>
      </c>
      <c r="AM71" t="n">
        <v>1635</v>
      </c>
      <c r="AN71" t="inlineStr">
        <is>
          <t>low</t>
        </is>
      </c>
      <c r="AO71" t="inlineStr">
        <is>
          <t>in-office-5</t>
        </is>
      </c>
      <c r="AP71" t="inlineStr">
        <is>
          <t>AO-C-262</t>
        </is>
      </c>
      <c r="AQ71" t="inlineStr">
        <is>
          <t>N</t>
        </is>
      </c>
      <c r="AR71" t="inlineStr"/>
      <c r="AS71" t="inlineStr"/>
      <c r="AT71" t="inlineStr">
        <is>
          <t>N</t>
        </is>
      </c>
      <c r="AU71" t="inlineStr">
        <is>
          <t>no contact named on an opened page; Tuesday estimate band 251-500: founder's call</t>
        </is>
      </c>
      <c r="AV71" t="inlineStr"/>
      <c r="AW71" t="inlineStr">
        <is>
          <t>Y</t>
        </is>
      </c>
      <c r="AX71" t="inlineStr">
        <is>
          <t>pass</t>
        </is>
      </c>
      <c r="AY71" t="inlineStr">
        <is>
          <t>passes all hard gates</t>
        </is>
      </c>
      <c r="AZ71" t="inlineStr">
        <is>
          <t>company</t>
        </is>
      </c>
      <c r="BA71" t="inlineStr">
        <is>
          <t>B-C-262</t>
        </is>
      </c>
      <c r="BB71" t="inlineStr">
        <is>
          <t>https://www.criteo.com</t>
        </is>
      </c>
      <c r="BC71" t="inlineStr">
        <is>
          <t>adtech (commerce media)</t>
        </is>
      </c>
      <c r="BD71" t="n">
        <v>2868</v>
      </c>
      <c r="BE71" t="inlineStr"/>
      <c r="BF71" t="inlineStr">
        <is>
          <t>over-500</t>
        </is>
      </c>
      <c r="BG71" t="inlineStr">
        <is>
          <t>whole-company</t>
        </is>
      </c>
      <c r="BH71" t="inlineStr">
        <is>
          <t>single-source</t>
        </is>
      </c>
      <c r="BI71" t="inlineStr">
        <is>
          <t>https://www.builtinnyc.com/company/criteo/offices</t>
        </is>
      </c>
      <c r="BJ71" t="inlineStr"/>
      <c r="BK71" t="inlineStr">
        <is>
          <t>1001-4999</t>
        </is>
      </c>
      <c r="BL71" t="inlineStr">
        <is>
          <t>unknown</t>
        </is>
      </c>
      <c r="BM71" t="inlineStr">
        <is>
          <t>unknown</t>
        </is>
      </c>
      <c r="BN71" t="inlineStr">
        <is>
          <t>unknown</t>
        </is>
      </c>
      <c r="BO71" t="inlineStr">
        <is>
          <t>unknown</t>
        </is>
      </c>
      <c r="BP71" t="n">
        <v>10016</v>
      </c>
      <c r="BQ71" t="n">
        <v>40.742833</v>
      </c>
      <c r="BR71" t="n">
        <v>-73.984174</v>
      </c>
      <c r="BS71" t="inlineStr">
        <is>
          <t>Y</t>
        </is>
      </c>
      <c r="BT71" t="n">
        <v>0</v>
      </c>
      <c r="BU71" t="inlineStr">
        <is>
          <t>B-B-073</t>
        </is>
      </c>
      <c r="BV71" t="inlineStr">
        <is>
          <t>387 Park Avenue South (TF Cornerstone)</t>
        </is>
      </c>
      <c r="BW71" t="inlineStr">
        <is>
          <t>https://commercialobserver.com/2024/11/criteo-lease-387-park-avenue-south/</t>
        </is>
      </c>
      <c r="BX71" t="inlineStr">
        <is>
          <t>2024-11-19</t>
        </is>
      </c>
      <c r="BY71" t="inlineStr">
        <is>
          <t>leasing-press</t>
        </is>
      </c>
      <c r="BZ71" t="inlineStr">
        <is>
          <t>https://www.builtinnyc.com/company/criteo/offices</t>
        </is>
      </c>
      <c r="CA71" t="inlineStr">
        <is>
          <t>2026-10-23</t>
        </is>
      </c>
      <c r="CB71" t="inlineStr"/>
      <c r="CC71" t="inlineStr">
        <is>
          <t>high</t>
        </is>
      </c>
      <c r="CD71" t="inlineStr"/>
      <c r="CE71" t="inlineStr">
        <is>
          <t>N</t>
        </is>
      </c>
      <c r="CF71" t="inlineStr"/>
      <c r="CG71" t="inlineStr"/>
      <c r="CH71" t="inlineStr">
        <is>
          <t>unknown</t>
        </is>
      </c>
      <c r="CI71" t="inlineStr"/>
      <c r="CJ71" t="inlineStr">
        <is>
          <t>unknown</t>
        </is>
      </c>
      <c r="CK71" t="inlineStr">
        <is>
          <t>N</t>
        </is>
      </c>
      <c r="CL71" t="inlineStr">
        <is>
          <t>Built In workplace type: OnSite Workplace; typical time on-site: 5 days a week; recent job tags: 3 In-Office</t>
        </is>
      </c>
      <c r="CM71" t="inlineStr">
        <is>
          <t>https://www.builtinnyc.com/company/criteo/offices</t>
        </is>
      </c>
      <c r="CN71" t="inlineStr">
        <is>
          <t>2026-10-24</t>
        </is>
      </c>
      <c r="CO71" t="n">
        <v>366</v>
      </c>
      <c r="CP71" t="inlineStr">
        <is>
          <t>may exceed 250</t>
        </is>
      </c>
      <c r="CQ71" t="inlineStr">
        <is>
          <t>2868 (Built In) staff (whole-company count) x 5% to 100% of them in the New York office (HQ city unknown; share assumed) x 57% (Partnership for NYC, all Manhattan firms; no figure for 500 to 4,999) in on a weekday = 82 to 1635, central 366; low confidence; estimate until intake replaces it.</t>
        </is>
      </c>
      <c r="CR71" t="inlineStr">
        <is>
          <t>estimate until intake replaces it</t>
        </is>
      </c>
      <c r="CS71" t="n">
        <v>0.37</v>
      </c>
      <c r="CT71" t="n">
        <v>41.3</v>
      </c>
      <c r="CU71" t="n">
        <v>9.300000000000001</v>
      </c>
      <c r="CV71" t="n">
        <v>2</v>
      </c>
      <c r="CW71" t="n">
        <v>15</v>
      </c>
      <c r="CX71" t="n">
        <v>15</v>
      </c>
      <c r="CY71" t="n">
        <v>0</v>
      </c>
      <c r="CZ71" t="n">
        <v>0</v>
      </c>
      <c r="DA71" t="inlineStr"/>
      <c r="DB71" t="inlineStr"/>
      <c r="DC71" t="inlineStr"/>
      <c r="DD71" t="inlineStr"/>
      <c r="DE71" t="inlineStr"/>
      <c r="DF71" t="inlineStr">
        <is>
          <t>none</t>
        </is>
      </c>
      <c r="DG71" t="inlineStr">
        <is>
          <t>near-miss-over-500</t>
        </is>
      </c>
      <c r="DH71" t="inlineStr">
        <is>
          <t>over-1,000 (1,001 to 4,999)</t>
        </is>
      </c>
      <c r="DI71" t="inlineStr">
        <is>
          <t>N</t>
        </is>
      </c>
      <c r="DJ71" t="inlineStr">
        <is>
          <t>21,000 sf</t>
        </is>
      </c>
      <c r="DK71" t="inlineStr">
        <is>
          <t>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is>
      </c>
      <c r="DL71" t="inlineStr"/>
      <c r="DM71" t="inlineStr"/>
      <c r="DN71" t="inlineStr"/>
      <c r="DO71" t="inlineStr"/>
      <c r="DP71" t="inlineStr"/>
      <c r="DQ71" t="inlineStr"/>
      <c r="DR71" t="inlineStr"/>
      <c r="DS71" t="inlineStr">
        <is>
          <t>none</t>
        </is>
      </c>
      <c r="DT71" t="inlineStr"/>
      <c r="DU71" t="inlineStr"/>
      <c r="DV71" t="inlineStr"/>
      <c r="DW71" t="inlineStr"/>
      <c r="DX71" t="inlineStr">
        <is>
          <t>N</t>
        </is>
      </c>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f>IF(ISNUMBER(MATCH(U71,{"queued","contacted","replied","call_booked","call_done","yes_in_principle","materials_sent"},0)),"Y","N")</f>
        <v/>
      </c>
      <c r="ES71">
        <f>IF(COUNTIFS($AP$2:$AP$1000,AP71,$ER$2:$ER$1000,"Y")+COUNTIFS($AP$2:$AP$1000,AP71,$T$2:$T$1000,"Y")&gt;0,"Y","N")</f>
        <v/>
      </c>
      <c r="ET71">
        <f>IF(AND(U71="new",T71="N",AT71="Y",AS71="",ES71="N"),"Y","N")</f>
        <v/>
      </c>
      <c r="EU71">
        <f>IF(ET71&lt;&gt;"Y","N",IF(COUNTIFS($AP$2:$AP$1000,AP71,$ET$2:$ET$1000,"Y",$J$2:$J$1000,"&gt;"&amp;J71)+COUNTIFS($AP$2:$AP$1000,AP71,$ET$2:$ET$1000,"Y",$J$2:$J$1000,J71,$EW$2:$EW$1000,"&lt;"&amp;EW71)=0,"Y","N"))</f>
        <v/>
      </c>
      <c r="EV71">
        <f>IF(Y71="","N",IF(Y71&lt;=10,"Y","N"))</f>
        <v/>
      </c>
      <c r="EW71">
        <f>ROW()-1</f>
        <v/>
      </c>
    </row>
    <row r="72">
      <c r="A72" t="inlineStr">
        <is>
          <t>AO-C-205</t>
        </is>
      </c>
      <c r="B72" t="inlineStr">
        <is>
          <t>Prophet</t>
        </is>
      </c>
      <c r="C72" t="inlineStr"/>
      <c r="D72" t="inlineStr"/>
      <c r="E72" t="inlineStr"/>
      <c r="F72" t="inlineStr"/>
      <c r="G72" t="inlineStr"/>
      <c r="H72" t="inlineStr">
        <is>
          <t>none</t>
        </is>
      </c>
      <c r="I72" t="inlineStr">
        <is>
          <t>linkedin</t>
        </is>
      </c>
      <c r="J72" t="n">
        <v>41.2</v>
      </c>
      <c r="K72" t="inlineStr">
        <is>
          <t>Tuesday estimate 28 to 570 (low confidence), 501 to 1,000 staff company-wide, hybrid (days not stated), occupied at a medium-confidence address; contacts not researched yet (below the top 50).</t>
        </is>
      </c>
      <c r="L72" t="inlineStr">
        <is>
          <t>76-150</t>
        </is>
      </c>
      <c r="M72" t="inlineStr"/>
      <c r="N72" t="inlineStr"/>
      <c r="O72" t="inlineStr"/>
      <c r="P72" t="inlineStr"/>
      <c r="Q72" t="inlineStr"/>
      <c r="R72" t="inlineStr">
        <is>
          <t>N</t>
        </is>
      </c>
      <c r="S72" t="inlineStr">
        <is>
          <t>unknown</t>
        </is>
      </c>
      <c r="T72" t="inlineStr">
        <is>
          <t>N</t>
        </is>
      </c>
      <c r="U72" t="inlineStr">
        <is>
          <t>new</t>
        </is>
      </c>
      <c r="V72" t="inlineStr">
        <is>
          <t>https://commercialobserver.com/2026/04/adyen-lease-111-115-fifth-avenue/</t>
        </is>
      </c>
      <c r="W72" t="inlineStr">
        <is>
          <t>2026-10-23</t>
        </is>
      </c>
      <c r="X72" t="inlineStr">
        <is>
          <t>office</t>
        </is>
      </c>
      <c r="Y72" t="inlineStr"/>
      <c r="Z72" t="n">
        <v>71</v>
      </c>
      <c r="AA72" t="inlineStr">
        <is>
          <t>N</t>
        </is>
      </c>
      <c r="AB72" t="inlineStr"/>
      <c r="AC72" t="inlineStr"/>
      <c r="AD72" t="inlineStr">
        <is>
          <t>none</t>
        </is>
      </c>
      <c r="AE72" t="inlineStr"/>
      <c r="AF72" t="inlineStr"/>
      <c r="AG72" t="inlineStr"/>
      <c r="AH72" t="inlineStr">
        <is>
          <t>none</t>
        </is>
      </c>
      <c r="AI72" t="inlineStr">
        <is>
          <t>115 Fifth Avenue</t>
        </is>
      </c>
      <c r="AJ72" t="inlineStr">
        <is>
          <t>unknown</t>
        </is>
      </c>
      <c r="AK72" t="inlineStr">
        <is>
          <t>occupied</t>
        </is>
      </c>
      <c r="AL72" t="n">
        <v>28</v>
      </c>
      <c r="AM72" t="n">
        <v>570</v>
      </c>
      <c r="AN72" t="inlineStr">
        <is>
          <t>low</t>
        </is>
      </c>
      <c r="AO72" t="inlineStr">
        <is>
          <t>hybrid-unspecified</t>
        </is>
      </c>
      <c r="AP72" t="inlineStr">
        <is>
          <t>AO-C-205</t>
        </is>
      </c>
      <c r="AQ72" t="inlineStr">
        <is>
          <t>N</t>
        </is>
      </c>
      <c r="AR72" t="inlineStr"/>
      <c r="AS72" t="inlineStr"/>
      <c r="AT72" t="inlineStr">
        <is>
          <t>N</t>
        </is>
      </c>
      <c r="AU72" t="inlineStr">
        <is>
          <t>no contact named on an opened page</t>
        </is>
      </c>
      <c r="AV72" t="inlineStr"/>
      <c r="AW72" t="inlineStr">
        <is>
          <t>N</t>
        </is>
      </c>
      <c r="AX72" t="inlineStr">
        <is>
          <t>pass</t>
        </is>
      </c>
      <c r="AY72" t="inlineStr">
        <is>
          <t>passes all hard gates</t>
        </is>
      </c>
      <c r="AZ72" t="inlineStr">
        <is>
          <t>company</t>
        </is>
      </c>
      <c r="BA72" t="inlineStr">
        <is>
          <t>B-C-205</t>
        </is>
      </c>
      <c r="BB72" t="inlineStr">
        <is>
          <t>https://www.prophet.com</t>
        </is>
      </c>
      <c r="BC72" t="inlineStr">
        <is>
          <t>brand and marketing consulting</t>
        </is>
      </c>
      <c r="BD72" t="n">
        <v>1000</v>
      </c>
      <c r="BE72" t="inlineStr"/>
      <c r="BF72" t="inlineStr">
        <is>
          <t>over-500</t>
        </is>
      </c>
      <c r="BG72" t="inlineStr">
        <is>
          <t>whole-company</t>
        </is>
      </c>
      <c r="BH72" t="inlineStr">
        <is>
          <t>single-source</t>
        </is>
      </c>
      <c r="BI72" t="inlineStr">
        <is>
          <t>https://www.builtinnyc.com/company/prophet</t>
        </is>
      </c>
      <c r="BJ72" t="inlineStr"/>
      <c r="BK72" t="inlineStr">
        <is>
          <t>501-1000</t>
        </is>
      </c>
      <c r="BL72" t="inlineStr">
        <is>
          <t>unknown</t>
        </is>
      </c>
      <c r="BM72" t="inlineStr">
        <is>
          <t>unknown</t>
        </is>
      </c>
      <c r="BN72" t="inlineStr">
        <is>
          <t>unknown</t>
        </is>
      </c>
      <c r="BO72" t="inlineStr">
        <is>
          <t>unknown</t>
        </is>
      </c>
      <c r="BP72" t="n">
        <v>10003</v>
      </c>
      <c r="BQ72" t="n">
        <v>40.738809</v>
      </c>
      <c r="BR72" t="n">
        <v>-73.991356</v>
      </c>
      <c r="BS72" t="inlineStr">
        <is>
          <t>Y</t>
        </is>
      </c>
      <c r="BT72" t="n">
        <v>0</v>
      </c>
      <c r="BU72" t="inlineStr">
        <is>
          <t>B-B-023</t>
        </is>
      </c>
      <c r="BV72" t="inlineStr">
        <is>
          <t>115 Fifth Avenue / 881 Broadway (Arnold Constable block)</t>
        </is>
      </c>
      <c r="BW72" t="inlineStr">
        <is>
          <t>https://commercialobserver.com/2026/04/adyen-lease-111-115-fifth-avenue/</t>
        </is>
      </c>
      <c r="BX72" t="inlineStr">
        <is>
          <t>2026-04-07</t>
        </is>
      </c>
      <c r="BY72" t="inlineStr">
        <is>
          <t>leasing-press</t>
        </is>
      </c>
      <c r="BZ72" t="inlineStr"/>
      <c r="CA72" t="inlineStr"/>
      <c r="CB72" t="inlineStr"/>
      <c r="CC72" t="inlineStr">
        <is>
          <t>medium</t>
        </is>
      </c>
      <c r="CD72" t="inlineStr"/>
      <c r="CE72" t="inlineStr">
        <is>
          <t>N</t>
        </is>
      </c>
      <c r="CF72" t="inlineStr"/>
      <c r="CG72" t="inlineStr"/>
      <c r="CH72" t="inlineStr">
        <is>
          <t>security desk</t>
        </is>
      </c>
      <c r="CI72" t="inlineStr">
        <is>
          <t>https://www.metro-manhattan.com/buildings/115-fifth-avenue/</t>
        </is>
      </c>
      <c r="CJ72" t="inlineStr">
        <is>
          <t>unknown</t>
        </is>
      </c>
      <c r="CK72" t="inlineStr">
        <is>
          <t>N</t>
        </is>
      </c>
      <c r="CL72" t="inlineStr">
        <is>
          <t>Built In workplace type: Hybrid Workplace; typical time on-site: Not Specified; recent job tags: 2 In-Office</t>
        </is>
      </c>
      <c r="CM72" t="inlineStr">
        <is>
          <t>https://www.builtinnyc.com/company/prophet/offices</t>
        </is>
      </c>
      <c r="CN72" t="inlineStr">
        <is>
          <t>2026-10-24</t>
        </is>
      </c>
      <c r="CO72" t="n">
        <v>126</v>
      </c>
      <c r="CP72" t="inlineStr">
        <is>
          <t>may be under 30;may exceed 250</t>
        </is>
      </c>
      <c r="CQ72" t="inlineStr">
        <is>
          <t>1000 (Built In) staff (whole-company count) x 5% to 100% of them in the New York office (HQ city unknown; share assumed) x 57% (Partnership for NYC, all Manhattan firms; no figure for 500 to 4,999) in on a weekday = 28 to 570, central 126; low confidence; estimate until intake replaces it.</t>
        </is>
      </c>
      <c r="CR72" t="inlineStr">
        <is>
          <t>estimate until intake replaces it</t>
        </is>
      </c>
      <c r="CS72" t="n">
        <v>0.61</v>
      </c>
      <c r="CT72" t="n">
        <v>41.2</v>
      </c>
      <c r="CU72" t="n">
        <v>15.2</v>
      </c>
      <c r="CV72" t="n">
        <v>6</v>
      </c>
      <c r="CW72" t="n">
        <v>7</v>
      </c>
      <c r="CX72" t="n">
        <v>13</v>
      </c>
      <c r="CY72" t="n">
        <v>0</v>
      </c>
      <c r="CZ72" t="n">
        <v>0</v>
      </c>
      <c r="DA72" t="inlineStr"/>
      <c r="DB72" t="inlineStr"/>
      <c r="DC72" t="inlineStr"/>
      <c r="DD72" t="inlineStr"/>
      <c r="DE72" t="inlineStr"/>
      <c r="DF72" t="inlineStr">
        <is>
          <t>none</t>
        </is>
      </c>
      <c r="DG72" t="inlineStr">
        <is>
          <t>near-miss-over-500</t>
        </is>
      </c>
      <c r="DH72" t="inlineStr">
        <is>
          <t>just-over-500 (501 to 1,000)</t>
        </is>
      </c>
      <c r="DI72" t="inlineStr">
        <is>
          <t>Y</t>
        </is>
      </c>
      <c r="DJ72" t="inlineStr"/>
      <c r="DK72" t="inlineStr">
        <is>
          <t>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DL72" t="inlineStr"/>
      <c r="DM72" t="inlineStr"/>
      <c r="DN72" t="inlineStr"/>
      <c r="DO72" t="inlineStr"/>
      <c r="DP72" t="inlineStr"/>
      <c r="DQ72" t="inlineStr"/>
      <c r="DR72" t="inlineStr"/>
      <c r="DS72" t="inlineStr">
        <is>
          <t>none</t>
        </is>
      </c>
      <c r="DT72" t="inlineStr"/>
      <c r="DU72" t="inlineStr"/>
      <c r="DV72" t="inlineStr"/>
      <c r="DW72" t="inlineStr"/>
      <c r="DX72" t="inlineStr">
        <is>
          <t>N</t>
        </is>
      </c>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f>IF(ISNUMBER(MATCH(U72,{"queued","contacted","replied","call_booked","call_done","yes_in_principle","materials_sent"},0)),"Y","N")</f>
        <v/>
      </c>
      <c r="ES72">
        <f>IF(COUNTIFS($AP$2:$AP$1000,AP72,$ER$2:$ER$1000,"Y")+COUNTIFS($AP$2:$AP$1000,AP72,$T$2:$T$1000,"Y")&gt;0,"Y","N")</f>
        <v/>
      </c>
      <c r="ET72">
        <f>IF(AND(U72="new",T72="N",AT72="Y",AS72="",ES72="N"),"Y","N")</f>
        <v/>
      </c>
      <c r="EU72">
        <f>IF(ET72&lt;&gt;"Y","N",IF(COUNTIFS($AP$2:$AP$1000,AP72,$ET$2:$ET$1000,"Y",$J$2:$J$1000,"&gt;"&amp;J72)+COUNTIFS($AP$2:$AP$1000,AP72,$ET$2:$ET$1000,"Y",$J$2:$J$1000,J72,$EW$2:$EW$1000,"&lt;"&amp;EW72)=0,"Y","N"))</f>
        <v/>
      </c>
      <c r="EV72">
        <f>IF(Y72="","N",IF(Y72&lt;=10,"Y","N"))</f>
        <v/>
      </c>
      <c r="EW72">
        <f>ROW()-1</f>
        <v/>
      </c>
    </row>
    <row r="73">
      <c r="A73" t="inlineStr">
        <is>
          <t>AO-C-186</t>
        </is>
      </c>
      <c r="B73" t="inlineStr">
        <is>
          <t>Similarweb</t>
        </is>
      </c>
      <c r="C73" t="inlineStr"/>
      <c r="D73" t="inlineStr"/>
      <c r="E73" t="inlineStr"/>
      <c r="F73" t="inlineStr"/>
      <c r="G73" t="inlineStr"/>
      <c r="H73" t="inlineStr">
        <is>
          <t>none</t>
        </is>
      </c>
      <c r="I73" t="inlineStr">
        <is>
          <t>linkedin</t>
        </is>
      </c>
      <c r="J73" t="n">
        <v>41.2</v>
      </c>
      <c r="K73" t="inlineStr">
        <is>
          <t>Tuesday estimate 26 to 527 (low confidence), 501 to 1,000 staff company-wide, on-site 5 days a week per its profile, occupancy-unconfirmed at a low-confidence address; contacts not researched yet (below the top 50).</t>
        </is>
      </c>
      <c r="L73" t="inlineStr">
        <is>
          <t>76-150</t>
        </is>
      </c>
      <c r="M73" t="inlineStr"/>
      <c r="N73" t="inlineStr"/>
      <c r="O73" t="inlineStr"/>
      <c r="P73" t="inlineStr"/>
      <c r="Q73" t="inlineStr"/>
      <c r="R73" t="inlineStr">
        <is>
          <t>N</t>
        </is>
      </c>
      <c r="S73" t="inlineStr">
        <is>
          <t>unknown</t>
        </is>
      </c>
      <c r="T73" t="inlineStr">
        <is>
          <t>N</t>
        </is>
      </c>
      <c r="U73" t="inlineStr">
        <is>
          <t>new</t>
        </is>
      </c>
      <c r="V73" t="inlineStr">
        <is>
          <t>https://www.builtinnyc.com/company/similarweb/offices</t>
        </is>
      </c>
      <c r="W73" t="inlineStr">
        <is>
          <t>2026-10-23</t>
        </is>
      </c>
      <c r="X73" t="inlineStr">
        <is>
          <t>office</t>
        </is>
      </c>
      <c r="Y73" t="inlineStr"/>
      <c r="Z73" t="n">
        <v>72</v>
      </c>
      <c r="AA73" t="inlineStr">
        <is>
          <t>N</t>
        </is>
      </c>
      <c r="AB73" t="inlineStr"/>
      <c r="AC73" t="inlineStr"/>
      <c r="AD73" t="inlineStr">
        <is>
          <t>none</t>
        </is>
      </c>
      <c r="AE73" t="inlineStr"/>
      <c r="AF73" t="inlineStr"/>
      <c r="AG73" t="inlineStr"/>
      <c r="AH73" t="inlineStr">
        <is>
          <t>none</t>
        </is>
      </c>
      <c r="AI73" t="inlineStr">
        <is>
          <t>50 West 17th Street</t>
        </is>
      </c>
      <c r="AJ73" t="inlineStr">
        <is>
          <t>unknown</t>
        </is>
      </c>
      <c r="AK73" t="inlineStr">
        <is>
          <t>occupancy-unconfirmed</t>
        </is>
      </c>
      <c r="AL73" t="n">
        <v>26</v>
      </c>
      <c r="AM73" t="n">
        <v>527</v>
      </c>
      <c r="AN73" t="inlineStr">
        <is>
          <t>low</t>
        </is>
      </c>
      <c r="AO73" t="inlineStr">
        <is>
          <t>in-office-5</t>
        </is>
      </c>
      <c r="AP73" t="inlineStr">
        <is>
          <t>AO-C-186</t>
        </is>
      </c>
      <c r="AQ73" t="inlineStr">
        <is>
          <t>N</t>
        </is>
      </c>
      <c r="AR73" t="inlineStr"/>
      <c r="AS73" t="inlineStr"/>
      <c r="AT73" t="inlineStr">
        <is>
          <t>N</t>
        </is>
      </c>
      <c r="AU73" t="inlineStr">
        <is>
          <t>no contact named on an opened page</t>
        </is>
      </c>
      <c r="AV73" t="inlineStr"/>
      <c r="AW73" t="inlineStr">
        <is>
          <t>N</t>
        </is>
      </c>
      <c r="AX73" t="inlineStr">
        <is>
          <t>pass</t>
        </is>
      </c>
      <c r="AY73" t="inlineStr">
        <is>
          <t>passes all hard gates</t>
        </is>
      </c>
      <c r="AZ73" t="inlineStr">
        <is>
          <t>company</t>
        </is>
      </c>
      <c r="BA73" t="inlineStr">
        <is>
          <t>B-C-186</t>
        </is>
      </c>
      <c r="BB73" t="inlineStr">
        <is>
          <t>https://www.similarweb.com</t>
        </is>
      </c>
      <c r="BC73" t="inlineStr">
        <is>
          <t>software (digital market data)</t>
        </is>
      </c>
      <c r="BD73" t="n">
        <v>925</v>
      </c>
      <c r="BE73" t="inlineStr"/>
      <c r="BF73" t="inlineStr">
        <is>
          <t>over-500</t>
        </is>
      </c>
      <c r="BG73" t="inlineStr">
        <is>
          <t>whole-company</t>
        </is>
      </c>
      <c r="BH73" t="inlineStr">
        <is>
          <t>single-source</t>
        </is>
      </c>
      <c r="BI73" t="inlineStr">
        <is>
          <t>https://www.builtinnyc.com/company/similarweb</t>
        </is>
      </c>
      <c r="BJ73" t="inlineStr"/>
      <c r="BK73" t="inlineStr">
        <is>
          <t>501-1000</t>
        </is>
      </c>
      <c r="BL73" t="inlineStr">
        <is>
          <t>unknown</t>
        </is>
      </c>
      <c r="BM73" t="inlineStr">
        <is>
          <t>unknown</t>
        </is>
      </c>
      <c r="BN73" t="inlineStr">
        <is>
          <t>unknown</t>
        </is>
      </c>
      <c r="BO73" t="inlineStr">
        <is>
          <t>unknown</t>
        </is>
      </c>
      <c r="BP73" t="inlineStr"/>
      <c r="BQ73" t="n">
        <v>40.738765</v>
      </c>
      <c r="BR73" t="n">
        <v>-73.99476300000001</v>
      </c>
      <c r="BS73" t="inlineStr">
        <is>
          <t>Y</t>
        </is>
      </c>
      <c r="BT73" t="n">
        <v>0</v>
      </c>
      <c r="BU73" t="inlineStr"/>
      <c r="BV73" t="inlineStr">
        <is>
          <t>unknown</t>
        </is>
      </c>
      <c r="BW73" t="inlineStr">
        <is>
          <t>https://www.builtinnyc.com/company/similarweb/offices</t>
        </is>
      </c>
      <c r="BX73" t="inlineStr">
        <is>
          <t>2026-10-24</t>
        </is>
      </c>
      <c r="BY73" t="inlineStr">
        <is>
          <t>builtin</t>
        </is>
      </c>
      <c r="BZ73" t="inlineStr"/>
      <c r="CA73" t="inlineStr"/>
      <c r="CB73" t="inlineStr"/>
      <c r="CC73" t="inlineStr">
        <is>
          <t>low</t>
        </is>
      </c>
      <c r="CD73" t="inlineStr"/>
      <c r="CE73" t="inlineStr">
        <is>
          <t>N</t>
        </is>
      </c>
      <c r="CF73" t="inlineStr"/>
      <c r="CG73" t="inlineStr"/>
      <c r="CH73" t="inlineStr">
        <is>
          <t>unknown</t>
        </is>
      </c>
      <c r="CI73" t="inlineStr"/>
      <c r="CJ73" t="inlineStr">
        <is>
          <t>unknown</t>
        </is>
      </c>
      <c r="CK73" t="inlineStr">
        <is>
          <t>N</t>
        </is>
      </c>
      <c r="CL73" t="inlineStr">
        <is>
          <t>Built In workplace type: OnSite Workplace; typical time on-site: 5 days a week; recent job tags: 3 Hybrid</t>
        </is>
      </c>
      <c r="CM73" t="inlineStr">
        <is>
          <t>https://www.builtinnyc.com/company/similarweb/offices</t>
        </is>
      </c>
      <c r="CN73" t="inlineStr">
        <is>
          <t>2026-10-24</t>
        </is>
      </c>
      <c r="CO73" t="n">
        <v>117</v>
      </c>
      <c r="CP73" t="inlineStr">
        <is>
          <t>may be under 30;may exceed 250</t>
        </is>
      </c>
      <c r="CQ73" t="inlineStr">
        <is>
          <t>925 (Built In) staff (whole-company count) x 5% to 100% of them in the New York office (HQ city unknown; share assumed) x 57% (Partnership for NYC, all Manhattan firms; no figure for 500 to 4,999) in on a weekday = 26 to 527, central 117; low confidence; estimate until intake replaces it.</t>
        </is>
      </c>
      <c r="CR73" t="inlineStr">
        <is>
          <t>estimate until intake replaces it</t>
        </is>
      </c>
      <c r="CS73" t="n">
        <v>0.61</v>
      </c>
      <c r="CT73" t="n">
        <v>41.2</v>
      </c>
      <c r="CU73" t="n">
        <v>15.2</v>
      </c>
      <c r="CV73" t="n">
        <v>6</v>
      </c>
      <c r="CW73" t="n">
        <v>15</v>
      </c>
      <c r="CX73" t="n">
        <v>5</v>
      </c>
      <c r="CY73" t="n">
        <v>0</v>
      </c>
      <c r="CZ73" t="n">
        <v>0</v>
      </c>
      <c r="DA73" t="inlineStr"/>
      <c r="DB73" t="inlineStr"/>
      <c r="DC73" t="inlineStr"/>
      <c r="DD73" t="inlineStr"/>
      <c r="DE73" t="inlineStr"/>
      <c r="DF73" t="inlineStr">
        <is>
          <t>none</t>
        </is>
      </c>
      <c r="DG73" t="inlineStr">
        <is>
          <t>near-miss-over-500</t>
        </is>
      </c>
      <c r="DH73" t="inlineStr">
        <is>
          <t>just-over-500 (501 to 1,000)</t>
        </is>
      </c>
      <c r="DI73" t="inlineStr">
        <is>
          <t>N</t>
        </is>
      </c>
      <c r="DJ73" t="inlineStr"/>
      <c r="DK73" t="inlineStr">
        <is>
          <t>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L73" t="inlineStr"/>
      <c r="DM73" t="inlineStr"/>
      <c r="DN73" t="inlineStr"/>
      <c r="DO73" t="inlineStr"/>
      <c r="DP73" t="inlineStr"/>
      <c r="DQ73" t="inlineStr"/>
      <c r="DR73" t="inlineStr"/>
      <c r="DS73" t="inlineStr">
        <is>
          <t>none</t>
        </is>
      </c>
      <c r="DT73" t="inlineStr"/>
      <c r="DU73" t="inlineStr"/>
      <c r="DV73" t="inlineStr"/>
      <c r="DW73" t="inlineStr"/>
      <c r="DX73" t="inlineStr">
        <is>
          <t>N</t>
        </is>
      </c>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f>IF(ISNUMBER(MATCH(U73,{"queued","contacted","replied","call_booked","call_done","yes_in_principle","materials_sent"},0)),"Y","N")</f>
        <v/>
      </c>
      <c r="ES73">
        <f>IF(COUNTIFS($AP$2:$AP$1000,AP73,$ER$2:$ER$1000,"Y")+COUNTIFS($AP$2:$AP$1000,AP73,$T$2:$T$1000,"Y")&gt;0,"Y","N")</f>
        <v/>
      </c>
      <c r="ET73">
        <f>IF(AND(U73="new",T73="N",AT73="Y",AS73="",ES73="N"),"Y","N")</f>
        <v/>
      </c>
      <c r="EU73">
        <f>IF(ET73&lt;&gt;"Y","N",IF(COUNTIFS($AP$2:$AP$1000,AP73,$ET$2:$ET$1000,"Y",$J$2:$J$1000,"&gt;"&amp;J73)+COUNTIFS($AP$2:$AP$1000,AP73,$ET$2:$ET$1000,"Y",$J$2:$J$1000,J73,$EW$2:$EW$1000,"&lt;"&amp;EW73)=0,"Y","N"))</f>
        <v/>
      </c>
      <c r="EV73">
        <f>IF(Y73="","N",IF(Y73&lt;=10,"Y","N"))</f>
        <v/>
      </c>
      <c r="EW73">
        <f>ROW()-1</f>
        <v/>
      </c>
    </row>
    <row r="74">
      <c r="A74" t="inlineStr">
        <is>
          <t>AO-C-207</t>
        </is>
      </c>
      <c r="B74" t="inlineStr">
        <is>
          <t>ZGF Architects</t>
        </is>
      </c>
      <c r="C74" t="inlineStr"/>
      <c r="D74" t="inlineStr"/>
      <c r="E74" t="inlineStr"/>
      <c r="F74" t="inlineStr"/>
      <c r="G74" t="inlineStr"/>
      <c r="H74" t="inlineStr">
        <is>
          <t>none</t>
        </is>
      </c>
      <c r="I74" t="inlineStr">
        <is>
          <t>linkedin</t>
        </is>
      </c>
      <c r="J74" t="n">
        <v>40.2</v>
      </c>
      <c r="K74" t="inlineStr">
        <is>
          <t>Tuesday estimate 21 to 427 (low confidence), 501 to 1,000 staff company-wide, no attendance signal, occupied at a medium-confidence address; contacts not researched yet (below the top 50).</t>
        </is>
      </c>
      <c r="L74" t="inlineStr">
        <is>
          <t>76-150</t>
        </is>
      </c>
      <c r="M74" t="inlineStr"/>
      <c r="N74" t="inlineStr"/>
      <c r="O74" t="inlineStr"/>
      <c r="P74" t="inlineStr"/>
      <c r="Q74" t="inlineStr"/>
      <c r="R74" t="inlineStr">
        <is>
          <t>N</t>
        </is>
      </c>
      <c r="S74" t="inlineStr">
        <is>
          <t>unknown</t>
        </is>
      </c>
      <c r="T74" t="inlineStr">
        <is>
          <t>N</t>
        </is>
      </c>
      <c r="U74" t="inlineStr">
        <is>
          <t>new</t>
        </is>
      </c>
      <c r="V74" t="inlineStr">
        <is>
          <t>https://www.zgf.com/contact</t>
        </is>
      </c>
      <c r="W74" t="inlineStr">
        <is>
          <t>2026-10-23</t>
        </is>
      </c>
      <c r="X74" t="inlineStr">
        <is>
          <t>office</t>
        </is>
      </c>
      <c r="Y74" t="inlineStr"/>
      <c r="Z74" t="n">
        <v>73</v>
      </c>
      <c r="AA74" t="inlineStr">
        <is>
          <t>N</t>
        </is>
      </c>
      <c r="AB74" t="inlineStr"/>
      <c r="AC74" t="inlineStr"/>
      <c r="AD74" t="inlineStr">
        <is>
          <t>none</t>
        </is>
      </c>
      <c r="AE74" t="inlineStr"/>
      <c r="AF74" t="inlineStr"/>
      <c r="AG74" t="inlineStr"/>
      <c r="AH74" t="inlineStr">
        <is>
          <t>none</t>
        </is>
      </c>
      <c r="AI74" t="inlineStr">
        <is>
          <t>39 West 19th Street</t>
        </is>
      </c>
      <c r="AJ74" t="n">
        <v>12</v>
      </c>
      <c r="AK74" t="inlineStr">
        <is>
          <t>occupied</t>
        </is>
      </c>
      <c r="AL74" t="n">
        <v>21</v>
      </c>
      <c r="AM74" t="n">
        <v>427</v>
      </c>
      <c r="AN74" t="inlineStr">
        <is>
          <t>low</t>
        </is>
      </c>
      <c r="AO74" t="inlineStr">
        <is>
          <t>unknown</t>
        </is>
      </c>
      <c r="AP74" t="inlineStr">
        <is>
          <t>AO-C-207</t>
        </is>
      </c>
      <c r="AQ74" t="inlineStr">
        <is>
          <t>N</t>
        </is>
      </c>
      <c r="AR74" t="inlineStr"/>
      <c r="AS74" t="inlineStr"/>
      <c r="AT74" t="inlineStr">
        <is>
          <t>N</t>
        </is>
      </c>
      <c r="AU74" t="inlineStr">
        <is>
          <t>no contact named on an opened page</t>
        </is>
      </c>
      <c r="AV74" t="inlineStr"/>
      <c r="AW74" t="inlineStr">
        <is>
          <t>N</t>
        </is>
      </c>
      <c r="AX74" t="inlineStr">
        <is>
          <t>pass</t>
        </is>
      </c>
      <c r="AY74" t="inlineStr">
        <is>
          <t>passes all hard gates</t>
        </is>
      </c>
      <c r="AZ74" t="inlineStr">
        <is>
          <t>company</t>
        </is>
      </c>
      <c r="BA74" t="inlineStr">
        <is>
          <t>B-C-207</t>
        </is>
      </c>
      <c r="BB74" t="inlineStr">
        <is>
          <t>https://www.zgf.com</t>
        </is>
      </c>
      <c r="BC74" t="inlineStr">
        <is>
          <t>architecture</t>
        </is>
      </c>
      <c r="BD74" t="n">
        <v>750</v>
      </c>
      <c r="BE74" t="inlineStr"/>
      <c r="BF74" t="inlineStr">
        <is>
          <t>over-500</t>
        </is>
      </c>
      <c r="BG74" t="inlineStr">
        <is>
          <t>whole-company</t>
        </is>
      </c>
      <c r="BH74" t="inlineStr">
        <is>
          <t>single-source</t>
        </is>
      </c>
      <c r="BI74" t="inlineStr">
        <is>
          <t>https://en.wikipedia.org/wiki/ZGF_Architects</t>
        </is>
      </c>
      <c r="BJ74" t="inlineStr"/>
      <c r="BK74" t="inlineStr">
        <is>
          <t>501-1000</t>
        </is>
      </c>
      <c r="BL74" t="inlineStr">
        <is>
          <t>unknown</t>
        </is>
      </c>
      <c r="BM74" t="inlineStr">
        <is>
          <t>unknown</t>
        </is>
      </c>
      <c r="BN74" t="inlineStr">
        <is>
          <t>unknown</t>
        </is>
      </c>
      <c r="BO74" t="inlineStr">
        <is>
          <t>unknown</t>
        </is>
      </c>
      <c r="BP74" t="n">
        <v>10011</v>
      </c>
      <c r="BQ74" t="n">
        <v>40.740157</v>
      </c>
      <c r="BR74" t="n">
        <v>-73.993377</v>
      </c>
      <c r="BS74" t="inlineStr">
        <is>
          <t>Y</t>
        </is>
      </c>
      <c r="BT74" t="n">
        <v>0</v>
      </c>
      <c r="BU74" t="inlineStr">
        <is>
          <t>B-B-025</t>
        </is>
      </c>
      <c r="BV74" t="inlineStr">
        <is>
          <t>39 West 19th Street (Rosen family)</t>
        </is>
      </c>
      <c r="BW74" t="inlineStr">
        <is>
          <t>https://www.zgf.com/contact</t>
        </is>
      </c>
      <c r="BX74" t="inlineStr">
        <is>
          <t>2026-10-23</t>
        </is>
      </c>
      <c r="BY74" t="inlineStr">
        <is>
          <t>company-site</t>
        </is>
      </c>
      <c r="BZ74" t="inlineStr">
        <is>
          <t>https://commercialobserver.com/2020/01/zgf-architects-lease-39-west-19th-street-rosen-family/</t>
        </is>
      </c>
      <c r="CA74" t="inlineStr">
        <is>
          <t>2020-01-10</t>
        </is>
      </c>
      <c r="CB74" t="inlineStr"/>
      <c r="CC74" t="inlineStr">
        <is>
          <t>medium</t>
        </is>
      </c>
      <c r="CD74" t="inlineStr"/>
      <c r="CE74" t="inlineStr">
        <is>
          <t>N</t>
        </is>
      </c>
      <c r="CF74" t="inlineStr"/>
      <c r="CG74" t="inlineStr"/>
      <c r="CH74" t="inlineStr">
        <is>
          <t>unknown</t>
        </is>
      </c>
      <c r="CI74" t="inlineStr"/>
      <c r="CJ74" t="inlineStr">
        <is>
          <t>unknown</t>
        </is>
      </c>
      <c r="CK74" t="inlineStr">
        <is>
          <t>N</t>
        </is>
      </c>
      <c r="CL74" t="inlineStr">
        <is>
          <t>unknown</t>
        </is>
      </c>
      <c r="CM74" t="inlineStr"/>
      <c r="CN74" t="inlineStr"/>
      <c r="CO74" t="n">
        <v>95</v>
      </c>
      <c r="CP74" t="inlineStr">
        <is>
          <t>may be under 30;may exceed 250</t>
        </is>
      </c>
      <c r="CQ74" t="inlineStr">
        <is>
          <t>750 (Wikipedia) staff (whole-company count) x 5% to 100% of them in the New York office (HQ city unknown; share assumed) x 57% (Partnership for NYC, all Manhattan firms; no figure for 500 to 4,999) in on a weekday = 21 to 427, central 95; low confidence; estimate until intake replaces it.</t>
        </is>
      </c>
      <c r="CR74" t="inlineStr">
        <is>
          <t>estimate until intake replaces it</t>
        </is>
      </c>
      <c r="CS74" t="n">
        <v>0.61</v>
      </c>
      <c r="CT74" t="n">
        <v>40.2</v>
      </c>
      <c r="CU74" t="n">
        <v>15.2</v>
      </c>
      <c r="CV74" t="n">
        <v>6</v>
      </c>
      <c r="CW74" t="n">
        <v>6</v>
      </c>
      <c r="CX74" t="n">
        <v>13</v>
      </c>
      <c r="CY74" t="n">
        <v>0</v>
      </c>
      <c r="CZ74" t="n">
        <v>0</v>
      </c>
      <c r="DA74" t="inlineStr"/>
      <c r="DB74" t="inlineStr"/>
      <c r="DC74" t="inlineStr"/>
      <c r="DD74" t="inlineStr"/>
      <c r="DE74" t="inlineStr"/>
      <c r="DF74" t="inlineStr">
        <is>
          <t>none</t>
        </is>
      </c>
      <c r="DG74" t="inlineStr">
        <is>
          <t>near-miss-over-500</t>
        </is>
      </c>
      <c r="DH74" t="inlineStr">
        <is>
          <t>just-over-500 (501 to 1,000)</t>
        </is>
      </c>
      <c r="DI74" t="inlineStr">
        <is>
          <t>N</t>
        </is>
      </c>
      <c r="DJ74" t="inlineStr">
        <is>
          <t>11,502 sf</t>
        </is>
      </c>
      <c r="DK74" t="inlineStr">
        <is>
          <t>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is>
      </c>
      <c r="DL74" t="inlineStr"/>
      <c r="DM74" t="inlineStr"/>
      <c r="DN74" t="inlineStr"/>
      <c r="DO74" t="inlineStr"/>
      <c r="DP74" t="inlineStr"/>
      <c r="DQ74" t="inlineStr"/>
      <c r="DR74" t="inlineStr"/>
      <c r="DS74" t="inlineStr">
        <is>
          <t>none</t>
        </is>
      </c>
      <c r="DT74" t="inlineStr"/>
      <c r="DU74" t="inlineStr"/>
      <c r="DV74" t="inlineStr"/>
      <c r="DW74" t="inlineStr"/>
      <c r="DX74" t="inlineStr">
        <is>
          <t>N</t>
        </is>
      </c>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f>IF(ISNUMBER(MATCH(U74,{"queued","contacted","replied","call_booked","call_done","yes_in_principle","materials_sent"},0)),"Y","N")</f>
        <v/>
      </c>
      <c r="ES74">
        <f>IF(COUNTIFS($AP$2:$AP$1000,AP74,$ER$2:$ER$1000,"Y")+COUNTIFS($AP$2:$AP$1000,AP74,$T$2:$T$1000,"Y")&gt;0,"Y","N")</f>
        <v/>
      </c>
      <c r="ET74">
        <f>IF(AND(U74="new",T74="N",AT74="Y",AS74="",ES74="N"),"Y","N")</f>
        <v/>
      </c>
      <c r="EU74">
        <f>IF(ET74&lt;&gt;"Y","N",IF(COUNTIFS($AP$2:$AP$1000,AP74,$ET$2:$ET$1000,"Y",$J$2:$J$1000,"&gt;"&amp;J74)+COUNTIFS($AP$2:$AP$1000,AP74,$ET$2:$ET$1000,"Y",$J$2:$J$1000,J74,$EW$2:$EW$1000,"&lt;"&amp;EW74)=0,"Y","N"))</f>
        <v/>
      </c>
      <c r="EV74">
        <f>IF(Y74="","N",IF(Y74&lt;=10,"Y","N"))</f>
        <v/>
      </c>
      <c r="EW74">
        <f>ROW()-1</f>
        <v/>
      </c>
    </row>
    <row r="75">
      <c r="A75" t="inlineStr">
        <is>
          <t>AO-C-042</t>
        </is>
      </c>
      <c r="B75" t="inlineStr">
        <is>
          <t>VidMob</t>
        </is>
      </c>
      <c r="C75" t="inlineStr"/>
      <c r="D75" t="inlineStr"/>
      <c r="E75" t="inlineStr"/>
      <c r="F75" t="inlineStr"/>
      <c r="G75" t="inlineStr"/>
      <c r="H75" t="inlineStr">
        <is>
          <t>none</t>
        </is>
      </c>
      <c r="I75" t="inlineStr">
        <is>
          <t>linkedin</t>
        </is>
      </c>
      <c r="J75" t="n">
        <v>40.1</v>
      </c>
      <c r="K75" t="inlineStr">
        <is>
          <t>Tuesday estimate 22 to 60 (low confidence), under 500 staff company-wide, hybrid (days not stated) with Tuesday named as an office day, occupancy-unconfirmed at a low-confidence address; contacts not researched yet (below the top 50).</t>
        </is>
      </c>
      <c r="L75" t="inlineStr">
        <is>
          <t>under-40</t>
        </is>
      </c>
      <c r="M75" t="inlineStr"/>
      <c r="N75" t="inlineStr"/>
      <c r="O75" t="inlineStr"/>
      <c r="P75" t="inlineStr"/>
      <c r="Q75" t="inlineStr"/>
      <c r="R75" t="inlineStr">
        <is>
          <t>N</t>
        </is>
      </c>
      <c r="S75" t="inlineStr">
        <is>
          <t>unknown</t>
        </is>
      </c>
      <c r="T75" t="inlineStr">
        <is>
          <t>N</t>
        </is>
      </c>
      <c r="U75" t="inlineStr">
        <is>
          <t>new</t>
        </is>
      </c>
      <c r="V75" t="inlineStr">
        <is>
          <t>https://commercialobserver.com/2024/12/airbnb-lease-130-fifth-avenue/</t>
        </is>
      </c>
      <c r="W75" t="inlineStr">
        <is>
          <t>2026-10-23</t>
        </is>
      </c>
      <c r="X75" t="inlineStr">
        <is>
          <t>office</t>
        </is>
      </c>
      <c r="Y75" t="inlineStr"/>
      <c r="Z75" t="n">
        <v>74</v>
      </c>
      <c r="AA75" t="inlineStr">
        <is>
          <t>N</t>
        </is>
      </c>
      <c r="AB75" t="inlineStr">
        <is>
          <t>Tuesday estimate band under-40: founder's call (set founder_ok_to_queue = Y to queue)</t>
        </is>
      </c>
      <c r="AC75" t="inlineStr"/>
      <c r="AD75" t="inlineStr">
        <is>
          <t>none</t>
        </is>
      </c>
      <c r="AE75" t="inlineStr"/>
      <c r="AF75" t="inlineStr"/>
      <c r="AG75" t="inlineStr"/>
      <c r="AH75" t="inlineStr">
        <is>
          <t>none</t>
        </is>
      </c>
      <c r="AI75" t="inlineStr">
        <is>
          <t>130 Fifth Avenue</t>
        </is>
      </c>
      <c r="AJ75" t="inlineStr">
        <is>
          <t>unknown</t>
        </is>
      </c>
      <c r="AK75" t="inlineStr">
        <is>
          <t>occupancy-unconfirmed</t>
        </is>
      </c>
      <c r="AL75" t="n">
        <v>22</v>
      </c>
      <c r="AM75" t="n">
        <v>60</v>
      </c>
      <c r="AN75" t="inlineStr">
        <is>
          <t>low</t>
        </is>
      </c>
      <c r="AO75" t="inlineStr">
        <is>
          <t>hybrid-unspecified</t>
        </is>
      </c>
      <c r="AP75" t="inlineStr">
        <is>
          <t>AO-C-042</t>
        </is>
      </c>
      <c r="AQ75" t="inlineStr">
        <is>
          <t>N</t>
        </is>
      </c>
      <c r="AR75" t="inlineStr"/>
      <c r="AS75" t="inlineStr"/>
      <c r="AT75" t="inlineStr">
        <is>
          <t>N</t>
        </is>
      </c>
      <c r="AU75" t="inlineStr">
        <is>
          <t>no contact named on an opened page; Tuesday estimate band under-40: founder's call</t>
        </is>
      </c>
      <c r="AV75" t="inlineStr"/>
      <c r="AW75" t="inlineStr">
        <is>
          <t>Y</t>
        </is>
      </c>
      <c r="AX75" t="inlineStr">
        <is>
          <t>pass</t>
        </is>
      </c>
      <c r="AY75" t="inlineStr">
        <is>
          <t>passes all hard gates</t>
        </is>
      </c>
      <c r="AZ75" t="inlineStr">
        <is>
          <t>company</t>
        </is>
      </c>
      <c r="BA75" t="inlineStr">
        <is>
          <t>B-C-042</t>
        </is>
      </c>
      <c r="BB75" t="inlineStr">
        <is>
          <t>https://vidmob.com</t>
        </is>
      </c>
      <c r="BC75" t="inlineStr">
        <is>
          <t>software (creative analytics, adtech)</t>
        </is>
      </c>
      <c r="BD75" t="n">
        <v>67</v>
      </c>
      <c r="BE75" t="n">
        <v>90</v>
      </c>
      <c r="BF75" t="inlineStr">
        <is>
          <t>unknown</t>
        </is>
      </c>
      <c r="BG75" t="inlineStr">
        <is>
          <t>unknown</t>
        </is>
      </c>
      <c r="BH75" t="inlineStr">
        <is>
          <t>disagree</t>
        </is>
      </c>
      <c r="BI75" t="inlineStr">
        <is>
          <t>https://www.builtinnyc.com/company/vidmob</t>
        </is>
      </c>
      <c r="BJ75" t="inlineStr">
        <is>
          <t>https://www.reveliolabs.com/companies/vidmob/employees</t>
        </is>
      </c>
      <c r="BK75" t="inlineStr">
        <is>
          <t>le500</t>
        </is>
      </c>
      <c r="BL75" t="inlineStr">
        <is>
          <t>New York</t>
        </is>
      </c>
      <c r="BM75" t="inlineStr">
        <is>
          <t>Y</t>
        </is>
      </c>
      <c r="BN75" t="inlineStr">
        <is>
          <t>unknown</t>
        </is>
      </c>
      <c r="BO75" t="inlineStr">
        <is>
          <t>unknown</t>
        </is>
      </c>
      <c r="BP75" t="n">
        <v>10011</v>
      </c>
      <c r="BQ75" t="n">
        <v>40.738793</v>
      </c>
      <c r="BR75" t="n">
        <v>-73.991823</v>
      </c>
      <c r="BS75" t="inlineStr">
        <is>
          <t>Y</t>
        </is>
      </c>
      <c r="BT75" t="n">
        <v>0</v>
      </c>
      <c r="BU75" t="inlineStr">
        <is>
          <t>B-B-017</t>
        </is>
      </c>
      <c r="BV75" t="inlineStr">
        <is>
          <t>130 Fifth Avenue (Olnick Organization)</t>
        </is>
      </c>
      <c r="BW75" t="inlineStr">
        <is>
          <t>https://commercialobserver.com/2024/12/airbnb-lease-130-fifth-avenue/</t>
        </is>
      </c>
      <c r="BX75" t="inlineStr">
        <is>
          <t>2024-12-02</t>
        </is>
      </c>
      <c r="BY75" t="inlineStr">
        <is>
          <t>leasing-press</t>
        </is>
      </c>
      <c r="BZ75" t="inlineStr"/>
      <c r="CA75" t="inlineStr"/>
      <c r="CB75" t="inlineStr"/>
      <c r="CC75" t="inlineStr">
        <is>
          <t>low</t>
        </is>
      </c>
      <c r="CD75" t="inlineStr"/>
      <c r="CE75" t="inlineStr">
        <is>
          <t>N</t>
        </is>
      </c>
      <c r="CF75" t="inlineStr"/>
      <c r="CG75" t="inlineStr"/>
      <c r="CH75" t="inlineStr">
        <is>
          <t>unknown</t>
        </is>
      </c>
      <c r="CI75" t="inlineStr"/>
      <c r="CJ75" t="inlineStr">
        <is>
          <t>unknown</t>
        </is>
      </c>
      <c r="CK75" t="inlineStr">
        <is>
          <t>Y</t>
        </is>
      </c>
      <c r="CL75" t="inlineStr">
        <is>
          <t>Built In workplace type: Hybrid Workplace; typical time on-site: Flexible; recent job tags: 1 Hybrid, 1 Remote</t>
        </is>
      </c>
      <c r="CM75" t="inlineStr">
        <is>
          <t>https://www.builtinnyc.com/company/vidmob/offices</t>
        </is>
      </c>
      <c r="CN75" t="inlineStr">
        <is>
          <t>2026-10-24</t>
        </is>
      </c>
      <c r="CO75" t="n">
        <v>36</v>
      </c>
      <c r="CP75" t="inlineStr">
        <is>
          <t>may be under 30;30 to 39 is the founder's call</t>
        </is>
      </c>
      <c r="CQ75" t="inlineStr">
        <is>
          <t>67 (Built In) and 90 (Revelio Labs) staff (whole-company count) x 50% to 100% of them in the New York office (HQ New York; share assumed) x 67% (Partnership for NYC, firms under 500) in on a weekday = 22 to 60, central 36; low confidence; estimate until intake replaces it.</t>
        </is>
      </c>
      <c r="CR75" t="inlineStr">
        <is>
          <t>estimate until intake replaces it</t>
        </is>
      </c>
      <c r="CS75" t="n">
        <v>0.4</v>
      </c>
      <c r="CT75" t="n">
        <v>40.1</v>
      </c>
      <c r="CU75" t="n">
        <v>10.1</v>
      </c>
      <c r="CV75" t="n">
        <v>15</v>
      </c>
      <c r="CW75" t="n">
        <v>10</v>
      </c>
      <c r="CX75" t="n">
        <v>5</v>
      </c>
      <c r="CY75" t="n">
        <v>0</v>
      </c>
      <c r="CZ75" t="n">
        <v>0</v>
      </c>
      <c r="DA75" t="inlineStr"/>
      <c r="DB75" t="inlineStr"/>
      <c r="DC75" t="inlineStr"/>
      <c r="DD75" t="inlineStr"/>
      <c r="DE75" t="inlineStr"/>
      <c r="DF75" t="inlineStr">
        <is>
          <t>none</t>
        </is>
      </c>
      <c r="DG75" t="inlineStr">
        <is>
          <t>candidate</t>
        </is>
      </c>
      <c r="DH75" t="inlineStr"/>
      <c r="DI75" t="inlineStr"/>
      <c r="DJ75" t="inlineStr"/>
      <c r="DK75" t="inlineStr">
        <is>
          <t>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is>
      </c>
      <c r="DL75" t="inlineStr"/>
      <c r="DM75" t="inlineStr"/>
      <c r="DN75" t="inlineStr"/>
      <c r="DO75" t="inlineStr"/>
      <c r="DP75" t="inlineStr"/>
      <c r="DQ75" t="inlineStr"/>
      <c r="DR75" t="inlineStr"/>
      <c r="DS75" t="inlineStr">
        <is>
          <t>none</t>
        </is>
      </c>
      <c r="DT75" t="inlineStr"/>
      <c r="DU75" t="inlineStr"/>
      <c r="DV75" t="inlineStr"/>
      <c r="DW75" t="inlineStr"/>
      <c r="DX75" t="inlineStr">
        <is>
          <t>N</t>
        </is>
      </c>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f>IF(ISNUMBER(MATCH(U75,{"queued","contacted","replied","call_booked","call_done","yes_in_principle","materials_sent"},0)),"Y","N")</f>
        <v/>
      </c>
      <c r="ES75">
        <f>IF(COUNTIFS($AP$2:$AP$1000,AP75,$ER$2:$ER$1000,"Y")+COUNTIFS($AP$2:$AP$1000,AP75,$T$2:$T$1000,"Y")&gt;0,"Y","N")</f>
        <v/>
      </c>
      <c r="ET75">
        <f>IF(AND(U75="new",T75="N",AT75="Y",AS75="",ES75="N"),"Y","N")</f>
        <v/>
      </c>
      <c r="EU75">
        <f>IF(ET75&lt;&gt;"Y","N",IF(COUNTIFS($AP$2:$AP$1000,AP75,$ET$2:$ET$1000,"Y",$J$2:$J$1000,"&gt;"&amp;J75)+COUNTIFS($AP$2:$AP$1000,AP75,$ET$2:$ET$1000,"Y",$J$2:$J$1000,J75,$EW$2:$EW$1000,"&lt;"&amp;EW75)=0,"Y","N"))</f>
        <v/>
      </c>
      <c r="EV75">
        <f>IF(Y75="","N",IF(Y75&lt;=10,"Y","N"))</f>
        <v/>
      </c>
      <c r="EW75">
        <f>ROW()-1</f>
        <v/>
      </c>
    </row>
    <row r="76">
      <c r="A76" t="inlineStr">
        <is>
          <t>AO-C-090</t>
        </is>
      </c>
      <c r="B76" t="inlineStr">
        <is>
          <t>Hungryroot</t>
        </is>
      </c>
      <c r="C76" t="inlineStr"/>
      <c r="D76" t="inlineStr"/>
      <c r="E76" t="inlineStr"/>
      <c r="F76" t="inlineStr"/>
      <c r="G76" t="inlineStr"/>
      <c r="H76" t="inlineStr">
        <is>
          <t>none</t>
        </is>
      </c>
      <c r="I76" t="inlineStr">
        <is>
          <t>linkedin</t>
        </is>
      </c>
      <c r="J76" t="n">
        <v>40</v>
      </c>
      <c r="K76" t="inlineStr">
        <is>
          <t>Tuesday estimate 67 to 218 (low confidence), under 500 staff company-wide, remote-first signal, occupancy-unconfirmed at a low-confidence address; contacts not researched yet (below the top 50).</t>
        </is>
      </c>
      <c r="L76" t="inlineStr">
        <is>
          <t>76-150</t>
        </is>
      </c>
      <c r="M76" t="inlineStr"/>
      <c r="N76" t="inlineStr"/>
      <c r="O76" t="inlineStr"/>
      <c r="P76" t="inlineStr"/>
      <c r="Q76" t="inlineStr"/>
      <c r="R76" t="inlineStr">
        <is>
          <t>N</t>
        </is>
      </c>
      <c r="S76" t="inlineStr">
        <is>
          <t>unknown</t>
        </is>
      </c>
      <c r="T76" t="inlineStr">
        <is>
          <t>N</t>
        </is>
      </c>
      <c r="U76" t="inlineStr">
        <is>
          <t>new</t>
        </is>
      </c>
      <c r="V76" t="inlineStr">
        <is>
          <t>https://commercialobserver.com/2019/11/hungryroot-lease-7-west-22nd-street/</t>
        </is>
      </c>
      <c r="W76" t="inlineStr">
        <is>
          <t>2026-10-23</t>
        </is>
      </c>
      <c r="X76" t="inlineStr">
        <is>
          <t>office</t>
        </is>
      </c>
      <c r="Y76" t="inlineStr"/>
      <c r="Z76" t="n">
        <v>75</v>
      </c>
      <c r="AA76" t="inlineStr">
        <is>
          <t>N</t>
        </is>
      </c>
      <c r="AB76" t="inlineStr"/>
      <c r="AC76" t="inlineStr"/>
      <c r="AD76" t="inlineStr">
        <is>
          <t>none</t>
        </is>
      </c>
      <c r="AE76" t="inlineStr"/>
      <c r="AF76" t="inlineStr"/>
      <c r="AG76" t="inlineStr"/>
      <c r="AH76" t="inlineStr">
        <is>
          <t>none</t>
        </is>
      </c>
      <c r="AI76" t="inlineStr">
        <is>
          <t>7 West 22nd Street</t>
        </is>
      </c>
      <c r="AJ76" t="n">
        <v>6</v>
      </c>
      <c r="AK76" t="inlineStr">
        <is>
          <t>occupancy-unconfirmed</t>
        </is>
      </c>
      <c r="AL76" t="n">
        <v>67</v>
      </c>
      <c r="AM76" t="n">
        <v>218</v>
      </c>
      <c r="AN76" t="inlineStr">
        <is>
          <t>low</t>
        </is>
      </c>
      <c r="AO76" t="inlineStr">
        <is>
          <t>remote</t>
        </is>
      </c>
      <c r="AP76" t="inlineStr">
        <is>
          <t>AO-C-090</t>
        </is>
      </c>
      <c r="AQ76" t="inlineStr">
        <is>
          <t>N</t>
        </is>
      </c>
      <c r="AR76" t="inlineStr"/>
      <c r="AS76" t="inlineStr"/>
      <c r="AT76" t="inlineStr">
        <is>
          <t>N</t>
        </is>
      </c>
      <c r="AU76" t="inlineStr">
        <is>
          <t>no contact named on an opened page</t>
        </is>
      </c>
      <c r="AV76" t="inlineStr"/>
      <c r="AW76" t="inlineStr">
        <is>
          <t>N</t>
        </is>
      </c>
      <c r="AX76" t="inlineStr">
        <is>
          <t>pass</t>
        </is>
      </c>
      <c r="AY76" t="inlineStr">
        <is>
          <t>passes all hard gates</t>
        </is>
      </c>
      <c r="AZ76" t="inlineStr">
        <is>
          <t>company</t>
        </is>
      </c>
      <c r="BA76" t="inlineStr">
        <is>
          <t>B-C-090</t>
        </is>
      </c>
      <c r="BB76" t="inlineStr">
        <is>
          <t>https://www.hungryroot.com</t>
        </is>
      </c>
      <c r="BC76" t="inlineStr">
        <is>
          <t>food delivery (grocery and meal kits)</t>
        </is>
      </c>
      <c r="BD76" t="n">
        <v>200</v>
      </c>
      <c r="BE76" t="n">
        <v>326</v>
      </c>
      <c r="BF76" t="inlineStr">
        <is>
          <t>unknown</t>
        </is>
      </c>
      <c r="BG76" t="inlineStr">
        <is>
          <t>unknown</t>
        </is>
      </c>
      <c r="BH76" t="inlineStr">
        <is>
          <t>disagree</t>
        </is>
      </c>
      <c r="BI76" t="inlineStr">
        <is>
          <t>https://www.builtinnyc.com/company/hungryroot</t>
        </is>
      </c>
      <c r="BJ76" t="inlineStr">
        <is>
          <t>https://www.reveliolabs.com/companies/hungryroot/employees</t>
        </is>
      </c>
      <c r="BK76" t="inlineStr">
        <is>
          <t>le500</t>
        </is>
      </c>
      <c r="BL76" t="inlineStr">
        <is>
          <t>New York</t>
        </is>
      </c>
      <c r="BM76" t="inlineStr">
        <is>
          <t>Y</t>
        </is>
      </c>
      <c r="BN76" t="inlineStr">
        <is>
          <t>unknown</t>
        </is>
      </c>
      <c r="BO76" t="inlineStr">
        <is>
          <t>unknown</t>
        </is>
      </c>
      <c r="BP76" t="n">
        <v>10010</v>
      </c>
      <c r="BQ76" t="n">
        <v>40.741355</v>
      </c>
      <c r="BR76" t="n">
        <v>-73.99059800000001</v>
      </c>
      <c r="BS76" t="inlineStr">
        <is>
          <t>Y</t>
        </is>
      </c>
      <c r="BT76" t="n">
        <v>0</v>
      </c>
      <c r="BU76" t="inlineStr">
        <is>
          <t>B-B-043</t>
        </is>
      </c>
      <c r="BV76" t="inlineStr">
        <is>
          <t>7 West 22nd Street</t>
        </is>
      </c>
      <c r="BW76" t="inlineStr">
        <is>
          <t>https://commercialobserver.com/2019/11/hungryroot-lease-7-west-22nd-street/</t>
        </is>
      </c>
      <c r="BX76" t="inlineStr">
        <is>
          <t>2019-11-25</t>
        </is>
      </c>
      <c r="BY76" t="inlineStr">
        <is>
          <t>leasing-press</t>
        </is>
      </c>
      <c r="BZ76" t="inlineStr"/>
      <c r="CA76" t="inlineStr"/>
      <c r="CB76" t="inlineStr"/>
      <c r="CC76" t="inlineStr">
        <is>
          <t>low</t>
        </is>
      </c>
      <c r="CD76" t="inlineStr"/>
      <c r="CE76" t="inlineStr">
        <is>
          <t>N</t>
        </is>
      </c>
      <c r="CF76" t="inlineStr"/>
      <c r="CG76" t="inlineStr"/>
      <c r="CH76" t="inlineStr">
        <is>
          <t>unknown</t>
        </is>
      </c>
      <c r="CI76" t="inlineStr"/>
      <c r="CJ76" t="inlineStr">
        <is>
          <t>unknown</t>
        </is>
      </c>
      <c r="CK76" t="inlineStr">
        <is>
          <t>N</t>
        </is>
      </c>
      <c r="CL76" t="inlineStr">
        <is>
          <t>Built In workplace type: Remote Workplace; recent job tags: 3 Remote</t>
        </is>
      </c>
      <c r="CM76" t="inlineStr">
        <is>
          <t>https://www.builtinnyc.com/company/hungryroot/offices</t>
        </is>
      </c>
      <c r="CN76" t="inlineStr">
        <is>
          <t>2026-10-24</t>
        </is>
      </c>
      <c r="CO76" t="n">
        <v>121</v>
      </c>
      <c r="CP76" t="inlineStr"/>
      <c r="CQ76" t="inlineStr">
        <is>
          <t>200 (Built In) and 326 (Revelio Labs) staff (whole-company count) x 50% to 100% of them in the New York office (HQ New York; share assumed) x 67% (Partnership for NYC, firms under 500) in on a weekday = 67 to 218, central 121; low confidence; estimate until intake replaces it.</t>
        </is>
      </c>
      <c r="CR76" t="inlineStr">
        <is>
          <t>estimate until intake replaces it</t>
        </is>
      </c>
      <c r="CS76" t="n">
        <v>1</v>
      </c>
      <c r="CT76" t="n">
        <v>40</v>
      </c>
      <c r="CU76" t="n">
        <v>25</v>
      </c>
      <c r="CV76" t="n">
        <v>15</v>
      </c>
      <c r="CW76" t="n">
        <v>-5</v>
      </c>
      <c r="CX76" t="n">
        <v>5</v>
      </c>
      <c r="CY76" t="n">
        <v>0</v>
      </c>
      <c r="CZ76" t="n">
        <v>0</v>
      </c>
      <c r="DA76" t="inlineStr"/>
      <c r="DB76" t="inlineStr"/>
      <c r="DC76" t="inlineStr"/>
      <c r="DD76" t="inlineStr"/>
      <c r="DE76" t="inlineStr"/>
      <c r="DF76" t="inlineStr">
        <is>
          <t>none</t>
        </is>
      </c>
      <c r="DG76" t="inlineStr">
        <is>
          <t>candidate</t>
        </is>
      </c>
      <c r="DH76" t="inlineStr"/>
      <c r="DI76" t="inlineStr"/>
      <c r="DJ76" t="inlineStr">
        <is>
          <t>10,000 sf</t>
        </is>
      </c>
      <c r="DK76" t="inlineStr">
        <is>
          <t>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is>
      </c>
      <c r="DL76" t="inlineStr"/>
      <c r="DM76" t="inlineStr"/>
      <c r="DN76" t="inlineStr"/>
      <c r="DO76" t="inlineStr"/>
      <c r="DP76" t="inlineStr"/>
      <c r="DQ76" t="inlineStr"/>
      <c r="DR76" t="inlineStr"/>
      <c r="DS76" t="inlineStr">
        <is>
          <t>none</t>
        </is>
      </c>
      <c r="DT76" t="inlineStr"/>
      <c r="DU76" t="inlineStr"/>
      <c r="DV76" t="inlineStr"/>
      <c r="DW76" t="inlineStr"/>
      <c r="DX76" t="inlineStr">
        <is>
          <t>N</t>
        </is>
      </c>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f>IF(ISNUMBER(MATCH(U76,{"queued","contacted","replied","call_booked","call_done","yes_in_principle","materials_sent"},0)),"Y","N")</f>
        <v/>
      </c>
      <c r="ES76">
        <f>IF(COUNTIFS($AP$2:$AP$1000,AP76,$ER$2:$ER$1000,"Y")+COUNTIFS($AP$2:$AP$1000,AP76,$T$2:$T$1000,"Y")&gt;0,"Y","N")</f>
        <v/>
      </c>
      <c r="ET76">
        <f>IF(AND(U76="new",T76="N",AT76="Y",AS76="",ES76="N"),"Y","N")</f>
        <v/>
      </c>
      <c r="EU76">
        <f>IF(ET76&lt;&gt;"Y","N",IF(COUNTIFS($AP$2:$AP$1000,AP76,$ET$2:$ET$1000,"Y",$J$2:$J$1000,"&gt;"&amp;J76)+COUNTIFS($AP$2:$AP$1000,AP76,$ET$2:$ET$1000,"Y",$J$2:$J$1000,J76,$EW$2:$EW$1000,"&lt;"&amp;EW76)=0,"Y","N"))</f>
        <v/>
      </c>
      <c r="EV76">
        <f>IF(Y76="","N",IF(Y76&lt;=10,"Y","N"))</f>
        <v/>
      </c>
      <c r="EW76">
        <f>ROW()-1</f>
        <v/>
      </c>
    </row>
    <row r="77">
      <c r="A77" t="inlineStr">
        <is>
          <t>AO-C-224</t>
        </is>
      </c>
      <c r="B77" t="inlineStr">
        <is>
          <t>Trustpilot</t>
        </is>
      </c>
      <c r="C77" t="inlineStr"/>
      <c r="D77" t="inlineStr"/>
      <c r="E77" t="inlineStr"/>
      <c r="F77" t="inlineStr"/>
      <c r="G77" t="inlineStr"/>
      <c r="H77" t="inlineStr">
        <is>
          <t>none</t>
        </is>
      </c>
      <c r="I77" t="inlineStr">
        <is>
          <t>linkedin</t>
        </is>
      </c>
      <c r="J77" t="n">
        <v>39.3</v>
      </c>
      <c r="K77" t="inlineStr">
        <is>
          <t>Tuesday estimate 27 to 542 (low confidence), 501 to 1,000 staff company-wide, hybrid 2 days or fewer, occupied at a medium-confidence address; contacts not researched yet (below the top 50).</t>
        </is>
      </c>
      <c r="L77" t="inlineStr">
        <is>
          <t>76-150</t>
        </is>
      </c>
      <c r="M77" t="inlineStr"/>
      <c r="N77" t="inlineStr"/>
      <c r="O77" t="inlineStr"/>
      <c r="P77" t="inlineStr"/>
      <c r="Q77" t="inlineStr"/>
      <c r="R77" t="inlineStr">
        <is>
          <t>N</t>
        </is>
      </c>
      <c r="S77" t="inlineStr">
        <is>
          <t>unknown</t>
        </is>
      </c>
      <c r="T77" t="inlineStr">
        <is>
          <t>N</t>
        </is>
      </c>
      <c r="U77" t="inlineStr">
        <is>
          <t>new</t>
        </is>
      </c>
      <c r="V77" t="inlineStr">
        <is>
          <t>https://nyrej.com/index.php/two-new-leases-signed-at-50-west-23rd-st</t>
        </is>
      </c>
      <c r="W77" t="inlineStr">
        <is>
          <t>2026-10-23</t>
        </is>
      </c>
      <c r="X77" t="inlineStr">
        <is>
          <t>office</t>
        </is>
      </c>
      <c r="Y77" t="inlineStr"/>
      <c r="Z77" t="n">
        <v>76</v>
      </c>
      <c r="AA77" t="inlineStr">
        <is>
          <t>N</t>
        </is>
      </c>
      <c r="AB77" t="inlineStr"/>
      <c r="AC77" t="inlineStr"/>
      <c r="AD77" t="inlineStr">
        <is>
          <t>none</t>
        </is>
      </c>
      <c r="AE77" t="inlineStr"/>
      <c r="AF77" t="inlineStr"/>
      <c r="AG77" t="inlineStr"/>
      <c r="AH77" t="inlineStr">
        <is>
          <t>none</t>
        </is>
      </c>
      <c r="AI77" t="inlineStr">
        <is>
          <t>50 West 23rd Street</t>
        </is>
      </c>
      <c r="AJ77" t="inlineStr">
        <is>
          <t>unknown</t>
        </is>
      </c>
      <c r="AK77" t="inlineStr">
        <is>
          <t>occupied</t>
        </is>
      </c>
      <c r="AL77" t="n">
        <v>27</v>
      </c>
      <c r="AM77" t="n">
        <v>542</v>
      </c>
      <c r="AN77" t="inlineStr">
        <is>
          <t>low</t>
        </is>
      </c>
      <c r="AO77" t="inlineStr">
        <is>
          <t>hybrid-2-or-less</t>
        </is>
      </c>
      <c r="AP77" t="inlineStr">
        <is>
          <t>AO-C-224</t>
        </is>
      </c>
      <c r="AQ77" t="inlineStr">
        <is>
          <t>N</t>
        </is>
      </c>
      <c r="AR77" t="inlineStr"/>
      <c r="AS77" t="inlineStr"/>
      <c r="AT77" t="inlineStr">
        <is>
          <t>N</t>
        </is>
      </c>
      <c r="AU77" t="inlineStr">
        <is>
          <t>no contact named on an opened page</t>
        </is>
      </c>
      <c r="AV77" t="inlineStr"/>
      <c r="AW77" t="inlineStr">
        <is>
          <t>N</t>
        </is>
      </c>
      <c r="AX77" t="inlineStr">
        <is>
          <t>pass</t>
        </is>
      </c>
      <c r="AY77" t="inlineStr">
        <is>
          <t>passes all hard gates</t>
        </is>
      </c>
      <c r="AZ77" t="inlineStr">
        <is>
          <t>company</t>
        </is>
      </c>
      <c r="BA77" t="inlineStr">
        <is>
          <t>B-C-224</t>
        </is>
      </c>
      <c r="BB77" t="inlineStr">
        <is>
          <t>https://www.trustpilot.com/</t>
        </is>
      </c>
      <c r="BC77" t="inlineStr">
        <is>
          <t>Consumer review platform</t>
        </is>
      </c>
      <c r="BD77" t="n">
        <v>950</v>
      </c>
      <c r="BE77" t="inlineStr"/>
      <c r="BF77" t="inlineStr">
        <is>
          <t>over-500</t>
        </is>
      </c>
      <c r="BG77" t="inlineStr">
        <is>
          <t>whole-company</t>
        </is>
      </c>
      <c r="BH77" t="inlineStr">
        <is>
          <t>single-source</t>
        </is>
      </c>
      <c r="BI77" t="inlineStr">
        <is>
          <t>https://www.builtinnyc.com/company/trustpilot/offices</t>
        </is>
      </c>
      <c r="BJ77" t="inlineStr"/>
      <c r="BK77" t="inlineStr">
        <is>
          <t>501-1000</t>
        </is>
      </c>
      <c r="BL77" t="inlineStr">
        <is>
          <t>unknown</t>
        </is>
      </c>
      <c r="BM77" t="inlineStr">
        <is>
          <t>unknown</t>
        </is>
      </c>
      <c r="BN77" t="inlineStr">
        <is>
          <t>unknown</t>
        </is>
      </c>
      <c r="BO77" t="inlineStr">
        <is>
          <t>unknown</t>
        </is>
      </c>
      <c r="BP77" t="n">
        <v>10010</v>
      </c>
      <c r="BQ77" t="n">
        <v>40.742199</v>
      </c>
      <c r="BR77" t="n">
        <v>-73.99172</v>
      </c>
      <c r="BS77" t="inlineStr">
        <is>
          <t>Y</t>
        </is>
      </c>
      <c r="BT77" t="n">
        <v>0</v>
      </c>
      <c r="BU77" t="inlineStr">
        <is>
          <t>B-B-046</t>
        </is>
      </c>
      <c r="BV77" t="inlineStr">
        <is>
          <t>50 West 23rd Street (Two Trees Management)</t>
        </is>
      </c>
      <c r="BW77" t="inlineStr">
        <is>
          <t>https://nyrej.com/index.php/two-new-leases-signed-at-50-west-23rd-st</t>
        </is>
      </c>
      <c r="BX77" t="inlineStr">
        <is>
          <t>2025-10-14</t>
        </is>
      </c>
      <c r="BY77" t="inlineStr">
        <is>
          <t>leasing-press</t>
        </is>
      </c>
      <c r="BZ77" t="inlineStr">
        <is>
          <t>https://www.builtinnyc.com/company/trustpilot/offices</t>
        </is>
      </c>
      <c r="CA77" t="inlineStr">
        <is>
          <t>2026-10-23</t>
        </is>
      </c>
      <c r="CB77" t="inlineStr"/>
      <c r="CC77" t="inlineStr">
        <is>
          <t>medium</t>
        </is>
      </c>
      <c r="CD77" t="inlineStr"/>
      <c r="CE77" t="inlineStr">
        <is>
          <t>N</t>
        </is>
      </c>
      <c r="CF77" t="inlineStr"/>
      <c r="CG77" t="inlineStr"/>
      <c r="CH77" t="inlineStr">
        <is>
          <t>security desk</t>
        </is>
      </c>
      <c r="CI77" t="inlineStr">
        <is>
          <t>https://nyrej.com/index.php/two-new-leases-signed-at-50-west-23rd-st</t>
        </is>
      </c>
      <c r="CJ77" t="inlineStr">
        <is>
          <t>unknown</t>
        </is>
      </c>
      <c r="CK77" t="inlineStr">
        <is>
          <t>N</t>
        </is>
      </c>
      <c r="CL77" t="inlineStr">
        <is>
          <t>Built In workplace type: Hybrid Workplace; typical time on-site: 2 days a week</t>
        </is>
      </c>
      <c r="CM77" t="inlineStr">
        <is>
          <t>https://www.builtinnyc.com/company/trustpilot/offices</t>
        </is>
      </c>
      <c r="CN77" t="inlineStr">
        <is>
          <t>2026-10-24</t>
        </is>
      </c>
      <c r="CO77" t="n">
        <v>121</v>
      </c>
      <c r="CP77" t="inlineStr">
        <is>
          <t>may be under 30;may exceed 250</t>
        </is>
      </c>
      <c r="CQ77" t="inlineStr">
        <is>
          <t>950 (Built In) staff (whole-company count) x 5% to 100% of them in the New York office (HQ city unknown; share assumed) x 57% (Partnership for NYC, all Manhattan firms; no figure for 500 to 4,999) in on a weekday = 27 to 542, central 121; low confidence; estimate until intake replaces it.</t>
        </is>
      </c>
      <c r="CR77" t="inlineStr">
        <is>
          <t>estimate until intake replaces it</t>
        </is>
      </c>
      <c r="CS77" t="n">
        <v>0.61</v>
      </c>
      <c r="CT77" t="n">
        <v>39.3</v>
      </c>
      <c r="CU77" t="n">
        <v>15.3</v>
      </c>
      <c r="CV77" t="n">
        <v>6</v>
      </c>
      <c r="CW77" t="n">
        <v>5</v>
      </c>
      <c r="CX77" t="n">
        <v>13</v>
      </c>
      <c r="CY77" t="n">
        <v>0</v>
      </c>
      <c r="CZ77" t="n">
        <v>0</v>
      </c>
      <c r="DA77" t="inlineStr"/>
      <c r="DB77" t="inlineStr"/>
      <c r="DC77" t="inlineStr"/>
      <c r="DD77" t="inlineStr"/>
      <c r="DE77" t="inlineStr"/>
      <c r="DF77" t="inlineStr">
        <is>
          <t>none</t>
        </is>
      </c>
      <c r="DG77" t="inlineStr">
        <is>
          <t>near-miss-over-500</t>
        </is>
      </c>
      <c r="DH77" t="inlineStr">
        <is>
          <t>just-over-500 (501 to 1,000)</t>
        </is>
      </c>
      <c r="DI77" t="inlineStr">
        <is>
          <t>N</t>
        </is>
      </c>
      <c r="DJ77" t="inlineStr"/>
      <c r="DK77" t="inlineStr">
        <is>
          <t>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L77" t="inlineStr"/>
      <c r="DM77" t="inlineStr"/>
      <c r="DN77" t="inlineStr"/>
      <c r="DO77" t="inlineStr"/>
      <c r="DP77" t="inlineStr"/>
      <c r="DQ77" t="inlineStr"/>
      <c r="DR77" t="inlineStr"/>
      <c r="DS77" t="inlineStr">
        <is>
          <t>none</t>
        </is>
      </c>
      <c r="DT77" t="inlineStr"/>
      <c r="DU77" t="inlineStr"/>
      <c r="DV77" t="inlineStr"/>
      <c r="DW77" t="inlineStr"/>
      <c r="DX77" t="inlineStr">
        <is>
          <t>N</t>
        </is>
      </c>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f>IF(ISNUMBER(MATCH(U77,{"queued","contacted","replied","call_booked","call_done","yes_in_principle","materials_sent"},0)),"Y","N")</f>
        <v/>
      </c>
      <c r="ES77">
        <f>IF(COUNTIFS($AP$2:$AP$1000,AP77,$ER$2:$ER$1000,"Y")+COUNTIFS($AP$2:$AP$1000,AP77,$T$2:$T$1000,"Y")&gt;0,"Y","N")</f>
        <v/>
      </c>
      <c r="ET77">
        <f>IF(AND(U77="new",T77="N",AT77="Y",AS77="",ES77="N"),"Y","N")</f>
        <v/>
      </c>
      <c r="EU77">
        <f>IF(ET77&lt;&gt;"Y","N",IF(COUNTIFS($AP$2:$AP$1000,AP77,$ET$2:$ET$1000,"Y",$J$2:$J$1000,"&gt;"&amp;J77)+COUNTIFS($AP$2:$AP$1000,AP77,$ET$2:$ET$1000,"Y",$J$2:$J$1000,J77,$EW$2:$EW$1000,"&lt;"&amp;EW77)=0,"Y","N"))</f>
        <v/>
      </c>
      <c r="EV77">
        <f>IF(Y77="","N",IF(Y77&lt;=10,"Y","N"))</f>
        <v/>
      </c>
      <c r="EW77">
        <f>ROW()-1</f>
        <v/>
      </c>
    </row>
    <row r="78">
      <c r="A78" t="inlineStr">
        <is>
          <t>AO-C-249</t>
        </is>
      </c>
      <c r="B78" t="inlineStr">
        <is>
          <t>Persona</t>
        </is>
      </c>
      <c r="C78" t="inlineStr"/>
      <c r="D78" t="inlineStr"/>
      <c r="E78" t="inlineStr"/>
      <c r="F78" t="inlineStr"/>
      <c r="G78" t="inlineStr"/>
      <c r="H78" t="inlineStr">
        <is>
          <t>none</t>
        </is>
      </c>
      <c r="I78" t="inlineStr">
        <is>
          <t>linkedin</t>
        </is>
      </c>
      <c r="J78" t="n">
        <v>39.3</v>
      </c>
      <c r="K78" t="inlineStr">
        <is>
          <t>Tuesday estimate 17 to 342 (low confidence), 501 to 1,000 staff company-wide, hybrid 3 days with Tuesday named as an office day, occupancy-unconfirmed at a low-confidence address; contacts not researched yet (below the top 50).</t>
        </is>
      </c>
      <c r="L78" t="inlineStr">
        <is>
          <t>76-150</t>
        </is>
      </c>
      <c r="M78" t="inlineStr"/>
      <c r="N78" t="inlineStr"/>
      <c r="O78" t="inlineStr"/>
      <c r="P78" t="inlineStr"/>
      <c r="Q78" t="inlineStr"/>
      <c r="R78" t="inlineStr">
        <is>
          <t>N</t>
        </is>
      </c>
      <c r="S78" t="inlineStr">
        <is>
          <t>unknown</t>
        </is>
      </c>
      <c r="T78" t="inlineStr">
        <is>
          <t>N</t>
        </is>
      </c>
      <c r="U78" t="inlineStr">
        <is>
          <t>new</t>
        </is>
      </c>
      <c r="V78" t="inlineStr">
        <is>
          <t>https://www.builtinnyc.com/company/persona/offices</t>
        </is>
      </c>
      <c r="W78" t="inlineStr">
        <is>
          <t>2026-10-23</t>
        </is>
      </c>
      <c r="X78" t="inlineStr">
        <is>
          <t>office</t>
        </is>
      </c>
      <c r="Y78" t="inlineStr"/>
      <c r="Z78" t="n">
        <v>77</v>
      </c>
      <c r="AA78" t="inlineStr">
        <is>
          <t>N</t>
        </is>
      </c>
      <c r="AB78" t="inlineStr"/>
      <c r="AC78" t="inlineStr"/>
      <c r="AD78" t="inlineStr">
        <is>
          <t>none</t>
        </is>
      </c>
      <c r="AE78" t="inlineStr"/>
      <c r="AF78" t="inlineStr"/>
      <c r="AG78" t="inlineStr"/>
      <c r="AH78" t="inlineStr">
        <is>
          <t>none</t>
        </is>
      </c>
      <c r="AI78" t="inlineStr">
        <is>
          <t>41 West 25th Street</t>
        </is>
      </c>
      <c r="AJ78" t="n">
        <v>2</v>
      </c>
      <c r="AK78" t="inlineStr">
        <is>
          <t>occupancy-unconfirmed</t>
        </is>
      </c>
      <c r="AL78" t="n">
        <v>17</v>
      </c>
      <c r="AM78" t="n">
        <v>342</v>
      </c>
      <c r="AN78" t="inlineStr">
        <is>
          <t>low</t>
        </is>
      </c>
      <c r="AO78" t="inlineStr">
        <is>
          <t>hybrid-3</t>
        </is>
      </c>
      <c r="AP78" t="inlineStr">
        <is>
          <t>AO-C-249</t>
        </is>
      </c>
      <c r="AQ78" t="inlineStr">
        <is>
          <t>N</t>
        </is>
      </c>
      <c r="AR78" t="inlineStr"/>
      <c r="AS78" t="inlineStr"/>
      <c r="AT78" t="inlineStr">
        <is>
          <t>N</t>
        </is>
      </c>
      <c r="AU78" t="inlineStr">
        <is>
          <t>no contact named on an opened page</t>
        </is>
      </c>
      <c r="AV78" t="inlineStr"/>
      <c r="AW78" t="inlineStr">
        <is>
          <t>N</t>
        </is>
      </c>
      <c r="AX78" t="inlineStr">
        <is>
          <t>pass</t>
        </is>
      </c>
      <c r="AY78" t="inlineStr">
        <is>
          <t>passes all hard gates</t>
        </is>
      </c>
      <c r="AZ78" t="inlineStr">
        <is>
          <t>company</t>
        </is>
      </c>
      <c r="BA78" t="inlineStr">
        <is>
          <t>B-C-249</t>
        </is>
      </c>
      <c r="BB78" t="inlineStr">
        <is>
          <t>https://withpersona.com/</t>
        </is>
      </c>
      <c r="BC78" t="inlineStr">
        <is>
          <t>Software (identity verification)</t>
        </is>
      </c>
      <c r="BD78" t="n">
        <v>600</v>
      </c>
      <c r="BE78" t="inlineStr"/>
      <c r="BF78" t="inlineStr">
        <is>
          <t>over-500</t>
        </is>
      </c>
      <c r="BG78" t="inlineStr">
        <is>
          <t>whole-company</t>
        </is>
      </c>
      <c r="BH78" t="inlineStr">
        <is>
          <t>single-source</t>
        </is>
      </c>
      <c r="BI78" t="inlineStr">
        <is>
          <t>https://www.builtinnyc.com/company/persona/offices</t>
        </is>
      </c>
      <c r="BJ78" t="inlineStr"/>
      <c r="BK78" t="inlineStr">
        <is>
          <t>501-1000</t>
        </is>
      </c>
      <c r="BL78" t="inlineStr">
        <is>
          <t>San Francisco</t>
        </is>
      </c>
      <c r="BM78" t="inlineStr">
        <is>
          <t>N</t>
        </is>
      </c>
      <c r="BN78" t="inlineStr">
        <is>
          <t>unknown</t>
        </is>
      </c>
      <c r="BO78" t="inlineStr">
        <is>
          <t>unknown</t>
        </is>
      </c>
      <c r="BP78" t="n">
        <v>10010</v>
      </c>
      <c r="BQ78" t="n">
        <v>40.743977</v>
      </c>
      <c r="BR78" t="n">
        <v>-73.99079</v>
      </c>
      <c r="BS78" t="inlineStr">
        <is>
          <t>Y</t>
        </is>
      </c>
      <c r="BT78" t="n">
        <v>0</v>
      </c>
      <c r="BU78" t="inlineStr"/>
      <c r="BV78" t="inlineStr">
        <is>
          <t>unknown</t>
        </is>
      </c>
      <c r="BW78" t="inlineStr">
        <is>
          <t>https://www.builtinnyc.com/company/persona/offices</t>
        </is>
      </c>
      <c r="BX78" t="inlineStr">
        <is>
          <t>2026-10-24</t>
        </is>
      </c>
      <c r="BY78" t="inlineStr">
        <is>
          <t>builtin</t>
        </is>
      </c>
      <c r="BZ78" t="inlineStr"/>
      <c r="CA78" t="inlineStr"/>
      <c r="CB78" t="inlineStr"/>
      <c r="CC78" t="inlineStr">
        <is>
          <t>low</t>
        </is>
      </c>
      <c r="CD78" t="inlineStr"/>
      <c r="CE78" t="inlineStr">
        <is>
          <t>N</t>
        </is>
      </c>
      <c r="CF78" t="inlineStr"/>
      <c r="CG78" t="inlineStr"/>
      <c r="CH78" t="inlineStr">
        <is>
          <t>unknown</t>
        </is>
      </c>
      <c r="CI78" t="inlineStr"/>
      <c r="CJ78" t="inlineStr">
        <is>
          <t>unknown</t>
        </is>
      </c>
      <c r="CK78" t="inlineStr">
        <is>
          <t>Y</t>
        </is>
      </c>
      <c r="CL78" t="inlineStr">
        <is>
          <t>Built In workplace type: Hybrid Workplace; typical time on-site: 3 days a week; recent job tags: 1 Hybrid, 1 Remote, 1 In-Office</t>
        </is>
      </c>
      <c r="CM78" t="inlineStr">
        <is>
          <t>https://www.builtinnyc.com/company/persona/offices</t>
        </is>
      </c>
      <c r="CN78" t="inlineStr">
        <is>
          <t>2026-10-24</t>
        </is>
      </c>
      <c r="CO78" t="n">
        <v>76</v>
      </c>
      <c r="CP78" t="inlineStr">
        <is>
          <t>may be under 30;may exceed 250</t>
        </is>
      </c>
      <c r="CQ78" t="inlineStr">
        <is>
          <t>600 (Built In) staff (whole-company count) x 5% to 100% of them in the New York office (HQ outside New York; share assumed) x 57% (Partnership for NYC, all Manhattan firms; no figure for 500 to 4,999) in on a weekday = 17 to 342, central 76; low confidence; estimate until intake replaces it.</t>
        </is>
      </c>
      <c r="CR78" t="inlineStr">
        <is>
          <t>estimate until intake replaces it</t>
        </is>
      </c>
      <c r="CS78" t="n">
        <v>0.61</v>
      </c>
      <c r="CT78" t="n">
        <v>39.3</v>
      </c>
      <c r="CU78" t="n">
        <v>15.3</v>
      </c>
      <c r="CV78" t="n">
        <v>6</v>
      </c>
      <c r="CW78" t="n">
        <v>13</v>
      </c>
      <c r="CX78" t="n">
        <v>5</v>
      </c>
      <c r="CY78" t="n">
        <v>0</v>
      </c>
      <c r="CZ78" t="n">
        <v>0</v>
      </c>
      <c r="DA78" t="inlineStr"/>
      <c r="DB78" t="inlineStr"/>
      <c r="DC78" t="inlineStr"/>
      <c r="DD78" t="inlineStr"/>
      <c r="DE78" t="inlineStr"/>
      <c r="DF78" t="inlineStr">
        <is>
          <t>none</t>
        </is>
      </c>
      <c r="DG78" t="inlineStr">
        <is>
          <t>near-miss-over-500</t>
        </is>
      </c>
      <c r="DH78" t="inlineStr">
        <is>
          <t>just-over-500 (501 to 1,000)</t>
        </is>
      </c>
      <c r="DI78" t="inlineStr">
        <is>
          <t>N</t>
        </is>
      </c>
      <c r="DJ78" t="inlineStr"/>
      <c r="DK78" t="inlineStr">
        <is>
          <t>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is>
      </c>
      <c r="DL78" t="inlineStr"/>
      <c r="DM78" t="inlineStr"/>
      <c r="DN78" t="inlineStr"/>
      <c r="DO78" t="inlineStr"/>
      <c r="DP78" t="inlineStr"/>
      <c r="DQ78" t="inlineStr"/>
      <c r="DR78" t="inlineStr"/>
      <c r="DS78" t="inlineStr">
        <is>
          <t>none</t>
        </is>
      </c>
      <c r="DT78" t="inlineStr"/>
      <c r="DU78" t="inlineStr"/>
      <c r="DV78" t="inlineStr"/>
      <c r="DW78" t="inlineStr"/>
      <c r="DX78" t="inlineStr">
        <is>
          <t>N</t>
        </is>
      </c>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f>IF(ISNUMBER(MATCH(U78,{"queued","contacted","replied","call_booked","call_done","yes_in_principle","materials_sent"},0)),"Y","N")</f>
        <v/>
      </c>
      <c r="ES78">
        <f>IF(COUNTIFS($AP$2:$AP$1000,AP78,$ER$2:$ER$1000,"Y")+COUNTIFS($AP$2:$AP$1000,AP78,$T$2:$T$1000,"Y")&gt;0,"Y","N")</f>
        <v/>
      </c>
      <c r="ET78">
        <f>IF(AND(U78="new",T78="N",AT78="Y",AS78="",ES78="N"),"Y","N")</f>
        <v/>
      </c>
      <c r="EU78">
        <f>IF(ET78&lt;&gt;"Y","N",IF(COUNTIFS($AP$2:$AP$1000,AP78,$ET$2:$ET$1000,"Y",$J$2:$J$1000,"&gt;"&amp;J78)+COUNTIFS($AP$2:$AP$1000,AP78,$ET$2:$ET$1000,"Y",$J$2:$J$1000,J78,$EW$2:$EW$1000,"&lt;"&amp;EW78)=0,"Y","N"))</f>
        <v/>
      </c>
      <c r="EV78">
        <f>IF(Y78="","N",IF(Y78&lt;=10,"Y","N"))</f>
        <v/>
      </c>
      <c r="EW78">
        <f>ROW()-1</f>
        <v/>
      </c>
    </row>
    <row r="79">
      <c r="A79" t="inlineStr">
        <is>
          <t>AO-C-099</t>
        </is>
      </c>
      <c r="B79" t="inlineStr">
        <is>
          <t>Chalk</t>
        </is>
      </c>
      <c r="C79" t="inlineStr"/>
      <c r="D79" t="inlineStr"/>
      <c r="E79" t="inlineStr"/>
      <c r="F79" t="inlineStr"/>
      <c r="G79" t="inlineStr"/>
      <c r="H79" t="inlineStr">
        <is>
          <t>none</t>
        </is>
      </c>
      <c r="I79" t="inlineStr">
        <is>
          <t>linkedin</t>
        </is>
      </c>
      <c r="J79" t="n">
        <v>39.2</v>
      </c>
      <c r="K79" t="inlineStr">
        <is>
          <t>Tuesday estimate 1 to 84 (low confidence), under 500 staff company-wide, on-site 5 days a week per its profile, signed-not-occupied at a medium-confidence address (hold: lease signed, move not confirmed); contacts not researched yet (below the top 50).</t>
        </is>
      </c>
      <c r="L79" t="inlineStr">
        <is>
          <t>under-40</t>
        </is>
      </c>
      <c r="M79" t="inlineStr"/>
      <c r="N79" t="inlineStr"/>
      <c r="O79" t="inlineStr">
        <is>
          <t>New or renewed lease at 43 West 23rd Street reported 2026-07</t>
        </is>
      </c>
      <c r="P79" t="inlineStr">
        <is>
          <t>https://commercialobserver.com/2026/07/chalk-ai-lease-flatiron-43-west-23rd-street/</t>
        </is>
      </c>
      <c r="Q79" t="inlineStr">
        <is>
          <t>2026-07</t>
        </is>
      </c>
      <c r="R79" t="inlineStr">
        <is>
          <t>N</t>
        </is>
      </c>
      <c r="S79" t="inlineStr">
        <is>
          <t>unknown</t>
        </is>
      </c>
      <c r="T79" t="inlineStr">
        <is>
          <t>N</t>
        </is>
      </c>
      <c r="U79" t="inlineStr">
        <is>
          <t>new</t>
        </is>
      </c>
      <c r="V79" t="inlineStr">
        <is>
          <t>https://commercialobserver.com/2026/07/chalk-ai-lease-flatiron-43-west-23rd-street/</t>
        </is>
      </c>
      <c r="W79" t="inlineStr">
        <is>
          <t>2026-10-23</t>
        </is>
      </c>
      <c r="X79" t="inlineStr">
        <is>
          <t>office</t>
        </is>
      </c>
      <c r="Y79" t="inlineStr"/>
      <c r="Z79" t="n">
        <v>78</v>
      </c>
      <c r="AA79" t="inlineStr">
        <is>
          <t>N</t>
        </is>
      </c>
      <c r="AB79" t="inlineStr">
        <is>
          <t>Tuesday estimate band under-40: founder's call (set founder_ok_to_queue = Y to queue)</t>
        </is>
      </c>
      <c r="AC79" t="inlineStr"/>
      <c r="AD79" t="inlineStr">
        <is>
          <t>none</t>
        </is>
      </c>
      <c r="AE79" t="inlineStr"/>
      <c r="AF79" t="inlineStr"/>
      <c r="AG79" t="inlineStr"/>
      <c r="AH79" t="inlineStr">
        <is>
          <t>none</t>
        </is>
      </c>
      <c r="AI79" t="inlineStr">
        <is>
          <t>43 West 23rd Street</t>
        </is>
      </c>
      <c r="AJ79" t="inlineStr">
        <is>
          <t>unknown</t>
        </is>
      </c>
      <c r="AK79" t="inlineStr">
        <is>
          <t>signed-not-occupied</t>
        </is>
      </c>
      <c r="AL79" t="n">
        <v>1</v>
      </c>
      <c r="AM79" t="n">
        <v>84</v>
      </c>
      <c r="AN79" t="inlineStr">
        <is>
          <t>low</t>
        </is>
      </c>
      <c r="AO79" t="inlineStr">
        <is>
          <t>in-office-5</t>
        </is>
      </c>
      <c r="AP79" t="inlineStr">
        <is>
          <t>AO-C-099</t>
        </is>
      </c>
      <c r="AQ79" t="inlineStr">
        <is>
          <t>Y</t>
        </is>
      </c>
      <c r="AR79" t="inlineStr">
        <is>
          <t>lease signed, move not confirmed: check the lobby directory before outreach (B)</t>
        </is>
      </c>
      <c r="AS79" t="inlineStr"/>
      <c r="AT79" t="inlineStr">
        <is>
          <t>N</t>
        </is>
      </c>
      <c r="AU79" t="inlineStr">
        <is>
          <t>on hold: lease signed, move not confirmed: check the lobby directory before outreach (B); no contact named on an opened page; Tuesday estimate band under-40: founder's call</t>
        </is>
      </c>
      <c r="AV79" t="inlineStr"/>
      <c r="AW79" t="inlineStr">
        <is>
          <t>Y</t>
        </is>
      </c>
      <c r="AX79" t="inlineStr">
        <is>
          <t>pass</t>
        </is>
      </c>
      <c r="AY79" t="inlineStr">
        <is>
          <t>passes all hard gates</t>
        </is>
      </c>
      <c r="AZ79" t="inlineStr">
        <is>
          <t>company</t>
        </is>
      </c>
      <c r="BA79" t="inlineStr">
        <is>
          <t>B-C-099</t>
        </is>
      </c>
      <c r="BB79" t="inlineStr">
        <is>
          <t>https://chalk.ai/</t>
        </is>
      </c>
      <c r="BC79" t="inlineStr">
        <is>
          <t>Software (data platform for AI)</t>
        </is>
      </c>
      <c r="BD79" t="n">
        <v>40</v>
      </c>
      <c r="BE79" t="n">
        <v>126</v>
      </c>
      <c r="BF79" t="inlineStr">
        <is>
          <t>unknown</t>
        </is>
      </c>
      <c r="BG79" t="inlineStr">
        <is>
          <t>unknown</t>
        </is>
      </c>
      <c r="BH79" t="inlineStr">
        <is>
          <t>disagree</t>
        </is>
      </c>
      <c r="BI79" t="inlineStr">
        <is>
          <t>https://www.builtinnyc.com/company/chalk/offices</t>
        </is>
      </c>
      <c r="BJ79" t="inlineStr">
        <is>
          <t>https://www.reveliolabs.com/companies/chalk-ai/employees</t>
        </is>
      </c>
      <c r="BK79" t="inlineStr">
        <is>
          <t>le500</t>
        </is>
      </c>
      <c r="BL79" t="inlineStr">
        <is>
          <t>San Francisco</t>
        </is>
      </c>
      <c r="BM79" t="inlineStr">
        <is>
          <t>N</t>
        </is>
      </c>
      <c r="BN79" t="inlineStr">
        <is>
          <t>unknown</t>
        </is>
      </c>
      <c r="BO79" t="inlineStr">
        <is>
          <t>unknown</t>
        </is>
      </c>
      <c r="BP79" t="n">
        <v>10010</v>
      </c>
      <c r="BQ79" t="n">
        <v>40.742498</v>
      </c>
      <c r="BR79" t="n">
        <v>-73.99118799999999</v>
      </c>
      <c r="BS79" t="inlineStr">
        <is>
          <t>Y</t>
        </is>
      </c>
      <c r="BT79" t="n">
        <v>0</v>
      </c>
      <c r="BU79" t="inlineStr">
        <is>
          <t>B-B-049</t>
        </is>
      </c>
      <c r="BV79" t="inlineStr">
        <is>
          <t>43 West 23rd Street (Castro Properties)</t>
        </is>
      </c>
      <c r="BW79" t="inlineStr">
        <is>
          <t>https://commercialobserver.com/2026/07/chalk-ai-lease-flatiron-43-west-23rd-street/</t>
        </is>
      </c>
      <c r="BX79" t="inlineStr">
        <is>
          <t>2026-07</t>
        </is>
      </c>
      <c r="BY79" t="inlineStr">
        <is>
          <t>leasing-press</t>
        </is>
      </c>
      <c r="BZ79" t="inlineStr"/>
      <c r="CA79" t="inlineStr"/>
      <c r="CB79" t="inlineStr"/>
      <c r="CC79" t="inlineStr">
        <is>
          <t>medium</t>
        </is>
      </c>
      <c r="CD79" t="inlineStr">
        <is>
          <t>unknown</t>
        </is>
      </c>
      <c r="CE79" t="inlineStr">
        <is>
          <t>N</t>
        </is>
      </c>
      <c r="CF79" t="inlineStr"/>
      <c r="CG79" t="inlineStr"/>
      <c r="CH79" t="inlineStr">
        <is>
          <t>unknown</t>
        </is>
      </c>
      <c r="CI79" t="inlineStr"/>
      <c r="CJ79" t="inlineStr">
        <is>
          <t>unknown</t>
        </is>
      </c>
      <c r="CK79" t="inlineStr">
        <is>
          <t>N</t>
        </is>
      </c>
      <c r="CL79" t="inlineStr">
        <is>
          <t>Built In workplace type: OnSite Workplace; typical time on-site: 5 days a week</t>
        </is>
      </c>
      <c r="CM79" t="inlineStr">
        <is>
          <t>https://www.builtinnyc.com/company/chalk/offices</t>
        </is>
      </c>
      <c r="CN79" t="inlineStr">
        <is>
          <t>2026-10-24</t>
        </is>
      </c>
      <c r="CO79" t="n">
        <v>9</v>
      </c>
      <c r="CP79" t="inlineStr">
        <is>
          <t>may be under 30;central estimate under 30</t>
        </is>
      </c>
      <c r="CQ79" t="inlineStr">
        <is>
          <t>40 (Built In) and 126 (Revelio Labs) staff (whole-company count) x 5% to 100% of them in the New York office (HQ outside New York; share assumed) x 67% (Partnership for NYC, firms under 500) in on a weekday = 1 to 84, central 9; low confidence; estimate until intake replaces it.</t>
        </is>
      </c>
      <c r="CR79" t="inlineStr">
        <is>
          <t>estimate until intake replaces it</t>
        </is>
      </c>
      <c r="CS79" t="n">
        <v>0.17</v>
      </c>
      <c r="CT79" t="n">
        <v>39.2</v>
      </c>
      <c r="CU79" t="n">
        <v>4.2</v>
      </c>
      <c r="CV79" t="n">
        <v>15</v>
      </c>
      <c r="CW79" t="n">
        <v>15</v>
      </c>
      <c r="CX79" t="n">
        <v>5</v>
      </c>
      <c r="CY79" t="n">
        <v>0</v>
      </c>
      <c r="CZ79" t="n">
        <v>0</v>
      </c>
      <c r="DA79" t="inlineStr"/>
      <c r="DB79" t="inlineStr"/>
      <c r="DC79" t="inlineStr"/>
      <c r="DD79" t="inlineStr"/>
      <c r="DE79" t="inlineStr"/>
      <c r="DF79" t="inlineStr">
        <is>
          <t>none</t>
        </is>
      </c>
      <c r="DG79" t="inlineStr">
        <is>
          <t>candidate</t>
        </is>
      </c>
      <c r="DH79" t="inlineStr"/>
      <c r="DI79" t="inlineStr"/>
      <c r="DJ79" t="inlineStr">
        <is>
          <t>26,607 sf</t>
        </is>
      </c>
      <c r="DK79" t="inlineStr">
        <is>
          <t>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is>
      </c>
      <c r="DL79" t="inlineStr"/>
      <c r="DM79" t="inlineStr"/>
      <c r="DN79" t="inlineStr"/>
      <c r="DO79" t="inlineStr"/>
      <c r="DP79" t="inlineStr"/>
      <c r="DQ79" t="inlineStr"/>
      <c r="DR79" t="inlineStr"/>
      <c r="DS79" t="inlineStr">
        <is>
          <t>none</t>
        </is>
      </c>
      <c r="DT79" t="inlineStr"/>
      <c r="DU79" t="inlineStr"/>
      <c r="DV79" t="inlineStr"/>
      <c r="DW79" t="inlineStr"/>
      <c r="DX79" t="inlineStr">
        <is>
          <t>N</t>
        </is>
      </c>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f>IF(ISNUMBER(MATCH(U79,{"queued","contacted","replied","call_booked","call_done","yes_in_principle","materials_sent"},0)),"Y","N")</f>
        <v/>
      </c>
      <c r="ES79">
        <f>IF(COUNTIFS($AP$2:$AP$1000,AP79,$ER$2:$ER$1000,"Y")+COUNTIFS($AP$2:$AP$1000,AP79,$T$2:$T$1000,"Y")&gt;0,"Y","N")</f>
        <v/>
      </c>
      <c r="ET79">
        <f>IF(AND(U79="new",T79="N",AT79="Y",AS79="",ES79="N"),"Y","N")</f>
        <v/>
      </c>
      <c r="EU79">
        <f>IF(ET79&lt;&gt;"Y","N",IF(COUNTIFS($AP$2:$AP$1000,AP79,$ET$2:$ET$1000,"Y",$J$2:$J$1000,"&gt;"&amp;J79)+COUNTIFS($AP$2:$AP$1000,AP79,$ET$2:$ET$1000,"Y",$J$2:$J$1000,J79,$EW$2:$EW$1000,"&lt;"&amp;EW79)=0,"Y","N"))</f>
        <v/>
      </c>
      <c r="EV79">
        <f>IF(Y79="","N",IF(Y79&lt;=10,"Y","N"))</f>
        <v/>
      </c>
      <c r="EW79">
        <f>ROW()-1</f>
        <v/>
      </c>
    </row>
    <row r="80">
      <c r="A80" t="inlineStr">
        <is>
          <t>AO-C-084</t>
        </is>
      </c>
      <c r="B80" t="inlineStr">
        <is>
          <t>Synthesia</t>
        </is>
      </c>
      <c r="C80" t="inlineStr"/>
      <c r="D80" t="inlineStr"/>
      <c r="E80" t="inlineStr"/>
      <c r="F80" t="inlineStr"/>
      <c r="G80" t="inlineStr"/>
      <c r="H80" t="inlineStr">
        <is>
          <t>none</t>
        </is>
      </c>
      <c r="I80" t="inlineStr">
        <is>
          <t>linkedin</t>
        </is>
      </c>
      <c r="J80" t="n">
        <v>38.7</v>
      </c>
      <c r="K80" t="inlineStr">
        <is>
          <t>Tuesday estimate 12 to 441 (low confidence), 501 to 1,000 staff company-wide, on-site 5 days a week per its profile, signed-not-occupied at a medium-confidence address (hold: lease signed, move not confirmed); contacts not researched yet (below the top 50).</t>
        </is>
      </c>
      <c r="L80" t="inlineStr">
        <is>
          <t>40-75</t>
        </is>
      </c>
      <c r="M80" t="inlineStr"/>
      <c r="N80" t="inlineStr"/>
      <c r="O80" t="inlineStr">
        <is>
          <t>New or renewed lease at 675 Avenue of the Americas reported 2026-10-08</t>
        </is>
      </c>
      <c r="P80" t="inlineStr">
        <is>
          <t>https://commercialobserver.com/2026/10/synthesia-lease-gfp-675-avenue-of-the-americas/</t>
        </is>
      </c>
      <c r="Q80" t="inlineStr">
        <is>
          <t>2026-10-08</t>
        </is>
      </c>
      <c r="R80" t="inlineStr">
        <is>
          <t>N</t>
        </is>
      </c>
      <c r="S80" t="inlineStr">
        <is>
          <t>unknown</t>
        </is>
      </c>
      <c r="T80" t="inlineStr">
        <is>
          <t>N</t>
        </is>
      </c>
      <c r="U80" t="inlineStr">
        <is>
          <t>new</t>
        </is>
      </c>
      <c r="V80" t="inlineStr">
        <is>
          <t>https://commercialobserver.com/2026/10/synthesia-lease-gfp-675-avenue-of-the-americas/</t>
        </is>
      </c>
      <c r="W80" t="inlineStr">
        <is>
          <t>2026-10-23</t>
        </is>
      </c>
      <c r="X80" t="inlineStr">
        <is>
          <t>office</t>
        </is>
      </c>
      <c r="Y80" t="inlineStr"/>
      <c r="Z80" t="n">
        <v>79</v>
      </c>
      <c r="AA80" t="inlineStr">
        <is>
          <t>N</t>
        </is>
      </c>
      <c r="AB80" t="inlineStr"/>
      <c r="AC80" t="inlineStr"/>
      <c r="AD80" t="inlineStr">
        <is>
          <t>none</t>
        </is>
      </c>
      <c r="AE80" t="inlineStr"/>
      <c r="AF80" t="inlineStr"/>
      <c r="AG80" t="inlineStr"/>
      <c r="AH80" t="inlineStr">
        <is>
          <t>none</t>
        </is>
      </c>
      <c r="AI80" t="inlineStr">
        <is>
          <t>675 Avenue of the Americas</t>
        </is>
      </c>
      <c r="AJ80" t="inlineStr">
        <is>
          <t>unknown</t>
        </is>
      </c>
      <c r="AK80" t="inlineStr">
        <is>
          <t>signed-not-occupied</t>
        </is>
      </c>
      <c r="AL80" t="n">
        <v>12</v>
      </c>
      <c r="AM80" t="n">
        <v>441</v>
      </c>
      <c r="AN80" t="inlineStr">
        <is>
          <t>low</t>
        </is>
      </c>
      <c r="AO80" t="inlineStr">
        <is>
          <t>in-office-5</t>
        </is>
      </c>
      <c r="AP80" t="inlineStr">
        <is>
          <t>AO-C-084</t>
        </is>
      </c>
      <c r="AQ80" t="inlineStr">
        <is>
          <t>Y</t>
        </is>
      </c>
      <c r="AR80" t="inlineStr">
        <is>
          <t>lease signed, move not confirmed: check the lobby directory before outreach (B)</t>
        </is>
      </c>
      <c r="AS80" t="inlineStr"/>
      <c r="AT80" t="inlineStr">
        <is>
          <t>N</t>
        </is>
      </c>
      <c r="AU80" t="inlineStr">
        <is>
          <t>on hold: lease signed, move not confirmed: check the lobby directory before outreach (B); no contact named on an opened page</t>
        </is>
      </c>
      <c r="AV80" t="inlineStr"/>
      <c r="AW80" t="inlineStr">
        <is>
          <t>N</t>
        </is>
      </c>
      <c r="AX80" t="inlineStr">
        <is>
          <t>pass</t>
        </is>
      </c>
      <c r="AY80" t="inlineStr">
        <is>
          <t>passes all hard gates</t>
        </is>
      </c>
      <c r="AZ80" t="inlineStr">
        <is>
          <t>company</t>
        </is>
      </c>
      <c r="BA80" t="inlineStr">
        <is>
          <t>B-C-084</t>
        </is>
      </c>
      <c r="BB80" t="inlineStr">
        <is>
          <t>https://www.synthesia.io</t>
        </is>
      </c>
      <c r="BC80" t="inlineStr">
        <is>
          <t>software (AI video)</t>
        </is>
      </c>
      <c r="BD80" t="n">
        <v>774</v>
      </c>
      <c r="BE80" t="n">
        <v>428</v>
      </c>
      <c r="BF80" t="inlineStr">
        <is>
          <t>over-500</t>
        </is>
      </c>
      <c r="BG80" t="inlineStr">
        <is>
          <t>whole-company</t>
        </is>
      </c>
      <c r="BH80" t="inlineStr">
        <is>
          <t>over-500-second-source</t>
        </is>
      </c>
      <c r="BI80" t="inlineStr">
        <is>
          <t>https://www.reveliolabs.com/companies/synthesia/employees</t>
        </is>
      </c>
      <c r="BJ80" t="inlineStr">
        <is>
          <t>https://www.builtinnyc.com/company/synthesia</t>
        </is>
      </c>
      <c r="BK80" t="inlineStr">
        <is>
          <t>501-1000</t>
        </is>
      </c>
      <c r="BL80" t="inlineStr">
        <is>
          <t>London</t>
        </is>
      </c>
      <c r="BM80" t="inlineStr">
        <is>
          <t>N</t>
        </is>
      </c>
      <c r="BN80" t="inlineStr">
        <is>
          <t>unknown</t>
        </is>
      </c>
      <c r="BO80" t="inlineStr">
        <is>
          <t>unknown</t>
        </is>
      </c>
      <c r="BP80" t="n">
        <v>10010</v>
      </c>
      <c r="BQ80" t="n">
        <v>40.742014</v>
      </c>
      <c r="BR80" t="n">
        <v>-73.99370500000001</v>
      </c>
      <c r="BS80" t="inlineStr">
        <is>
          <t>Y</t>
        </is>
      </c>
      <c r="BT80" t="n">
        <v>0</v>
      </c>
      <c r="BU80" t="inlineStr">
        <is>
          <t>B-B-038</t>
        </is>
      </c>
      <c r="BV80" t="inlineStr">
        <is>
          <t>Adams Dry Goods / Mattel Building (GFP Real Estate)</t>
        </is>
      </c>
      <c r="BW80" t="inlineStr">
        <is>
          <t>https://commercialobserver.com/2026/10/synthesia-lease-gfp-675-avenue-of-the-americas/</t>
        </is>
      </c>
      <c r="BX80" t="inlineStr">
        <is>
          <t>2026-10-08</t>
        </is>
      </c>
      <c r="BY80" t="inlineStr">
        <is>
          <t>leasing-press</t>
        </is>
      </c>
      <c r="BZ80" t="inlineStr"/>
      <c r="CA80" t="inlineStr"/>
      <c r="CB80" t="inlineStr"/>
      <c r="CC80" t="inlineStr">
        <is>
          <t>medium</t>
        </is>
      </c>
      <c r="CD80" t="inlineStr">
        <is>
          <t>unknown</t>
        </is>
      </c>
      <c r="CE80" t="inlineStr">
        <is>
          <t>N</t>
        </is>
      </c>
      <c r="CF80" t="inlineStr"/>
      <c r="CG80" t="inlineStr"/>
      <c r="CH80" t="inlineStr">
        <is>
          <t>unknown</t>
        </is>
      </c>
      <c r="CI80" t="inlineStr"/>
      <c r="CJ80" t="inlineStr">
        <is>
          <t>unknown</t>
        </is>
      </c>
      <c r="CK80" t="inlineStr">
        <is>
          <t>N</t>
        </is>
      </c>
      <c r="CL80" t="inlineStr">
        <is>
          <t>Built In workplace type: OnSite Workplace; typical time on-site: 5 days a week; recent job tags: 3 Hybrid</t>
        </is>
      </c>
      <c r="CM80" t="inlineStr">
        <is>
          <t>https://www.builtinnyc.com/company/synthesia/offices</t>
        </is>
      </c>
      <c r="CN80" t="inlineStr">
        <is>
          <t>2026-10-24</t>
        </is>
      </c>
      <c r="CO80" t="n">
        <v>73</v>
      </c>
      <c r="CP80" t="inlineStr">
        <is>
          <t>may be under 30;may exceed 250</t>
        </is>
      </c>
      <c r="CQ80" t="inlineStr">
        <is>
          <t>774 (Revelio Labs) and 428 (Built In) staff (whole-company count) x 5% to 100% of them in the New York office (HQ outside New York; share assumed) x 57% (Partnership for NYC, all Manhattan firms; no figure for 500 to 4,999) in on a weekday = 12 to 441, central 73; low confidence; estimate until intake replaces it.</t>
        </is>
      </c>
      <c r="CR80" t="inlineStr">
        <is>
          <t>estimate until intake replaces it</t>
        </is>
      </c>
      <c r="CS80" t="n">
        <v>0.51</v>
      </c>
      <c r="CT80" t="n">
        <v>38.7</v>
      </c>
      <c r="CU80" t="n">
        <v>12.7</v>
      </c>
      <c r="CV80" t="n">
        <v>6</v>
      </c>
      <c r="CW80" t="n">
        <v>15</v>
      </c>
      <c r="CX80" t="n">
        <v>5</v>
      </c>
      <c r="CY80" t="n">
        <v>0</v>
      </c>
      <c r="CZ80" t="n">
        <v>0</v>
      </c>
      <c r="DA80" t="inlineStr"/>
      <c r="DB80" t="inlineStr"/>
      <c r="DC80" t="inlineStr"/>
      <c r="DD80" t="inlineStr"/>
      <c r="DE80" t="inlineStr"/>
      <c r="DF80" t="inlineStr">
        <is>
          <t>none</t>
        </is>
      </c>
      <c r="DG80" t="inlineStr">
        <is>
          <t>near-miss-over-500</t>
        </is>
      </c>
      <c r="DH80" t="inlineStr">
        <is>
          <t>just-over-500 (501 to 1,000)</t>
        </is>
      </c>
      <c r="DI80" t="inlineStr">
        <is>
          <t>Y</t>
        </is>
      </c>
      <c r="DJ80" t="inlineStr">
        <is>
          <t>50,000 sf;13,600 sf;6,490 sf</t>
        </is>
      </c>
      <c r="DK80" t="inlineStr">
        <is>
          <t>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DL80" t="inlineStr"/>
      <c r="DM80" t="inlineStr"/>
      <c r="DN80" t="inlineStr"/>
      <c r="DO80" t="inlineStr"/>
      <c r="DP80" t="inlineStr"/>
      <c r="DQ80" t="inlineStr"/>
      <c r="DR80" t="inlineStr"/>
      <c r="DS80" t="inlineStr">
        <is>
          <t>none</t>
        </is>
      </c>
      <c r="DT80" t="inlineStr"/>
      <c r="DU80" t="inlineStr"/>
      <c r="DV80" t="inlineStr"/>
      <c r="DW80" t="inlineStr"/>
      <c r="DX80" t="inlineStr">
        <is>
          <t>N</t>
        </is>
      </c>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f>IF(ISNUMBER(MATCH(U80,{"queued","contacted","replied","call_booked","call_done","yes_in_principle","materials_sent"},0)),"Y","N")</f>
        <v/>
      </c>
      <c r="ES80">
        <f>IF(COUNTIFS($AP$2:$AP$1000,AP80,$ER$2:$ER$1000,"Y")+COUNTIFS($AP$2:$AP$1000,AP80,$T$2:$T$1000,"Y")&gt;0,"Y","N")</f>
        <v/>
      </c>
      <c r="ET80">
        <f>IF(AND(U80="new",T80="N",AT80="Y",AS80="",ES80="N"),"Y","N")</f>
        <v/>
      </c>
      <c r="EU80">
        <f>IF(ET80&lt;&gt;"Y","N",IF(COUNTIFS($AP$2:$AP$1000,AP80,$ET$2:$ET$1000,"Y",$J$2:$J$1000,"&gt;"&amp;J80)+COUNTIFS($AP$2:$AP$1000,AP80,$ET$2:$ET$1000,"Y",$J$2:$J$1000,J80,$EW$2:$EW$1000,"&lt;"&amp;EW80)=0,"Y","N"))</f>
        <v/>
      </c>
      <c r="EV80">
        <f>IF(Y80="","N",IF(Y80&lt;=10,"Y","N"))</f>
        <v/>
      </c>
      <c r="EW80">
        <f>ROW()-1</f>
        <v/>
      </c>
    </row>
    <row r="81">
      <c r="A81" t="inlineStr">
        <is>
          <t>AO-C-094</t>
        </is>
      </c>
      <c r="B81" t="inlineStr">
        <is>
          <t>BMF (We Are BMF)</t>
        </is>
      </c>
      <c r="C81" t="inlineStr"/>
      <c r="D81" t="inlineStr"/>
      <c r="E81" t="inlineStr"/>
      <c r="F81" t="inlineStr"/>
      <c r="G81" t="inlineStr"/>
      <c r="H81" t="inlineStr">
        <is>
          <t>none</t>
        </is>
      </c>
      <c r="I81" t="inlineStr">
        <is>
          <t>linkedin</t>
        </is>
      </c>
      <c r="J81" t="n">
        <v>38.6</v>
      </c>
      <c r="K81" t="inlineStr">
        <is>
          <t>Tuesday estimate 23 to 47 (low confidence), under 500 staff company-wide, hybrid 2 days or fewer, occupied at a medium-confidence address; contacts not researched yet (below the top 50).</t>
        </is>
      </c>
      <c r="L81" t="inlineStr">
        <is>
          <t>under-40</t>
        </is>
      </c>
      <c r="M81" t="inlineStr"/>
      <c r="N81" t="inlineStr"/>
      <c r="O81" t="inlineStr"/>
      <c r="P81" t="inlineStr"/>
      <c r="Q81" t="inlineStr"/>
      <c r="R81" t="inlineStr">
        <is>
          <t>N</t>
        </is>
      </c>
      <c r="S81" t="inlineStr">
        <is>
          <t>unknown</t>
        </is>
      </c>
      <c r="T81" t="inlineStr">
        <is>
          <t>N</t>
        </is>
      </c>
      <c r="U81" t="inlineStr">
        <is>
          <t>new</t>
        </is>
      </c>
      <c r="V81" t="inlineStr">
        <is>
          <t>https://commercialobserver.com/?p=544473</t>
        </is>
      </c>
      <c r="W81" t="inlineStr">
        <is>
          <t>2026-10-23</t>
        </is>
      </c>
      <c r="X81" t="inlineStr">
        <is>
          <t>office</t>
        </is>
      </c>
      <c r="Y81" t="inlineStr"/>
      <c r="Z81" t="n">
        <v>80</v>
      </c>
      <c r="AA81" t="inlineStr">
        <is>
          <t>N</t>
        </is>
      </c>
      <c r="AB81" t="inlineStr">
        <is>
          <t>Tuesday estimate band under-40: founder's call (set founder_ok_to_queue = Y to queue)</t>
        </is>
      </c>
      <c r="AC81" t="inlineStr"/>
      <c r="AD81" t="inlineStr">
        <is>
          <t>none</t>
        </is>
      </c>
      <c r="AE81" t="inlineStr"/>
      <c r="AF81" t="inlineStr"/>
      <c r="AG81" t="inlineStr"/>
      <c r="AH81" t="inlineStr">
        <is>
          <t>none</t>
        </is>
      </c>
      <c r="AI81" t="inlineStr">
        <is>
          <t>50 West 23rd Street</t>
        </is>
      </c>
      <c r="AJ81" t="inlineStr">
        <is>
          <t>unknown</t>
        </is>
      </c>
      <c r="AK81" t="inlineStr">
        <is>
          <t>occupied</t>
        </is>
      </c>
      <c r="AL81" t="n">
        <v>23</v>
      </c>
      <c r="AM81" t="n">
        <v>47</v>
      </c>
      <c r="AN81" t="inlineStr">
        <is>
          <t>low</t>
        </is>
      </c>
      <c r="AO81" t="inlineStr">
        <is>
          <t>hybrid-2-or-less</t>
        </is>
      </c>
      <c r="AP81" t="inlineStr">
        <is>
          <t>AO-C-094</t>
        </is>
      </c>
      <c r="AQ81" t="inlineStr">
        <is>
          <t>N</t>
        </is>
      </c>
      <c r="AR81" t="inlineStr"/>
      <c r="AS81" t="inlineStr"/>
      <c r="AT81" t="inlineStr">
        <is>
          <t>N</t>
        </is>
      </c>
      <c r="AU81" t="inlineStr">
        <is>
          <t>no contact named on an opened page; Tuesday estimate band under-40: founder's call</t>
        </is>
      </c>
      <c r="AV81" t="inlineStr"/>
      <c r="AW81" t="inlineStr">
        <is>
          <t>Y</t>
        </is>
      </c>
      <c r="AX81" t="inlineStr">
        <is>
          <t>pass</t>
        </is>
      </c>
      <c r="AY81" t="inlineStr">
        <is>
          <t>passes all hard gates</t>
        </is>
      </c>
      <c r="AZ81" t="inlineStr">
        <is>
          <t>company</t>
        </is>
      </c>
      <c r="BA81" t="inlineStr">
        <is>
          <t>B-C-094</t>
        </is>
      </c>
      <c r="BB81" t="inlineStr">
        <is>
          <t>https://wearebmf.com/</t>
        </is>
      </c>
      <c r="BC81" t="inlineStr">
        <is>
          <t>Marketing / experiential agency</t>
        </is>
      </c>
      <c r="BD81" t="n">
        <v>70</v>
      </c>
      <c r="BE81" t="inlineStr"/>
      <c r="BF81" t="inlineStr">
        <is>
          <t>40-75</t>
        </is>
      </c>
      <c r="BG81" t="inlineStr">
        <is>
          <t>whole-company</t>
        </is>
      </c>
      <c r="BH81" t="inlineStr">
        <is>
          <t>single-source</t>
        </is>
      </c>
      <c r="BI81" t="inlineStr">
        <is>
          <t>https://www.builtinnyc.com/company/bmf/offices</t>
        </is>
      </c>
      <c r="BJ81" t="inlineStr"/>
      <c r="BK81" t="inlineStr">
        <is>
          <t>le500</t>
        </is>
      </c>
      <c r="BL81" t="inlineStr">
        <is>
          <t>New York</t>
        </is>
      </c>
      <c r="BM81" t="inlineStr">
        <is>
          <t>Y</t>
        </is>
      </c>
      <c r="BN81" t="inlineStr">
        <is>
          <t>unknown</t>
        </is>
      </c>
      <c r="BO81" t="inlineStr">
        <is>
          <t>unknown</t>
        </is>
      </c>
      <c r="BP81" t="n">
        <v>10010</v>
      </c>
      <c r="BQ81" t="n">
        <v>40.742199</v>
      </c>
      <c r="BR81" t="n">
        <v>-73.99172</v>
      </c>
      <c r="BS81" t="inlineStr">
        <is>
          <t>Y</t>
        </is>
      </c>
      <c r="BT81" t="n">
        <v>0</v>
      </c>
      <c r="BU81" t="inlineStr">
        <is>
          <t>B-B-046</t>
        </is>
      </c>
      <c r="BV81" t="inlineStr">
        <is>
          <t>50 West 23rd Street (Two Trees Management)</t>
        </is>
      </c>
      <c r="BW81" t="inlineStr">
        <is>
          <t>https://commercialobserver.com/?p=544473</t>
        </is>
      </c>
      <c r="BX81" t="inlineStr">
        <is>
          <t>2025-09-09</t>
        </is>
      </c>
      <c r="BY81" t="inlineStr">
        <is>
          <t>leasing-press</t>
        </is>
      </c>
      <c r="BZ81" t="inlineStr">
        <is>
          <t>https://nyrej.com/index.php/two-new-leases-signed-at-50-west-23rd-st</t>
        </is>
      </c>
      <c r="CA81" t="inlineStr">
        <is>
          <t>2025-10-14</t>
        </is>
      </c>
      <c r="CB81" t="inlineStr"/>
      <c r="CC81" t="inlineStr">
        <is>
          <t>medium</t>
        </is>
      </c>
      <c r="CD81" t="inlineStr"/>
      <c r="CE81" t="inlineStr">
        <is>
          <t>N</t>
        </is>
      </c>
      <c r="CF81" t="inlineStr"/>
      <c r="CG81" t="inlineStr"/>
      <c r="CH81" t="inlineStr">
        <is>
          <t>security desk</t>
        </is>
      </c>
      <c r="CI81" t="inlineStr">
        <is>
          <t>https://nyrej.com/index.php/two-new-leases-signed-at-50-west-23rd-st</t>
        </is>
      </c>
      <c r="CJ81" t="inlineStr">
        <is>
          <t>unknown</t>
        </is>
      </c>
      <c r="CK81" t="inlineStr">
        <is>
          <t>N</t>
        </is>
      </c>
      <c r="CL81" t="inlineStr">
        <is>
          <t>Built In workplace type: Hybrid Workplace; typical time on-site: 2 days a week</t>
        </is>
      </c>
      <c r="CM81" t="inlineStr">
        <is>
          <t>https://www.builtinnyc.com/company/bmf/offices</t>
        </is>
      </c>
      <c r="CN81" t="inlineStr">
        <is>
          <t>2026-10-24</t>
        </is>
      </c>
      <c r="CO81" t="n">
        <v>33</v>
      </c>
      <c r="CP81" t="inlineStr">
        <is>
          <t>may be under 30;30 to 39 is the founder's call</t>
        </is>
      </c>
      <c r="CQ81" t="inlineStr">
        <is>
          <t>70 (Built In) staff (whole-company count) x 50% to 100% of them in the New York office (HQ New York; share assumed) x 67% (Partnership for NYC, firms under 500) in on a weekday = 23 to 47, central 33; low confidence; estimate until intake replaces it.</t>
        </is>
      </c>
      <c r="CR81" t="inlineStr">
        <is>
          <t>estimate until intake replaces it</t>
        </is>
      </c>
      <c r="CS81" t="n">
        <v>0.23</v>
      </c>
      <c r="CT81" t="n">
        <v>38.6</v>
      </c>
      <c r="CU81" t="n">
        <v>5.6</v>
      </c>
      <c r="CV81" t="n">
        <v>15</v>
      </c>
      <c r="CW81" t="n">
        <v>5</v>
      </c>
      <c r="CX81" t="n">
        <v>13</v>
      </c>
      <c r="CY81" t="n">
        <v>0</v>
      </c>
      <c r="CZ81" t="n">
        <v>0</v>
      </c>
      <c r="DA81" t="inlineStr"/>
      <c r="DB81" t="inlineStr"/>
      <c r="DC81" t="inlineStr"/>
      <c r="DD81" t="inlineStr"/>
      <c r="DE81" t="inlineStr"/>
      <c r="DF81" t="inlineStr">
        <is>
          <t>none</t>
        </is>
      </c>
      <c r="DG81" t="inlineStr">
        <is>
          <t>candidate</t>
        </is>
      </c>
      <c r="DH81" t="inlineStr"/>
      <c r="DI81" t="inlineStr"/>
      <c r="DJ81" t="inlineStr"/>
      <c r="DK81" t="inlineStr">
        <is>
          <t>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L81" t="inlineStr"/>
      <c r="DM81" t="inlineStr"/>
      <c r="DN81" t="inlineStr"/>
      <c r="DO81" t="inlineStr"/>
      <c r="DP81" t="inlineStr"/>
      <c r="DQ81" t="inlineStr"/>
      <c r="DR81" t="inlineStr"/>
      <c r="DS81" t="inlineStr">
        <is>
          <t>none</t>
        </is>
      </c>
      <c r="DT81" t="inlineStr"/>
      <c r="DU81" t="inlineStr"/>
      <c r="DV81" t="inlineStr"/>
      <c r="DW81" t="inlineStr"/>
      <c r="DX81" t="inlineStr">
        <is>
          <t>N</t>
        </is>
      </c>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f>IF(ISNUMBER(MATCH(U81,{"queued","contacted","replied","call_booked","call_done","yes_in_principle","materials_sent"},0)),"Y","N")</f>
        <v/>
      </c>
      <c r="ES81">
        <f>IF(COUNTIFS($AP$2:$AP$1000,AP81,$ER$2:$ER$1000,"Y")+COUNTIFS($AP$2:$AP$1000,AP81,$T$2:$T$1000,"Y")&gt;0,"Y","N")</f>
        <v/>
      </c>
      <c r="ET81">
        <f>IF(AND(U81="new",T81="N",AT81="Y",AS81="",ES81="N"),"Y","N")</f>
        <v/>
      </c>
      <c r="EU81">
        <f>IF(ET81&lt;&gt;"Y","N",IF(COUNTIFS($AP$2:$AP$1000,AP81,$ET$2:$ET$1000,"Y",$J$2:$J$1000,"&gt;"&amp;J81)+COUNTIFS($AP$2:$AP$1000,AP81,$ET$2:$ET$1000,"Y",$J$2:$J$1000,J81,$EW$2:$EW$1000,"&lt;"&amp;EW81)=0,"Y","N"))</f>
        <v/>
      </c>
      <c r="EV81">
        <f>IF(Y81="","N",IF(Y81&lt;=10,"Y","N"))</f>
        <v/>
      </c>
      <c r="EW81">
        <f>ROW()-1</f>
        <v/>
      </c>
    </row>
    <row r="82">
      <c r="A82" t="inlineStr">
        <is>
          <t>AO-C-225</t>
        </is>
      </c>
      <c r="B82" t="inlineStr">
        <is>
          <t>Ramp</t>
        </is>
      </c>
      <c r="C82" t="inlineStr"/>
      <c r="D82" t="inlineStr"/>
      <c r="E82" t="inlineStr"/>
      <c r="F82" t="inlineStr"/>
      <c r="G82" t="inlineStr"/>
      <c r="H82" t="inlineStr">
        <is>
          <t>none</t>
        </is>
      </c>
      <c r="I82" t="inlineStr">
        <is>
          <t>linkedin</t>
        </is>
      </c>
      <c r="J82" t="n">
        <v>38.3</v>
      </c>
      <c r="K82" t="inlineStr">
        <is>
          <t>Tuesday estimate 34 to 684 (low confidence), 1,001 to 4,999 staff company-wide, no attendance signal, occupied at a high-confidence address; contacts not researched yet (below the top 50).</t>
        </is>
      </c>
      <c r="L82" t="inlineStr">
        <is>
          <t>151-250</t>
        </is>
      </c>
      <c r="M82" t="inlineStr"/>
      <c r="N82" t="inlineStr"/>
      <c r="O82" t="inlineStr"/>
      <c r="P82" t="inlineStr"/>
      <c r="Q82" t="inlineStr"/>
      <c r="R82" t="inlineStr">
        <is>
          <t>N</t>
        </is>
      </c>
      <c r="S82" t="inlineStr">
        <is>
          <t>unknown</t>
        </is>
      </c>
      <c r="T82" t="inlineStr">
        <is>
          <t>N</t>
        </is>
      </c>
      <c r="U82" t="inlineStr">
        <is>
          <t>new</t>
        </is>
      </c>
      <c r="V82" t="inlineStr">
        <is>
          <t>https://commercialobserver.com/2026/04/manhattan-office-leasing-2026-class-a/</t>
        </is>
      </c>
      <c r="W82" t="inlineStr">
        <is>
          <t>2026-10-23</t>
        </is>
      </c>
      <c r="X82" t="inlineStr">
        <is>
          <t>office</t>
        </is>
      </c>
      <c r="Y82" t="inlineStr"/>
      <c r="Z82" t="n">
        <v>81</v>
      </c>
      <c r="AA82" t="inlineStr">
        <is>
          <t>N</t>
        </is>
      </c>
      <c r="AB82" t="inlineStr"/>
      <c r="AC82" t="inlineStr"/>
      <c r="AD82" t="inlineStr">
        <is>
          <t>none</t>
        </is>
      </c>
      <c r="AE82" t="inlineStr"/>
      <c r="AF82" t="inlineStr"/>
      <c r="AG82" t="inlineStr"/>
      <c r="AH82" t="inlineStr">
        <is>
          <t>none</t>
        </is>
      </c>
      <c r="AI82" t="inlineStr">
        <is>
          <t>28 West 23rd Street</t>
        </is>
      </c>
      <c r="AJ82" t="inlineStr">
        <is>
          <t>multiple (285,300 sf)</t>
        </is>
      </c>
      <c r="AK82" t="inlineStr">
        <is>
          <t>occupied</t>
        </is>
      </c>
      <c r="AL82" t="n">
        <v>34</v>
      </c>
      <c r="AM82" t="n">
        <v>684</v>
      </c>
      <c r="AN82" t="inlineStr">
        <is>
          <t>low</t>
        </is>
      </c>
      <c r="AO82" t="inlineStr">
        <is>
          <t>unknown</t>
        </is>
      </c>
      <c r="AP82" t="inlineStr">
        <is>
          <t>AO-C-225</t>
        </is>
      </c>
      <c r="AQ82" t="inlineStr">
        <is>
          <t>N</t>
        </is>
      </c>
      <c r="AR82" t="inlineStr"/>
      <c r="AS82" t="inlineStr"/>
      <c r="AT82" t="inlineStr">
        <is>
          <t>N</t>
        </is>
      </c>
      <c r="AU82" t="inlineStr">
        <is>
          <t>no contact named on an opened page</t>
        </is>
      </c>
      <c r="AV82" t="inlineStr"/>
      <c r="AW82" t="inlineStr">
        <is>
          <t>N</t>
        </is>
      </c>
      <c r="AX82" t="inlineStr">
        <is>
          <t>pass</t>
        </is>
      </c>
      <c r="AY82" t="inlineStr">
        <is>
          <t>passes all hard gates</t>
        </is>
      </c>
      <c r="AZ82" t="inlineStr">
        <is>
          <t>company</t>
        </is>
      </c>
      <c r="BA82" t="inlineStr">
        <is>
          <t>B-C-225</t>
        </is>
      </c>
      <c r="BB82" t="inlineStr">
        <is>
          <t>https://ramp.com/</t>
        </is>
      </c>
      <c r="BC82" t="inlineStr">
        <is>
          <t>Fintech (corporate cards and spend)</t>
        </is>
      </c>
      <c r="BD82" t="n">
        <v>1200</v>
      </c>
      <c r="BE82" t="inlineStr"/>
      <c r="BF82" t="inlineStr">
        <is>
          <t>over-500</t>
        </is>
      </c>
      <c r="BG82" t="inlineStr">
        <is>
          <t>whole-company</t>
        </is>
      </c>
      <c r="BH82" t="inlineStr">
        <is>
          <t>single-source</t>
        </is>
      </c>
      <c r="BI82" t="inlineStr">
        <is>
          <t>https://en.wikipedia.org/wiki/Ramp_(company)</t>
        </is>
      </c>
      <c r="BJ82" t="inlineStr"/>
      <c r="BK82" t="inlineStr">
        <is>
          <t>1001-4999</t>
        </is>
      </c>
      <c r="BL82" t="inlineStr">
        <is>
          <t>unknown</t>
        </is>
      </c>
      <c r="BM82" t="inlineStr">
        <is>
          <t>unknown</t>
        </is>
      </c>
      <c r="BN82" t="inlineStr">
        <is>
          <t>unknown</t>
        </is>
      </c>
      <c r="BO82" t="inlineStr">
        <is>
          <t>unknown</t>
        </is>
      </c>
      <c r="BP82" t="n">
        <v>10010</v>
      </c>
      <c r="BQ82" t="n">
        <v>40.741817</v>
      </c>
      <c r="BR82" t="n">
        <v>-73.990988</v>
      </c>
      <c r="BS82" t="inlineStr">
        <is>
          <t>Y</t>
        </is>
      </c>
      <c r="BT82" t="n">
        <v>0</v>
      </c>
      <c r="BU82" t="inlineStr"/>
      <c r="BV82" t="inlineStr">
        <is>
          <t>unknown</t>
        </is>
      </c>
      <c r="BW82" t="inlineStr">
        <is>
          <t>https://commercialobserver.com/2026/04/manhattan-office-leasing-2026-class-a/</t>
        </is>
      </c>
      <c r="BX82" t="inlineStr">
        <is>
          <t>2026-04</t>
        </is>
      </c>
      <c r="BY82" t="inlineStr">
        <is>
          <t>leasing-press</t>
        </is>
      </c>
      <c r="BZ82" t="inlineStr">
        <is>
          <t>https://www.metro-manhattan.com/neighborhoods/midtown-south/flatiron/</t>
        </is>
      </c>
      <c r="CA82" t="inlineStr">
        <is>
          <t>2026-06</t>
        </is>
      </c>
      <c r="CB82" t="inlineStr"/>
      <c r="CC82" t="inlineStr">
        <is>
          <t>high</t>
        </is>
      </c>
      <c r="CD82" t="inlineStr"/>
      <c r="CE82" t="inlineStr">
        <is>
          <t>N</t>
        </is>
      </c>
      <c r="CF82" t="inlineStr"/>
      <c r="CG82" t="inlineStr"/>
      <c r="CH82" t="inlineStr">
        <is>
          <t>security desk</t>
        </is>
      </c>
      <c r="CI82" t="inlineStr"/>
      <c r="CJ82" t="inlineStr">
        <is>
          <t>unknown</t>
        </is>
      </c>
      <c r="CK82" t="inlineStr">
        <is>
          <t>N</t>
        </is>
      </c>
      <c r="CL82" t="inlineStr">
        <is>
          <t>unknown</t>
        </is>
      </c>
      <c r="CM82" t="inlineStr"/>
      <c r="CN82" t="inlineStr"/>
      <c r="CO82" t="n">
        <v>152</v>
      </c>
      <c r="CP82" t="inlineStr">
        <is>
          <t>may exceed 250</t>
        </is>
      </c>
      <c r="CQ82" t="inlineStr">
        <is>
          <t>1200 (Wikipedia) staff (whole-company count) x 5% to 100% of them in the New York office (HQ city unknown; share assumed) x 57% (Partnership for NYC, all Manhattan firms; no figure for 500 to 4,999) in on a weekday = 34 to 684, central 152; low confidence; estimate until intake replaces it.</t>
        </is>
      </c>
      <c r="CR82" t="inlineStr">
        <is>
          <t>estimate until intake replaces it</t>
        </is>
      </c>
      <c r="CS82" t="n">
        <v>0.61</v>
      </c>
      <c r="CT82" t="n">
        <v>38.3</v>
      </c>
      <c r="CU82" t="n">
        <v>15.3</v>
      </c>
      <c r="CV82" t="n">
        <v>2</v>
      </c>
      <c r="CW82" t="n">
        <v>6</v>
      </c>
      <c r="CX82" t="n">
        <v>15</v>
      </c>
      <c r="CY82" t="n">
        <v>0</v>
      </c>
      <c r="CZ82" t="n">
        <v>0</v>
      </c>
      <c r="DA82" t="inlineStr"/>
      <c r="DB82" t="inlineStr"/>
      <c r="DC82" t="inlineStr"/>
      <c r="DD82" t="inlineStr"/>
      <c r="DE82" t="inlineStr"/>
      <c r="DF82" t="inlineStr">
        <is>
          <t>none</t>
        </is>
      </c>
      <c r="DG82" t="inlineStr">
        <is>
          <t>near-miss-over-500</t>
        </is>
      </c>
      <c r="DH82" t="inlineStr">
        <is>
          <t>over-1,000 (1,001 to 4,999)</t>
        </is>
      </c>
      <c r="DI82" t="inlineStr">
        <is>
          <t>N</t>
        </is>
      </c>
      <c r="DJ82" t="inlineStr">
        <is>
          <t>285,303 sf</t>
        </is>
      </c>
      <c r="DK82" t="inlineStr">
        <is>
          <t>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is>
      </c>
      <c r="DL82" t="inlineStr"/>
      <c r="DM82" t="inlineStr"/>
      <c r="DN82" t="inlineStr"/>
      <c r="DO82" t="inlineStr"/>
      <c r="DP82" t="inlineStr"/>
      <c r="DQ82" t="inlineStr"/>
      <c r="DR82" t="inlineStr"/>
      <c r="DS82" t="inlineStr">
        <is>
          <t>none</t>
        </is>
      </c>
      <c r="DT82" t="inlineStr"/>
      <c r="DU82" t="inlineStr"/>
      <c r="DV82" t="inlineStr"/>
      <c r="DW82" t="inlineStr"/>
      <c r="DX82" t="inlineStr">
        <is>
          <t>N</t>
        </is>
      </c>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f>IF(ISNUMBER(MATCH(U82,{"queued","contacted","replied","call_booked","call_done","yes_in_principle","materials_sent"},0)),"Y","N")</f>
        <v/>
      </c>
      <c r="ES82">
        <f>IF(COUNTIFS($AP$2:$AP$1000,AP82,$ER$2:$ER$1000,"Y")+COUNTIFS($AP$2:$AP$1000,AP82,$T$2:$T$1000,"Y")&gt;0,"Y","N")</f>
        <v/>
      </c>
      <c r="ET82">
        <f>IF(AND(U82="new",T82="N",AT82="Y",AS82="",ES82="N"),"Y","N")</f>
        <v/>
      </c>
      <c r="EU82">
        <f>IF(ET82&lt;&gt;"Y","N",IF(COUNTIFS($AP$2:$AP$1000,AP82,$ET$2:$ET$1000,"Y",$J$2:$J$1000,"&gt;"&amp;J82)+COUNTIFS($AP$2:$AP$1000,AP82,$ET$2:$ET$1000,"Y",$J$2:$J$1000,J82,$EW$2:$EW$1000,"&lt;"&amp;EW82)=0,"Y","N"))</f>
        <v/>
      </c>
      <c r="EV82">
        <f>IF(Y82="","N",IF(Y82&lt;=10,"Y","N"))</f>
        <v/>
      </c>
      <c r="EW82">
        <f>ROW()-1</f>
        <v/>
      </c>
    </row>
    <row r="83">
      <c r="A83" t="inlineStr">
        <is>
          <t>AO-C-102</t>
        </is>
      </c>
      <c r="B83" t="inlineStr">
        <is>
          <t>Harvey</t>
        </is>
      </c>
      <c r="C83" t="inlineStr"/>
      <c r="D83" t="inlineStr"/>
      <c r="E83" t="inlineStr"/>
      <c r="F83" t="inlineStr"/>
      <c r="G83" t="inlineStr"/>
      <c r="H83" t="inlineStr">
        <is>
          <t>none</t>
        </is>
      </c>
      <c r="I83" t="inlineStr">
        <is>
          <t>linkedin</t>
        </is>
      </c>
      <c r="J83" t="n">
        <v>38.3</v>
      </c>
      <c r="K83" t="inlineStr">
        <is>
          <t>Tuesday estimate 11 to 644 (low confidence), 1,001 to 4,999 staff company-wide, on-site 5 days a week per its profile, occupancy-unconfirmed at a high-confidence address; contacts not researched yet (below the top 50).</t>
        </is>
      </c>
      <c r="L83" t="inlineStr">
        <is>
          <t>76-150</t>
        </is>
      </c>
      <c r="M83" t="inlineStr"/>
      <c r="N83" t="inlineStr"/>
      <c r="O83" t="inlineStr">
        <is>
          <t>New or renewed lease at 1 Madison Avenue reported 2026-03-09</t>
        </is>
      </c>
      <c r="P83" t="inlineStr">
        <is>
          <t>https://commercialobserver.com/2026/03/harvey-ai-expansion-lease-sl-green-one-madison-avenue/</t>
        </is>
      </c>
      <c r="Q83" t="inlineStr">
        <is>
          <t>2026-03-09</t>
        </is>
      </c>
      <c r="R83" t="inlineStr">
        <is>
          <t>N</t>
        </is>
      </c>
      <c r="S83" t="inlineStr">
        <is>
          <t>unknown</t>
        </is>
      </c>
      <c r="T83" t="inlineStr">
        <is>
          <t>N</t>
        </is>
      </c>
      <c r="U83" t="inlineStr">
        <is>
          <t>new</t>
        </is>
      </c>
      <c r="V83" t="inlineStr">
        <is>
          <t>https://commercialobserver.com/2026/03/harvey-ai-expansion-lease-sl-green-one-madison-avenue/</t>
        </is>
      </c>
      <c r="W83" t="inlineStr">
        <is>
          <t>2026-10-23</t>
        </is>
      </c>
      <c r="X83" t="inlineStr">
        <is>
          <t>office</t>
        </is>
      </c>
      <c r="Y83" t="inlineStr"/>
      <c r="Z83" t="n">
        <v>82</v>
      </c>
      <c r="AA83" t="inlineStr">
        <is>
          <t>N</t>
        </is>
      </c>
      <c r="AB83" t="inlineStr"/>
      <c r="AC83" t="inlineStr"/>
      <c r="AD83" t="inlineStr">
        <is>
          <t>none</t>
        </is>
      </c>
      <c r="AE83" t="inlineStr"/>
      <c r="AF83" t="inlineStr"/>
      <c r="AG83" t="inlineStr"/>
      <c r="AH83" t="inlineStr">
        <is>
          <t>none</t>
        </is>
      </c>
      <c r="AI83" t="inlineStr">
        <is>
          <t>1 Madison Avenue</t>
        </is>
      </c>
      <c r="AJ83" t="inlineStr">
        <is>
          <t>6 plus expansion (185,326 sf total)</t>
        </is>
      </c>
      <c r="AK83" t="inlineStr">
        <is>
          <t>occupancy-unconfirmed</t>
        </is>
      </c>
      <c r="AL83" t="n">
        <v>11</v>
      </c>
      <c r="AM83" t="n">
        <v>644</v>
      </c>
      <c r="AN83" t="inlineStr">
        <is>
          <t>low</t>
        </is>
      </c>
      <c r="AO83" t="inlineStr">
        <is>
          <t>in-office-5</t>
        </is>
      </c>
      <c r="AP83" t="inlineStr">
        <is>
          <t>AO-C-102</t>
        </is>
      </c>
      <c r="AQ83" t="inlineStr">
        <is>
          <t>N</t>
        </is>
      </c>
      <c r="AR83" t="inlineStr"/>
      <c r="AS83" t="inlineStr"/>
      <c r="AT83" t="inlineStr">
        <is>
          <t>N</t>
        </is>
      </c>
      <c r="AU83" t="inlineStr">
        <is>
          <t>no contact named on an opened page</t>
        </is>
      </c>
      <c r="AV83" t="inlineStr"/>
      <c r="AW83" t="inlineStr">
        <is>
          <t>N</t>
        </is>
      </c>
      <c r="AX83" t="inlineStr">
        <is>
          <t>pass</t>
        </is>
      </c>
      <c r="AY83" t="inlineStr">
        <is>
          <t>passes all hard gates</t>
        </is>
      </c>
      <c r="AZ83" t="inlineStr">
        <is>
          <t>company</t>
        </is>
      </c>
      <c r="BA83" t="inlineStr">
        <is>
          <t>B-C-102</t>
        </is>
      </c>
      <c r="BB83" t="inlineStr">
        <is>
          <t>https://www.harvey.ai/</t>
        </is>
      </c>
      <c r="BC83" t="inlineStr">
        <is>
          <t>Legal AI software</t>
        </is>
      </c>
      <c r="BD83" t="n">
        <v>1130</v>
      </c>
      <c r="BE83" t="n">
        <v>373</v>
      </c>
      <c r="BF83" t="inlineStr">
        <is>
          <t>over-500</t>
        </is>
      </c>
      <c r="BG83" t="inlineStr">
        <is>
          <t>whole-company</t>
        </is>
      </c>
      <c r="BH83" t="inlineStr">
        <is>
          <t>over-500-second-source</t>
        </is>
      </c>
      <c r="BI83" t="inlineStr">
        <is>
          <t>https://www.reveliolabs.com/companies/harvey-ai/employees</t>
        </is>
      </c>
      <c r="BJ83" t="inlineStr">
        <is>
          <t>https://www.builtinnyc.com/company/harvey/offices</t>
        </is>
      </c>
      <c r="BK83" t="inlineStr">
        <is>
          <t>1001-4999</t>
        </is>
      </c>
      <c r="BL83" t="inlineStr">
        <is>
          <t>San Francisco</t>
        </is>
      </c>
      <c r="BM83" t="inlineStr">
        <is>
          <t>N</t>
        </is>
      </c>
      <c r="BN83" t="inlineStr">
        <is>
          <t>unknown</t>
        </is>
      </c>
      <c r="BO83" t="inlineStr">
        <is>
          <t>unknown</t>
        </is>
      </c>
      <c r="BP83" t="n">
        <v>10010</v>
      </c>
      <c r="BQ83" t="n">
        <v>40.741141</v>
      </c>
      <c r="BR83" t="n">
        <v>-73.987489</v>
      </c>
      <c r="BS83" t="inlineStr">
        <is>
          <t>Y</t>
        </is>
      </c>
      <c r="BT83" t="n">
        <v>0</v>
      </c>
      <c r="BU83" t="inlineStr"/>
      <c r="BV83" t="inlineStr">
        <is>
          <t>unknown</t>
        </is>
      </c>
      <c r="BW83" t="inlineStr">
        <is>
          <t>https://commercialobserver.com/2026/03/harvey-ai-expansion-lease-sl-green-one-madison-avenue/</t>
        </is>
      </c>
      <c r="BX83" t="inlineStr">
        <is>
          <t>2026-03-09</t>
        </is>
      </c>
      <c r="BY83" t="inlineStr">
        <is>
          <t>leasing-press</t>
        </is>
      </c>
      <c r="BZ83" t="inlineStr">
        <is>
          <t>https://flatironnomad.nyc/newsletter/april-23-2026-flatiron-nomad-economic-development-snapshot-q1-2026/</t>
        </is>
      </c>
      <c r="CA83" t="inlineStr">
        <is>
          <t>2026-04-23</t>
        </is>
      </c>
      <c r="CB83" t="inlineStr"/>
      <c r="CC83" t="inlineStr">
        <is>
          <t>high</t>
        </is>
      </c>
      <c r="CD83" t="inlineStr"/>
      <c r="CE83" t="inlineStr">
        <is>
          <t>N</t>
        </is>
      </c>
      <c r="CF83" t="inlineStr"/>
      <c r="CG83" t="inlineStr"/>
      <c r="CH83" t="inlineStr">
        <is>
          <t>unknown</t>
        </is>
      </c>
      <c r="CI83" t="inlineStr"/>
      <c r="CJ83" t="inlineStr">
        <is>
          <t>unknown</t>
        </is>
      </c>
      <c r="CK83" t="inlineStr">
        <is>
          <t>N</t>
        </is>
      </c>
      <c r="CL83" t="inlineStr">
        <is>
          <t>Built In workplace type: OnSite Workplace; typical time on-site: 5 days a week; recent job tags: 2 In-Office, 1 Hybrid</t>
        </is>
      </c>
      <c r="CM83" t="inlineStr">
        <is>
          <t>https://www.builtinnyc.com/company/harvey/offices</t>
        </is>
      </c>
      <c r="CN83" t="inlineStr">
        <is>
          <t>2026-10-24</t>
        </is>
      </c>
      <c r="CO83" t="n">
        <v>84</v>
      </c>
      <c r="CP83" t="inlineStr">
        <is>
          <t>may be under 30;may exceed 250</t>
        </is>
      </c>
      <c r="CQ83" t="inlineStr">
        <is>
          <t>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is>
      </c>
      <c r="CR83" t="inlineStr">
        <is>
          <t>estimate until intake replaces it</t>
        </is>
      </c>
      <c r="CS83" t="n">
        <v>0.45</v>
      </c>
      <c r="CT83" t="n">
        <v>38.3</v>
      </c>
      <c r="CU83" t="n">
        <v>11.3</v>
      </c>
      <c r="CV83" t="n">
        <v>2</v>
      </c>
      <c r="CW83" t="n">
        <v>15</v>
      </c>
      <c r="CX83" t="n">
        <v>10</v>
      </c>
      <c r="CY83" t="n">
        <v>0</v>
      </c>
      <c r="CZ83" t="n">
        <v>0</v>
      </c>
      <c r="DA83" t="inlineStr"/>
      <c r="DB83" t="inlineStr"/>
      <c r="DC83" t="inlineStr"/>
      <c r="DD83" t="inlineStr"/>
      <c r="DE83" t="inlineStr"/>
      <c r="DF83" t="inlineStr">
        <is>
          <t>none</t>
        </is>
      </c>
      <c r="DG83" t="inlineStr">
        <is>
          <t>near-miss-over-500</t>
        </is>
      </c>
      <c r="DH83" t="inlineStr">
        <is>
          <t>over-1,000 (1,001 to 4,999)</t>
        </is>
      </c>
      <c r="DI83" t="inlineStr">
        <is>
          <t>N</t>
        </is>
      </c>
      <c r="DJ83" t="inlineStr">
        <is>
          <t>92,663 sf;185,326 sf;34,100 sf</t>
        </is>
      </c>
      <c r="DK83" t="inlineStr">
        <is>
          <t>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L83" t="inlineStr"/>
      <c r="DM83" t="inlineStr"/>
      <c r="DN83" t="inlineStr"/>
      <c r="DO83" t="inlineStr"/>
      <c r="DP83" t="inlineStr"/>
      <c r="DQ83" t="inlineStr"/>
      <c r="DR83" t="inlineStr"/>
      <c r="DS83" t="inlineStr">
        <is>
          <t>none</t>
        </is>
      </c>
      <c r="DT83" t="inlineStr"/>
      <c r="DU83" t="inlineStr"/>
      <c r="DV83" t="inlineStr"/>
      <c r="DW83" t="inlineStr"/>
      <c r="DX83" t="inlineStr">
        <is>
          <t>N</t>
        </is>
      </c>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f>IF(ISNUMBER(MATCH(U83,{"queued","contacted","replied","call_booked","call_done","yes_in_principle","materials_sent"},0)),"Y","N")</f>
        <v/>
      </c>
      <c r="ES83">
        <f>IF(COUNTIFS($AP$2:$AP$1000,AP83,$ER$2:$ER$1000,"Y")+COUNTIFS($AP$2:$AP$1000,AP83,$T$2:$T$1000,"Y")&gt;0,"Y","N")</f>
        <v/>
      </c>
      <c r="ET83">
        <f>IF(AND(U83="new",T83="N",AT83="Y",AS83="",ES83="N"),"Y","N")</f>
        <v/>
      </c>
      <c r="EU83">
        <f>IF(ET83&lt;&gt;"Y","N",IF(COUNTIFS($AP$2:$AP$1000,AP83,$ET$2:$ET$1000,"Y",$J$2:$J$1000,"&gt;"&amp;J83)+COUNTIFS($AP$2:$AP$1000,AP83,$ET$2:$ET$1000,"Y",$J$2:$J$1000,J83,$EW$2:$EW$1000,"&lt;"&amp;EW83)=0,"Y","N"))</f>
        <v/>
      </c>
      <c r="EV83">
        <f>IF(Y83="","N",IF(Y83&lt;=10,"Y","N"))</f>
        <v/>
      </c>
      <c r="EW83">
        <f>ROW()-1</f>
        <v/>
      </c>
    </row>
    <row r="84">
      <c r="A84" t="inlineStr">
        <is>
          <t>AO-C-123</t>
        </is>
      </c>
      <c r="B84" t="inlineStr">
        <is>
          <t>Trexquant</t>
        </is>
      </c>
      <c r="C84" t="inlineStr"/>
      <c r="D84" t="inlineStr"/>
      <c r="E84" t="inlineStr"/>
      <c r="F84" t="inlineStr"/>
      <c r="G84" t="inlineStr"/>
      <c r="H84" t="inlineStr">
        <is>
          <t>none</t>
        </is>
      </c>
      <c r="I84" t="inlineStr">
        <is>
          <t>linkedin</t>
        </is>
      </c>
      <c r="J84" t="n">
        <v>38.2</v>
      </c>
      <c r="K84" t="inlineStr">
        <is>
          <t>Tuesday estimate 2 to 228 (low confidence), under 500 staff company-wide, hybrid (days not stated), signed-not-occupied at a high-confidence address (hold: lease signed, move not confirmed); contacts not researched yet (below the top 50).</t>
        </is>
      </c>
      <c r="L84" t="inlineStr">
        <is>
          <t>under-40</t>
        </is>
      </c>
      <c r="M84" t="inlineStr"/>
      <c r="N84" t="inlineStr"/>
      <c r="O84" t="inlineStr"/>
      <c r="P84" t="inlineStr"/>
      <c r="Q84" t="inlineStr"/>
      <c r="R84" t="inlineStr">
        <is>
          <t>N</t>
        </is>
      </c>
      <c r="S84" t="inlineStr">
        <is>
          <t>unknown</t>
        </is>
      </c>
      <c r="T84" t="inlineStr">
        <is>
          <t>N</t>
        </is>
      </c>
      <c r="U84" t="inlineStr">
        <is>
          <t>new</t>
        </is>
      </c>
      <c r="V84" t="inlineStr">
        <is>
          <t>https://www.connectcre.com/stories/bxp-secures-230k-sf-of-leases-at-360-park-ave-south/</t>
        </is>
      </c>
      <c r="W84" t="inlineStr">
        <is>
          <t>2026-10-23</t>
        </is>
      </c>
      <c r="X84" t="inlineStr">
        <is>
          <t>office</t>
        </is>
      </c>
      <c r="Y84" t="inlineStr"/>
      <c r="Z84" t="n">
        <v>83</v>
      </c>
      <c r="AA84" t="inlineStr">
        <is>
          <t>N</t>
        </is>
      </c>
      <c r="AB84" t="inlineStr">
        <is>
          <t>Tuesday estimate band under-40: founder's call (set founder_ok_to_queue = Y to queue)</t>
        </is>
      </c>
      <c r="AC84" t="inlineStr"/>
      <c r="AD84" t="inlineStr">
        <is>
          <t>none</t>
        </is>
      </c>
      <c r="AE84" t="inlineStr"/>
      <c r="AF84" t="inlineStr"/>
      <c r="AG84" t="inlineStr"/>
      <c r="AH84" t="inlineStr">
        <is>
          <t>none</t>
        </is>
      </c>
      <c r="AI84" t="inlineStr">
        <is>
          <t>360 Park Avenue South</t>
        </is>
      </c>
      <c r="AJ84" t="inlineStr">
        <is>
          <t>unknown</t>
        </is>
      </c>
      <c r="AK84" t="inlineStr">
        <is>
          <t>signed-not-occupied</t>
        </is>
      </c>
      <c r="AL84" t="n">
        <v>2</v>
      </c>
      <c r="AM84" t="n">
        <v>228</v>
      </c>
      <c r="AN84" t="inlineStr">
        <is>
          <t>low</t>
        </is>
      </c>
      <c r="AO84" t="inlineStr">
        <is>
          <t>hybrid-unspecified</t>
        </is>
      </c>
      <c r="AP84" t="inlineStr">
        <is>
          <t>AO-C-123</t>
        </is>
      </c>
      <c r="AQ84" t="inlineStr">
        <is>
          <t>Y</t>
        </is>
      </c>
      <c r="AR84" t="inlineStr">
        <is>
          <t>lease signed, move not confirmed: check the lobby directory before outreach (B)</t>
        </is>
      </c>
      <c r="AS84" t="inlineStr"/>
      <c r="AT84" t="inlineStr">
        <is>
          <t>N</t>
        </is>
      </c>
      <c r="AU84" t="inlineStr">
        <is>
          <t>on hold: lease signed, move not confirmed: check the lobby directory before outreach (B); no contact named on an opened page; Tuesday estimate band under-40: founder's call</t>
        </is>
      </c>
      <c r="AV84" t="inlineStr"/>
      <c r="AW84" t="inlineStr">
        <is>
          <t>Y</t>
        </is>
      </c>
      <c r="AX84" t="inlineStr">
        <is>
          <t>pass</t>
        </is>
      </c>
      <c r="AY84" t="inlineStr">
        <is>
          <t>passes all hard gates</t>
        </is>
      </c>
      <c r="AZ84" t="inlineStr">
        <is>
          <t>company</t>
        </is>
      </c>
      <c r="BA84" t="inlineStr">
        <is>
          <t>B-C-123</t>
        </is>
      </c>
      <c r="BB84" t="inlineStr">
        <is>
          <t>https://www.trexquant.com/</t>
        </is>
      </c>
      <c r="BC84" t="inlineStr">
        <is>
          <t>Quantitative investment manager</t>
        </is>
      </c>
      <c r="BD84" t="n">
        <v>67</v>
      </c>
      <c r="BE84" t="n">
        <v>340</v>
      </c>
      <c r="BF84" t="inlineStr">
        <is>
          <t>unknown</t>
        </is>
      </c>
      <c r="BG84" t="inlineStr">
        <is>
          <t>unknown</t>
        </is>
      </c>
      <c r="BH84" t="inlineStr">
        <is>
          <t>disagree</t>
        </is>
      </c>
      <c r="BI84" t="inlineStr">
        <is>
          <t>https://www.builtinnyc.com/company/trexquant-investment/offices</t>
        </is>
      </c>
      <c r="BJ84" t="inlineStr">
        <is>
          <t>https://www.reveliolabs.com/companies/trexquant-management/employees</t>
        </is>
      </c>
      <c r="BK84" t="inlineStr">
        <is>
          <t>le500</t>
        </is>
      </c>
      <c r="BL84" t="inlineStr">
        <is>
          <t>Stamford</t>
        </is>
      </c>
      <c r="BM84" t="inlineStr">
        <is>
          <t>N</t>
        </is>
      </c>
      <c r="BN84" t="inlineStr">
        <is>
          <t>unknown</t>
        </is>
      </c>
      <c r="BO84" t="inlineStr">
        <is>
          <t>unknown</t>
        </is>
      </c>
      <c r="BP84" t="n">
        <v>10010</v>
      </c>
      <c r="BQ84" t="n">
        <v>40.741968</v>
      </c>
      <c r="BR84" t="n">
        <v>-73.985327</v>
      </c>
      <c r="BS84" t="inlineStr">
        <is>
          <t>Y</t>
        </is>
      </c>
      <c r="BT84" t="n">
        <v>0</v>
      </c>
      <c r="BU84" t="inlineStr">
        <is>
          <t>B-B-059</t>
        </is>
      </c>
      <c r="BV84" t="inlineStr">
        <is>
          <t>360 Park Avenue South (BXP)</t>
        </is>
      </c>
      <c r="BW84" t="inlineStr">
        <is>
          <t>https://www.connectcre.com/stories/bxp-secures-230k-sf-of-leases-at-360-park-ave-south/</t>
        </is>
      </c>
      <c r="BX84" t="inlineStr">
        <is>
          <t>2026-03-16</t>
        </is>
      </c>
      <c r="BY84" t="inlineStr">
        <is>
          <t>leasing-press</t>
        </is>
      </c>
      <c r="BZ84" t="inlineStr">
        <is>
          <t>https://commercialobserver.com/?p=563472</t>
        </is>
      </c>
      <c r="CA84" t="inlineStr">
        <is>
          <t>2026-03-16</t>
        </is>
      </c>
      <c r="CB84" t="inlineStr"/>
      <c r="CC84" t="inlineStr">
        <is>
          <t>high</t>
        </is>
      </c>
      <c r="CD84" t="inlineStr">
        <is>
          <t>unknown</t>
        </is>
      </c>
      <c r="CE84" t="inlineStr">
        <is>
          <t>N</t>
        </is>
      </c>
      <c r="CF84" t="inlineStr"/>
      <c r="CG84" t="inlineStr"/>
      <c r="CH84" t="inlineStr">
        <is>
          <t>unknown</t>
        </is>
      </c>
      <c r="CI84" t="inlineStr"/>
      <c r="CJ84" t="inlineStr">
        <is>
          <t>unknown</t>
        </is>
      </c>
      <c r="CK84" t="inlineStr">
        <is>
          <t>N</t>
        </is>
      </c>
      <c r="CL84" t="inlineStr">
        <is>
          <t>Built In workplace type: Hybrid Workplace; typical time on-site: Not Specified; recent job tags: 3 In-Office</t>
        </is>
      </c>
      <c r="CM84" t="inlineStr">
        <is>
          <t>https://www.builtinnyc.com/company/trexquant-investment/offices</t>
        </is>
      </c>
      <c r="CN84" t="inlineStr">
        <is>
          <t>2026-10-24</t>
        </is>
      </c>
      <c r="CO84" t="n">
        <v>21</v>
      </c>
      <c r="CP84" t="inlineStr">
        <is>
          <t>may be under 30;central estimate under 30</t>
        </is>
      </c>
      <c r="CQ84" t="inlineStr">
        <is>
          <t>67 (Built In) and 340 (Revelio Labs) staff (whole-company count) x 5% to 100% of them in the New York office (HQ outside New York; share assumed) x 67% (Partnership for NYC, firms under 500) in on a weekday = 2 to 228, central 21; low confidence; estimate until intake replaces it.</t>
        </is>
      </c>
      <c r="CR84" t="inlineStr">
        <is>
          <t>estimate until intake replaces it</t>
        </is>
      </c>
      <c r="CS84" t="n">
        <v>0.37</v>
      </c>
      <c r="CT84" t="n">
        <v>38.2</v>
      </c>
      <c r="CU84" t="n">
        <v>9.199999999999999</v>
      </c>
      <c r="CV84" t="n">
        <v>15</v>
      </c>
      <c r="CW84" t="n">
        <v>7</v>
      </c>
      <c r="CX84" t="n">
        <v>7</v>
      </c>
      <c r="CY84" t="n">
        <v>0</v>
      </c>
      <c r="CZ84" t="n">
        <v>0</v>
      </c>
      <c r="DA84" t="inlineStr"/>
      <c r="DB84" t="inlineStr"/>
      <c r="DC84" t="inlineStr"/>
      <c r="DD84" t="inlineStr"/>
      <c r="DE84" t="inlineStr"/>
      <c r="DF84" t="inlineStr">
        <is>
          <t>none</t>
        </is>
      </c>
      <c r="DG84" t="inlineStr">
        <is>
          <t>candidate</t>
        </is>
      </c>
      <c r="DH84" t="inlineStr"/>
      <c r="DI84" t="inlineStr"/>
      <c r="DJ84" t="inlineStr">
        <is>
          <t>23,000 sf</t>
        </is>
      </c>
      <c r="DK84" t="inlineStr">
        <is>
          <t>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is>
      </c>
      <c r="DL84" t="inlineStr"/>
      <c r="DM84" t="inlineStr"/>
      <c r="DN84" t="inlineStr"/>
      <c r="DO84" t="inlineStr"/>
      <c r="DP84" t="inlineStr"/>
      <c r="DQ84" t="inlineStr"/>
      <c r="DR84" t="inlineStr"/>
      <c r="DS84" t="inlineStr">
        <is>
          <t>none</t>
        </is>
      </c>
      <c r="DT84" t="inlineStr"/>
      <c r="DU84" t="inlineStr"/>
      <c r="DV84" t="inlineStr"/>
      <c r="DW84" t="inlineStr"/>
      <c r="DX84" t="inlineStr">
        <is>
          <t>N</t>
        </is>
      </c>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f>IF(ISNUMBER(MATCH(U84,{"queued","contacted","replied","call_booked","call_done","yes_in_principle","materials_sent"},0)),"Y","N")</f>
        <v/>
      </c>
      <c r="ES84">
        <f>IF(COUNTIFS($AP$2:$AP$1000,AP84,$ER$2:$ER$1000,"Y")+COUNTIFS($AP$2:$AP$1000,AP84,$T$2:$T$1000,"Y")&gt;0,"Y","N")</f>
        <v/>
      </c>
      <c r="ET84">
        <f>IF(AND(U84="new",T84="N",AT84="Y",AS84="",ES84="N"),"Y","N")</f>
        <v/>
      </c>
      <c r="EU84">
        <f>IF(ET84&lt;&gt;"Y","N",IF(COUNTIFS($AP$2:$AP$1000,AP84,$ET$2:$ET$1000,"Y",$J$2:$J$1000,"&gt;"&amp;J84)+COUNTIFS($AP$2:$AP$1000,AP84,$ET$2:$ET$1000,"Y",$J$2:$J$1000,J84,$EW$2:$EW$1000,"&lt;"&amp;EW84)=0,"Y","N"))</f>
        <v/>
      </c>
      <c r="EV84">
        <f>IF(Y84="","N",IF(Y84&lt;=10,"Y","N"))</f>
        <v/>
      </c>
      <c r="EW84">
        <f>ROW()-1</f>
        <v/>
      </c>
    </row>
    <row r="85">
      <c r="A85" t="inlineStr">
        <is>
          <t>AO-C-255</t>
        </is>
      </c>
      <c r="B85" t="inlineStr">
        <is>
          <t>Vercel</t>
        </is>
      </c>
      <c r="C85" t="inlineStr"/>
      <c r="D85" t="inlineStr"/>
      <c r="E85" t="inlineStr"/>
      <c r="F85" t="inlineStr"/>
      <c r="G85" t="inlineStr"/>
      <c r="H85" t="inlineStr">
        <is>
          <t>none</t>
        </is>
      </c>
      <c r="I85" t="inlineStr">
        <is>
          <t>linkedin</t>
        </is>
      </c>
      <c r="J85" t="n">
        <v>37.4</v>
      </c>
      <c r="K85" t="inlineStr">
        <is>
          <t>Tuesday estimate 16 to 314 (low confidence), 501 to 1,000 staff company-wide, no attendance signal, occupancy-unconfirmed at a high-confidence address; contacts not researched yet (below the top 50).</t>
        </is>
      </c>
      <c r="L85" t="inlineStr">
        <is>
          <t>40-75</t>
        </is>
      </c>
      <c r="M85" t="inlineStr"/>
      <c r="N85" t="inlineStr"/>
      <c r="O85" t="inlineStr"/>
      <c r="P85" t="inlineStr"/>
      <c r="Q85" t="inlineStr"/>
      <c r="R85" t="inlineStr">
        <is>
          <t>N</t>
        </is>
      </c>
      <c r="S85" t="inlineStr">
        <is>
          <t>unknown</t>
        </is>
      </c>
      <c r="T85" t="inlineStr">
        <is>
          <t>N</t>
        </is>
      </c>
      <c r="U85" t="inlineStr">
        <is>
          <t>new</t>
        </is>
      </c>
      <c r="V85" t="inlineStr">
        <is>
          <t>https://www.connectcre.com/stories/bxp-secures-230k-sf-of-leases-at-360-park-ave-south/</t>
        </is>
      </c>
      <c r="W85" t="inlineStr">
        <is>
          <t>2026-10-23</t>
        </is>
      </c>
      <c r="X85" t="inlineStr">
        <is>
          <t>office</t>
        </is>
      </c>
      <c r="Y85" t="inlineStr"/>
      <c r="Z85" t="n">
        <v>84</v>
      </c>
      <c r="AA85" t="inlineStr">
        <is>
          <t>N</t>
        </is>
      </c>
      <c r="AB85" t="inlineStr"/>
      <c r="AC85" t="inlineStr"/>
      <c r="AD85" t="inlineStr">
        <is>
          <t>none</t>
        </is>
      </c>
      <c r="AE85" t="inlineStr"/>
      <c r="AF85" t="inlineStr"/>
      <c r="AG85" t="inlineStr"/>
      <c r="AH85" t="inlineStr">
        <is>
          <t>none</t>
        </is>
      </c>
      <c r="AI85" t="inlineStr">
        <is>
          <t>360 Park Avenue South</t>
        </is>
      </c>
      <c r="AJ85" t="inlineStr">
        <is>
          <t>9 plus expansion (46,076 sf)</t>
        </is>
      </c>
      <c r="AK85" t="inlineStr">
        <is>
          <t>occupancy-unconfirmed</t>
        </is>
      </c>
      <c r="AL85" t="n">
        <v>16</v>
      </c>
      <c r="AM85" t="n">
        <v>314</v>
      </c>
      <c r="AN85" t="inlineStr">
        <is>
          <t>low</t>
        </is>
      </c>
      <c r="AO85" t="inlineStr">
        <is>
          <t>unknown</t>
        </is>
      </c>
      <c r="AP85" t="inlineStr">
        <is>
          <t>AO-C-255</t>
        </is>
      </c>
      <c r="AQ85" t="inlineStr">
        <is>
          <t>N</t>
        </is>
      </c>
      <c r="AR85" t="inlineStr"/>
      <c r="AS85" t="inlineStr"/>
      <c r="AT85" t="inlineStr">
        <is>
          <t>N</t>
        </is>
      </c>
      <c r="AU85" t="inlineStr">
        <is>
          <t>no contact named on an opened page</t>
        </is>
      </c>
      <c r="AV85" t="inlineStr"/>
      <c r="AW85" t="inlineStr">
        <is>
          <t>N</t>
        </is>
      </c>
      <c r="AX85" t="inlineStr">
        <is>
          <t>pass</t>
        </is>
      </c>
      <c r="AY85" t="inlineStr">
        <is>
          <t>passes all hard gates</t>
        </is>
      </c>
      <c r="AZ85" t="inlineStr">
        <is>
          <t>company</t>
        </is>
      </c>
      <c r="BA85" t="inlineStr">
        <is>
          <t>B-C-255</t>
        </is>
      </c>
      <c r="BB85" t="inlineStr">
        <is>
          <t>https://vercel.com/</t>
        </is>
      </c>
      <c r="BC85" t="inlineStr">
        <is>
          <t>Software (web development platform)</t>
        </is>
      </c>
      <c r="BD85" t="n">
        <v>550</v>
      </c>
      <c r="BE85" t="inlineStr"/>
      <c r="BF85" t="inlineStr">
        <is>
          <t>over-500</t>
        </is>
      </c>
      <c r="BG85" t="inlineStr">
        <is>
          <t>whole-company</t>
        </is>
      </c>
      <c r="BH85" t="inlineStr">
        <is>
          <t>single-source</t>
        </is>
      </c>
      <c r="BI85" t="inlineStr">
        <is>
          <t>https://en.wikipedia.org/wiki/Vercel</t>
        </is>
      </c>
      <c r="BJ85" t="inlineStr"/>
      <c r="BK85" t="inlineStr">
        <is>
          <t>501-1000</t>
        </is>
      </c>
      <c r="BL85" t="inlineStr">
        <is>
          <t>unknown</t>
        </is>
      </c>
      <c r="BM85" t="inlineStr">
        <is>
          <t>unknown</t>
        </is>
      </c>
      <c r="BN85" t="inlineStr">
        <is>
          <t>unknown</t>
        </is>
      </c>
      <c r="BO85" t="inlineStr">
        <is>
          <t>unknown</t>
        </is>
      </c>
      <c r="BP85" t="n">
        <v>10010</v>
      </c>
      <c r="BQ85" t="n">
        <v>40.741968</v>
      </c>
      <c r="BR85" t="n">
        <v>-73.985327</v>
      </c>
      <c r="BS85" t="inlineStr">
        <is>
          <t>Y</t>
        </is>
      </c>
      <c r="BT85" t="n">
        <v>0</v>
      </c>
      <c r="BU85" t="inlineStr">
        <is>
          <t>B-B-059</t>
        </is>
      </c>
      <c r="BV85" t="inlineStr">
        <is>
          <t>360 Park Avenue South (BXP)</t>
        </is>
      </c>
      <c r="BW85" t="inlineStr">
        <is>
          <t>https://www.connectcre.com/stories/bxp-secures-230k-sf-of-leases-at-360-park-ave-south/</t>
        </is>
      </c>
      <c r="BX85" t="inlineStr">
        <is>
          <t>2026-03-16</t>
        </is>
      </c>
      <c r="BY85" t="inlineStr">
        <is>
          <t>leasing-press</t>
        </is>
      </c>
      <c r="BZ85" t="inlineStr">
        <is>
          <t>https://commercialobserver.com/2026/09/rogo-technologies-360-park-avenue-south-lease-expansion/</t>
        </is>
      </c>
      <c r="CA85" t="inlineStr">
        <is>
          <t>2026-09-22</t>
        </is>
      </c>
      <c r="CB85" t="inlineStr"/>
      <c r="CC85" t="inlineStr">
        <is>
          <t>high</t>
        </is>
      </c>
      <c r="CD85" t="inlineStr"/>
      <c r="CE85" t="inlineStr">
        <is>
          <t>N</t>
        </is>
      </c>
      <c r="CF85" t="inlineStr"/>
      <c r="CG85" t="inlineStr"/>
      <c r="CH85" t="inlineStr">
        <is>
          <t>unknown</t>
        </is>
      </c>
      <c r="CI85" t="inlineStr"/>
      <c r="CJ85" t="inlineStr">
        <is>
          <t>unknown</t>
        </is>
      </c>
      <c r="CK85" t="inlineStr">
        <is>
          <t>N</t>
        </is>
      </c>
      <c r="CL85" t="inlineStr">
        <is>
          <t>unknown</t>
        </is>
      </c>
      <c r="CM85" t="inlineStr"/>
      <c r="CN85" t="inlineStr"/>
      <c r="CO85" t="n">
        <v>71</v>
      </c>
      <c r="CP85" t="inlineStr">
        <is>
          <t>may be under 30;may exceed 250</t>
        </is>
      </c>
      <c r="CQ85" t="inlineStr">
        <is>
          <t>550 (Wikipedia) staff (whole-company count) x 5% to 100% of them in the New York office (HQ city unknown; share assumed) x 57% (Partnership for NYC, all Manhattan firms; no figure for 500 to 4,999) in on a weekday = 16 to 314, central 71; low confidence; estimate until intake replaces it.</t>
        </is>
      </c>
      <c r="CR85" t="inlineStr">
        <is>
          <t>estimate until intake replaces it</t>
        </is>
      </c>
      <c r="CS85" t="n">
        <v>0.62</v>
      </c>
      <c r="CT85" t="n">
        <v>37.4</v>
      </c>
      <c r="CU85" t="n">
        <v>15.4</v>
      </c>
      <c r="CV85" t="n">
        <v>6</v>
      </c>
      <c r="CW85" t="n">
        <v>6</v>
      </c>
      <c r="CX85" t="n">
        <v>10</v>
      </c>
      <c r="CY85" t="n">
        <v>0</v>
      </c>
      <c r="CZ85" t="n">
        <v>0</v>
      </c>
      <c r="DA85" t="inlineStr"/>
      <c r="DB85" t="inlineStr"/>
      <c r="DC85" t="inlineStr"/>
      <c r="DD85" t="inlineStr"/>
      <c r="DE85" t="inlineStr"/>
      <c r="DF85" t="inlineStr">
        <is>
          <t>none</t>
        </is>
      </c>
      <c r="DG85" t="inlineStr">
        <is>
          <t>near-miss-over-500</t>
        </is>
      </c>
      <c r="DH85" t="inlineStr">
        <is>
          <t>just-over-500 (501 to 1,000)</t>
        </is>
      </c>
      <c r="DI85" t="inlineStr">
        <is>
          <t>N</t>
        </is>
      </c>
      <c r="DJ85" t="inlineStr">
        <is>
          <t>23,000 sf;46,076 sf</t>
        </is>
      </c>
      <c r="DK85" t="inlineStr">
        <is>
          <t>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is>
      </c>
      <c r="DL85" t="inlineStr"/>
      <c r="DM85" t="inlineStr"/>
      <c r="DN85" t="inlineStr"/>
      <c r="DO85" t="inlineStr"/>
      <c r="DP85" t="inlineStr"/>
      <c r="DQ85" t="inlineStr"/>
      <c r="DR85" t="inlineStr"/>
      <c r="DS85" t="inlineStr">
        <is>
          <t>none</t>
        </is>
      </c>
      <c r="DT85" t="inlineStr"/>
      <c r="DU85" t="inlineStr"/>
      <c r="DV85" t="inlineStr"/>
      <c r="DW85" t="inlineStr"/>
      <c r="DX85" t="inlineStr">
        <is>
          <t>N</t>
        </is>
      </c>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f>IF(ISNUMBER(MATCH(U85,{"queued","contacted","replied","call_booked","call_done","yes_in_principle","materials_sent"},0)),"Y","N")</f>
        <v/>
      </c>
      <c r="ES85">
        <f>IF(COUNTIFS($AP$2:$AP$1000,AP85,$ER$2:$ER$1000,"Y")+COUNTIFS($AP$2:$AP$1000,AP85,$T$2:$T$1000,"Y")&gt;0,"Y","N")</f>
        <v/>
      </c>
      <c r="ET85">
        <f>IF(AND(U85="new",T85="N",AT85="Y",AS85="",ES85="N"),"Y","N")</f>
        <v/>
      </c>
      <c r="EU85">
        <f>IF(ET85&lt;&gt;"Y","N",IF(COUNTIFS($AP$2:$AP$1000,AP85,$ET$2:$ET$1000,"Y",$J$2:$J$1000,"&gt;"&amp;J85)+COUNTIFS($AP$2:$AP$1000,AP85,$ET$2:$ET$1000,"Y",$J$2:$J$1000,J85,$EW$2:$EW$1000,"&lt;"&amp;EW85)=0,"Y","N"))</f>
        <v/>
      </c>
      <c r="EV85">
        <f>IF(Y85="","N",IF(Y85&lt;=10,"Y","N"))</f>
        <v/>
      </c>
      <c r="EW85">
        <f>ROW()-1</f>
        <v/>
      </c>
    </row>
    <row r="86">
      <c r="A86" t="inlineStr">
        <is>
          <t>AO-C-027</t>
        </is>
      </c>
      <c r="B86" t="inlineStr">
        <is>
          <t>Selldorf Architects</t>
        </is>
      </c>
      <c r="C86" t="inlineStr"/>
      <c r="D86" t="inlineStr"/>
      <c r="E86" t="inlineStr"/>
      <c r="F86" t="inlineStr"/>
      <c r="G86" t="inlineStr"/>
      <c r="H86" t="inlineStr">
        <is>
          <t>none</t>
        </is>
      </c>
      <c r="I86" t="inlineStr">
        <is>
          <t>linkedin</t>
        </is>
      </c>
      <c r="J86" t="n">
        <v>37.4</v>
      </c>
      <c r="K86" t="inlineStr">
        <is>
          <t>Tuesday estimate 22 to 44 (low confidence), under 500 staff company-wide, no attendance signal, occupied at a medium-confidence address; contacts not researched yet (below the top 50).</t>
        </is>
      </c>
      <c r="L86" t="inlineStr">
        <is>
          <t>under-40</t>
        </is>
      </c>
      <c r="M86" t="inlineStr"/>
      <c r="N86" t="inlineStr"/>
      <c r="O86" t="inlineStr">
        <is>
          <t>New or renewed lease at 860 Broadway reported 2026-08-07</t>
        </is>
      </c>
      <c r="P86" t="inlineStr">
        <is>
          <t>https://commercialobserver.com/2026/08/selldorf-architects-renews-14k-sf-860-broadway-lease-for-10-years/</t>
        </is>
      </c>
      <c r="Q86" t="inlineStr">
        <is>
          <t>2026-08-07</t>
        </is>
      </c>
      <c r="R86" t="inlineStr">
        <is>
          <t>N</t>
        </is>
      </c>
      <c r="S86" t="inlineStr">
        <is>
          <t>unknown</t>
        </is>
      </c>
      <c r="T86" t="inlineStr">
        <is>
          <t>N</t>
        </is>
      </c>
      <c r="U86" t="inlineStr">
        <is>
          <t>new</t>
        </is>
      </c>
      <c r="V86" t="inlineStr">
        <is>
          <t>https://commercialobserver.com/2026/08/selldorf-architects-renews-14k-sf-860-broadway-lease-for-10-years/</t>
        </is>
      </c>
      <c r="W86" t="inlineStr">
        <is>
          <t>2026-10-23</t>
        </is>
      </c>
      <c r="X86" t="inlineStr">
        <is>
          <t>office</t>
        </is>
      </c>
      <c r="Y86" t="inlineStr"/>
      <c r="Z86" t="n">
        <v>85</v>
      </c>
      <c r="AA86" t="inlineStr">
        <is>
          <t>N</t>
        </is>
      </c>
      <c r="AB86" t="inlineStr">
        <is>
          <t>Tuesday estimate band under-40: founder's call (set founder_ok_to_queue = Y to queue)</t>
        </is>
      </c>
      <c r="AC86" t="inlineStr"/>
      <c r="AD86" t="inlineStr">
        <is>
          <t>none</t>
        </is>
      </c>
      <c r="AE86" t="inlineStr"/>
      <c r="AF86" t="inlineStr"/>
      <c r="AG86" t="inlineStr"/>
      <c r="AH86" t="inlineStr">
        <is>
          <t>none</t>
        </is>
      </c>
      <c r="AI86" t="inlineStr">
        <is>
          <t>860 Broadway</t>
        </is>
      </c>
      <c r="AJ86" t="inlineStr">
        <is>
          <t>unknown</t>
        </is>
      </c>
      <c r="AK86" t="inlineStr">
        <is>
          <t>occupied</t>
        </is>
      </c>
      <c r="AL86" t="n">
        <v>22</v>
      </c>
      <c r="AM86" t="n">
        <v>44</v>
      </c>
      <c r="AN86" t="inlineStr">
        <is>
          <t>low</t>
        </is>
      </c>
      <c r="AO86" t="inlineStr">
        <is>
          <t>unknown</t>
        </is>
      </c>
      <c r="AP86" t="inlineStr">
        <is>
          <t>AO-C-027</t>
        </is>
      </c>
      <c r="AQ86" t="inlineStr">
        <is>
          <t>N</t>
        </is>
      </c>
      <c r="AR86" t="inlineStr"/>
      <c r="AS86" t="inlineStr"/>
      <c r="AT86" t="inlineStr">
        <is>
          <t>N</t>
        </is>
      </c>
      <c r="AU86" t="inlineStr">
        <is>
          <t>no contact named on an opened page; Tuesday estimate band under-40: founder's call</t>
        </is>
      </c>
      <c r="AV86" t="inlineStr"/>
      <c r="AW86" t="inlineStr">
        <is>
          <t>Y</t>
        </is>
      </c>
      <c r="AX86" t="inlineStr">
        <is>
          <t>pass</t>
        </is>
      </c>
      <c r="AY86" t="inlineStr">
        <is>
          <t>passes all hard gates</t>
        </is>
      </c>
      <c r="AZ86" t="inlineStr">
        <is>
          <t>company</t>
        </is>
      </c>
      <c r="BA86" t="inlineStr">
        <is>
          <t>B-C-027</t>
        </is>
      </c>
      <c r="BB86" t="inlineStr">
        <is>
          <t>https://www.selldorf.com</t>
        </is>
      </c>
      <c r="BC86" t="inlineStr">
        <is>
          <t>architecture</t>
        </is>
      </c>
      <c r="BD86" t="n">
        <v>65</v>
      </c>
      <c r="BE86" t="inlineStr"/>
      <c r="BF86" t="inlineStr">
        <is>
          <t>40-75</t>
        </is>
      </c>
      <c r="BG86" t="inlineStr">
        <is>
          <t>whole-company</t>
        </is>
      </c>
      <c r="BH86" t="inlineStr">
        <is>
          <t>single-source</t>
        </is>
      </c>
      <c r="BI86" t="inlineStr">
        <is>
          <t>https://en.wikipedia.org/wiki/Selldorf_Architects</t>
        </is>
      </c>
      <c r="BJ86" t="inlineStr"/>
      <c r="BK86" t="inlineStr">
        <is>
          <t>le500</t>
        </is>
      </c>
      <c r="BL86" t="inlineStr">
        <is>
          <t>New York</t>
        </is>
      </c>
      <c r="BM86" t="inlineStr">
        <is>
          <t>Y</t>
        </is>
      </c>
      <c r="BN86" t="inlineStr">
        <is>
          <t>unknown</t>
        </is>
      </c>
      <c r="BO86" t="inlineStr">
        <is>
          <t>unknown</t>
        </is>
      </c>
      <c r="BP86" t="n">
        <v>10003</v>
      </c>
      <c r="BQ86" t="n">
        <v>40.73716</v>
      </c>
      <c r="BR86" t="n">
        <v>-73.990073</v>
      </c>
      <c r="BS86" t="inlineStr">
        <is>
          <t>Y</t>
        </is>
      </c>
      <c r="BT86" t="n">
        <v>0</v>
      </c>
      <c r="BU86" t="inlineStr">
        <is>
          <t>B-B-011</t>
        </is>
      </c>
      <c r="BV86" t="inlineStr">
        <is>
          <t>860 Broadway</t>
        </is>
      </c>
      <c r="BW86" t="inlineStr">
        <is>
          <t>https://commercialobserver.com/2026/08/selldorf-architects-renews-14k-sf-860-broadway-lease-for-10-years/</t>
        </is>
      </c>
      <c r="BX86" t="inlineStr">
        <is>
          <t>2026-08-07</t>
        </is>
      </c>
      <c r="BY86" t="inlineStr">
        <is>
          <t>leasing-press</t>
        </is>
      </c>
      <c r="BZ86" t="inlineStr">
        <is>
          <t>https://www.connectcre.com/stories/selldorf-architects-signs-long-term-renewal-at-860-broadway/</t>
        </is>
      </c>
      <c r="CA86" t="inlineStr">
        <is>
          <t>2026-08-07</t>
        </is>
      </c>
      <c r="CB86" t="inlineStr"/>
      <c r="CC86" t="inlineStr">
        <is>
          <t>medium</t>
        </is>
      </c>
      <c r="CD86" t="inlineStr"/>
      <c r="CE86" t="inlineStr">
        <is>
          <t>N</t>
        </is>
      </c>
      <c r="CF86" t="inlineStr"/>
      <c r="CG86" t="inlineStr"/>
      <c r="CH86" t="inlineStr">
        <is>
          <t>unknown</t>
        </is>
      </c>
      <c r="CI86" t="inlineStr"/>
      <c r="CJ86" t="inlineStr">
        <is>
          <t>unknown</t>
        </is>
      </c>
      <c r="CK86" t="inlineStr">
        <is>
          <t>N</t>
        </is>
      </c>
      <c r="CL86" t="inlineStr">
        <is>
          <t>unknown</t>
        </is>
      </c>
      <c r="CM86" t="inlineStr"/>
      <c r="CN86" t="inlineStr"/>
      <c r="CO86" t="n">
        <v>31</v>
      </c>
      <c r="CP86" t="inlineStr">
        <is>
          <t>may be under 30;30 to 39 is the founder's call</t>
        </is>
      </c>
      <c r="CQ86" t="inlineStr">
        <is>
          <t>65 (Wikipedia) staff (whole-company count) x 50% to 100% of them in the New York office (HQ New York; share assumed) x 67% (Partnership for NYC, firms under 500) in on a weekday = 22 to 44, central 31; low confidence; estimate until intake replaces it.</t>
        </is>
      </c>
      <c r="CR86" t="inlineStr">
        <is>
          <t>estimate until intake replaces it</t>
        </is>
      </c>
      <c r="CS86" t="n">
        <v>0.14</v>
      </c>
      <c r="CT86" t="n">
        <v>37.4</v>
      </c>
      <c r="CU86" t="n">
        <v>3.4</v>
      </c>
      <c r="CV86" t="n">
        <v>15</v>
      </c>
      <c r="CW86" t="n">
        <v>6</v>
      </c>
      <c r="CX86" t="n">
        <v>13</v>
      </c>
      <c r="CY86" t="n">
        <v>0</v>
      </c>
      <c r="CZ86" t="n">
        <v>0</v>
      </c>
      <c r="DA86" t="inlineStr"/>
      <c r="DB86" t="inlineStr"/>
      <c r="DC86" t="inlineStr"/>
      <c r="DD86" t="inlineStr"/>
      <c r="DE86" t="inlineStr"/>
      <c r="DF86" t="inlineStr">
        <is>
          <t>none</t>
        </is>
      </c>
      <c r="DG86" t="inlineStr">
        <is>
          <t>candidate</t>
        </is>
      </c>
      <c r="DH86" t="inlineStr"/>
      <c r="DI86" t="inlineStr"/>
      <c r="DJ86" t="inlineStr">
        <is>
          <t>13,815 sf</t>
        </is>
      </c>
      <c r="DK86" t="inlineStr">
        <is>
          <t>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DL86" t="inlineStr"/>
      <c r="DM86" t="inlineStr"/>
      <c r="DN86" t="inlineStr"/>
      <c r="DO86" t="inlineStr"/>
      <c r="DP86" t="inlineStr"/>
      <c r="DQ86" t="inlineStr"/>
      <c r="DR86" t="inlineStr"/>
      <c r="DS86" t="inlineStr">
        <is>
          <t>none</t>
        </is>
      </c>
      <c r="DT86" t="inlineStr"/>
      <c r="DU86" t="inlineStr"/>
      <c r="DV86" t="inlineStr"/>
      <c r="DW86" t="inlineStr"/>
      <c r="DX86" t="inlineStr">
        <is>
          <t>N</t>
        </is>
      </c>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f>IF(ISNUMBER(MATCH(U86,{"queued","contacted","replied","call_booked","call_done","yes_in_principle","materials_sent"},0)),"Y","N")</f>
        <v/>
      </c>
      <c r="ES86">
        <f>IF(COUNTIFS($AP$2:$AP$1000,AP86,$ER$2:$ER$1000,"Y")+COUNTIFS($AP$2:$AP$1000,AP86,$T$2:$T$1000,"Y")&gt;0,"Y","N")</f>
        <v/>
      </c>
      <c r="ET86">
        <f>IF(AND(U86="new",T86="N",AT86="Y",AS86="",ES86="N"),"Y","N")</f>
        <v/>
      </c>
      <c r="EU86">
        <f>IF(ET86&lt;&gt;"Y","N",IF(COUNTIFS($AP$2:$AP$1000,AP86,$ET$2:$ET$1000,"Y",$J$2:$J$1000,"&gt;"&amp;J86)+COUNTIFS($AP$2:$AP$1000,AP86,$ET$2:$ET$1000,"Y",$J$2:$J$1000,J86,$EW$2:$EW$1000,"&lt;"&amp;EW86)=0,"Y","N"))</f>
        <v/>
      </c>
      <c r="EV86">
        <f>IF(Y86="","N",IF(Y86&lt;=10,"Y","N"))</f>
        <v/>
      </c>
      <c r="EW86">
        <f>ROW()-1</f>
        <v/>
      </c>
    </row>
    <row r="87">
      <c r="A87" t="inlineStr">
        <is>
          <t>AO-C-219</t>
        </is>
      </c>
      <c r="B87" t="inlineStr">
        <is>
          <t>e.l.f. Beauty</t>
        </is>
      </c>
      <c r="C87" t="inlineStr"/>
      <c r="D87" t="inlineStr"/>
      <c r="E87" t="inlineStr"/>
      <c r="F87" t="inlineStr"/>
      <c r="G87" t="inlineStr"/>
      <c r="H87" t="inlineStr">
        <is>
          <t>none</t>
        </is>
      </c>
      <c r="I87" t="inlineStr">
        <is>
          <t>linkedin</t>
        </is>
      </c>
      <c r="J87" t="n">
        <v>37.3</v>
      </c>
      <c r="K87" t="inlineStr">
        <is>
          <t>Tuesday estimate 31 to 625 (low confidence), 1,001 to 4,999 staff company-wide, on-site 5 days a week per its profile, occupancy-unconfirmed at a low-confidence address; contacts not researched yet (below the top 50).</t>
        </is>
      </c>
      <c r="L87" t="inlineStr">
        <is>
          <t>76-150</t>
        </is>
      </c>
      <c r="M87" t="inlineStr"/>
      <c r="N87" t="inlineStr"/>
      <c r="O87" t="inlineStr"/>
      <c r="P87" t="inlineStr"/>
      <c r="Q87" t="inlineStr"/>
      <c r="R87" t="inlineStr">
        <is>
          <t>N</t>
        </is>
      </c>
      <c r="S87" t="inlineStr">
        <is>
          <t>unknown</t>
        </is>
      </c>
      <c r="T87" t="inlineStr">
        <is>
          <t>N</t>
        </is>
      </c>
      <c r="U87" t="inlineStr">
        <is>
          <t>new</t>
        </is>
      </c>
      <c r="V87" t="inlineStr">
        <is>
          <t>https://commercialobserver.com/2024/08/elf-beauty-lease-gfp-real-estate-16-west-22nd-street/</t>
        </is>
      </c>
      <c r="W87" t="inlineStr">
        <is>
          <t>2026-10-23</t>
        </is>
      </c>
      <c r="X87" t="inlineStr">
        <is>
          <t>office</t>
        </is>
      </c>
      <c r="Y87" t="inlineStr"/>
      <c r="Z87" t="n">
        <v>86</v>
      </c>
      <c r="AA87" t="inlineStr">
        <is>
          <t>N</t>
        </is>
      </c>
      <c r="AB87" t="inlineStr"/>
      <c r="AC87" t="inlineStr"/>
      <c r="AD87" t="inlineStr">
        <is>
          <t>none</t>
        </is>
      </c>
      <c r="AE87" t="inlineStr"/>
      <c r="AF87" t="inlineStr"/>
      <c r="AG87" t="inlineStr"/>
      <c r="AH87" t="inlineStr">
        <is>
          <t>none</t>
        </is>
      </c>
      <c r="AI87" t="inlineStr">
        <is>
          <t>16 West 22nd Street</t>
        </is>
      </c>
      <c r="AJ87" t="inlineStr">
        <is>
          <t>unknown</t>
        </is>
      </c>
      <c r="AK87" t="inlineStr">
        <is>
          <t>occupancy-unconfirmed</t>
        </is>
      </c>
      <c r="AL87" t="n">
        <v>31</v>
      </c>
      <c r="AM87" t="n">
        <v>625</v>
      </c>
      <c r="AN87" t="inlineStr">
        <is>
          <t>low</t>
        </is>
      </c>
      <c r="AO87" t="inlineStr">
        <is>
          <t>in-office-5</t>
        </is>
      </c>
      <c r="AP87" t="inlineStr">
        <is>
          <t>AO-C-219</t>
        </is>
      </c>
      <c r="AQ87" t="inlineStr">
        <is>
          <t>N</t>
        </is>
      </c>
      <c r="AR87" t="inlineStr"/>
      <c r="AS87" t="inlineStr"/>
      <c r="AT87" t="inlineStr">
        <is>
          <t>N</t>
        </is>
      </c>
      <c r="AU87" t="inlineStr">
        <is>
          <t>no contact named on an opened page</t>
        </is>
      </c>
      <c r="AV87" t="inlineStr"/>
      <c r="AW87" t="inlineStr">
        <is>
          <t>N</t>
        </is>
      </c>
      <c r="AX87" t="inlineStr">
        <is>
          <t>pass</t>
        </is>
      </c>
      <c r="AY87" t="inlineStr">
        <is>
          <t>passes all hard gates</t>
        </is>
      </c>
      <c r="AZ87" t="inlineStr">
        <is>
          <t>company</t>
        </is>
      </c>
      <c r="BA87" t="inlineStr">
        <is>
          <t>B-C-219</t>
        </is>
      </c>
      <c r="BB87" t="inlineStr">
        <is>
          <t>https://www.elfcosmetics.com</t>
        </is>
      </c>
      <c r="BC87" t="inlineStr">
        <is>
          <t>cosmetics brand (NYC office)</t>
        </is>
      </c>
      <c r="BD87" t="n">
        <v>1096</v>
      </c>
      <c r="BE87" t="inlineStr"/>
      <c r="BF87" t="inlineStr">
        <is>
          <t>over-500</t>
        </is>
      </c>
      <c r="BG87" t="inlineStr">
        <is>
          <t>whole-company</t>
        </is>
      </c>
      <c r="BH87" t="inlineStr">
        <is>
          <t>single-source</t>
        </is>
      </c>
      <c r="BI87" t="inlineStr">
        <is>
          <t>https://www.builtinnyc.com/company/elf-beauty</t>
        </is>
      </c>
      <c r="BJ87" t="inlineStr"/>
      <c r="BK87" t="inlineStr">
        <is>
          <t>1001-4999</t>
        </is>
      </c>
      <c r="BL87" t="inlineStr">
        <is>
          <t>Oakland</t>
        </is>
      </c>
      <c r="BM87" t="inlineStr">
        <is>
          <t>N</t>
        </is>
      </c>
      <c r="BN87" t="inlineStr">
        <is>
          <t>unknown</t>
        </is>
      </c>
      <c r="BO87" t="inlineStr">
        <is>
          <t>unknown</t>
        </is>
      </c>
      <c r="BP87" t="n">
        <v>10010</v>
      </c>
      <c r="BQ87" t="n">
        <v>40.74118</v>
      </c>
      <c r="BR87" t="n">
        <v>-73.99129000000001</v>
      </c>
      <c r="BS87" t="inlineStr">
        <is>
          <t>Y</t>
        </is>
      </c>
      <c r="BT87" t="n">
        <v>0</v>
      </c>
      <c r="BU87" t="inlineStr">
        <is>
          <t>B-B-041</t>
        </is>
      </c>
      <c r="BV87" t="inlineStr">
        <is>
          <t>16 West 22nd Street (Meysar Realty / GFP)</t>
        </is>
      </c>
      <c r="BW87" t="inlineStr">
        <is>
          <t>https://commercialobserver.com/2024/08/elf-beauty-lease-gfp-real-estate-16-west-22nd-street/</t>
        </is>
      </c>
      <c r="BX87" t="inlineStr">
        <is>
          <t>2024-08-27</t>
        </is>
      </c>
      <c r="BY87" t="inlineStr">
        <is>
          <t>leasing-press</t>
        </is>
      </c>
      <c r="BZ87" t="inlineStr"/>
      <c r="CA87" t="inlineStr"/>
      <c r="CB87" t="inlineStr"/>
      <c r="CC87" t="inlineStr">
        <is>
          <t>low</t>
        </is>
      </c>
      <c r="CD87" t="inlineStr"/>
      <c r="CE87" t="inlineStr">
        <is>
          <t>N</t>
        </is>
      </c>
      <c r="CF87" t="inlineStr"/>
      <c r="CG87" t="inlineStr"/>
      <c r="CH87" t="inlineStr">
        <is>
          <t>unknown</t>
        </is>
      </c>
      <c r="CI87" t="inlineStr"/>
      <c r="CJ87" t="inlineStr">
        <is>
          <t>unknown</t>
        </is>
      </c>
      <c r="CK87" t="inlineStr">
        <is>
          <t>N</t>
        </is>
      </c>
      <c r="CL87" t="inlineStr">
        <is>
          <t>Built In workplace type: OnSite Workplace; typical time on-site: 5 days a week; recent job tags: 2 Hybrid, 1 Remote</t>
        </is>
      </c>
      <c r="CM87" t="inlineStr">
        <is>
          <t>https://www.builtinnyc.com/company/elf-beauty/offices</t>
        </is>
      </c>
      <c r="CN87" t="inlineStr">
        <is>
          <t>2026-10-24</t>
        </is>
      </c>
      <c r="CO87" t="n">
        <v>139</v>
      </c>
      <c r="CP87" t="inlineStr">
        <is>
          <t>may exceed 250</t>
        </is>
      </c>
      <c r="CQ87" t="inlineStr">
        <is>
          <t>1096 (Built In) staff (whole-company count) x 5% to 100% of them in the New York office (HQ outside New York; share assumed) x 57% (Partnership for NYC, all Manhattan firms; no figure for 500 to 4,999) in on a weekday = 31 to 625, central 139; low confidence; estimate until intake replaces it.</t>
        </is>
      </c>
      <c r="CR87" t="inlineStr">
        <is>
          <t>estimate until intake replaces it</t>
        </is>
      </c>
      <c r="CS87" t="n">
        <v>0.61</v>
      </c>
      <c r="CT87" t="n">
        <v>37.3</v>
      </c>
      <c r="CU87" t="n">
        <v>15.3</v>
      </c>
      <c r="CV87" t="n">
        <v>2</v>
      </c>
      <c r="CW87" t="n">
        <v>15</v>
      </c>
      <c r="CX87" t="n">
        <v>5</v>
      </c>
      <c r="CY87" t="n">
        <v>0</v>
      </c>
      <c r="CZ87" t="n">
        <v>0</v>
      </c>
      <c r="DA87" t="inlineStr"/>
      <c r="DB87" t="inlineStr"/>
      <c r="DC87" t="inlineStr"/>
      <c r="DD87" t="inlineStr"/>
      <c r="DE87" t="inlineStr"/>
      <c r="DF87" t="inlineStr">
        <is>
          <t>none</t>
        </is>
      </c>
      <c r="DG87" t="inlineStr">
        <is>
          <t>near-miss-over-500</t>
        </is>
      </c>
      <c r="DH87" t="inlineStr">
        <is>
          <t>over-1,000 (1,001 to 4,999)</t>
        </is>
      </c>
      <c r="DI87" t="inlineStr">
        <is>
          <t>N</t>
        </is>
      </c>
      <c r="DJ87" t="inlineStr">
        <is>
          <t>26,000 sf;39,000 sf</t>
        </is>
      </c>
      <c r="DK87" t="inlineStr">
        <is>
          <t>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DL87" t="inlineStr"/>
      <c r="DM87" t="inlineStr"/>
      <c r="DN87" t="inlineStr"/>
      <c r="DO87" t="inlineStr"/>
      <c r="DP87" t="inlineStr"/>
      <c r="DQ87" t="inlineStr"/>
      <c r="DR87" t="inlineStr"/>
      <c r="DS87" t="inlineStr">
        <is>
          <t>none</t>
        </is>
      </c>
      <c r="DT87" t="inlineStr"/>
      <c r="DU87" t="inlineStr"/>
      <c r="DV87" t="inlineStr"/>
      <c r="DW87" t="inlineStr"/>
      <c r="DX87" t="inlineStr">
        <is>
          <t>N</t>
        </is>
      </c>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f>IF(ISNUMBER(MATCH(U87,{"queued","contacted","replied","call_booked","call_done","yes_in_principle","materials_sent"},0)),"Y","N")</f>
        <v/>
      </c>
      <c r="ES87">
        <f>IF(COUNTIFS($AP$2:$AP$1000,AP87,$ER$2:$ER$1000,"Y")+COUNTIFS($AP$2:$AP$1000,AP87,$T$2:$T$1000,"Y")&gt;0,"Y","N")</f>
        <v/>
      </c>
      <c r="ET87">
        <f>IF(AND(U87="new",T87="N",AT87="Y",AS87="",ES87="N"),"Y","N")</f>
        <v/>
      </c>
      <c r="EU87">
        <f>IF(ET87&lt;&gt;"Y","N",IF(COUNTIFS($AP$2:$AP$1000,AP87,$ET$2:$ET$1000,"Y",$J$2:$J$1000,"&gt;"&amp;J87)+COUNTIFS($AP$2:$AP$1000,AP87,$ET$2:$ET$1000,"Y",$J$2:$J$1000,J87,$EW$2:$EW$1000,"&lt;"&amp;EW87)=0,"Y","N"))</f>
        <v/>
      </c>
      <c r="EV87">
        <f>IF(Y87="","N",IF(Y87&lt;=10,"Y","N"))</f>
        <v/>
      </c>
      <c r="EW87">
        <f>ROW()-1</f>
        <v/>
      </c>
    </row>
    <row r="88">
      <c r="A88" t="inlineStr">
        <is>
          <t>AO-C-259</t>
        </is>
      </c>
      <c r="B88" t="inlineStr">
        <is>
          <t>Lutron Electronics</t>
        </is>
      </c>
      <c r="C88" t="inlineStr"/>
      <c r="D88" t="inlineStr"/>
      <c r="E88" t="inlineStr"/>
      <c r="F88" t="inlineStr"/>
      <c r="G88" t="inlineStr"/>
      <c r="H88" t="inlineStr">
        <is>
          <t>none</t>
        </is>
      </c>
      <c r="I88" t="inlineStr">
        <is>
          <t>linkedin</t>
        </is>
      </c>
      <c r="J88" t="n">
        <v>37.1</v>
      </c>
      <c r="K88" t="inlineStr">
        <is>
          <t>Tuesday estimate 59 to 1176 (low confidence), 1,001 to 4,999 staff company-wide, on-site 5 days a week per its profile, occupancy-unconfirmed at a medium-confidence address; contacts not researched yet (below the top 50).</t>
        </is>
      </c>
      <c r="L88" t="inlineStr">
        <is>
          <t>251-500</t>
        </is>
      </c>
      <c r="M88" t="inlineStr"/>
      <c r="N88" t="inlineStr"/>
      <c r="O88" t="inlineStr"/>
      <c r="P88" t="inlineStr"/>
      <c r="Q88" t="inlineStr"/>
      <c r="R88" t="inlineStr">
        <is>
          <t>N</t>
        </is>
      </c>
      <c r="S88" t="inlineStr">
        <is>
          <t>unknown</t>
        </is>
      </c>
      <c r="T88" t="inlineStr">
        <is>
          <t>N</t>
        </is>
      </c>
      <c r="U88" t="inlineStr">
        <is>
          <t>new</t>
        </is>
      </c>
      <c r="V88" t="inlineStr">
        <is>
          <t>https://commercialobserver.com/2025/10/lutron-electronics-office-lease-11-east-26th-street/</t>
        </is>
      </c>
      <c r="W88" t="inlineStr">
        <is>
          <t>2026-10-23</t>
        </is>
      </c>
      <c r="X88" t="inlineStr">
        <is>
          <t>office</t>
        </is>
      </c>
      <c r="Y88" t="inlineStr"/>
      <c r="Z88" t="n">
        <v>87</v>
      </c>
      <c r="AA88" t="inlineStr">
        <is>
          <t>N</t>
        </is>
      </c>
      <c r="AB88" t="inlineStr">
        <is>
          <t>Tuesday estimate band 251-500: founder's call (set founder_ok_to_queue = Y to queue)</t>
        </is>
      </c>
      <c r="AC88" t="inlineStr"/>
      <c r="AD88" t="inlineStr">
        <is>
          <t>none</t>
        </is>
      </c>
      <c r="AE88" t="inlineStr"/>
      <c r="AF88" t="inlineStr"/>
      <c r="AG88" t="inlineStr"/>
      <c r="AH88" t="inlineStr">
        <is>
          <t>none</t>
        </is>
      </c>
      <c r="AI88" t="inlineStr">
        <is>
          <t>11 East 26th Street</t>
        </is>
      </c>
      <c r="AJ88" t="n">
        <v>21</v>
      </c>
      <c r="AK88" t="inlineStr">
        <is>
          <t>occupancy-unconfirmed</t>
        </is>
      </c>
      <c r="AL88" t="n">
        <v>59</v>
      </c>
      <c r="AM88" t="n">
        <v>1176</v>
      </c>
      <c r="AN88" t="inlineStr">
        <is>
          <t>low</t>
        </is>
      </c>
      <c r="AO88" t="inlineStr">
        <is>
          <t>in-office-5</t>
        </is>
      </c>
      <c r="AP88" t="inlineStr">
        <is>
          <t>AO-C-259</t>
        </is>
      </c>
      <c r="AQ88" t="inlineStr">
        <is>
          <t>N</t>
        </is>
      </c>
      <c r="AR88" t="inlineStr"/>
      <c r="AS88" t="inlineStr"/>
      <c r="AT88" t="inlineStr">
        <is>
          <t>N</t>
        </is>
      </c>
      <c r="AU88" t="inlineStr">
        <is>
          <t>no contact named on an opened page; Tuesday estimate band 251-500: founder's call</t>
        </is>
      </c>
      <c r="AV88" t="inlineStr"/>
      <c r="AW88" t="inlineStr">
        <is>
          <t>Y</t>
        </is>
      </c>
      <c r="AX88" t="inlineStr">
        <is>
          <t>pass</t>
        </is>
      </c>
      <c r="AY88" t="inlineStr">
        <is>
          <t>passes all hard gates</t>
        </is>
      </c>
      <c r="AZ88" t="inlineStr">
        <is>
          <t>company</t>
        </is>
      </c>
      <c r="BA88" t="inlineStr">
        <is>
          <t>B-C-259</t>
        </is>
      </c>
      <c r="BB88" t="inlineStr">
        <is>
          <t>https://www.lutron.com</t>
        </is>
      </c>
      <c r="BC88" t="inlineStr">
        <is>
          <t>lighting controls manufacturer</t>
        </is>
      </c>
      <c r="BD88" t="n">
        <v>2063</v>
      </c>
      <c r="BE88" t="inlineStr"/>
      <c r="BF88" t="inlineStr">
        <is>
          <t>over-500</t>
        </is>
      </c>
      <c r="BG88" t="inlineStr">
        <is>
          <t>whole-company</t>
        </is>
      </c>
      <c r="BH88" t="inlineStr">
        <is>
          <t>single-source</t>
        </is>
      </c>
      <c r="BI88" t="inlineStr">
        <is>
          <t>https://www.builtinnyc.com/company/lutron-electronics/offices</t>
        </is>
      </c>
      <c r="BJ88" t="inlineStr"/>
      <c r="BK88" t="inlineStr">
        <is>
          <t>1001-4999</t>
        </is>
      </c>
      <c r="BL88" t="inlineStr">
        <is>
          <t>Coopersburg</t>
        </is>
      </c>
      <c r="BM88" t="inlineStr">
        <is>
          <t>N</t>
        </is>
      </c>
      <c r="BN88" t="inlineStr">
        <is>
          <t>unknown</t>
        </is>
      </c>
      <c r="BO88" t="inlineStr">
        <is>
          <t>unknown</t>
        </is>
      </c>
      <c r="BP88" t="n">
        <v>10010</v>
      </c>
      <c r="BQ88" t="n">
        <v>40.743309</v>
      </c>
      <c r="BR88" t="n">
        <v>-73.987329</v>
      </c>
      <c r="BS88" t="inlineStr">
        <is>
          <t>Y</t>
        </is>
      </c>
      <c r="BT88" t="n">
        <v>0</v>
      </c>
      <c r="BU88" t="inlineStr">
        <is>
          <t>B-B-065</t>
        </is>
      </c>
      <c r="BV88" t="inlineStr">
        <is>
          <t>11 East 26th Street (Rockrose; joined to 15 East 26th Street)</t>
        </is>
      </c>
      <c r="BW88" t="inlineStr">
        <is>
          <t>https://commercialobserver.com/2025/10/lutron-electronics-office-lease-11-east-26th-street/</t>
        </is>
      </c>
      <c r="BX88" t="inlineStr">
        <is>
          <t>2025-10-22</t>
        </is>
      </c>
      <c r="BY88" t="inlineStr">
        <is>
          <t>leasing-press</t>
        </is>
      </c>
      <c r="BZ88" t="inlineStr"/>
      <c r="CA88" t="inlineStr"/>
      <c r="CB88" t="inlineStr"/>
      <c r="CC88" t="inlineStr">
        <is>
          <t>medium</t>
        </is>
      </c>
      <c r="CD88" t="inlineStr"/>
      <c r="CE88" t="inlineStr">
        <is>
          <t>N</t>
        </is>
      </c>
      <c r="CF88" t="inlineStr"/>
      <c r="CG88" t="inlineStr"/>
      <c r="CH88" t="inlineStr">
        <is>
          <t>unknown</t>
        </is>
      </c>
      <c r="CI88" t="inlineStr"/>
      <c r="CJ88" t="inlineStr">
        <is>
          <t>unknown</t>
        </is>
      </c>
      <c r="CK88" t="inlineStr">
        <is>
          <t>N</t>
        </is>
      </c>
      <c r="CL88" t="inlineStr">
        <is>
          <t>Built In workplace type: OnSite Workplace; typical time on-site: 5 days a week</t>
        </is>
      </c>
      <c r="CM88" t="inlineStr">
        <is>
          <t>https://www.builtinnyc.com/company/lutron-electronics/offices</t>
        </is>
      </c>
      <c r="CN88" t="inlineStr">
        <is>
          <t>2026-10-24</t>
        </is>
      </c>
      <c r="CO88" t="n">
        <v>263</v>
      </c>
      <c r="CP88" t="inlineStr">
        <is>
          <t>may exceed 250</t>
        </is>
      </c>
      <c r="CQ88" t="inlineStr">
        <is>
          <t>2063 (Built In) staff (whole-company count) x 5% to 100% of them in the New York office (HQ outside New York; share assumed) x 57% (Partnership for NYC, all Manhattan firms; no figure for 500 to 4,999) in on a weekday = 59 to 1176, central 263; low confidence; estimate until intake replaces it.</t>
        </is>
      </c>
      <c r="CR88" t="inlineStr">
        <is>
          <t>estimate until intake replaces it</t>
        </is>
      </c>
      <c r="CS88" t="n">
        <v>0.48</v>
      </c>
      <c r="CT88" t="n">
        <v>37.1</v>
      </c>
      <c r="CU88" t="n">
        <v>12.1</v>
      </c>
      <c r="CV88" t="n">
        <v>2</v>
      </c>
      <c r="CW88" t="n">
        <v>15</v>
      </c>
      <c r="CX88" t="n">
        <v>8</v>
      </c>
      <c r="CY88" t="n">
        <v>0</v>
      </c>
      <c r="CZ88" t="n">
        <v>0</v>
      </c>
      <c r="DA88" t="inlineStr"/>
      <c r="DB88" t="inlineStr"/>
      <c r="DC88" t="inlineStr"/>
      <c r="DD88" t="inlineStr"/>
      <c r="DE88" t="inlineStr"/>
      <c r="DF88" t="inlineStr">
        <is>
          <t>none</t>
        </is>
      </c>
      <c r="DG88" t="inlineStr">
        <is>
          <t>near-miss-over-500</t>
        </is>
      </c>
      <c r="DH88" t="inlineStr">
        <is>
          <t>over-1,000 (1,001 to 4,999)</t>
        </is>
      </c>
      <c r="DI88" t="inlineStr">
        <is>
          <t>N</t>
        </is>
      </c>
      <c r="DJ88" t="inlineStr">
        <is>
          <t>12,074 sf</t>
        </is>
      </c>
      <c r="DK88" t="inlineStr">
        <is>
          <t>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88" t="inlineStr"/>
      <c r="DM88" t="inlineStr"/>
      <c r="DN88" t="inlineStr"/>
      <c r="DO88" t="inlineStr"/>
      <c r="DP88" t="inlineStr"/>
      <c r="DQ88" t="inlineStr"/>
      <c r="DR88" t="inlineStr"/>
      <c r="DS88" t="inlineStr">
        <is>
          <t>none</t>
        </is>
      </c>
      <c r="DT88" t="inlineStr"/>
      <c r="DU88" t="inlineStr"/>
      <c r="DV88" t="inlineStr"/>
      <c r="DW88" t="inlineStr"/>
      <c r="DX88" t="inlineStr">
        <is>
          <t>N</t>
        </is>
      </c>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f>IF(ISNUMBER(MATCH(U88,{"queued","contacted","replied","call_booked","call_done","yes_in_principle","materials_sent"},0)),"Y","N")</f>
        <v/>
      </c>
      <c r="ES88">
        <f>IF(COUNTIFS($AP$2:$AP$1000,AP88,$ER$2:$ER$1000,"Y")+COUNTIFS($AP$2:$AP$1000,AP88,$T$2:$T$1000,"Y")&gt;0,"Y","N")</f>
        <v/>
      </c>
      <c r="ET88">
        <f>IF(AND(U88="new",T88="N",AT88="Y",AS88="",ES88="N"),"Y","N")</f>
        <v/>
      </c>
      <c r="EU88">
        <f>IF(ET88&lt;&gt;"Y","N",IF(COUNTIFS($AP$2:$AP$1000,AP88,$ET$2:$ET$1000,"Y",$J$2:$J$1000,"&gt;"&amp;J88)+COUNTIFS($AP$2:$AP$1000,AP88,$ET$2:$ET$1000,"Y",$J$2:$J$1000,J88,$EW$2:$EW$1000,"&lt;"&amp;EW88)=0,"Y","N"))</f>
        <v/>
      </c>
      <c r="EV88">
        <f>IF(Y88="","N",IF(Y88&lt;=10,"Y","N"))</f>
        <v/>
      </c>
      <c r="EW88">
        <f>ROW()-1</f>
        <v/>
      </c>
    </row>
    <row r="89">
      <c r="A89" t="inlineStr">
        <is>
          <t>AO-C-158</t>
        </is>
      </c>
      <c r="B89" t="inlineStr">
        <is>
          <t>Sigma Computing</t>
        </is>
      </c>
      <c r="C89" t="inlineStr"/>
      <c r="D89" t="inlineStr"/>
      <c r="E89" t="inlineStr"/>
      <c r="F89" t="inlineStr"/>
      <c r="G89" t="inlineStr"/>
      <c r="H89" t="inlineStr">
        <is>
          <t>none</t>
        </is>
      </c>
      <c r="I89" t="inlineStr">
        <is>
          <t>linkedin</t>
        </is>
      </c>
      <c r="J89" t="n">
        <v>37.1</v>
      </c>
      <c r="K89" t="inlineStr">
        <is>
          <t>Tuesday estimate 9 to 549 (low confidence), 501 to 1,000 staff company-wide, on-site 5 days a week per its profile, signed-not-occupied at a medium-confidence address (hold: lease signed, move not confirmed); contacts not researched yet (below the top 50).</t>
        </is>
      </c>
      <c r="L89" t="inlineStr">
        <is>
          <t>40-75</t>
        </is>
      </c>
      <c r="M89" t="inlineStr"/>
      <c r="N89" t="inlineStr"/>
      <c r="O89" t="inlineStr">
        <is>
          <t>New or renewed lease at 386 Park Avenue South reported 2026-02-27</t>
        </is>
      </c>
      <c r="P89" t="inlineStr">
        <is>
          <t>https://commercialobserver.com/2026/02/primary-ventures-sigma-computing-leases-386-park-avenue-south/</t>
        </is>
      </c>
      <c r="Q89" t="inlineStr">
        <is>
          <t>2026-02-27</t>
        </is>
      </c>
      <c r="R89" t="inlineStr">
        <is>
          <t>N</t>
        </is>
      </c>
      <c r="S89" t="inlineStr">
        <is>
          <t>unknown</t>
        </is>
      </c>
      <c r="T89" t="inlineStr">
        <is>
          <t>N</t>
        </is>
      </c>
      <c r="U89" t="inlineStr">
        <is>
          <t>new</t>
        </is>
      </c>
      <c r="V89" t="inlineStr">
        <is>
          <t>https://commercialobserver.com/2026/02/primary-ventures-sigma-computing-leases-386-park-avenue-south/</t>
        </is>
      </c>
      <c r="W89" t="inlineStr">
        <is>
          <t>2026-10-23</t>
        </is>
      </c>
      <c r="X89" t="inlineStr">
        <is>
          <t>office</t>
        </is>
      </c>
      <c r="Y89" t="inlineStr"/>
      <c r="Z89" t="n">
        <v>88</v>
      </c>
      <c r="AA89" t="inlineStr">
        <is>
          <t>N</t>
        </is>
      </c>
      <c r="AB89" t="inlineStr"/>
      <c r="AC89" t="inlineStr"/>
      <c r="AD89" t="inlineStr">
        <is>
          <t>none</t>
        </is>
      </c>
      <c r="AE89" t="inlineStr"/>
      <c r="AF89" t="inlineStr"/>
      <c r="AG89" t="inlineStr"/>
      <c r="AH89" t="inlineStr">
        <is>
          <t>none</t>
        </is>
      </c>
      <c r="AI89" t="inlineStr">
        <is>
          <t>386 Park Avenue South</t>
        </is>
      </c>
      <c r="AJ89" t="inlineStr">
        <is>
          <t>5-6</t>
        </is>
      </c>
      <c r="AK89" t="inlineStr">
        <is>
          <t>signed-not-occupied</t>
        </is>
      </c>
      <c r="AL89" t="n">
        <v>9</v>
      </c>
      <c r="AM89" t="n">
        <v>549</v>
      </c>
      <c r="AN89" t="inlineStr">
        <is>
          <t>low</t>
        </is>
      </c>
      <c r="AO89" t="inlineStr">
        <is>
          <t>in-office-5</t>
        </is>
      </c>
      <c r="AP89" t="inlineStr">
        <is>
          <t>AO-C-158</t>
        </is>
      </c>
      <c r="AQ89" t="inlineStr">
        <is>
          <t>Y</t>
        </is>
      </c>
      <c r="AR89" t="inlineStr">
        <is>
          <t>lease signed, move not confirmed: check the lobby directory before outreach (B)</t>
        </is>
      </c>
      <c r="AS89" t="inlineStr"/>
      <c r="AT89" t="inlineStr">
        <is>
          <t>N</t>
        </is>
      </c>
      <c r="AU89" t="inlineStr">
        <is>
          <t>on hold: lease signed, move not confirmed: check the lobby directory before outreach (B); no contact named on an opened page</t>
        </is>
      </c>
      <c r="AV89" t="inlineStr"/>
      <c r="AW89" t="inlineStr">
        <is>
          <t>N</t>
        </is>
      </c>
      <c r="AX89" t="inlineStr">
        <is>
          <t>pass</t>
        </is>
      </c>
      <c r="AY89" t="inlineStr">
        <is>
          <t>passes all hard gates</t>
        </is>
      </c>
      <c r="AZ89" t="inlineStr">
        <is>
          <t>company</t>
        </is>
      </c>
      <c r="BA89" t="inlineStr">
        <is>
          <t>B-C-158</t>
        </is>
      </c>
      <c r="BB89" t="inlineStr">
        <is>
          <t>https://www.sigmacomputing.com</t>
        </is>
      </c>
      <c r="BC89" t="inlineStr">
        <is>
          <t>software (cloud analytics)</t>
        </is>
      </c>
      <c r="BD89" t="n">
        <v>964</v>
      </c>
      <c r="BE89" t="n">
        <v>329</v>
      </c>
      <c r="BF89" t="inlineStr">
        <is>
          <t>over-500</t>
        </is>
      </c>
      <c r="BG89" t="inlineStr">
        <is>
          <t>whole-company</t>
        </is>
      </c>
      <c r="BH89" t="inlineStr">
        <is>
          <t>over-500-second-source</t>
        </is>
      </c>
      <c r="BI89" t="inlineStr">
        <is>
          <t>https://www.reveliolabs.com/companies/sigma-computing/employees</t>
        </is>
      </c>
      <c r="BJ89" t="inlineStr">
        <is>
          <t>https://www.builtinnyc.com/company/sigma-computing</t>
        </is>
      </c>
      <c r="BK89" t="inlineStr">
        <is>
          <t>501-1000</t>
        </is>
      </c>
      <c r="BL89" t="inlineStr">
        <is>
          <t>San Francisco</t>
        </is>
      </c>
      <c r="BM89" t="inlineStr">
        <is>
          <t>N</t>
        </is>
      </c>
      <c r="BN89" t="inlineStr">
        <is>
          <t>unknown</t>
        </is>
      </c>
      <c r="BO89" t="inlineStr">
        <is>
          <t>unknown</t>
        </is>
      </c>
      <c r="BP89" t="n">
        <v>10016</v>
      </c>
      <c r="BQ89" t="n">
        <v>40.74291</v>
      </c>
      <c r="BR89" t="n">
        <v>-73.984627</v>
      </c>
      <c r="BS89" t="inlineStr">
        <is>
          <t>Y</t>
        </is>
      </c>
      <c r="BT89" t="n">
        <v>0</v>
      </c>
      <c r="BU89" t="inlineStr">
        <is>
          <t>B-B-072</t>
        </is>
      </c>
      <c r="BV89" t="inlineStr">
        <is>
          <t>386 Park Avenue South (HSR Corporation)</t>
        </is>
      </c>
      <c r="BW89" t="inlineStr">
        <is>
          <t>https://commercialobserver.com/2026/02/primary-ventures-sigma-computing-leases-386-park-avenue-south/</t>
        </is>
      </c>
      <c r="BX89" t="inlineStr">
        <is>
          <t>2026-02-27</t>
        </is>
      </c>
      <c r="BY89" t="inlineStr">
        <is>
          <t>leasing-press</t>
        </is>
      </c>
      <c r="BZ89" t="inlineStr"/>
      <c r="CA89" t="inlineStr"/>
      <c r="CB89" t="inlineStr"/>
      <c r="CC89" t="inlineStr">
        <is>
          <t>medium</t>
        </is>
      </c>
      <c r="CD89" t="inlineStr">
        <is>
          <t>unknown</t>
        </is>
      </c>
      <c r="CE89" t="inlineStr">
        <is>
          <t>N</t>
        </is>
      </c>
      <c r="CF89" t="inlineStr"/>
      <c r="CG89" t="inlineStr"/>
      <c r="CH89" t="inlineStr">
        <is>
          <t>unknown</t>
        </is>
      </c>
      <c r="CI89" t="inlineStr"/>
      <c r="CJ89" t="inlineStr">
        <is>
          <t>unknown</t>
        </is>
      </c>
      <c r="CK89" t="inlineStr">
        <is>
          <t>N</t>
        </is>
      </c>
      <c r="CL89" t="inlineStr">
        <is>
          <t>hows 329 total employees, HQ San Francisco, a New York office without street address, NYC jobs marked In-Office. | Assembly 2026-10-24: Revie</t>
        </is>
      </c>
      <c r="CM89" t="inlineStr">
        <is>
          <t>https://www.builtinnyc.com/company/sigma-computing/offices</t>
        </is>
      </c>
      <c r="CN89" t="inlineStr">
        <is>
          <t>2026-08-31</t>
        </is>
      </c>
      <c r="CO89" t="n">
        <v>70</v>
      </c>
      <c r="CP89" t="inlineStr">
        <is>
          <t>may be under 30;may exceed 250</t>
        </is>
      </c>
      <c r="CQ89" t="inlineStr">
        <is>
          <t>964 (Revelio Labs) and 329 (Built In) staff (whole-company count) x 5% to 100% of them in the New York office (HQ outside New York; share assumed) x 57% (Partnership for NYC, all Manhattan firms; no figure for 500 to 4,999) in on a weekday = 9 to 549, central 70; low confidence; estimate until intake replaces it.</t>
        </is>
      </c>
      <c r="CR89" t="inlineStr">
        <is>
          <t>estimate until intake replaces it</t>
        </is>
      </c>
      <c r="CS89" t="n">
        <v>0.45</v>
      </c>
      <c r="CT89" t="n">
        <v>37.1</v>
      </c>
      <c r="CU89" t="n">
        <v>11.1</v>
      </c>
      <c r="CV89" t="n">
        <v>6</v>
      </c>
      <c r="CW89" t="n">
        <v>15</v>
      </c>
      <c r="CX89" t="n">
        <v>5</v>
      </c>
      <c r="CY89" t="n">
        <v>0</v>
      </c>
      <c r="CZ89" t="n">
        <v>0</v>
      </c>
      <c r="DA89" t="inlineStr"/>
      <c r="DB89" t="inlineStr"/>
      <c r="DC89" t="inlineStr"/>
      <c r="DD89" t="inlineStr"/>
      <c r="DE89" t="inlineStr"/>
      <c r="DF89" t="inlineStr">
        <is>
          <t>none</t>
        </is>
      </c>
      <c r="DG89" t="inlineStr">
        <is>
          <t>near-miss-over-500</t>
        </is>
      </c>
      <c r="DH89" t="inlineStr">
        <is>
          <t>just-over-500 (501 to 1,000)</t>
        </is>
      </c>
      <c r="DI89" t="inlineStr">
        <is>
          <t>Y</t>
        </is>
      </c>
      <c r="DJ89" t="inlineStr">
        <is>
          <t>26,252 sf</t>
        </is>
      </c>
      <c r="DK89" t="inlineStr">
        <is>
          <t>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DL89" t="inlineStr"/>
      <c r="DM89" t="inlineStr"/>
      <c r="DN89" t="inlineStr"/>
      <c r="DO89" t="inlineStr"/>
      <c r="DP89" t="inlineStr"/>
      <c r="DQ89" t="inlineStr"/>
      <c r="DR89" t="inlineStr"/>
      <c r="DS89" t="inlineStr">
        <is>
          <t>none</t>
        </is>
      </c>
      <c r="DT89" t="inlineStr"/>
      <c r="DU89" t="inlineStr"/>
      <c r="DV89" t="inlineStr"/>
      <c r="DW89" t="inlineStr"/>
      <c r="DX89" t="inlineStr">
        <is>
          <t>N</t>
        </is>
      </c>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f>IF(ISNUMBER(MATCH(U89,{"queued","contacted","replied","call_booked","call_done","yes_in_principle","materials_sent"},0)),"Y","N")</f>
        <v/>
      </c>
      <c r="ES89">
        <f>IF(COUNTIFS($AP$2:$AP$1000,AP89,$ER$2:$ER$1000,"Y")+COUNTIFS($AP$2:$AP$1000,AP89,$T$2:$T$1000,"Y")&gt;0,"Y","N")</f>
        <v/>
      </c>
      <c r="ET89">
        <f>IF(AND(U89="new",T89="N",AT89="Y",AS89="",ES89="N"),"Y","N")</f>
        <v/>
      </c>
      <c r="EU89">
        <f>IF(ET89&lt;&gt;"Y","N",IF(COUNTIFS($AP$2:$AP$1000,AP89,$ET$2:$ET$1000,"Y",$J$2:$J$1000,"&gt;"&amp;J89)+COUNTIFS($AP$2:$AP$1000,AP89,$ET$2:$ET$1000,"Y",$J$2:$J$1000,J89,$EW$2:$EW$1000,"&lt;"&amp;EW89)=0,"Y","N"))</f>
        <v/>
      </c>
      <c r="EV89">
        <f>IF(Y89="","N",IF(Y89&lt;=10,"Y","N"))</f>
        <v/>
      </c>
      <c r="EW89">
        <f>ROW()-1</f>
        <v/>
      </c>
    </row>
    <row r="90">
      <c r="A90" t="inlineStr">
        <is>
          <t>AO-C-014</t>
        </is>
      </c>
      <c r="B90" t="inlineStr">
        <is>
          <t>Mirage (formerly Captions)</t>
        </is>
      </c>
      <c r="C90" t="inlineStr"/>
      <c r="D90" t="inlineStr"/>
      <c r="E90" t="inlineStr"/>
      <c r="F90" t="inlineStr"/>
      <c r="G90" t="inlineStr"/>
      <c r="H90" t="inlineStr">
        <is>
          <t>none</t>
        </is>
      </c>
      <c r="I90" t="inlineStr">
        <is>
          <t>linkedin</t>
        </is>
      </c>
      <c r="J90" t="n">
        <v>37</v>
      </c>
      <c r="K90" t="inlineStr">
        <is>
          <t>Tuesday estimate 3 to 50 (low confidence), under 500 staff company-wide, on-site 5 days a week per its profile, occupancy-unconfirmed at a low-confidence address; contacts not researched yet (below the top 50).</t>
        </is>
      </c>
      <c r="L90" t="inlineStr">
        <is>
          <t>under-40</t>
        </is>
      </c>
      <c r="M90" t="inlineStr"/>
      <c r="N90" t="inlineStr"/>
      <c r="O90" t="inlineStr"/>
      <c r="P90" t="inlineStr"/>
      <c r="Q90" t="inlineStr"/>
      <c r="R90" t="inlineStr">
        <is>
          <t>N</t>
        </is>
      </c>
      <c r="S90" t="inlineStr">
        <is>
          <t>unknown</t>
        </is>
      </c>
      <c r="T90" t="inlineStr">
        <is>
          <t>N</t>
        </is>
      </c>
      <c r="U90" t="inlineStr">
        <is>
          <t>new</t>
        </is>
      </c>
      <c r="V90" t="inlineStr">
        <is>
          <t>https://rebusinessonline.com/?p=393709</t>
        </is>
      </c>
      <c r="W90" t="inlineStr">
        <is>
          <t>2026-10-23</t>
        </is>
      </c>
      <c r="X90" t="inlineStr">
        <is>
          <t>office</t>
        </is>
      </c>
      <c r="Y90" t="inlineStr"/>
      <c r="Z90" t="n">
        <v>89</v>
      </c>
      <c r="AA90" t="inlineStr">
        <is>
          <t>N</t>
        </is>
      </c>
      <c r="AB90" t="inlineStr">
        <is>
          <t>Tuesday estimate band under-40: founder's call (set founder_ok_to_queue = Y to queue)</t>
        </is>
      </c>
      <c r="AC90" t="inlineStr"/>
      <c r="AD90" t="inlineStr">
        <is>
          <t>none</t>
        </is>
      </c>
      <c r="AE90" t="inlineStr"/>
      <c r="AF90" t="inlineStr"/>
      <c r="AG90" t="inlineStr"/>
      <c r="AH90" t="inlineStr">
        <is>
          <t>none</t>
        </is>
      </c>
      <c r="AI90" t="inlineStr">
        <is>
          <t>71 Fifth Avenue</t>
        </is>
      </c>
      <c r="AJ90" t="n">
        <v>6</v>
      </c>
      <c r="AK90" t="inlineStr">
        <is>
          <t>occupancy-unconfirmed</t>
        </is>
      </c>
      <c r="AL90" t="n">
        <v>3</v>
      </c>
      <c r="AM90" t="n">
        <v>50</v>
      </c>
      <c r="AN90" t="inlineStr">
        <is>
          <t>low</t>
        </is>
      </c>
      <c r="AO90" t="inlineStr">
        <is>
          <t>in-office-5</t>
        </is>
      </c>
      <c r="AP90" t="inlineStr">
        <is>
          <t>AO-C-014</t>
        </is>
      </c>
      <c r="AQ90" t="inlineStr">
        <is>
          <t>N</t>
        </is>
      </c>
      <c r="AR90" t="inlineStr"/>
      <c r="AS90" t="inlineStr"/>
      <c r="AT90" t="inlineStr">
        <is>
          <t>N</t>
        </is>
      </c>
      <c r="AU90" t="inlineStr">
        <is>
          <t>no contact named on an opened page; Tuesday estimate band under-40: founder's call</t>
        </is>
      </c>
      <c r="AV90" t="inlineStr"/>
      <c r="AW90" t="inlineStr">
        <is>
          <t>Y</t>
        </is>
      </c>
      <c r="AX90" t="inlineStr">
        <is>
          <t>pass</t>
        </is>
      </c>
      <c r="AY90" t="inlineStr">
        <is>
          <t>passes all hard gates</t>
        </is>
      </c>
      <c r="AZ90" t="inlineStr">
        <is>
          <t>company</t>
        </is>
      </c>
      <c r="BA90" t="inlineStr">
        <is>
          <t>B-C-014</t>
        </is>
      </c>
      <c r="BB90" t="inlineStr">
        <is>
          <t>https://www.captions.ai</t>
        </is>
      </c>
      <c r="BC90" t="inlineStr">
        <is>
          <t>AI video software</t>
        </is>
      </c>
      <c r="BD90" t="n">
        <v>75</v>
      </c>
      <c r="BE90" t="inlineStr"/>
      <c r="BF90" t="inlineStr">
        <is>
          <t>40-75</t>
        </is>
      </c>
      <c r="BG90" t="inlineStr">
        <is>
          <t>whole-company</t>
        </is>
      </c>
      <c r="BH90" t="inlineStr">
        <is>
          <t>single-source</t>
        </is>
      </c>
      <c r="BI90" t="inlineStr">
        <is>
          <t>https://www.builtinnyc.com/company/captions</t>
        </is>
      </c>
      <c r="BJ90" t="inlineStr"/>
      <c r="BK90" t="inlineStr">
        <is>
          <t>le500</t>
        </is>
      </c>
      <c r="BL90" t="inlineStr">
        <is>
          <t>unknown</t>
        </is>
      </c>
      <c r="BM90" t="inlineStr">
        <is>
          <t>unknown</t>
        </is>
      </c>
      <c r="BN90" t="inlineStr">
        <is>
          <t>unknown</t>
        </is>
      </c>
      <c r="BO90" t="inlineStr">
        <is>
          <t>unknown</t>
        </is>
      </c>
      <c r="BP90" t="n">
        <v>10003</v>
      </c>
      <c r="BQ90" t="n">
        <v>40.736419</v>
      </c>
      <c r="BR90" t="n">
        <v>-73.99309599999999</v>
      </c>
      <c r="BS90" t="inlineStr">
        <is>
          <t>Y</t>
        </is>
      </c>
      <c r="BT90" t="n">
        <v>0</v>
      </c>
      <c r="BU90" t="inlineStr">
        <is>
          <t>B-B-004</t>
        </is>
      </c>
      <c r="BV90" t="inlineStr">
        <is>
          <t>71 Fifth Avenue</t>
        </is>
      </c>
      <c r="BW90" t="inlineStr">
        <is>
          <t>https://rebusinessonline.com/?p=393709</t>
        </is>
      </c>
      <c r="BX90" t="inlineStr">
        <is>
          <t>2024-03-01</t>
        </is>
      </c>
      <c r="BY90" t="inlineStr">
        <is>
          <t>leasing-press</t>
        </is>
      </c>
      <c r="BZ90" t="inlineStr"/>
      <c r="CA90" t="inlineStr"/>
      <c r="CB90" t="inlineStr"/>
      <c r="CC90" t="inlineStr">
        <is>
          <t>low</t>
        </is>
      </c>
      <c r="CD90" t="inlineStr"/>
      <c r="CE90" t="inlineStr">
        <is>
          <t>N</t>
        </is>
      </c>
      <c r="CF90" t="inlineStr"/>
      <c r="CG90" t="inlineStr"/>
      <c r="CH90" t="inlineStr">
        <is>
          <t>unknown</t>
        </is>
      </c>
      <c r="CI90" t="inlineStr"/>
      <c r="CJ90" t="inlineStr">
        <is>
          <t>unknown</t>
        </is>
      </c>
      <c r="CK90" t="inlineStr">
        <is>
          <t>N</t>
        </is>
      </c>
      <c r="CL90" t="inlineStr">
        <is>
          <t>Built In workplace type: OnSite Workplace</t>
        </is>
      </c>
      <c r="CM90" t="inlineStr">
        <is>
          <t>https://www.builtinnyc.com/company/captions/offices</t>
        </is>
      </c>
      <c r="CN90" t="inlineStr">
        <is>
          <t>2026-10-24</t>
        </is>
      </c>
      <c r="CO90" t="n">
        <v>12</v>
      </c>
      <c r="CP90" t="inlineStr">
        <is>
          <t>may be under 30;central estimate under 30</t>
        </is>
      </c>
      <c r="CQ90" t="inlineStr">
        <is>
          <t>75 (Built In) staff (whole-company count) x 5% to 100% of them in the New York office (HQ city unknown; share assumed) x 67% (Partnership for NYC, firms under 500) in on a weekday = 3 to 50, central 12; low confidence; estimate until intake replaces it.</t>
        </is>
      </c>
      <c r="CR90" t="inlineStr">
        <is>
          <t>estimate until intake replaces it</t>
        </is>
      </c>
      <c r="CS90" t="n">
        <v>0.08</v>
      </c>
      <c r="CT90" t="n">
        <v>37</v>
      </c>
      <c r="CU90" t="n">
        <v>2</v>
      </c>
      <c r="CV90" t="n">
        <v>15</v>
      </c>
      <c r="CW90" t="n">
        <v>15</v>
      </c>
      <c r="CX90" t="n">
        <v>5</v>
      </c>
      <c r="CY90" t="n">
        <v>0</v>
      </c>
      <c r="CZ90" t="n">
        <v>0</v>
      </c>
      <c r="DA90" t="inlineStr"/>
      <c r="DB90" t="inlineStr"/>
      <c r="DC90" t="inlineStr"/>
      <c r="DD90" t="inlineStr"/>
      <c r="DE90" t="inlineStr"/>
      <c r="DF90" t="inlineStr">
        <is>
          <t>none</t>
        </is>
      </c>
      <c r="DG90" t="inlineStr">
        <is>
          <t>candidate</t>
        </is>
      </c>
      <c r="DH90" t="inlineStr"/>
      <c r="DI90" t="inlineStr"/>
      <c r="DJ90" t="inlineStr">
        <is>
          <t>15,202 sf</t>
        </is>
      </c>
      <c r="DK90" t="inlineStr">
        <is>
          <t>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is>
      </c>
      <c r="DL90" t="inlineStr"/>
      <c r="DM90" t="inlineStr"/>
      <c r="DN90" t="inlineStr"/>
      <c r="DO90" t="inlineStr"/>
      <c r="DP90" t="inlineStr"/>
      <c r="DQ90" t="inlineStr"/>
      <c r="DR90" t="inlineStr"/>
      <c r="DS90" t="inlineStr">
        <is>
          <t>none</t>
        </is>
      </c>
      <c r="DT90" t="inlineStr"/>
      <c r="DU90" t="inlineStr"/>
      <c r="DV90" t="inlineStr"/>
      <c r="DW90" t="inlineStr"/>
      <c r="DX90" t="inlineStr">
        <is>
          <t>N</t>
        </is>
      </c>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f>IF(ISNUMBER(MATCH(U90,{"queued","contacted","replied","call_booked","call_done","yes_in_principle","materials_sent"},0)),"Y","N")</f>
        <v/>
      </c>
      <c r="ES90">
        <f>IF(COUNTIFS($AP$2:$AP$1000,AP90,$ER$2:$ER$1000,"Y")+COUNTIFS($AP$2:$AP$1000,AP90,$T$2:$T$1000,"Y")&gt;0,"Y","N")</f>
        <v/>
      </c>
      <c r="ET90">
        <f>IF(AND(U90="new",T90="N",AT90="Y",AS90="",ES90="N"),"Y","N")</f>
        <v/>
      </c>
      <c r="EU90">
        <f>IF(ET90&lt;&gt;"Y","N",IF(COUNTIFS($AP$2:$AP$1000,AP90,$ET$2:$ET$1000,"Y",$J$2:$J$1000,"&gt;"&amp;J90)+COUNTIFS($AP$2:$AP$1000,AP90,$ET$2:$ET$1000,"Y",$J$2:$J$1000,J90,$EW$2:$EW$1000,"&lt;"&amp;EW90)=0,"Y","N"))</f>
        <v/>
      </c>
      <c r="EV90">
        <f>IF(Y90="","N",IF(Y90&lt;=10,"Y","N"))</f>
        <v/>
      </c>
      <c r="EW90">
        <f>ROW()-1</f>
        <v/>
      </c>
    </row>
    <row r="91">
      <c r="A91" t="inlineStr">
        <is>
          <t>AO-C-044</t>
        </is>
      </c>
      <c r="B91" t="inlineStr">
        <is>
          <t>Galvanize Climate Solutions</t>
        </is>
      </c>
      <c r="C91" t="inlineStr"/>
      <c r="D91" t="inlineStr"/>
      <c r="E91" t="inlineStr"/>
      <c r="F91" t="inlineStr"/>
      <c r="G91" t="inlineStr"/>
      <c r="H91" t="inlineStr">
        <is>
          <t>none</t>
        </is>
      </c>
      <c r="I91" t="inlineStr">
        <is>
          <t>linkedin</t>
        </is>
      </c>
      <c r="J91" t="n">
        <v>36.6</v>
      </c>
      <c r="K91" t="inlineStr">
        <is>
          <t>Tuesday estimate 2 to 49 (low confidence), under 500 staff company-wide, on-site 5 days a week per its profile, signed-not-occupied at a medium-confidence address (hold: lease signed, move not confirmed); contacts not researched yet (below the top 50).</t>
        </is>
      </c>
      <c r="L91" t="inlineStr">
        <is>
          <t>under-40</t>
        </is>
      </c>
      <c r="M91" t="inlineStr"/>
      <c r="N91" t="inlineStr"/>
      <c r="O91" t="inlineStr"/>
      <c r="P91" t="inlineStr"/>
      <c r="Q91" t="inlineStr"/>
      <c r="R91" t="inlineStr">
        <is>
          <t>N</t>
        </is>
      </c>
      <c r="S91" t="inlineStr">
        <is>
          <t>unknown</t>
        </is>
      </c>
      <c r="T91" t="inlineStr">
        <is>
          <t>N</t>
        </is>
      </c>
      <c r="U91" t="inlineStr">
        <is>
          <t>new</t>
        </is>
      </c>
      <c r="V91" t="inlineStr">
        <is>
          <t>https://commercialobserver.com/2026/04/adyen-lease-111-115-fifth-avenue/</t>
        </is>
      </c>
      <c r="W91" t="inlineStr">
        <is>
          <t>2026-10-23</t>
        </is>
      </c>
      <c r="X91" t="inlineStr">
        <is>
          <t>office</t>
        </is>
      </c>
      <c r="Y91" t="inlineStr"/>
      <c r="Z91" t="n">
        <v>90</v>
      </c>
      <c r="AA91" t="inlineStr">
        <is>
          <t>N</t>
        </is>
      </c>
      <c r="AB91" t="inlineStr">
        <is>
          <t>Tuesday estimate band under-40: founder's call (set founder_ok_to_queue = Y to queue)</t>
        </is>
      </c>
      <c r="AC91" t="inlineStr"/>
      <c r="AD91" t="inlineStr">
        <is>
          <t>none</t>
        </is>
      </c>
      <c r="AE91" t="inlineStr"/>
      <c r="AF91" t="inlineStr"/>
      <c r="AG91" t="inlineStr"/>
      <c r="AH91" t="inlineStr">
        <is>
          <t>none</t>
        </is>
      </c>
      <c r="AI91" t="inlineStr">
        <is>
          <t>111 Fifth Avenue</t>
        </is>
      </c>
      <c r="AJ91" t="n">
        <v>3</v>
      </c>
      <c r="AK91" t="inlineStr">
        <is>
          <t>signed-not-occupied</t>
        </is>
      </c>
      <c r="AL91" t="n">
        <v>2</v>
      </c>
      <c r="AM91" t="n">
        <v>49</v>
      </c>
      <c r="AN91" t="inlineStr">
        <is>
          <t>low</t>
        </is>
      </c>
      <c r="AO91" t="inlineStr">
        <is>
          <t>in-office-5</t>
        </is>
      </c>
      <c r="AP91" t="inlineStr">
        <is>
          <t>AO-C-044</t>
        </is>
      </c>
      <c r="AQ91" t="inlineStr">
        <is>
          <t>Y</t>
        </is>
      </c>
      <c r="AR91" t="inlineStr">
        <is>
          <t>lease signed, move not confirmed: check the lobby directory before outreach (B)</t>
        </is>
      </c>
      <c r="AS91" t="inlineStr"/>
      <c r="AT91" t="inlineStr">
        <is>
          <t>N</t>
        </is>
      </c>
      <c r="AU91" t="inlineStr">
        <is>
          <t>on hold: lease signed, move not confirmed: check the lobby directory before outreach (B); no contact named on an opened page; Tuesday estimate band under-40: founder's call</t>
        </is>
      </c>
      <c r="AV91" t="inlineStr"/>
      <c r="AW91" t="inlineStr">
        <is>
          <t>Y</t>
        </is>
      </c>
      <c r="AX91" t="inlineStr">
        <is>
          <t>pass</t>
        </is>
      </c>
      <c r="AY91" t="inlineStr">
        <is>
          <t>passes all hard gates</t>
        </is>
      </c>
      <c r="AZ91" t="inlineStr">
        <is>
          <t>company</t>
        </is>
      </c>
      <c r="BA91" t="inlineStr">
        <is>
          <t>B-C-044</t>
        </is>
      </c>
      <c r="BB91" t="inlineStr">
        <is>
          <t>https://galvanizeclimate.com</t>
        </is>
      </c>
      <c r="BC91" t="inlineStr">
        <is>
          <t>climate investment</t>
        </is>
      </c>
      <c r="BD91" t="n">
        <v>73</v>
      </c>
      <c r="BE91" t="inlineStr"/>
      <c r="BF91" t="inlineStr">
        <is>
          <t>40-75</t>
        </is>
      </c>
      <c r="BG91" t="inlineStr">
        <is>
          <t>whole-company</t>
        </is>
      </c>
      <c r="BH91" t="inlineStr">
        <is>
          <t>single-source</t>
        </is>
      </c>
      <c r="BI91" t="inlineStr">
        <is>
          <t>https://www.builtinnyc.com/company/galvanize-climate-solutions</t>
        </is>
      </c>
      <c r="BJ91" t="inlineStr"/>
      <c r="BK91" t="inlineStr">
        <is>
          <t>le500</t>
        </is>
      </c>
      <c r="BL91" t="inlineStr">
        <is>
          <t>San Francisco</t>
        </is>
      </c>
      <c r="BM91" t="inlineStr">
        <is>
          <t>N</t>
        </is>
      </c>
      <c r="BN91" t="inlineStr">
        <is>
          <t>unknown</t>
        </is>
      </c>
      <c r="BO91" t="inlineStr">
        <is>
          <t>unknown</t>
        </is>
      </c>
      <c r="BP91" t="n">
        <v>10003</v>
      </c>
      <c r="BQ91" t="n">
        <v>40.73865</v>
      </c>
      <c r="BR91" t="n">
        <v>-73.991471</v>
      </c>
      <c r="BS91" t="inlineStr">
        <is>
          <t>Y</t>
        </is>
      </c>
      <c r="BT91" t="n">
        <v>0</v>
      </c>
      <c r="BU91" t="inlineStr">
        <is>
          <t>B-B-018</t>
        </is>
      </c>
      <c r="BV91" t="inlineStr">
        <is>
          <t>111 Fifth Avenue (Winter Organization)</t>
        </is>
      </c>
      <c r="BW91" t="inlineStr">
        <is>
          <t>https://commercialobserver.com/2026/04/adyen-lease-111-115-fifth-avenue/</t>
        </is>
      </c>
      <c r="BX91" t="inlineStr">
        <is>
          <t>2026-04-07</t>
        </is>
      </c>
      <c r="BY91" t="inlineStr">
        <is>
          <t>leasing-press</t>
        </is>
      </c>
      <c r="BZ91" t="inlineStr"/>
      <c r="CA91" t="inlineStr"/>
      <c r="CB91" t="inlineStr"/>
      <c r="CC91" t="inlineStr">
        <is>
          <t>medium</t>
        </is>
      </c>
      <c r="CD91" t="inlineStr">
        <is>
          <t>unknown</t>
        </is>
      </c>
      <c r="CE91" t="inlineStr">
        <is>
          <t>N</t>
        </is>
      </c>
      <c r="CF91" t="inlineStr"/>
      <c r="CG91" t="inlineStr"/>
      <c r="CH91" t="inlineStr">
        <is>
          <t>unknown</t>
        </is>
      </c>
      <c r="CI91" t="inlineStr"/>
      <c r="CJ91" t="inlineStr">
        <is>
          <t>unknown</t>
        </is>
      </c>
      <c r="CK91" t="inlineStr">
        <is>
          <t>N</t>
        </is>
      </c>
      <c r="CL91" t="inlineStr">
        <is>
          <t>Built In workplace type: OnSite Workplace; typical time on-site: 5 days a week; recent job tags: 2 In-Office</t>
        </is>
      </c>
      <c r="CM91" t="inlineStr">
        <is>
          <t>https://www.builtinnyc.com/company/galvanize-climate-solutions/offices</t>
        </is>
      </c>
      <c r="CN91" t="inlineStr">
        <is>
          <t>2026-10-24</t>
        </is>
      </c>
      <c r="CO91" t="n">
        <v>10</v>
      </c>
      <c r="CP91" t="inlineStr">
        <is>
          <t>may be under 30;central estimate under 30</t>
        </is>
      </c>
      <c r="CQ91" t="inlineStr">
        <is>
          <t>73 (Built In) staff (whole-company count) x 5% to 100% of them in the New York office (HQ outside New York; share assumed) x 67% (Partnership for NYC, firms under 500) in on a weekday = 2 to 49, central 10; low confidence; estimate until intake replaces it.</t>
        </is>
      </c>
      <c r="CR91" t="inlineStr">
        <is>
          <t>estimate until intake replaces it</t>
        </is>
      </c>
      <c r="CS91" t="n">
        <v>0.06</v>
      </c>
      <c r="CT91" t="n">
        <v>36.6</v>
      </c>
      <c r="CU91" t="n">
        <v>1.6</v>
      </c>
      <c r="CV91" t="n">
        <v>15</v>
      </c>
      <c r="CW91" t="n">
        <v>15</v>
      </c>
      <c r="CX91" t="n">
        <v>5</v>
      </c>
      <c r="CY91" t="n">
        <v>0</v>
      </c>
      <c r="CZ91" t="n">
        <v>0</v>
      </c>
      <c r="DA91" t="inlineStr"/>
      <c r="DB91" t="inlineStr"/>
      <c r="DC91" t="inlineStr"/>
      <c r="DD91" t="inlineStr"/>
      <c r="DE91" t="inlineStr"/>
      <c r="DF91" t="inlineStr">
        <is>
          <t>none</t>
        </is>
      </c>
      <c r="DG91" t="inlineStr">
        <is>
          <t>candidate</t>
        </is>
      </c>
      <c r="DH91" t="inlineStr"/>
      <c r="DI91" t="inlineStr"/>
      <c r="DJ91" t="inlineStr">
        <is>
          <t>20,000 sf</t>
        </is>
      </c>
      <c r="DK91" t="inlineStr">
        <is>
          <t>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is>
      </c>
      <c r="DL91" t="inlineStr"/>
      <c r="DM91" t="inlineStr"/>
      <c r="DN91" t="inlineStr"/>
      <c r="DO91" t="inlineStr"/>
      <c r="DP91" t="inlineStr"/>
      <c r="DQ91" t="inlineStr"/>
      <c r="DR91" t="inlineStr"/>
      <c r="DS91" t="inlineStr">
        <is>
          <t>none</t>
        </is>
      </c>
      <c r="DT91" t="inlineStr"/>
      <c r="DU91" t="inlineStr"/>
      <c r="DV91" t="inlineStr"/>
      <c r="DW91" t="inlineStr"/>
      <c r="DX91" t="inlineStr">
        <is>
          <t>N</t>
        </is>
      </c>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f>IF(ISNUMBER(MATCH(U91,{"queued","contacted","replied","call_booked","call_done","yes_in_principle","materials_sent"},0)),"Y","N")</f>
        <v/>
      </c>
      <c r="ES91">
        <f>IF(COUNTIFS($AP$2:$AP$1000,AP91,$ER$2:$ER$1000,"Y")+COUNTIFS($AP$2:$AP$1000,AP91,$T$2:$T$1000,"Y")&gt;0,"Y","N")</f>
        <v/>
      </c>
      <c r="ET91">
        <f>IF(AND(U91="new",T91="N",AT91="Y",AS91="",ES91="N"),"Y","N")</f>
        <v/>
      </c>
      <c r="EU91">
        <f>IF(ET91&lt;&gt;"Y","N",IF(COUNTIFS($AP$2:$AP$1000,AP91,$ET$2:$ET$1000,"Y",$J$2:$J$1000,"&gt;"&amp;J91)+COUNTIFS($AP$2:$AP$1000,AP91,$ET$2:$ET$1000,"Y",$J$2:$J$1000,J91,$EW$2:$EW$1000,"&lt;"&amp;EW91)=0,"Y","N"))</f>
        <v/>
      </c>
      <c r="EV91">
        <f>IF(Y91="","N",IF(Y91&lt;=10,"Y","N"))</f>
        <v/>
      </c>
      <c r="EW91">
        <f>ROW()-1</f>
        <v/>
      </c>
    </row>
    <row r="92">
      <c r="A92" t="inlineStr">
        <is>
          <t>AO-C-268</t>
        </is>
      </c>
      <c r="B92" t="inlineStr">
        <is>
          <t>Bridgewater Associates (first Manhattan office)</t>
        </is>
      </c>
      <c r="C92" t="inlineStr"/>
      <c r="D92" t="inlineStr"/>
      <c r="E92" t="inlineStr"/>
      <c r="F92" t="inlineStr"/>
      <c r="G92" t="inlineStr"/>
      <c r="H92" t="inlineStr">
        <is>
          <t>none</t>
        </is>
      </c>
      <c r="I92" t="inlineStr">
        <is>
          <t>linkedin</t>
        </is>
      </c>
      <c r="J92" t="n">
        <v>36.3</v>
      </c>
      <c r="K92" t="inlineStr">
        <is>
          <t>Tuesday estimate 45 to 910 (low confidence), 1,001 to 4,999 staff company-wide, on-site 5 days a week per its profile, occupancy-unconfirmed at a low-confidence address; contacts not researched yet (below the top 50).</t>
        </is>
      </c>
      <c r="L92" t="inlineStr">
        <is>
          <t>151-250</t>
        </is>
      </c>
      <c r="M92" t="inlineStr"/>
      <c r="N92" t="inlineStr"/>
      <c r="O92" t="inlineStr"/>
      <c r="P92" t="inlineStr"/>
      <c r="Q92" t="inlineStr"/>
      <c r="R92" t="inlineStr">
        <is>
          <t>N</t>
        </is>
      </c>
      <c r="S92" t="inlineStr">
        <is>
          <t>unknown</t>
        </is>
      </c>
      <c r="T92" t="inlineStr">
        <is>
          <t>N</t>
        </is>
      </c>
      <c r="U92" t="inlineStr">
        <is>
          <t>new</t>
        </is>
      </c>
      <c r="V92" t="inlineStr">
        <is>
          <t>https://commercialobserver.com/2024/09/bridgewater-associates-lease-295-fifth-avenue/</t>
        </is>
      </c>
      <c r="W92" t="inlineStr">
        <is>
          <t>2026-10-23</t>
        </is>
      </c>
      <c r="X92" t="inlineStr">
        <is>
          <t>office</t>
        </is>
      </c>
      <c r="Y92" t="inlineStr"/>
      <c r="Z92" t="n">
        <v>91</v>
      </c>
      <c r="AA92" t="inlineStr">
        <is>
          <t>N</t>
        </is>
      </c>
      <c r="AB92" t="inlineStr"/>
      <c r="AC92" t="inlineStr"/>
      <c r="AD92" t="inlineStr">
        <is>
          <t>none</t>
        </is>
      </c>
      <c r="AE92" t="inlineStr"/>
      <c r="AF92" t="inlineStr"/>
      <c r="AG92" t="inlineStr"/>
      <c r="AH92" t="inlineStr">
        <is>
          <t>none</t>
        </is>
      </c>
      <c r="AI92" t="inlineStr">
        <is>
          <t>295 Fifth Avenue</t>
        </is>
      </c>
      <c r="AJ92" t="inlineStr">
        <is>
          <t>unknown</t>
        </is>
      </c>
      <c r="AK92" t="inlineStr">
        <is>
          <t>occupancy-unconfirmed</t>
        </is>
      </c>
      <c r="AL92" t="n">
        <v>45</v>
      </c>
      <c r="AM92" t="n">
        <v>910</v>
      </c>
      <c r="AN92" t="inlineStr">
        <is>
          <t>low</t>
        </is>
      </c>
      <c r="AO92" t="inlineStr">
        <is>
          <t>in-office-5</t>
        </is>
      </c>
      <c r="AP92" t="inlineStr">
        <is>
          <t>AO-C-268</t>
        </is>
      </c>
      <c r="AQ92" t="inlineStr">
        <is>
          <t>N</t>
        </is>
      </c>
      <c r="AR92" t="inlineStr"/>
      <c r="AS92" t="inlineStr"/>
      <c r="AT92" t="inlineStr">
        <is>
          <t>N</t>
        </is>
      </c>
      <c r="AU92" t="inlineStr">
        <is>
          <t>no contact named on an opened page</t>
        </is>
      </c>
      <c r="AV92" t="inlineStr"/>
      <c r="AW92" t="inlineStr">
        <is>
          <t>N</t>
        </is>
      </c>
      <c r="AX92" t="inlineStr">
        <is>
          <t>pass</t>
        </is>
      </c>
      <c r="AY92" t="inlineStr">
        <is>
          <t>passes all hard gates</t>
        </is>
      </c>
      <c r="AZ92" t="inlineStr">
        <is>
          <t>company</t>
        </is>
      </c>
      <c r="BA92" t="inlineStr">
        <is>
          <t>B-C-268</t>
        </is>
      </c>
      <c r="BB92" t="inlineStr">
        <is>
          <t>unknown</t>
        </is>
      </c>
      <c r="BC92" t="inlineStr">
        <is>
          <t>hedge fund</t>
        </is>
      </c>
      <c r="BD92" t="n">
        <v>1596</v>
      </c>
      <c r="BE92" t="inlineStr"/>
      <c r="BF92" t="inlineStr">
        <is>
          <t>over-500</t>
        </is>
      </c>
      <c r="BG92" t="inlineStr">
        <is>
          <t>whole-company</t>
        </is>
      </c>
      <c r="BH92" t="inlineStr">
        <is>
          <t>single-source</t>
        </is>
      </c>
      <c r="BI92" t="inlineStr">
        <is>
          <t>https://www.builtinnyc.com/company/bridgewater-associates/offices</t>
        </is>
      </c>
      <c r="BJ92" t="inlineStr"/>
      <c r="BK92" t="inlineStr">
        <is>
          <t>1001-4999</t>
        </is>
      </c>
      <c r="BL92" t="inlineStr">
        <is>
          <t>Westport</t>
        </is>
      </c>
      <c r="BM92" t="inlineStr">
        <is>
          <t>N</t>
        </is>
      </c>
      <c r="BN92" t="inlineStr">
        <is>
          <t>unknown</t>
        </is>
      </c>
      <c r="BO92" t="inlineStr">
        <is>
          <t>unknown</t>
        </is>
      </c>
      <c r="BP92" t="n">
        <v>10016</v>
      </c>
      <c r="BQ92" t="n">
        <v>40.746186</v>
      </c>
      <c r="BR92" t="n">
        <v>-73.985981</v>
      </c>
      <c r="BS92" t="inlineStr">
        <is>
          <t>Y</t>
        </is>
      </c>
      <c r="BT92" t="n">
        <v>0</v>
      </c>
      <c r="BU92" t="inlineStr">
        <is>
          <t>B-B-082</t>
        </is>
      </c>
      <c r="BV92" t="inlineStr">
        <is>
          <t>Textile Building, 295 Fifth Avenue (Tribeca Investment Group, PGIM Real Estate, Meadow Partners)</t>
        </is>
      </c>
      <c r="BW92" t="inlineStr">
        <is>
          <t>https://commercialobserver.com/2024/09/bridgewater-associates-lease-295-fifth-avenue/</t>
        </is>
      </c>
      <c r="BX92" t="inlineStr">
        <is>
          <t>2024-09-30</t>
        </is>
      </c>
      <c r="BY92" t="inlineStr">
        <is>
          <t>leasing-press</t>
        </is>
      </c>
      <c r="BZ92" t="inlineStr"/>
      <c r="CA92" t="inlineStr"/>
      <c r="CB92" t="inlineStr"/>
      <c r="CC92" t="inlineStr">
        <is>
          <t>low</t>
        </is>
      </c>
      <c r="CD92" t="inlineStr"/>
      <c r="CE92" t="inlineStr">
        <is>
          <t>N</t>
        </is>
      </c>
      <c r="CF92" t="inlineStr"/>
      <c r="CG92" t="inlineStr"/>
      <c r="CH92" t="inlineStr">
        <is>
          <t>unknown</t>
        </is>
      </c>
      <c r="CI92" t="inlineStr"/>
      <c r="CJ92" t="inlineStr">
        <is>
          <t>unknown</t>
        </is>
      </c>
      <c r="CK92" t="inlineStr">
        <is>
          <t>N</t>
        </is>
      </c>
      <c r="CL92" t="inlineStr">
        <is>
          <t>Built In workplace type: OnSite Workplace; typical time on-site: 5 days a week; recent job tags: 3 In-Office</t>
        </is>
      </c>
      <c r="CM92" t="inlineStr">
        <is>
          <t>https://www.builtinnyc.com/company/bridgewater-associates/offices</t>
        </is>
      </c>
      <c r="CN92" t="inlineStr">
        <is>
          <t>2026-10-24</t>
        </is>
      </c>
      <c r="CO92" t="n">
        <v>202</v>
      </c>
      <c r="CP92" t="inlineStr">
        <is>
          <t>may exceed 250</t>
        </is>
      </c>
      <c r="CQ92" t="inlineStr">
        <is>
          <t>1596 (Built In) staff (whole-company count) x 5% to 100% of them in the New York office (HQ outside New York; share assumed) x 57% (Partnership for NYC, all Manhattan firms; no figure for 500 to 4,999) in on a weekday = 45 to 910, central 202; low confidence; estimate until intake replaces it.</t>
        </is>
      </c>
      <c r="CR92" t="inlineStr">
        <is>
          <t>estimate until intake replaces it</t>
        </is>
      </c>
      <c r="CS92" t="n">
        <v>0.57</v>
      </c>
      <c r="CT92" t="n">
        <v>36.3</v>
      </c>
      <c r="CU92" t="n">
        <v>14.3</v>
      </c>
      <c r="CV92" t="n">
        <v>2</v>
      </c>
      <c r="CW92" t="n">
        <v>15</v>
      </c>
      <c r="CX92" t="n">
        <v>5</v>
      </c>
      <c r="CY92" t="n">
        <v>0</v>
      </c>
      <c r="CZ92" t="n">
        <v>0</v>
      </c>
      <c r="DA92" t="inlineStr"/>
      <c r="DB92" t="inlineStr"/>
      <c r="DC92" t="inlineStr"/>
      <c r="DD92" t="inlineStr"/>
      <c r="DE92" t="inlineStr"/>
      <c r="DF92" t="inlineStr">
        <is>
          <t>none</t>
        </is>
      </c>
      <c r="DG92" t="inlineStr">
        <is>
          <t>near-miss-over-500</t>
        </is>
      </c>
      <c r="DH92" t="inlineStr">
        <is>
          <t>over-1,000 (1,001 to 4,999)</t>
        </is>
      </c>
      <c r="DI92" t="inlineStr">
        <is>
          <t>N</t>
        </is>
      </c>
      <c r="DJ92" t="inlineStr">
        <is>
          <t>60,000 sf</t>
        </is>
      </c>
      <c r="DK92" t="inlineStr">
        <is>
          <t>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is>
      </c>
      <c r="DL92" t="inlineStr"/>
      <c r="DM92" t="inlineStr"/>
      <c r="DN92" t="inlineStr"/>
      <c r="DO92" t="inlineStr"/>
      <c r="DP92" t="inlineStr"/>
      <c r="DQ92" t="inlineStr"/>
      <c r="DR92" t="inlineStr"/>
      <c r="DS92" t="inlineStr">
        <is>
          <t>none</t>
        </is>
      </c>
      <c r="DT92" t="inlineStr"/>
      <c r="DU92" t="inlineStr"/>
      <c r="DV92" t="inlineStr"/>
      <c r="DW92" t="inlineStr"/>
      <c r="DX92" t="inlineStr">
        <is>
          <t>N</t>
        </is>
      </c>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f>IF(ISNUMBER(MATCH(U92,{"queued","contacted","replied","call_booked","call_done","yes_in_principle","materials_sent"},0)),"Y","N")</f>
        <v/>
      </c>
      <c r="ES92">
        <f>IF(COUNTIFS($AP$2:$AP$1000,AP92,$ER$2:$ER$1000,"Y")+COUNTIFS($AP$2:$AP$1000,AP92,$T$2:$T$1000,"Y")&gt;0,"Y","N")</f>
        <v/>
      </c>
      <c r="ET92">
        <f>IF(AND(U92="new",T92="N",AT92="Y",AS92="",ES92="N"),"Y","N")</f>
        <v/>
      </c>
      <c r="EU92">
        <f>IF(ET92&lt;&gt;"Y","N",IF(COUNTIFS($AP$2:$AP$1000,AP92,$ET$2:$ET$1000,"Y",$J$2:$J$1000,"&gt;"&amp;J92)+COUNTIFS($AP$2:$AP$1000,AP92,$ET$2:$ET$1000,"Y",$J$2:$J$1000,J92,$EW$2:$EW$1000,"&lt;"&amp;EW92)=0,"Y","N"))</f>
        <v/>
      </c>
      <c r="EV92">
        <f>IF(Y92="","N",IF(Y92&lt;=10,"Y","N"))</f>
        <v/>
      </c>
      <c r="EW92">
        <f>ROW()-1</f>
        <v/>
      </c>
    </row>
    <row r="93">
      <c r="A93" t="inlineStr">
        <is>
          <t>AO-C-180</t>
        </is>
      </c>
      <c r="B93" t="inlineStr">
        <is>
          <t>Robin Hood</t>
        </is>
      </c>
      <c r="C93" t="inlineStr"/>
      <c r="D93" t="inlineStr"/>
      <c r="E93" t="inlineStr"/>
      <c r="F93" t="inlineStr"/>
      <c r="G93" t="inlineStr"/>
      <c r="H93" t="inlineStr">
        <is>
          <t>none</t>
        </is>
      </c>
      <c r="I93" t="inlineStr">
        <is>
          <t>linkedin</t>
        </is>
      </c>
      <c r="J93" t="n">
        <v>36.3</v>
      </c>
      <c r="K93" t="inlineStr">
        <is>
          <t>Tuesday estimate 188 to 376 (low confidence), 501 to 1,000 staff company-wide, on-site 5 days a week per its profile, signed-not-occupied at a medium-confidence address (hold: lease signed, move not confirmed); contacts not researched yet (below the top 50).</t>
        </is>
      </c>
      <c r="L93" t="inlineStr">
        <is>
          <t>251-500</t>
        </is>
      </c>
      <c r="M93" t="inlineStr"/>
      <c r="N93" t="inlineStr"/>
      <c r="O93" t="inlineStr">
        <is>
          <t>New or renewed lease at 841 Broadway reported 2026-06-22</t>
        </is>
      </c>
      <c r="P93" t="inlineStr">
        <is>
          <t>https://rebusinessonline.com/robin-hood-signs-53000-sf-office-lease-at-841-broadway-in-manhattan/</t>
        </is>
      </c>
      <c r="Q93" t="inlineStr">
        <is>
          <t>2026-06-22</t>
        </is>
      </c>
      <c r="R93" t="inlineStr">
        <is>
          <t>N</t>
        </is>
      </c>
      <c r="S93" t="inlineStr">
        <is>
          <t>unknown</t>
        </is>
      </c>
      <c r="T93" t="inlineStr">
        <is>
          <t>N</t>
        </is>
      </c>
      <c r="U93" t="inlineStr">
        <is>
          <t>new</t>
        </is>
      </c>
      <c r="V93" t="inlineStr">
        <is>
          <t>https://rebusinessonline.com/robin-hood-signs-53000-sf-office-lease-at-841-broadway-in-manhattan/</t>
        </is>
      </c>
      <c r="W93" t="inlineStr">
        <is>
          <t>2026-10-23</t>
        </is>
      </c>
      <c r="X93" t="inlineStr">
        <is>
          <t>office</t>
        </is>
      </c>
      <c r="Y93" t="inlineStr"/>
      <c r="Z93" t="n">
        <v>92</v>
      </c>
      <c r="AA93" t="inlineStr">
        <is>
          <t>N</t>
        </is>
      </c>
      <c r="AB93" t="inlineStr">
        <is>
          <t>Tuesday estimate band 251-500: founder's call (set founder_ok_to_queue = Y to queue)</t>
        </is>
      </c>
      <c r="AC93" t="inlineStr"/>
      <c r="AD93" t="inlineStr">
        <is>
          <t>none</t>
        </is>
      </c>
      <c r="AE93" t="inlineStr"/>
      <c r="AF93" t="inlineStr"/>
      <c r="AG93" t="inlineStr"/>
      <c r="AH93" t="inlineStr">
        <is>
          <t>none</t>
        </is>
      </c>
      <c r="AI93" t="inlineStr">
        <is>
          <t>841 Broadway</t>
        </is>
      </c>
      <c r="AJ93" t="inlineStr">
        <is>
          <t>5-8</t>
        </is>
      </c>
      <c r="AK93" t="inlineStr">
        <is>
          <t>signed-not-occupied</t>
        </is>
      </c>
      <c r="AL93" t="n">
        <v>188</v>
      </c>
      <c r="AM93" t="n">
        <v>376</v>
      </c>
      <c r="AN93" t="inlineStr">
        <is>
          <t>low</t>
        </is>
      </c>
      <c r="AO93" t="inlineStr">
        <is>
          <t>in-office-5</t>
        </is>
      </c>
      <c r="AP93" t="inlineStr">
        <is>
          <t>AO-C-180</t>
        </is>
      </c>
      <c r="AQ93" t="inlineStr">
        <is>
          <t>Y</t>
        </is>
      </c>
      <c r="AR93" t="inlineStr">
        <is>
          <t>lease signed, move not confirmed: check the lobby directory before outreach (B)</t>
        </is>
      </c>
      <c r="AS93" t="inlineStr"/>
      <c r="AT93" t="inlineStr">
        <is>
          <t>N</t>
        </is>
      </c>
      <c r="AU93" t="inlineStr">
        <is>
          <t>on hold: lease signed, move not confirmed: check the lobby directory before outreach (B); no contact named on an opened page; Tuesday estimate band 251-500: founder's call</t>
        </is>
      </c>
      <c r="AV93" t="inlineStr"/>
      <c r="AW93" t="inlineStr">
        <is>
          <t>Y</t>
        </is>
      </c>
      <c r="AX93" t="inlineStr">
        <is>
          <t>pass</t>
        </is>
      </c>
      <c r="AY93" t="inlineStr">
        <is>
          <t>passes all hard gates</t>
        </is>
      </c>
      <c r="AZ93" t="inlineStr">
        <is>
          <t>company</t>
        </is>
      </c>
      <c r="BA93" t="inlineStr">
        <is>
          <t>B-C-180</t>
        </is>
      </c>
      <c r="BB93" t="inlineStr">
        <is>
          <t>https://www.robinhood.org</t>
        </is>
      </c>
      <c r="BC93" t="inlineStr">
        <is>
          <t>nonprofit (anti-poverty philanthropy)</t>
        </is>
      </c>
      <c r="BD93" t="n">
        <v>659</v>
      </c>
      <c r="BE93" t="inlineStr"/>
      <c r="BF93" t="inlineStr">
        <is>
          <t>over-500</t>
        </is>
      </c>
      <c r="BG93" t="inlineStr">
        <is>
          <t>whole-company</t>
        </is>
      </c>
      <c r="BH93" t="inlineStr">
        <is>
          <t>single-source</t>
        </is>
      </c>
      <c r="BI93" t="inlineStr">
        <is>
          <t>https://www.builtinnyc.com/company/robin-hood</t>
        </is>
      </c>
      <c r="BJ93" t="inlineStr"/>
      <c r="BK93" t="inlineStr">
        <is>
          <t>501-1000</t>
        </is>
      </c>
      <c r="BL93" t="inlineStr">
        <is>
          <t>New York</t>
        </is>
      </c>
      <c r="BM93" t="inlineStr">
        <is>
          <t>Y</t>
        </is>
      </c>
      <c r="BN93" t="inlineStr">
        <is>
          <t>unknown</t>
        </is>
      </c>
      <c r="BO93" t="inlineStr">
        <is>
          <t>unknown</t>
        </is>
      </c>
      <c r="BP93" t="n">
        <v>10003</v>
      </c>
      <c r="BQ93" t="n">
        <v>40.734305</v>
      </c>
      <c r="BR93" t="n">
        <v>-73.99105900000001</v>
      </c>
      <c r="BS93" t="inlineStr">
        <is>
          <t>Y</t>
        </is>
      </c>
      <c r="BT93" t="n">
        <v>0</v>
      </c>
      <c r="BU93" t="inlineStr">
        <is>
          <t>B-B-001</t>
        </is>
      </c>
      <c r="BV93" t="inlineStr">
        <is>
          <t>853 Broadway (Union Building)</t>
        </is>
      </c>
      <c r="BW93" t="inlineStr">
        <is>
          <t>https://rebusinessonline.com/robin-hood-signs-53000-sf-office-lease-at-841-broadway-in-manhattan/</t>
        </is>
      </c>
      <c r="BX93" t="inlineStr">
        <is>
          <t>2026-06-22</t>
        </is>
      </c>
      <c r="BY93" t="inlineStr">
        <is>
          <t>leasing-press</t>
        </is>
      </c>
      <c r="BZ93" t="inlineStr">
        <is>
          <t>https://commercialobserver.com/2026/04/nonprofit-robin-hood-lease-841-broadway/</t>
        </is>
      </c>
      <c r="CA93" t="inlineStr">
        <is>
          <t>2026-04-08</t>
        </is>
      </c>
      <c r="CB93" t="inlineStr"/>
      <c r="CC93" t="inlineStr">
        <is>
          <t>medium</t>
        </is>
      </c>
      <c r="CD93" t="inlineStr">
        <is>
          <t>unknown</t>
        </is>
      </c>
      <c r="CE93" t="inlineStr">
        <is>
          <t>N</t>
        </is>
      </c>
      <c r="CF93" t="inlineStr"/>
      <c r="CG93" t="inlineStr"/>
      <c r="CH93" t="inlineStr">
        <is>
          <t>security desk</t>
        </is>
      </c>
      <c r="CI93" t="inlineStr">
        <is>
          <t>https://853broadway.sharplaunch.com/</t>
        </is>
      </c>
      <c r="CJ93" t="inlineStr">
        <is>
          <t>unknown</t>
        </is>
      </c>
      <c r="CK93" t="inlineStr">
        <is>
          <t>N</t>
        </is>
      </c>
      <c r="CL93" t="inlineStr">
        <is>
          <t>Built In workplace type: OnSite Workplace; typical time on-site: 5 days a week</t>
        </is>
      </c>
      <c r="CM93" t="inlineStr">
        <is>
          <t>https://www.builtinnyc.com/company/robin-hood/offices</t>
        </is>
      </c>
      <c r="CN93" t="inlineStr">
        <is>
          <t>2026-10-24</t>
        </is>
      </c>
      <c r="CO93" t="n">
        <v>266</v>
      </c>
      <c r="CP93" t="inlineStr">
        <is>
          <t>may exceed 250</t>
        </is>
      </c>
      <c r="CQ93" t="inlineStr">
        <is>
          <t>659 (Built In) staff (whole-company count) x 50% to 100% of them in the New York office (HQ New York; share assumed) x 57% (Partnership for NYC, all Manhattan firms; no figure for 500 to 4,999) in on a weekday = 188 to 376, central 266; low confidence; estimate until intake replaces it.</t>
        </is>
      </c>
      <c r="CR93" t="inlineStr">
        <is>
          <t>estimate until intake replaces it</t>
        </is>
      </c>
      <c r="CS93" t="n">
        <v>0.41</v>
      </c>
      <c r="CT93" t="n">
        <v>36.3</v>
      </c>
      <c r="CU93" t="n">
        <v>10.3</v>
      </c>
      <c r="CV93" t="n">
        <v>6</v>
      </c>
      <c r="CW93" t="n">
        <v>15</v>
      </c>
      <c r="CX93" t="n">
        <v>5</v>
      </c>
      <c r="CY93" t="n">
        <v>0</v>
      </c>
      <c r="CZ93" t="n">
        <v>0</v>
      </c>
      <c r="DA93" t="inlineStr"/>
      <c r="DB93" t="inlineStr"/>
      <c r="DC93" t="inlineStr"/>
      <c r="DD93" t="inlineStr"/>
      <c r="DE93" t="inlineStr"/>
      <c r="DF93" t="inlineStr">
        <is>
          <t>none</t>
        </is>
      </c>
      <c r="DG93" t="inlineStr">
        <is>
          <t>near-miss-over-500</t>
        </is>
      </c>
      <c r="DH93" t="inlineStr">
        <is>
          <t>just-over-500 (501 to 1,000)</t>
        </is>
      </c>
      <c r="DI93" t="inlineStr">
        <is>
          <t>N</t>
        </is>
      </c>
      <c r="DJ93" t="inlineStr">
        <is>
          <t>53,000 sf</t>
        </is>
      </c>
      <c r="DK93" t="inlineStr">
        <is>
          <t>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is>
      </c>
      <c r="DL93" t="inlineStr"/>
      <c r="DM93" t="inlineStr"/>
      <c r="DN93" t="inlineStr"/>
      <c r="DO93" t="inlineStr"/>
      <c r="DP93" t="inlineStr"/>
      <c r="DQ93" t="inlineStr"/>
      <c r="DR93" t="inlineStr"/>
      <c r="DS93" t="inlineStr">
        <is>
          <t>none</t>
        </is>
      </c>
      <c r="DT93" t="inlineStr"/>
      <c r="DU93" t="inlineStr"/>
      <c r="DV93" t="inlineStr"/>
      <c r="DW93" t="inlineStr"/>
      <c r="DX93" t="inlineStr">
        <is>
          <t>N</t>
        </is>
      </c>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f>IF(ISNUMBER(MATCH(U93,{"queued","contacted","replied","call_booked","call_done","yes_in_principle","materials_sent"},0)),"Y","N")</f>
        <v/>
      </c>
      <c r="ES93">
        <f>IF(COUNTIFS($AP$2:$AP$1000,AP93,$ER$2:$ER$1000,"Y")+COUNTIFS($AP$2:$AP$1000,AP93,$T$2:$T$1000,"Y")&gt;0,"Y","N")</f>
        <v/>
      </c>
      <c r="ET93">
        <f>IF(AND(U93="new",T93="N",AT93="Y",AS93="",ES93="N"),"Y","N")</f>
        <v/>
      </c>
      <c r="EU93">
        <f>IF(ET93&lt;&gt;"Y","N",IF(COUNTIFS($AP$2:$AP$1000,AP93,$ET$2:$ET$1000,"Y",$J$2:$J$1000,"&gt;"&amp;J93)+COUNTIFS($AP$2:$AP$1000,AP93,$ET$2:$ET$1000,"Y",$J$2:$J$1000,J93,$EW$2:$EW$1000,"&lt;"&amp;EW93)=0,"Y","N"))</f>
        <v/>
      </c>
      <c r="EV93">
        <f>IF(Y93="","N",IF(Y93&lt;=10,"Y","N"))</f>
        <v/>
      </c>
      <c r="EW93">
        <f>ROW()-1</f>
        <v/>
      </c>
    </row>
    <row r="94">
      <c r="A94" t="inlineStr">
        <is>
          <t>AO-C-135</t>
        </is>
      </c>
      <c r="B94" t="inlineStr">
        <is>
          <t>Sierra</t>
        </is>
      </c>
      <c r="C94" t="inlineStr"/>
      <c r="D94" t="inlineStr"/>
      <c r="E94" t="inlineStr"/>
      <c r="F94" t="inlineStr"/>
      <c r="G94" t="inlineStr"/>
      <c r="H94" t="inlineStr">
        <is>
          <t>none</t>
        </is>
      </c>
      <c r="I94" t="inlineStr">
        <is>
          <t>linkedin</t>
        </is>
      </c>
      <c r="J94" t="n">
        <v>36.3</v>
      </c>
      <c r="K94" t="inlineStr">
        <is>
          <t>Tuesday estimate 5 to 431 (low confidence), 501 to 1,000 staff company-wide, on-site 5 days a week per its profile, signed-not-occupied at a medium-confidence address (hold: lease signed, move not confirmed); contacts not researched yet (below the top 50).</t>
        </is>
      </c>
      <c r="L94" t="inlineStr">
        <is>
          <t>40-75</t>
        </is>
      </c>
      <c r="M94" t="inlineStr"/>
      <c r="N94" t="inlineStr"/>
      <c r="O94" t="inlineStr">
        <is>
          <t>New or renewed lease at 11 East 26th Street reported 2026-05-01</t>
        </is>
      </c>
      <c r="P94" t="inlineStr">
        <is>
          <t>https://commercialobserver.com/2026/05/sierra-lease-rockrose-11-east-26th-street/</t>
        </is>
      </c>
      <c r="Q94" t="inlineStr">
        <is>
          <t>2026-05-01</t>
        </is>
      </c>
      <c r="R94" t="inlineStr">
        <is>
          <t>N</t>
        </is>
      </c>
      <c r="S94" t="inlineStr">
        <is>
          <t>unknown</t>
        </is>
      </c>
      <c r="T94" t="inlineStr">
        <is>
          <t>N</t>
        </is>
      </c>
      <c r="U94" t="inlineStr">
        <is>
          <t>new</t>
        </is>
      </c>
      <c r="V94" t="inlineStr">
        <is>
          <t>https://commercialobserver.com/2026/05/sierra-lease-rockrose-11-east-26th-street/</t>
        </is>
      </c>
      <c r="W94" t="inlineStr">
        <is>
          <t>2026-10-23</t>
        </is>
      </c>
      <c r="X94" t="inlineStr">
        <is>
          <t>office</t>
        </is>
      </c>
      <c r="Y94" t="inlineStr"/>
      <c r="Z94" t="n">
        <v>93</v>
      </c>
      <c r="AA94" t="inlineStr">
        <is>
          <t>N</t>
        </is>
      </c>
      <c r="AB94" t="inlineStr"/>
      <c r="AC94" t="inlineStr"/>
      <c r="AD94" t="inlineStr">
        <is>
          <t>none</t>
        </is>
      </c>
      <c r="AE94" t="inlineStr"/>
      <c r="AF94" t="inlineStr"/>
      <c r="AG94" t="inlineStr"/>
      <c r="AH94" t="inlineStr">
        <is>
          <t>none</t>
        </is>
      </c>
      <c r="AI94" t="inlineStr">
        <is>
          <t>11 East 26th Street</t>
        </is>
      </c>
      <c r="AJ94" t="inlineStr">
        <is>
          <t>unknown</t>
        </is>
      </c>
      <c r="AK94" t="inlineStr">
        <is>
          <t>signed-not-occupied</t>
        </is>
      </c>
      <c r="AL94" t="n">
        <v>5</v>
      </c>
      <c r="AM94" t="n">
        <v>431</v>
      </c>
      <c r="AN94" t="inlineStr">
        <is>
          <t>low</t>
        </is>
      </c>
      <c r="AO94" t="inlineStr">
        <is>
          <t>in-office-5</t>
        </is>
      </c>
      <c r="AP94" t="inlineStr">
        <is>
          <t>AO-C-135</t>
        </is>
      </c>
      <c r="AQ94" t="inlineStr">
        <is>
          <t>Y</t>
        </is>
      </c>
      <c r="AR94" t="inlineStr">
        <is>
          <t>lease signed, move not confirmed: check the lobby directory before outreach (B)</t>
        </is>
      </c>
      <c r="AS94" t="inlineStr"/>
      <c r="AT94" t="inlineStr">
        <is>
          <t>N</t>
        </is>
      </c>
      <c r="AU94" t="inlineStr">
        <is>
          <t>on hold: lease signed, move not confirmed: check the lobby directory before outreach (B); no contact named on an opened page</t>
        </is>
      </c>
      <c r="AV94" t="inlineStr"/>
      <c r="AW94" t="inlineStr">
        <is>
          <t>N</t>
        </is>
      </c>
      <c r="AX94" t="inlineStr">
        <is>
          <t>pass</t>
        </is>
      </c>
      <c r="AY94" t="inlineStr">
        <is>
          <t>passes all hard gates</t>
        </is>
      </c>
      <c r="AZ94" t="inlineStr">
        <is>
          <t>company</t>
        </is>
      </c>
      <c r="BA94" t="inlineStr">
        <is>
          <t>B-C-135</t>
        </is>
      </c>
      <c r="BB94" t="inlineStr">
        <is>
          <t>https://sierra.ai</t>
        </is>
      </c>
      <c r="BC94" t="inlineStr">
        <is>
          <t>software (AI customer agents)</t>
        </is>
      </c>
      <c r="BD94" t="n">
        <v>756</v>
      </c>
      <c r="BE94" t="n">
        <v>162</v>
      </c>
      <c r="BF94" t="inlineStr">
        <is>
          <t>over-500</t>
        </is>
      </c>
      <c r="BG94" t="inlineStr">
        <is>
          <t>whole-company</t>
        </is>
      </c>
      <c r="BH94" t="inlineStr">
        <is>
          <t>over-500-second-source</t>
        </is>
      </c>
      <c r="BI94" t="inlineStr">
        <is>
          <t>https://www.reveliolabs.com/companies/sierra/employees</t>
        </is>
      </c>
      <c r="BJ94" t="inlineStr">
        <is>
          <t>https://www.builtinnyc.com/company/sierra/offices</t>
        </is>
      </c>
      <c r="BK94" t="inlineStr">
        <is>
          <t>501-1000</t>
        </is>
      </c>
      <c r="BL94" t="inlineStr">
        <is>
          <t>San Francisco</t>
        </is>
      </c>
      <c r="BM94" t="inlineStr">
        <is>
          <t>N</t>
        </is>
      </c>
      <c r="BN94" t="inlineStr">
        <is>
          <t>unknown</t>
        </is>
      </c>
      <c r="BO94" t="inlineStr">
        <is>
          <t>unknown</t>
        </is>
      </c>
      <c r="BP94" t="n">
        <v>10010</v>
      </c>
      <c r="BQ94" t="n">
        <v>40.743309</v>
      </c>
      <c r="BR94" t="n">
        <v>-73.987329</v>
      </c>
      <c r="BS94" t="inlineStr">
        <is>
          <t>Y</t>
        </is>
      </c>
      <c r="BT94" t="n">
        <v>0</v>
      </c>
      <c r="BU94" t="inlineStr">
        <is>
          <t>B-B-065</t>
        </is>
      </c>
      <c r="BV94" t="inlineStr">
        <is>
          <t>11 East 26th Street (Rockrose; joined to 15 East 26th Street)</t>
        </is>
      </c>
      <c r="BW94" t="inlineStr">
        <is>
          <t>https://commercialobserver.com/2026/05/sierra-lease-rockrose-11-east-26th-street/</t>
        </is>
      </c>
      <c r="BX94" t="inlineStr">
        <is>
          <t>2026-05-01</t>
        </is>
      </c>
      <c r="BY94" t="inlineStr">
        <is>
          <t>leasing-press</t>
        </is>
      </c>
      <c r="BZ94" t="inlineStr">
        <is>
          <t>https://commercialobserver.com/2026/09/vestal-point-capital-lease-rockrose-development-11-east-26th-street/</t>
        </is>
      </c>
      <c r="CA94" t="inlineStr">
        <is>
          <t>2026-09-02</t>
        </is>
      </c>
      <c r="CB94" t="inlineStr"/>
      <c r="CC94" t="inlineStr">
        <is>
          <t>medium</t>
        </is>
      </c>
      <c r="CD94" t="inlineStr">
        <is>
          <t>unknown</t>
        </is>
      </c>
      <c r="CE94" t="inlineStr">
        <is>
          <t>N</t>
        </is>
      </c>
      <c r="CF94" t="inlineStr"/>
      <c r="CG94" t="inlineStr"/>
      <c r="CH94" t="inlineStr">
        <is>
          <t>unknown</t>
        </is>
      </c>
      <c r="CI94" t="inlineStr"/>
      <c r="CJ94" t="inlineStr">
        <is>
          <t>unknown</t>
        </is>
      </c>
      <c r="CK94" t="inlineStr">
        <is>
          <t>N</t>
        </is>
      </c>
      <c r="CL94" t="inlineStr">
        <is>
          <t>Built In workplace type: OnSite Workplace; typical time on-site: 5 days a week; recent job tags: 3 In-Office</t>
        </is>
      </c>
      <c r="CM94" t="inlineStr">
        <is>
          <t>https://www.builtinnyc.com/company/sierra/offices</t>
        </is>
      </c>
      <c r="CN94" t="inlineStr">
        <is>
          <t>2026-10-24</t>
        </is>
      </c>
      <c r="CO94" t="n">
        <v>46</v>
      </c>
      <c r="CP94" t="inlineStr">
        <is>
          <t>may be under 30;may exceed 250</t>
        </is>
      </c>
      <c r="CQ94" t="inlineStr">
        <is>
          <t>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is>
      </c>
      <c r="CR94" t="inlineStr">
        <is>
          <t>estimate until intake replaces it</t>
        </is>
      </c>
      <c r="CS94" t="n">
        <v>0.41</v>
      </c>
      <c r="CT94" t="n">
        <v>36.3</v>
      </c>
      <c r="CU94" t="n">
        <v>10.3</v>
      </c>
      <c r="CV94" t="n">
        <v>6</v>
      </c>
      <c r="CW94" t="n">
        <v>15</v>
      </c>
      <c r="CX94" t="n">
        <v>5</v>
      </c>
      <c r="CY94" t="n">
        <v>0</v>
      </c>
      <c r="CZ94" t="n">
        <v>0</v>
      </c>
      <c r="DA94" t="inlineStr"/>
      <c r="DB94" t="inlineStr"/>
      <c r="DC94" t="inlineStr"/>
      <c r="DD94" t="inlineStr"/>
      <c r="DE94" t="inlineStr"/>
      <c r="DF94" t="inlineStr">
        <is>
          <t>none</t>
        </is>
      </c>
      <c r="DG94" t="inlineStr">
        <is>
          <t>near-miss-over-500</t>
        </is>
      </c>
      <c r="DH94" t="inlineStr">
        <is>
          <t>just-over-500 (501 to 1,000)</t>
        </is>
      </c>
      <c r="DI94" t="inlineStr">
        <is>
          <t>N</t>
        </is>
      </c>
      <c r="DJ94" t="inlineStr">
        <is>
          <t>94,145 sf;14,563 sf;94,000 sf</t>
        </is>
      </c>
      <c r="DK94" t="inlineStr">
        <is>
          <t>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94" t="inlineStr"/>
      <c r="DM94" t="inlineStr"/>
      <c r="DN94" t="inlineStr"/>
      <c r="DO94" t="inlineStr"/>
      <c r="DP94" t="inlineStr"/>
      <c r="DQ94" t="inlineStr"/>
      <c r="DR94" t="inlineStr"/>
      <c r="DS94" t="inlineStr">
        <is>
          <t>none</t>
        </is>
      </c>
      <c r="DT94" t="inlineStr"/>
      <c r="DU94" t="inlineStr"/>
      <c r="DV94" t="inlineStr"/>
      <c r="DW94" t="inlineStr"/>
      <c r="DX94" t="inlineStr">
        <is>
          <t>N</t>
        </is>
      </c>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f>IF(ISNUMBER(MATCH(U94,{"queued","contacted","replied","call_booked","call_done","yes_in_principle","materials_sent"},0)),"Y","N")</f>
        <v/>
      </c>
      <c r="ES94">
        <f>IF(COUNTIFS($AP$2:$AP$1000,AP94,$ER$2:$ER$1000,"Y")+COUNTIFS($AP$2:$AP$1000,AP94,$T$2:$T$1000,"Y")&gt;0,"Y","N")</f>
        <v/>
      </c>
      <c r="ET94">
        <f>IF(AND(U94="new",T94="N",AT94="Y",AS94="",ES94="N"),"Y","N")</f>
        <v/>
      </c>
      <c r="EU94">
        <f>IF(ET94&lt;&gt;"Y","N",IF(COUNTIFS($AP$2:$AP$1000,AP94,$ET$2:$ET$1000,"Y",$J$2:$J$1000,"&gt;"&amp;J94)+COUNTIFS($AP$2:$AP$1000,AP94,$ET$2:$ET$1000,"Y",$J$2:$J$1000,J94,$EW$2:$EW$1000,"&lt;"&amp;EW94)=0,"Y","N"))</f>
        <v/>
      </c>
      <c r="EV94">
        <f>IF(Y94="","N",IF(Y94&lt;=10,"Y","N"))</f>
        <v/>
      </c>
      <c r="EW94">
        <f>ROW()-1</f>
        <v/>
      </c>
    </row>
    <row r="95">
      <c r="A95" t="inlineStr">
        <is>
          <t>AO-C-201</t>
        </is>
      </c>
      <c r="B95" t="inlineStr">
        <is>
          <t>Cole Haan</t>
        </is>
      </c>
      <c r="C95" t="inlineStr"/>
      <c r="D95" t="inlineStr"/>
      <c r="E95" t="inlineStr"/>
      <c r="F95" t="inlineStr"/>
      <c r="G95" t="inlineStr"/>
      <c r="H95" t="inlineStr">
        <is>
          <t>none</t>
        </is>
      </c>
      <c r="I95" t="inlineStr">
        <is>
          <t>linkedin</t>
        </is>
      </c>
      <c r="J95" t="n">
        <v>36.1</v>
      </c>
      <c r="K95" t="inlineStr">
        <is>
          <t>Tuesday estimate 46 to 922 (low confidence), 1,001 to 4,999 staff company-wide, on-site 5 days a week per its profile, occupancy-unconfirmed at a low-confidence address; contacts not researched yet (below the top 50).</t>
        </is>
      </c>
      <c r="L95" t="inlineStr">
        <is>
          <t>151-250</t>
        </is>
      </c>
      <c r="M95" t="inlineStr"/>
      <c r="N95" t="inlineStr"/>
      <c r="O95" t="inlineStr"/>
      <c r="P95" t="inlineStr"/>
      <c r="Q95" t="inlineStr"/>
      <c r="R95" t="inlineStr">
        <is>
          <t>N</t>
        </is>
      </c>
      <c r="S95" t="inlineStr">
        <is>
          <t>unknown</t>
        </is>
      </c>
      <c r="T95" t="inlineStr">
        <is>
          <t>N</t>
        </is>
      </c>
      <c r="U95" t="inlineStr">
        <is>
          <t>new</t>
        </is>
      </c>
      <c r="V95" t="inlineStr">
        <is>
          <t>https://commercialobserver.com/2024/09/cole-haan-32bj-lease-620-avenue-of-the-americas/</t>
        </is>
      </c>
      <c r="W95" t="inlineStr">
        <is>
          <t>2026-10-23</t>
        </is>
      </c>
      <c r="X95" t="inlineStr">
        <is>
          <t>office</t>
        </is>
      </c>
      <c r="Y95" t="inlineStr"/>
      <c r="Z95" t="n">
        <v>94</v>
      </c>
      <c r="AA95" t="inlineStr">
        <is>
          <t>N</t>
        </is>
      </c>
      <c r="AB95" t="inlineStr"/>
      <c r="AC95" t="inlineStr"/>
      <c r="AD95" t="inlineStr">
        <is>
          <t>none</t>
        </is>
      </c>
      <c r="AE95" t="inlineStr"/>
      <c r="AF95" t="inlineStr"/>
      <c r="AG95" t="inlineStr"/>
      <c r="AH95" t="inlineStr">
        <is>
          <t>none</t>
        </is>
      </c>
      <c r="AI95" t="inlineStr">
        <is>
          <t>620 Avenue of the Americas</t>
        </is>
      </c>
      <c r="AJ95" t="n">
        <v>3</v>
      </c>
      <c r="AK95" t="inlineStr">
        <is>
          <t>occupancy-unconfirmed</t>
        </is>
      </c>
      <c r="AL95" t="n">
        <v>46</v>
      </c>
      <c r="AM95" t="n">
        <v>922</v>
      </c>
      <c r="AN95" t="inlineStr">
        <is>
          <t>low</t>
        </is>
      </c>
      <c r="AO95" t="inlineStr">
        <is>
          <t>in-office-5</t>
        </is>
      </c>
      <c r="AP95" t="inlineStr">
        <is>
          <t>AO-C-201</t>
        </is>
      </c>
      <c r="AQ95" t="inlineStr">
        <is>
          <t>N</t>
        </is>
      </c>
      <c r="AR95" t="inlineStr"/>
      <c r="AS95" t="inlineStr"/>
      <c r="AT95" t="inlineStr">
        <is>
          <t>N</t>
        </is>
      </c>
      <c r="AU95" t="inlineStr">
        <is>
          <t>no contact named on an opened page</t>
        </is>
      </c>
      <c r="AV95" t="inlineStr"/>
      <c r="AW95" t="inlineStr">
        <is>
          <t>N</t>
        </is>
      </c>
      <c r="AX95" t="inlineStr">
        <is>
          <t>pass</t>
        </is>
      </c>
      <c r="AY95" t="inlineStr">
        <is>
          <t>passes all hard gates</t>
        </is>
      </c>
      <c r="AZ95" t="inlineStr">
        <is>
          <t>company</t>
        </is>
      </c>
      <c r="BA95" t="inlineStr">
        <is>
          <t>B-C-201</t>
        </is>
      </c>
      <c r="BB95" t="inlineStr">
        <is>
          <t>https://www.colehaan.com</t>
        </is>
      </c>
      <c r="BC95" t="inlineStr">
        <is>
          <t>footwear brand (NYC office)</t>
        </is>
      </c>
      <c r="BD95" t="n">
        <v>1618</v>
      </c>
      <c r="BE95" t="inlineStr"/>
      <c r="BF95" t="inlineStr">
        <is>
          <t>over-500</t>
        </is>
      </c>
      <c r="BG95" t="inlineStr">
        <is>
          <t>whole-company</t>
        </is>
      </c>
      <c r="BH95" t="inlineStr">
        <is>
          <t>single-source</t>
        </is>
      </c>
      <c r="BI95" t="inlineStr">
        <is>
          <t>https://www.builtinnyc.com/company/cole-haan</t>
        </is>
      </c>
      <c r="BJ95" t="inlineStr"/>
      <c r="BK95" t="inlineStr">
        <is>
          <t>1001-4999</t>
        </is>
      </c>
      <c r="BL95" t="inlineStr">
        <is>
          <t>Greenland</t>
        </is>
      </c>
      <c r="BM95" t="inlineStr">
        <is>
          <t>N</t>
        </is>
      </c>
      <c r="BN95" t="inlineStr">
        <is>
          <t>unknown</t>
        </is>
      </c>
      <c r="BO95" t="inlineStr">
        <is>
          <t>unknown</t>
        </is>
      </c>
      <c r="BP95" t="n">
        <v>10011</v>
      </c>
      <c r="BQ95" t="n">
        <v>40.740084</v>
      </c>
      <c r="BR95" t="n">
        <v>-73.994613</v>
      </c>
      <c r="BS95" t="inlineStr">
        <is>
          <t>Y</t>
        </is>
      </c>
      <c r="BT95" t="n">
        <v>0</v>
      </c>
      <c r="BU95" t="inlineStr">
        <is>
          <t>B-B-021</t>
        </is>
      </c>
      <c r="BV95" t="inlineStr">
        <is>
          <t>Siegel-Cooper Building (RXR / Hudson Bay)</t>
        </is>
      </c>
      <c r="BW95" t="inlineStr">
        <is>
          <t>https://commercialobserver.com/2024/09/cole-haan-32bj-lease-620-avenue-of-the-americas/</t>
        </is>
      </c>
      <c r="BX95" t="inlineStr">
        <is>
          <t>2024-09-24</t>
        </is>
      </c>
      <c r="BY95" t="inlineStr">
        <is>
          <t>leasing-press</t>
        </is>
      </c>
      <c r="BZ95" t="inlineStr">
        <is>
          <t>https://www.builtinnyc.com/company/cole-haan/offices</t>
        </is>
      </c>
      <c r="CA95" t="inlineStr">
        <is>
          <t>2026-10-23</t>
        </is>
      </c>
      <c r="CB95" t="inlineStr"/>
      <c r="CC95" t="inlineStr">
        <is>
          <t>low</t>
        </is>
      </c>
      <c r="CD95" t="inlineStr"/>
      <c r="CE95" t="inlineStr">
        <is>
          <t>N</t>
        </is>
      </c>
      <c r="CF95" t="inlineStr"/>
      <c r="CG95" t="inlineStr"/>
      <c r="CH95" t="inlineStr">
        <is>
          <t>loading dock</t>
        </is>
      </c>
      <c r="CI95" t="inlineStr">
        <is>
          <t>https://www.metro-manhattan.com/buildings/620-avenue-of-the-americas/</t>
        </is>
      </c>
      <c r="CJ95" t="inlineStr">
        <is>
          <t>unknown</t>
        </is>
      </c>
      <c r="CK95" t="inlineStr">
        <is>
          <t>N</t>
        </is>
      </c>
      <c r="CL95" t="inlineStr">
        <is>
          <t>Built In workplace type: OnSite Workplace; typical time on-site: 5 days a week; recent job tags: 3 In-Office</t>
        </is>
      </c>
      <c r="CM95" t="inlineStr">
        <is>
          <t>https://www.builtinnyc.com/company/cole-haan/offices</t>
        </is>
      </c>
      <c r="CN95" t="inlineStr">
        <is>
          <t>2026-10-24</t>
        </is>
      </c>
      <c r="CO95" t="n">
        <v>206</v>
      </c>
      <c r="CP95" t="inlineStr">
        <is>
          <t>may exceed 250</t>
        </is>
      </c>
      <c r="CQ95" t="inlineStr">
        <is>
          <t>1618 (Built In) staff (whole-company count) x 5% to 100% of them in the New York office (HQ outside New York; share assumed) x 57% (Partnership for NYC, all Manhattan firms; no figure for 500 to 4,999) in on a weekday = 46 to 922, central 206; low confidence; estimate until intake replaces it.</t>
        </is>
      </c>
      <c r="CR95" t="inlineStr">
        <is>
          <t>estimate until intake replaces it</t>
        </is>
      </c>
      <c r="CS95" t="n">
        <v>0.5600000000000001</v>
      </c>
      <c r="CT95" t="n">
        <v>36.1</v>
      </c>
      <c r="CU95" t="n">
        <v>14.1</v>
      </c>
      <c r="CV95" t="n">
        <v>2</v>
      </c>
      <c r="CW95" t="n">
        <v>15</v>
      </c>
      <c r="CX95" t="n">
        <v>5</v>
      </c>
      <c r="CY95" t="n">
        <v>0</v>
      </c>
      <c r="CZ95" t="n">
        <v>0</v>
      </c>
      <c r="DA95" t="inlineStr"/>
      <c r="DB95" t="inlineStr"/>
      <c r="DC95" t="inlineStr"/>
      <c r="DD95" t="inlineStr"/>
      <c r="DE95" t="inlineStr"/>
      <c r="DF95" t="inlineStr">
        <is>
          <t>none</t>
        </is>
      </c>
      <c r="DG95" t="inlineStr">
        <is>
          <t>near-miss-over-500</t>
        </is>
      </c>
      <c r="DH95" t="inlineStr">
        <is>
          <t>over-1,000 (1,001 to 4,999)</t>
        </is>
      </c>
      <c r="DI95" t="inlineStr">
        <is>
          <t>N</t>
        </is>
      </c>
      <c r="DJ95" t="inlineStr">
        <is>
          <t>62,262 sf</t>
        </is>
      </c>
      <c r="DK95" t="inlineStr">
        <is>
          <t>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DL95" t="inlineStr"/>
      <c r="DM95" t="inlineStr"/>
      <c r="DN95" t="inlineStr"/>
      <c r="DO95" t="inlineStr"/>
      <c r="DP95" t="inlineStr"/>
      <c r="DQ95" t="inlineStr"/>
      <c r="DR95" t="inlineStr"/>
      <c r="DS95" t="inlineStr">
        <is>
          <t>none</t>
        </is>
      </c>
      <c r="DT95" t="inlineStr"/>
      <c r="DU95" t="inlineStr"/>
      <c r="DV95" t="inlineStr"/>
      <c r="DW95" t="inlineStr"/>
      <c r="DX95" t="inlineStr">
        <is>
          <t>N</t>
        </is>
      </c>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f>IF(ISNUMBER(MATCH(U95,{"queued","contacted","replied","call_booked","call_done","yes_in_principle","materials_sent"},0)),"Y","N")</f>
        <v/>
      </c>
      <c r="ES95">
        <f>IF(COUNTIFS($AP$2:$AP$1000,AP95,$ER$2:$ER$1000,"Y")+COUNTIFS($AP$2:$AP$1000,AP95,$T$2:$T$1000,"Y")&gt;0,"Y","N")</f>
        <v/>
      </c>
      <c r="ET95">
        <f>IF(AND(U95="new",T95="N",AT95="Y",AS95="",ES95="N"),"Y","N")</f>
        <v/>
      </c>
      <c r="EU95">
        <f>IF(ET95&lt;&gt;"Y","N",IF(COUNTIFS($AP$2:$AP$1000,AP95,$ET$2:$ET$1000,"Y",$J$2:$J$1000,"&gt;"&amp;J95)+COUNTIFS($AP$2:$AP$1000,AP95,$ET$2:$ET$1000,"Y",$J$2:$J$1000,J95,$EW$2:$EW$1000,"&lt;"&amp;EW95)=0,"Y","N"))</f>
        <v/>
      </c>
      <c r="EV95">
        <f>IF(Y95="","N",IF(Y95&lt;=10,"Y","N"))</f>
        <v/>
      </c>
      <c r="EW95">
        <f>ROW()-1</f>
        <v/>
      </c>
    </row>
    <row r="96">
      <c r="A96" t="inlineStr">
        <is>
          <t>AO-C-016</t>
        </is>
      </c>
      <c r="B96" t="inlineStr">
        <is>
          <t>Battery Ventures</t>
        </is>
      </c>
      <c r="C96" t="inlineStr"/>
      <c r="D96" t="inlineStr"/>
      <c r="E96" t="inlineStr"/>
      <c r="F96" t="inlineStr"/>
      <c r="G96" t="inlineStr"/>
      <c r="H96" t="inlineStr">
        <is>
          <t>none</t>
        </is>
      </c>
      <c r="I96" t="inlineStr">
        <is>
          <t>linkedin</t>
        </is>
      </c>
      <c r="J96" t="n">
        <v>36</v>
      </c>
      <c r="K96" t="inlineStr">
        <is>
          <t>Tuesday headcount unknown (no sourced count), company size unknown, no attendance signal, occupied at a high-confidence address; contacts not researched yet (below the top 50).</t>
        </is>
      </c>
      <c r="L96" t="inlineStr">
        <is>
          <t>unknown</t>
        </is>
      </c>
      <c r="M96" t="inlineStr"/>
      <c r="N96" t="inlineStr"/>
      <c r="O96" t="inlineStr"/>
      <c r="P96" t="inlineStr"/>
      <c r="Q96" t="inlineStr"/>
      <c r="R96" t="inlineStr">
        <is>
          <t>N</t>
        </is>
      </c>
      <c r="S96" t="inlineStr">
        <is>
          <t>unknown</t>
        </is>
      </c>
      <c r="T96" t="inlineStr">
        <is>
          <t>N</t>
        </is>
      </c>
      <c r="U96" t="inlineStr">
        <is>
          <t>new</t>
        </is>
      </c>
      <c r="V96" t="inlineStr">
        <is>
          <t>https://www.battery.com/contact/</t>
        </is>
      </c>
      <c r="W96" t="inlineStr">
        <is>
          <t>2026-10-23</t>
        </is>
      </c>
      <c r="X96" t="inlineStr">
        <is>
          <t>office</t>
        </is>
      </c>
      <c r="Y96" t="inlineStr"/>
      <c r="Z96" t="n">
        <v>95</v>
      </c>
      <c r="AA96" t="inlineStr">
        <is>
          <t>N</t>
        </is>
      </c>
      <c r="AB96" t="inlineStr"/>
      <c r="AC96" t="inlineStr"/>
      <c r="AD96" t="inlineStr">
        <is>
          <t>none</t>
        </is>
      </c>
      <c r="AE96" t="inlineStr"/>
      <c r="AF96" t="inlineStr"/>
      <c r="AG96" t="inlineStr"/>
      <c r="AH96" t="inlineStr">
        <is>
          <t>none</t>
        </is>
      </c>
      <c r="AI96" t="inlineStr">
        <is>
          <t>100 Fifth Avenue</t>
        </is>
      </c>
      <c r="AJ96" t="n">
        <v>3</v>
      </c>
      <c r="AK96" t="inlineStr">
        <is>
          <t>occupied</t>
        </is>
      </c>
      <c r="AL96" t="inlineStr">
        <is>
          <t>unknown</t>
        </is>
      </c>
      <c r="AM96" t="inlineStr">
        <is>
          <t>unknown</t>
        </is>
      </c>
      <c r="AN96" t="inlineStr">
        <is>
          <t>none</t>
        </is>
      </c>
      <c r="AO96" t="inlineStr">
        <is>
          <t>unknown</t>
        </is>
      </c>
      <c r="AP96" t="inlineStr">
        <is>
          <t>AO-C-016</t>
        </is>
      </c>
      <c r="AQ96" t="inlineStr">
        <is>
          <t>N</t>
        </is>
      </c>
      <c r="AR96" t="inlineStr"/>
      <c r="AS96" t="inlineStr"/>
      <c r="AT96" t="inlineStr">
        <is>
          <t>N</t>
        </is>
      </c>
      <c r="AU96" t="inlineStr">
        <is>
          <t>no contact named on an opened page</t>
        </is>
      </c>
      <c r="AV96" t="inlineStr"/>
      <c r="AW96" t="inlineStr">
        <is>
          <t>N</t>
        </is>
      </c>
      <c r="AX96" t="inlineStr">
        <is>
          <t>pass</t>
        </is>
      </c>
      <c r="AY96" t="inlineStr">
        <is>
          <t>passes all hard gates</t>
        </is>
      </c>
      <c r="AZ96" t="inlineStr">
        <is>
          <t>company</t>
        </is>
      </c>
      <c r="BA96" t="inlineStr">
        <is>
          <t>B-C-016</t>
        </is>
      </c>
      <c r="BB96" t="inlineStr">
        <is>
          <t>https://www.battery.com</t>
        </is>
      </c>
      <c r="BC96" t="inlineStr">
        <is>
          <t>venture capital</t>
        </is>
      </c>
      <c r="BD96" t="inlineStr">
        <is>
          <t>unknown</t>
        </is>
      </c>
      <c r="BE96" t="inlineStr"/>
      <c r="BF96" t="inlineStr">
        <is>
          <t>unknown</t>
        </is>
      </c>
      <c r="BG96" t="inlineStr">
        <is>
          <t>unknown</t>
        </is>
      </c>
      <c r="BH96" t="inlineStr">
        <is>
          <t>no-count</t>
        </is>
      </c>
      <c r="BI96" t="inlineStr"/>
      <c r="BJ96" t="inlineStr"/>
      <c r="BK96" t="inlineStr">
        <is>
          <t>unknown</t>
        </is>
      </c>
      <c r="BL96" t="inlineStr">
        <is>
          <t>unknown</t>
        </is>
      </c>
      <c r="BM96" t="inlineStr">
        <is>
          <t>unknown</t>
        </is>
      </c>
      <c r="BN96" t="inlineStr">
        <is>
          <t>unknown</t>
        </is>
      </c>
      <c r="BO96" t="inlineStr">
        <is>
          <t>unknown</t>
        </is>
      </c>
      <c r="BP96" t="n">
        <v>10011</v>
      </c>
      <c r="BQ96" t="n">
        <v>40.736981</v>
      </c>
      <c r="BR96" t="n">
        <v>-73.993144</v>
      </c>
      <c r="BS96" t="inlineStr">
        <is>
          <t>Y</t>
        </is>
      </c>
      <c r="BT96" t="n">
        <v>0</v>
      </c>
      <c r="BU96" t="inlineStr">
        <is>
          <t>B-B-006</t>
        </is>
      </c>
      <c r="BV96" t="inlineStr">
        <is>
          <t>100-104 Fifth Avenue</t>
        </is>
      </c>
      <c r="BW96" t="inlineStr">
        <is>
          <t>https://www.battery.com/contact/</t>
        </is>
      </c>
      <c r="BX96" t="inlineStr">
        <is>
          <t>2026-10-23</t>
        </is>
      </c>
      <c r="BY96" t="inlineStr">
        <is>
          <t>company-site</t>
        </is>
      </c>
      <c r="BZ96" t="inlineStr">
        <is>
          <t>https://commercialobserver.com/2026/08/biohub-fundraise-up-leases-100-104-fifth-avenue/</t>
        </is>
      </c>
      <c r="CA96" t="inlineStr">
        <is>
          <t>2026-08-26</t>
        </is>
      </c>
      <c r="CB96" t="inlineStr"/>
      <c r="CC96" t="inlineStr">
        <is>
          <t>high</t>
        </is>
      </c>
      <c r="CD96" t="inlineStr"/>
      <c r="CE96" t="inlineStr">
        <is>
          <t>N</t>
        </is>
      </c>
      <c r="CF96" t="inlineStr"/>
      <c r="CG96" t="inlineStr"/>
      <c r="CH96" t="inlineStr">
        <is>
          <t>unknown</t>
        </is>
      </c>
      <c r="CI96" t="inlineStr"/>
      <c r="CJ96" t="inlineStr">
        <is>
          <t>unknown</t>
        </is>
      </c>
      <c r="CK96" t="inlineStr">
        <is>
          <t>N</t>
        </is>
      </c>
      <c r="CL96" t="inlineStr">
        <is>
          <t>unknown</t>
        </is>
      </c>
      <c r="CM96" t="inlineStr"/>
      <c r="CN96" t="inlineStr"/>
      <c r="CO96" t="inlineStr">
        <is>
          <t>unknown</t>
        </is>
      </c>
      <c r="CP96" t="inlineStr"/>
      <c r="CQ96" t="inlineStr">
        <is>
          <t>No sourced headcount, so no Tuesday estimate; ask the Tuesday count at intake.</t>
        </is>
      </c>
      <c r="CR96" t="inlineStr">
        <is>
          <t>estimate until intake replaces it</t>
        </is>
      </c>
      <c r="CS96" t="inlineStr">
        <is>
          <t>unknown</t>
        </is>
      </c>
      <c r="CT96" t="n">
        <v>36</v>
      </c>
      <c r="CU96" t="n">
        <v>7</v>
      </c>
      <c r="CV96" t="n">
        <v>8</v>
      </c>
      <c r="CW96" t="n">
        <v>6</v>
      </c>
      <c r="CX96" t="n">
        <v>15</v>
      </c>
      <c r="CY96" t="n">
        <v>0</v>
      </c>
      <c r="CZ96" t="n">
        <v>0</v>
      </c>
      <c r="DA96" t="inlineStr"/>
      <c r="DB96" t="inlineStr"/>
      <c r="DC96" t="inlineStr"/>
      <c r="DD96" t="inlineStr"/>
      <c r="DE96" t="inlineStr"/>
      <c r="DF96" t="inlineStr">
        <is>
          <t>none</t>
        </is>
      </c>
      <c r="DG96" t="inlineStr">
        <is>
          <t>candidate</t>
        </is>
      </c>
      <c r="DH96" t="inlineStr"/>
      <c r="DI96" t="inlineStr"/>
      <c r="DJ96" t="inlineStr">
        <is>
          <t>10,600 sf</t>
        </is>
      </c>
      <c r="DK96" t="inlineStr">
        <is>
          <t>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is>
      </c>
      <c r="DL96" t="inlineStr"/>
      <c r="DM96" t="inlineStr"/>
      <c r="DN96" t="inlineStr"/>
      <c r="DO96" t="inlineStr"/>
      <c r="DP96" t="inlineStr"/>
      <c r="DQ96" t="inlineStr"/>
      <c r="DR96" t="inlineStr"/>
      <c r="DS96" t="inlineStr">
        <is>
          <t>none</t>
        </is>
      </c>
      <c r="DT96" t="inlineStr"/>
      <c r="DU96" t="inlineStr"/>
      <c r="DV96" t="inlineStr"/>
      <c r="DW96" t="inlineStr"/>
      <c r="DX96" t="inlineStr">
        <is>
          <t>N</t>
        </is>
      </c>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f>IF(ISNUMBER(MATCH(U96,{"queued","contacted","replied","call_booked","call_done","yes_in_principle","materials_sent"},0)),"Y","N")</f>
        <v/>
      </c>
      <c r="ES96">
        <f>IF(COUNTIFS($AP$2:$AP$1000,AP96,$ER$2:$ER$1000,"Y")+COUNTIFS($AP$2:$AP$1000,AP96,$T$2:$T$1000,"Y")&gt;0,"Y","N")</f>
        <v/>
      </c>
      <c r="ET96">
        <f>IF(AND(U96="new",T96="N",AT96="Y",AS96="",ES96="N"),"Y","N")</f>
        <v/>
      </c>
      <c r="EU96">
        <f>IF(ET96&lt;&gt;"Y","N",IF(COUNTIFS($AP$2:$AP$1000,AP96,$ET$2:$ET$1000,"Y",$J$2:$J$1000,"&gt;"&amp;J96)+COUNTIFS($AP$2:$AP$1000,AP96,$ET$2:$ET$1000,"Y",$J$2:$J$1000,J96,$EW$2:$EW$1000,"&lt;"&amp;EW96)=0,"Y","N"))</f>
        <v/>
      </c>
      <c r="EV96">
        <f>IF(Y96="","N",IF(Y96&lt;=10,"Y","N"))</f>
        <v/>
      </c>
      <c r="EW96">
        <f>ROW()-1</f>
        <v/>
      </c>
    </row>
    <row r="97">
      <c r="A97" t="inlineStr">
        <is>
          <t>AO-C-140</t>
        </is>
      </c>
      <c r="B97" t="inlineStr">
        <is>
          <t>Collected Strategies</t>
        </is>
      </c>
      <c r="C97" t="inlineStr"/>
      <c r="D97" t="inlineStr"/>
      <c r="E97" t="inlineStr"/>
      <c r="F97" t="inlineStr"/>
      <c r="G97" t="inlineStr"/>
      <c r="H97" t="inlineStr">
        <is>
          <t>none</t>
        </is>
      </c>
      <c r="I97" t="inlineStr">
        <is>
          <t>linkedin</t>
        </is>
      </c>
      <c r="J97" t="n">
        <v>36</v>
      </c>
      <c r="K97" t="inlineStr">
        <is>
          <t>Tuesday headcount unknown (no sourced count), company size unknown, no attendance signal, occupied at a high-confidence address; contacts not researched yet (below the top 50).</t>
        </is>
      </c>
      <c r="L97" t="inlineStr">
        <is>
          <t>unknown</t>
        </is>
      </c>
      <c r="M97" t="inlineStr"/>
      <c r="N97" t="inlineStr"/>
      <c r="O97" t="inlineStr"/>
      <c r="P97" t="inlineStr"/>
      <c r="Q97" t="inlineStr"/>
      <c r="R97" t="inlineStr">
        <is>
          <t>N</t>
        </is>
      </c>
      <c r="S97" t="inlineStr">
        <is>
          <t>unknown</t>
        </is>
      </c>
      <c r="T97" t="inlineStr">
        <is>
          <t>N</t>
        </is>
      </c>
      <c r="U97" t="inlineStr">
        <is>
          <t>new</t>
        </is>
      </c>
      <c r="V97" t="inlineStr">
        <is>
          <t>https://commercialobserver.com/2025/08/comms-firm-collected-strategies-takes-10k-sf-moinians-60-madison/</t>
        </is>
      </c>
      <c r="W97" t="inlineStr">
        <is>
          <t>2026-10-23</t>
        </is>
      </c>
      <c r="X97" t="inlineStr">
        <is>
          <t>office</t>
        </is>
      </c>
      <c r="Y97" t="inlineStr"/>
      <c r="Z97" t="n">
        <v>96</v>
      </c>
      <c r="AA97" t="inlineStr">
        <is>
          <t>N</t>
        </is>
      </c>
      <c r="AB97" t="inlineStr"/>
      <c r="AC97" t="inlineStr"/>
      <c r="AD97" t="inlineStr">
        <is>
          <t>none</t>
        </is>
      </c>
      <c r="AE97" t="inlineStr"/>
      <c r="AF97" t="inlineStr"/>
      <c r="AG97" t="inlineStr"/>
      <c r="AH97" t="inlineStr">
        <is>
          <t>none</t>
        </is>
      </c>
      <c r="AI97" t="inlineStr">
        <is>
          <t>60 Madison Avenue</t>
        </is>
      </c>
      <c r="AJ97" t="n">
        <v>10</v>
      </c>
      <c r="AK97" t="inlineStr">
        <is>
          <t>occupied</t>
        </is>
      </c>
      <c r="AL97" t="inlineStr">
        <is>
          <t>unknown</t>
        </is>
      </c>
      <c r="AM97" t="inlineStr">
        <is>
          <t>unknown</t>
        </is>
      </c>
      <c r="AN97" t="inlineStr">
        <is>
          <t>none</t>
        </is>
      </c>
      <c r="AO97" t="inlineStr">
        <is>
          <t>unknown</t>
        </is>
      </c>
      <c r="AP97" t="inlineStr">
        <is>
          <t>AO-C-140</t>
        </is>
      </c>
      <c r="AQ97" t="inlineStr">
        <is>
          <t>N</t>
        </is>
      </c>
      <c r="AR97" t="inlineStr"/>
      <c r="AS97" t="inlineStr"/>
      <c r="AT97" t="inlineStr">
        <is>
          <t>N</t>
        </is>
      </c>
      <c r="AU97" t="inlineStr">
        <is>
          <t>no contact named on an opened page</t>
        </is>
      </c>
      <c r="AV97" t="inlineStr"/>
      <c r="AW97" t="inlineStr">
        <is>
          <t>N</t>
        </is>
      </c>
      <c r="AX97" t="inlineStr">
        <is>
          <t>pass</t>
        </is>
      </c>
      <c r="AY97" t="inlineStr">
        <is>
          <t>passes all hard gates</t>
        </is>
      </c>
      <c r="AZ97" t="inlineStr">
        <is>
          <t>company</t>
        </is>
      </c>
      <c r="BA97" t="inlineStr">
        <is>
          <t>B-C-140</t>
        </is>
      </c>
      <c r="BB97" t="inlineStr">
        <is>
          <t>https://www.collectedstrategies.com</t>
        </is>
      </c>
      <c r="BC97" t="inlineStr">
        <is>
          <t>strategic communications</t>
        </is>
      </c>
      <c r="BD97" t="inlineStr">
        <is>
          <t>unknown</t>
        </is>
      </c>
      <c r="BE97" t="inlineStr"/>
      <c r="BF97" t="inlineStr">
        <is>
          <t>unknown</t>
        </is>
      </c>
      <c r="BG97" t="inlineStr">
        <is>
          <t>unknown</t>
        </is>
      </c>
      <c r="BH97" t="inlineStr">
        <is>
          <t>no-count</t>
        </is>
      </c>
      <c r="BI97" t="inlineStr"/>
      <c r="BJ97" t="inlineStr"/>
      <c r="BK97" t="inlineStr">
        <is>
          <t>unknown</t>
        </is>
      </c>
      <c r="BL97" t="inlineStr">
        <is>
          <t>unknown</t>
        </is>
      </c>
      <c r="BM97" t="inlineStr">
        <is>
          <t>unknown</t>
        </is>
      </c>
      <c r="BN97" t="inlineStr">
        <is>
          <t>unknown</t>
        </is>
      </c>
      <c r="BO97" t="inlineStr">
        <is>
          <t>unknown</t>
        </is>
      </c>
      <c r="BP97" t="n">
        <v>10010</v>
      </c>
      <c r="BQ97" t="n">
        <v>40.743288</v>
      </c>
      <c r="BR97" t="n">
        <v>-73.986627</v>
      </c>
      <c r="BS97" t="inlineStr">
        <is>
          <t>Y</t>
        </is>
      </c>
      <c r="BT97" t="n">
        <v>0</v>
      </c>
      <c r="BU97" t="inlineStr">
        <is>
          <t>B-B-066</t>
        </is>
      </c>
      <c r="BV97" t="inlineStr">
        <is>
          <t>60 Madison Avenue (Moinian Group)</t>
        </is>
      </c>
      <c r="BW97" t="inlineStr">
        <is>
          <t>https://commercialobserver.com/2025/08/comms-firm-collected-strategies-takes-10k-sf-moinians-60-madison/</t>
        </is>
      </c>
      <c r="BX97" t="inlineStr">
        <is>
          <t>2025-08-07</t>
        </is>
      </c>
      <c r="BY97" t="inlineStr">
        <is>
          <t>leasing-press</t>
        </is>
      </c>
      <c r="BZ97" t="inlineStr">
        <is>
          <t>https://www.collectedstrategies.com/</t>
        </is>
      </c>
      <c r="CA97" t="inlineStr">
        <is>
          <t>2026-10-23</t>
        </is>
      </c>
      <c r="CB97" t="inlineStr"/>
      <c r="CC97" t="inlineStr">
        <is>
          <t>high</t>
        </is>
      </c>
      <c r="CD97" t="inlineStr"/>
      <c r="CE97" t="inlineStr">
        <is>
          <t>N</t>
        </is>
      </c>
      <c r="CF97" t="inlineStr"/>
      <c r="CG97" t="inlineStr"/>
      <c r="CH97" t="inlineStr">
        <is>
          <t>unknown</t>
        </is>
      </c>
      <c r="CI97" t="inlineStr"/>
      <c r="CJ97" t="inlineStr">
        <is>
          <t>unknown</t>
        </is>
      </c>
      <c r="CK97" t="inlineStr">
        <is>
          <t>N</t>
        </is>
      </c>
      <c r="CL97" t="inlineStr">
        <is>
          <t>unknown</t>
        </is>
      </c>
      <c r="CM97" t="inlineStr"/>
      <c r="CN97" t="inlineStr"/>
      <c r="CO97" t="inlineStr">
        <is>
          <t>unknown</t>
        </is>
      </c>
      <c r="CP97" t="inlineStr"/>
      <c r="CQ97" t="inlineStr">
        <is>
          <t>No sourced headcount, so no Tuesday estimate; ask the Tuesday count at intake.</t>
        </is>
      </c>
      <c r="CR97" t="inlineStr">
        <is>
          <t>estimate until intake replaces it</t>
        </is>
      </c>
      <c r="CS97" t="inlineStr">
        <is>
          <t>unknown</t>
        </is>
      </c>
      <c r="CT97" t="n">
        <v>36</v>
      </c>
      <c r="CU97" t="n">
        <v>7</v>
      </c>
      <c r="CV97" t="n">
        <v>8</v>
      </c>
      <c r="CW97" t="n">
        <v>6</v>
      </c>
      <c r="CX97" t="n">
        <v>15</v>
      </c>
      <c r="CY97" t="n">
        <v>0</v>
      </c>
      <c r="CZ97" t="n">
        <v>0</v>
      </c>
      <c r="DA97" t="inlineStr"/>
      <c r="DB97" t="inlineStr"/>
      <c r="DC97" t="inlineStr"/>
      <c r="DD97" t="inlineStr"/>
      <c r="DE97" t="inlineStr"/>
      <c r="DF97" t="inlineStr">
        <is>
          <t>none</t>
        </is>
      </c>
      <c r="DG97" t="inlineStr">
        <is>
          <t>candidate</t>
        </is>
      </c>
      <c r="DH97" t="inlineStr"/>
      <c r="DI97" t="inlineStr"/>
      <c r="DJ97" t="inlineStr">
        <is>
          <t>10,000 sf</t>
        </is>
      </c>
      <c r="DK97" t="inlineStr">
        <is>
          <t>CO 2025-08: 10,000 SF partial 10th floor, doubling its footprint, moving from 121 East 24th Street. Homepage lists 60 Madison Ave, 10th Floor. Headcount not found.</t>
        </is>
      </c>
      <c r="DL97" t="inlineStr"/>
      <c r="DM97" t="inlineStr"/>
      <c r="DN97" t="inlineStr"/>
      <c r="DO97" t="inlineStr"/>
      <c r="DP97" t="inlineStr"/>
      <c r="DQ97" t="inlineStr"/>
      <c r="DR97" t="inlineStr"/>
      <c r="DS97" t="inlineStr">
        <is>
          <t>none</t>
        </is>
      </c>
      <c r="DT97" t="inlineStr"/>
      <c r="DU97" t="inlineStr"/>
      <c r="DV97" t="inlineStr"/>
      <c r="DW97" t="inlineStr"/>
      <c r="DX97" t="inlineStr">
        <is>
          <t>N</t>
        </is>
      </c>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f>IF(ISNUMBER(MATCH(U97,{"queued","contacted","replied","call_booked","call_done","yes_in_principle","materials_sent"},0)),"Y","N")</f>
        <v/>
      </c>
      <c r="ES97">
        <f>IF(COUNTIFS($AP$2:$AP$1000,AP97,$ER$2:$ER$1000,"Y")+COUNTIFS($AP$2:$AP$1000,AP97,$T$2:$T$1000,"Y")&gt;0,"Y","N")</f>
        <v/>
      </c>
      <c r="ET97">
        <f>IF(AND(U97="new",T97="N",AT97="Y",AS97="",ES97="N"),"Y","N")</f>
        <v/>
      </c>
      <c r="EU97">
        <f>IF(ET97&lt;&gt;"Y","N",IF(COUNTIFS($AP$2:$AP$1000,AP97,$ET$2:$ET$1000,"Y",$J$2:$J$1000,"&gt;"&amp;J97)+COUNTIFS($AP$2:$AP$1000,AP97,$ET$2:$ET$1000,"Y",$J$2:$J$1000,J97,$EW$2:$EW$1000,"&lt;"&amp;EW97)=0,"Y","N"))</f>
        <v/>
      </c>
      <c r="EV97">
        <f>IF(Y97="","N",IF(Y97&lt;=10,"Y","N"))</f>
        <v/>
      </c>
      <c r="EW97">
        <f>ROW()-1</f>
        <v/>
      </c>
    </row>
    <row r="98">
      <c r="A98" t="inlineStr">
        <is>
          <t>AO-C-163</t>
        </is>
      </c>
      <c r="B98" t="inlineStr">
        <is>
          <t>Community Healthcare Network (administrative offices)</t>
        </is>
      </c>
      <c r="C98" t="inlineStr"/>
      <c r="D98" t="inlineStr"/>
      <c r="E98" t="inlineStr"/>
      <c r="F98" t="inlineStr"/>
      <c r="G98" t="inlineStr"/>
      <c r="H98" t="inlineStr">
        <is>
          <t>none</t>
        </is>
      </c>
      <c r="I98" t="inlineStr">
        <is>
          <t>linkedin</t>
        </is>
      </c>
      <c r="J98" t="n">
        <v>36</v>
      </c>
      <c r="K98" t="inlineStr">
        <is>
          <t>Tuesday headcount unknown (no sourced count), company size unknown, no attendance signal, occupied at a high-confidence address; contacts not researched yet (below the top 50).</t>
        </is>
      </c>
      <c r="L98" t="inlineStr">
        <is>
          <t>unknown</t>
        </is>
      </c>
      <c r="M98" t="inlineStr"/>
      <c r="N98" t="inlineStr"/>
      <c r="O98" t="inlineStr"/>
      <c r="P98" t="inlineStr"/>
      <c r="Q98" t="inlineStr"/>
      <c r="R98" t="inlineStr">
        <is>
          <t>N</t>
        </is>
      </c>
      <c r="S98" t="inlineStr">
        <is>
          <t>unknown</t>
        </is>
      </c>
      <c r="T98" t="inlineStr">
        <is>
          <t>N</t>
        </is>
      </c>
      <c r="U98" t="inlineStr">
        <is>
          <t>new</t>
        </is>
      </c>
      <c r="V98" t="inlineStr">
        <is>
          <t>https://commercialobserver.com/2025/02/community-healthcare-network-lease-44-west-28th-street/</t>
        </is>
      </c>
      <c r="W98" t="inlineStr">
        <is>
          <t>2026-10-23</t>
        </is>
      </c>
      <c r="X98" t="inlineStr">
        <is>
          <t>office</t>
        </is>
      </c>
      <c r="Y98" t="inlineStr"/>
      <c r="Z98" t="n">
        <v>97</v>
      </c>
      <c r="AA98" t="inlineStr">
        <is>
          <t>N</t>
        </is>
      </c>
      <c r="AB98" t="inlineStr"/>
      <c r="AC98" t="inlineStr"/>
      <c r="AD98" t="inlineStr">
        <is>
          <t>none</t>
        </is>
      </c>
      <c r="AE98" t="inlineStr"/>
      <c r="AF98" t="inlineStr"/>
      <c r="AG98" t="inlineStr"/>
      <c r="AH98" t="inlineStr">
        <is>
          <t>none</t>
        </is>
      </c>
      <c r="AI98" t="inlineStr">
        <is>
          <t>44 West 28th Street</t>
        </is>
      </c>
      <c r="AJ98" t="n">
        <v>5</v>
      </c>
      <c r="AK98" t="inlineStr">
        <is>
          <t>occupied</t>
        </is>
      </c>
      <c r="AL98" t="inlineStr">
        <is>
          <t>unknown</t>
        </is>
      </c>
      <c r="AM98" t="inlineStr">
        <is>
          <t>unknown</t>
        </is>
      </c>
      <c r="AN98" t="inlineStr">
        <is>
          <t>none</t>
        </is>
      </c>
      <c r="AO98" t="inlineStr">
        <is>
          <t>unknown</t>
        </is>
      </c>
      <c r="AP98" t="inlineStr">
        <is>
          <t>AO-C-163</t>
        </is>
      </c>
      <c r="AQ98" t="inlineStr">
        <is>
          <t>N</t>
        </is>
      </c>
      <c r="AR98" t="inlineStr"/>
      <c r="AS98" t="inlineStr"/>
      <c r="AT98" t="inlineStr">
        <is>
          <t>N</t>
        </is>
      </c>
      <c r="AU98" t="inlineStr">
        <is>
          <t>no contact named on an opened page</t>
        </is>
      </c>
      <c r="AV98" t="inlineStr"/>
      <c r="AW98" t="inlineStr">
        <is>
          <t>N</t>
        </is>
      </c>
      <c r="AX98" t="inlineStr">
        <is>
          <t>pass</t>
        </is>
      </c>
      <c r="AY98" t="inlineStr">
        <is>
          <t>passes all hard gates</t>
        </is>
      </c>
      <c r="AZ98" t="inlineStr">
        <is>
          <t>company</t>
        </is>
      </c>
      <c r="BA98" t="inlineStr">
        <is>
          <t>B-C-163</t>
        </is>
      </c>
      <c r="BB98" t="inlineStr">
        <is>
          <t>https://www.chnnyc.org</t>
        </is>
      </c>
      <c r="BC98" t="inlineStr">
        <is>
          <t>nonprofit health services (administration)</t>
        </is>
      </c>
      <c r="BD98" t="inlineStr">
        <is>
          <t>unknown</t>
        </is>
      </c>
      <c r="BE98" t="inlineStr"/>
      <c r="BF98" t="inlineStr">
        <is>
          <t>unknown</t>
        </is>
      </c>
      <c r="BG98" t="inlineStr">
        <is>
          <t>unknown</t>
        </is>
      </c>
      <c r="BH98" t="inlineStr">
        <is>
          <t>no-count</t>
        </is>
      </c>
      <c r="BI98" t="inlineStr"/>
      <c r="BJ98" t="inlineStr"/>
      <c r="BK98" t="inlineStr">
        <is>
          <t>unknown</t>
        </is>
      </c>
      <c r="BL98" t="inlineStr">
        <is>
          <t>unknown</t>
        </is>
      </c>
      <c r="BM98" t="inlineStr">
        <is>
          <t>unknown</t>
        </is>
      </c>
      <c r="BN98" t="inlineStr">
        <is>
          <t>unknown</t>
        </is>
      </c>
      <c r="BO98" t="inlineStr">
        <is>
          <t>unknown</t>
        </is>
      </c>
      <c r="BP98" t="n">
        <v>10001</v>
      </c>
      <c r="BQ98" t="n">
        <v>40.745609</v>
      </c>
      <c r="BR98" t="n">
        <v>-73.990014</v>
      </c>
      <c r="BS98" t="inlineStr">
        <is>
          <t>Y</t>
        </is>
      </c>
      <c r="BT98" t="n">
        <v>0</v>
      </c>
      <c r="BU98" t="inlineStr">
        <is>
          <t>B-B-075</t>
        </is>
      </c>
      <c r="BV98" t="inlineStr">
        <is>
          <t>44 West 28th Street (Stellar Management)</t>
        </is>
      </c>
      <c r="BW98" t="inlineStr">
        <is>
          <t>https://commercialobserver.com/2025/02/community-healthcare-network-lease-44-west-28th-street/</t>
        </is>
      </c>
      <c r="BX98" t="inlineStr">
        <is>
          <t>2025-02-04</t>
        </is>
      </c>
      <c r="BY98" t="inlineStr">
        <is>
          <t>leasing-press</t>
        </is>
      </c>
      <c r="BZ98" t="inlineStr">
        <is>
          <t>https://www.chnnyc.org/contact/</t>
        </is>
      </c>
      <c r="CA98" t="inlineStr">
        <is>
          <t>2026-10-23</t>
        </is>
      </c>
      <c r="CB98" t="inlineStr"/>
      <c r="CC98" t="inlineStr">
        <is>
          <t>high</t>
        </is>
      </c>
      <c r="CD98" t="inlineStr"/>
      <c r="CE98" t="inlineStr">
        <is>
          <t>N</t>
        </is>
      </c>
      <c r="CF98" t="inlineStr"/>
      <c r="CG98" t="inlineStr"/>
      <c r="CH98" t="inlineStr">
        <is>
          <t>unknown</t>
        </is>
      </c>
      <c r="CI98" t="inlineStr"/>
      <c r="CJ98" t="inlineStr">
        <is>
          <t>unknown</t>
        </is>
      </c>
      <c r="CK98" t="inlineStr">
        <is>
          <t>N</t>
        </is>
      </c>
      <c r="CL98" t="inlineStr">
        <is>
          <t>unknown</t>
        </is>
      </c>
      <c r="CM98" t="inlineStr"/>
      <c r="CN98" t="inlineStr"/>
      <c r="CO98" t="inlineStr">
        <is>
          <t>unknown</t>
        </is>
      </c>
      <c r="CP98" t="inlineStr"/>
      <c r="CQ98" t="inlineStr">
        <is>
          <t>No sourced headcount, so no Tuesday estimate; ask the Tuesday count at intake.</t>
        </is>
      </c>
      <c r="CR98" t="inlineStr">
        <is>
          <t>estimate until intake replaces it</t>
        </is>
      </c>
      <c r="CS98" t="inlineStr">
        <is>
          <t>unknown</t>
        </is>
      </c>
      <c r="CT98" t="n">
        <v>36</v>
      </c>
      <c r="CU98" t="n">
        <v>7</v>
      </c>
      <c r="CV98" t="n">
        <v>8</v>
      </c>
      <c r="CW98" t="n">
        <v>6</v>
      </c>
      <c r="CX98" t="n">
        <v>15</v>
      </c>
      <c r="CY98" t="n">
        <v>0</v>
      </c>
      <c r="CZ98" t="n">
        <v>0</v>
      </c>
      <c r="DA98" t="inlineStr"/>
      <c r="DB98" t="inlineStr"/>
      <c r="DC98" t="inlineStr"/>
      <c r="DD98" t="inlineStr"/>
      <c r="DE98" t="inlineStr"/>
      <c r="DF98" t="inlineStr">
        <is>
          <t>none</t>
        </is>
      </c>
      <c r="DG98" t="inlineStr">
        <is>
          <t>candidate</t>
        </is>
      </c>
      <c r="DH98" t="inlineStr"/>
      <c r="DI98" t="inlineStr"/>
      <c r="DJ98" t="inlineStr">
        <is>
          <t>12,083 sf</t>
        </is>
      </c>
      <c r="DK98" t="inlineStr">
        <is>
          <t>10-year 12,083 SF lease on full 5th floor for administrative offices (not a clinic), per CO 2025-02-04. CHN contact page lists Admin Office Address 44 W 28th Street, 5th Floor. Headcount not found.</t>
        </is>
      </c>
      <c r="DL98" t="inlineStr"/>
      <c r="DM98" t="inlineStr"/>
      <c r="DN98" t="inlineStr"/>
      <c r="DO98" t="inlineStr"/>
      <c r="DP98" t="inlineStr"/>
      <c r="DQ98" t="inlineStr"/>
      <c r="DR98" t="inlineStr"/>
      <c r="DS98" t="inlineStr">
        <is>
          <t>none</t>
        </is>
      </c>
      <c r="DT98" t="inlineStr"/>
      <c r="DU98" t="inlineStr"/>
      <c r="DV98" t="inlineStr"/>
      <c r="DW98" t="inlineStr"/>
      <c r="DX98" t="inlineStr">
        <is>
          <t>N</t>
        </is>
      </c>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f>IF(ISNUMBER(MATCH(U98,{"queued","contacted","replied","call_booked","call_done","yes_in_principle","materials_sent"},0)),"Y","N")</f>
        <v/>
      </c>
      <c r="ES98">
        <f>IF(COUNTIFS($AP$2:$AP$1000,AP98,$ER$2:$ER$1000,"Y")+COUNTIFS($AP$2:$AP$1000,AP98,$T$2:$T$1000,"Y")&gt;0,"Y","N")</f>
        <v/>
      </c>
      <c r="ET98">
        <f>IF(AND(U98="new",T98="N",AT98="Y",AS98="",ES98="N"),"Y","N")</f>
        <v/>
      </c>
      <c r="EU98">
        <f>IF(ET98&lt;&gt;"Y","N",IF(COUNTIFS($AP$2:$AP$1000,AP98,$ET$2:$ET$1000,"Y",$J$2:$J$1000,"&gt;"&amp;J98)+COUNTIFS($AP$2:$AP$1000,AP98,$ET$2:$ET$1000,"Y",$J$2:$J$1000,J98,$EW$2:$EW$1000,"&lt;"&amp;EW98)=0,"Y","N"))</f>
        <v/>
      </c>
      <c r="EV98">
        <f>IF(Y98="","N",IF(Y98&lt;=10,"Y","N"))</f>
        <v/>
      </c>
      <c r="EW98">
        <f>ROW()-1</f>
        <v/>
      </c>
    </row>
    <row r="99">
      <c r="A99" t="inlineStr">
        <is>
          <t>AO-W-013</t>
        </is>
      </c>
      <c r="B99" t="inlineStr">
        <is>
          <t>Cure, 345 Park Avenue South</t>
        </is>
      </c>
      <c r="C99" t="inlineStr"/>
      <c r="D99" t="inlineStr"/>
      <c r="E99" t="inlineStr"/>
      <c r="F99" t="inlineStr"/>
      <c r="G99" t="inlineStr"/>
      <c r="H99" t="inlineStr">
        <is>
          <t>none</t>
        </is>
      </c>
      <c r="I99" t="inlineStr">
        <is>
          <t>linkedin</t>
        </is>
      </c>
      <c r="J99" t="n">
        <v>36</v>
      </c>
      <c r="K99" t="inlineStr">
        <is>
          <t>Tuesday headcount unknown (no sourced count), coworking operator site (one office if it controls the pantry), no attendance signal, open at a high-confidence address; contacts not researched yet (below the top 50).</t>
        </is>
      </c>
      <c r="L99" t="inlineStr">
        <is>
          <t>unknown</t>
        </is>
      </c>
      <c r="M99" t="inlineStr"/>
      <c r="N99" t="inlineStr"/>
      <c r="O99" t="inlineStr"/>
      <c r="P99" t="inlineStr"/>
      <c r="Q99" t="inlineStr"/>
      <c r="R99" t="inlineStr">
        <is>
          <t>N</t>
        </is>
      </c>
      <c r="S99" t="inlineStr">
        <is>
          <t>unknown</t>
        </is>
      </c>
      <c r="T99" t="inlineStr">
        <is>
          <t>N</t>
        </is>
      </c>
      <c r="U99" t="inlineStr">
        <is>
          <t>new</t>
        </is>
      </c>
      <c r="V99" t="inlineStr">
        <is>
          <t>https://wewillcure.com/community/residents</t>
        </is>
      </c>
      <c r="W99" t="inlineStr">
        <is>
          <t>2026-10-24</t>
        </is>
      </c>
      <c r="X99" t="inlineStr">
        <is>
          <t>office</t>
        </is>
      </c>
      <c r="Y99" t="inlineStr"/>
      <c r="Z99" t="n">
        <v>98</v>
      </c>
      <c r="AA99" t="inlineStr">
        <is>
          <t>N</t>
        </is>
      </c>
      <c r="AB99" t="inlineStr"/>
      <c r="AC99" t="inlineStr"/>
      <c r="AD99" t="inlineStr">
        <is>
          <t>none</t>
        </is>
      </c>
      <c r="AE99" t="inlineStr"/>
      <c r="AF99" t="inlineStr"/>
      <c r="AG99" t="inlineStr"/>
      <c r="AH99" t="inlineStr">
        <is>
          <t>none</t>
        </is>
      </c>
      <c r="AI99" t="inlineStr">
        <is>
          <t>345 Park Avenue South, New York, NY 10010</t>
        </is>
      </c>
      <c r="AJ99" t="inlineStr">
        <is>
          <t>unknown</t>
        </is>
      </c>
      <c r="AK99" t="inlineStr">
        <is>
          <t>open</t>
        </is>
      </c>
      <c r="AL99" t="inlineStr">
        <is>
          <t>unknown</t>
        </is>
      </c>
      <c r="AM99" t="inlineStr">
        <is>
          <t>unknown</t>
        </is>
      </c>
      <c r="AN99" t="inlineStr">
        <is>
          <t>none</t>
        </is>
      </c>
      <c r="AO99" t="inlineStr">
        <is>
          <t>unknown</t>
        </is>
      </c>
      <c r="AP99" t="inlineStr">
        <is>
          <t>AO-W-013</t>
        </is>
      </c>
      <c r="AQ99" t="inlineStr">
        <is>
          <t>N</t>
        </is>
      </c>
      <c r="AR99" t="inlineStr"/>
      <c r="AS99" t="inlineStr"/>
      <c r="AT99" t="inlineStr">
        <is>
          <t>N</t>
        </is>
      </c>
      <c r="AU99" t="inlineStr">
        <is>
          <t>no contact named on an opened page</t>
        </is>
      </c>
      <c r="AV99" t="inlineStr"/>
      <c r="AW99" t="inlineStr">
        <is>
          <t>N</t>
        </is>
      </c>
      <c r="AX99" t="inlineStr">
        <is>
          <t>pass</t>
        </is>
      </c>
      <c r="AY99" t="inlineStr">
        <is>
          <t>passes all hard gates</t>
        </is>
      </c>
      <c r="AZ99" t="inlineStr">
        <is>
          <t>coworking-operator</t>
        </is>
      </c>
      <c r="BA99" t="inlineStr">
        <is>
          <t>B-W-013</t>
        </is>
      </c>
      <c r="BB99" t="inlineStr">
        <is>
          <t>https://wewillcure.com</t>
        </is>
      </c>
      <c r="BC99" t="inlineStr">
        <is>
          <t>coworking operator</t>
        </is>
      </c>
      <c r="BD99" t="inlineStr">
        <is>
          <t>unknown</t>
        </is>
      </c>
      <c r="BE99" t="inlineStr"/>
      <c r="BF99" t="inlineStr">
        <is>
          <t>unknown</t>
        </is>
      </c>
      <c r="BG99" t="inlineStr">
        <is>
          <t>unknown</t>
        </is>
      </c>
      <c r="BH99" t="inlineStr"/>
      <c r="BI99" t="inlineStr"/>
      <c r="BJ99" t="inlineStr"/>
      <c r="BK99" t="inlineStr">
        <is>
          <t>unknown</t>
        </is>
      </c>
      <c r="BL99" t="inlineStr">
        <is>
          <t>n/a (operator site)</t>
        </is>
      </c>
      <c r="BM99" t="inlineStr">
        <is>
          <t>unknown</t>
        </is>
      </c>
      <c r="BN99" t="inlineStr">
        <is>
          <t>Cure (Cure Experience Services, LLC; Deerfield-affiliated)</t>
        </is>
      </c>
      <c r="BO99" t="inlineStr"/>
      <c r="BP99" t="n">
        <v>10010</v>
      </c>
      <c r="BQ99" t="n">
        <v>40.741737</v>
      </c>
      <c r="BR99" t="n">
        <v>-73.98485599999999</v>
      </c>
      <c r="BS99" t="inlineStr">
        <is>
          <t>Y</t>
        </is>
      </c>
      <c r="BT99" t="n">
        <v>0</v>
      </c>
      <c r="BU99" t="inlineStr">
        <is>
          <t>B-B-058</t>
        </is>
      </c>
      <c r="BV99" t="inlineStr">
        <is>
          <t>345 Park Avenue South (Deerfield Management; home of Cure)</t>
        </is>
      </c>
      <c r="BW99" t="inlineStr">
        <is>
          <t>https://wewillcure.com/community/residents</t>
        </is>
      </c>
      <c r="BX99" t="inlineStr">
        <is>
          <t>2026-10-24</t>
        </is>
      </c>
      <c r="BY99" t="inlineStr">
        <is>
          <t>operator-site</t>
        </is>
      </c>
      <c r="BZ99" t="inlineStr">
        <is>
          <t>https://en.wikipedia.org/wiki/Deerfield_Management</t>
        </is>
      </c>
      <c r="CA99" t="inlineStr"/>
      <c r="CB99" t="inlineStr"/>
      <c r="CC99" t="inlineStr">
        <is>
          <t>high</t>
        </is>
      </c>
      <c r="CD99" t="inlineStr"/>
      <c r="CE99" t="inlineStr">
        <is>
          <t>N</t>
        </is>
      </c>
      <c r="CF99" t="inlineStr">
        <is>
          <t>B-W-013</t>
        </is>
      </c>
      <c r="CG99" t="inlineStr">
        <is>
          <t>operator</t>
        </is>
      </c>
      <c r="CH99" t="inlineStr">
        <is>
          <t>unknown</t>
        </is>
      </c>
      <c r="CI99" t="inlineStr"/>
      <c r="CJ99" t="inlineStr">
        <is>
          <t>unknown</t>
        </is>
      </c>
      <c r="CK99" t="inlineStr">
        <is>
          <t>N</t>
        </is>
      </c>
      <c r="CL99" t="inlineStr">
        <is>
          <t>unknown</t>
        </is>
      </c>
      <c r="CM99" t="inlineStr"/>
      <c r="CN99" t="inlineStr"/>
      <c r="CO99" t="inlineStr">
        <is>
          <t>unknown</t>
        </is>
      </c>
      <c r="CP99" t="inlineStr"/>
      <c r="CQ99" t="inlineStr">
        <is>
          <t>Coworking site: member headcount not sourced; treat as one office if the operator controls the pantry and ask the Tuesday count at intake.</t>
        </is>
      </c>
      <c r="CR99" t="inlineStr">
        <is>
          <t>estimate until intake replaces it</t>
        </is>
      </c>
      <c r="CS99" t="inlineStr">
        <is>
          <t>unknown</t>
        </is>
      </c>
      <c r="CT99" t="n">
        <v>36</v>
      </c>
      <c r="CU99" t="n">
        <v>7</v>
      </c>
      <c r="CV99" t="n">
        <v>8</v>
      </c>
      <c r="CW99" t="n">
        <v>6</v>
      </c>
      <c r="CX99" t="n">
        <v>15</v>
      </c>
      <c r="CY99" t="n">
        <v>0</v>
      </c>
      <c r="CZ99" t="n">
        <v>0</v>
      </c>
      <c r="DA99" t="inlineStr"/>
      <c r="DB99" t="inlineStr"/>
      <c r="DC99" t="inlineStr"/>
      <c r="DD99" t="inlineStr"/>
      <c r="DE99" t="inlineStr"/>
      <c r="DF99" t="inlineStr">
        <is>
          <t>none</t>
        </is>
      </c>
      <c r="DG99" t="inlineStr">
        <is>
          <t>coworking-operator</t>
        </is>
      </c>
      <c r="DH99" t="inlineStr"/>
      <c r="DI99" t="inlineStr"/>
      <c r="DJ99" t="inlineStr"/>
      <c r="DK99" t="inlineStr">
        <is>
          <t>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is>
      </c>
      <c r="DL99" t="inlineStr"/>
      <c r="DM99" t="inlineStr"/>
      <c r="DN99" t="inlineStr"/>
      <c r="DO99" t="inlineStr"/>
      <c r="DP99" t="inlineStr"/>
      <c r="DQ99" t="inlineStr"/>
      <c r="DR99" t="inlineStr"/>
      <c r="DS99" t="inlineStr">
        <is>
          <t>none</t>
        </is>
      </c>
      <c r="DT99" t="inlineStr"/>
      <c r="DU99" t="inlineStr"/>
      <c r="DV99" t="inlineStr"/>
      <c r="DW99" t="inlineStr"/>
      <c r="DX99" t="inlineStr">
        <is>
          <t>N</t>
        </is>
      </c>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f>IF(ISNUMBER(MATCH(U99,{"queued","contacted","replied","call_booked","call_done","yes_in_principle","materials_sent"},0)),"Y","N")</f>
        <v/>
      </c>
      <c r="ES99">
        <f>IF(COUNTIFS($AP$2:$AP$1000,AP99,$ER$2:$ER$1000,"Y")+COUNTIFS($AP$2:$AP$1000,AP99,$T$2:$T$1000,"Y")&gt;0,"Y","N")</f>
        <v/>
      </c>
      <c r="ET99">
        <f>IF(AND(U99="new",T99="N",AT99="Y",AS99="",ES99="N"),"Y","N")</f>
        <v/>
      </c>
      <c r="EU99">
        <f>IF(ET99&lt;&gt;"Y","N",IF(COUNTIFS($AP$2:$AP$1000,AP99,$ET$2:$ET$1000,"Y",$J$2:$J$1000,"&gt;"&amp;J99)+COUNTIFS($AP$2:$AP$1000,AP99,$ET$2:$ET$1000,"Y",$J$2:$J$1000,J99,$EW$2:$EW$1000,"&lt;"&amp;EW99)=0,"Y","N"))</f>
        <v/>
      </c>
      <c r="EV99">
        <f>IF(Y99="","N",IF(Y99&lt;=10,"Y","N"))</f>
        <v/>
      </c>
      <c r="EW99">
        <f>ROW()-1</f>
        <v/>
      </c>
    </row>
    <row r="100">
      <c r="A100" t="inlineStr">
        <is>
          <t>AO-C-053</t>
        </is>
      </c>
      <c r="B100" t="inlineStr">
        <is>
          <t>Extend AI</t>
        </is>
      </c>
      <c r="C100" t="inlineStr"/>
      <c r="D100" t="inlineStr"/>
      <c r="E100" t="inlineStr"/>
      <c r="F100" t="inlineStr"/>
      <c r="G100" t="inlineStr"/>
      <c r="H100" t="inlineStr">
        <is>
          <t>none</t>
        </is>
      </c>
      <c r="I100" t="inlineStr">
        <is>
          <t>linkedin</t>
        </is>
      </c>
      <c r="J100" t="n">
        <v>36</v>
      </c>
      <c r="K100" t="inlineStr">
        <is>
          <t>Tuesday headcount unknown (no sourced count), company size unknown, no attendance signal, occupied at a high-confidence address; contacts not researched yet (below the top 50).</t>
        </is>
      </c>
      <c r="L100" t="inlineStr">
        <is>
          <t>unknown</t>
        </is>
      </c>
      <c r="M100" t="inlineStr"/>
      <c r="N100" t="inlineStr"/>
      <c r="O100" t="inlineStr">
        <is>
          <t>New or renewed lease at 119 Fifth Avenue reported 2026-08-07</t>
        </is>
      </c>
      <c r="P100" t="inlineStr">
        <is>
          <t>https://commercialobserver.com/2026/08/extend-ai-lease-119-fifth-avenue/</t>
        </is>
      </c>
      <c r="Q100" t="inlineStr">
        <is>
          <t>2026-08-07</t>
        </is>
      </c>
      <c r="R100" t="inlineStr">
        <is>
          <t>N</t>
        </is>
      </c>
      <c r="S100" t="inlineStr">
        <is>
          <t>unknown</t>
        </is>
      </c>
      <c r="T100" t="inlineStr">
        <is>
          <t>N</t>
        </is>
      </c>
      <c r="U100" t="inlineStr">
        <is>
          <t>new</t>
        </is>
      </c>
      <c r="V100" t="inlineStr">
        <is>
          <t>https://commercialobserver.com/2026/08/extend-ai-lease-119-fifth-avenue/</t>
        </is>
      </c>
      <c r="W100" t="inlineStr">
        <is>
          <t>2026-10-23</t>
        </is>
      </c>
      <c r="X100" t="inlineStr">
        <is>
          <t>office</t>
        </is>
      </c>
      <c r="Y100" t="inlineStr"/>
      <c r="Z100" t="n">
        <v>99</v>
      </c>
      <c r="AA100" t="inlineStr">
        <is>
          <t>N</t>
        </is>
      </c>
      <c r="AB100" t="inlineStr"/>
      <c r="AC100" t="inlineStr"/>
      <c r="AD100" t="inlineStr">
        <is>
          <t>none</t>
        </is>
      </c>
      <c r="AE100" t="inlineStr"/>
      <c r="AF100" t="inlineStr"/>
      <c r="AG100" t="inlineStr"/>
      <c r="AH100" t="inlineStr">
        <is>
          <t>none</t>
        </is>
      </c>
      <c r="AI100" t="inlineStr">
        <is>
          <t>119 Fifth Avenue</t>
        </is>
      </c>
      <c r="AJ100" t="n">
        <v>6</v>
      </c>
      <c r="AK100" t="inlineStr">
        <is>
          <t>occupied</t>
        </is>
      </c>
      <c r="AL100" t="inlineStr">
        <is>
          <t>unknown</t>
        </is>
      </c>
      <c r="AM100" t="inlineStr">
        <is>
          <t>unknown</t>
        </is>
      </c>
      <c r="AN100" t="inlineStr">
        <is>
          <t>none</t>
        </is>
      </c>
      <c r="AO100" t="inlineStr">
        <is>
          <t>unknown</t>
        </is>
      </c>
      <c r="AP100" t="inlineStr">
        <is>
          <t>AO-C-053</t>
        </is>
      </c>
      <c r="AQ100" t="inlineStr">
        <is>
          <t>N</t>
        </is>
      </c>
      <c r="AR100" t="inlineStr"/>
      <c r="AS100" t="inlineStr"/>
      <c r="AT100" t="inlineStr">
        <is>
          <t>N</t>
        </is>
      </c>
      <c r="AU100" t="inlineStr">
        <is>
          <t>no contact named on an opened page</t>
        </is>
      </c>
      <c r="AV100" t="inlineStr"/>
      <c r="AW100" t="inlineStr">
        <is>
          <t>N</t>
        </is>
      </c>
      <c r="AX100" t="inlineStr">
        <is>
          <t>pass</t>
        </is>
      </c>
      <c r="AY100" t="inlineStr">
        <is>
          <t>passes all hard gates</t>
        </is>
      </c>
      <c r="AZ100" t="inlineStr">
        <is>
          <t>company</t>
        </is>
      </c>
      <c r="BA100" t="inlineStr">
        <is>
          <t>B-C-053</t>
        </is>
      </c>
      <c r="BB100" t="inlineStr">
        <is>
          <t>https://www.extend.ai</t>
        </is>
      </c>
      <c r="BC100" t="inlineStr">
        <is>
          <t>software (AI document processing)</t>
        </is>
      </c>
      <c r="BD100" t="inlineStr">
        <is>
          <t>unknown</t>
        </is>
      </c>
      <c r="BE100" t="inlineStr"/>
      <c r="BF100" t="inlineStr">
        <is>
          <t>unknown</t>
        </is>
      </c>
      <c r="BG100" t="inlineStr">
        <is>
          <t>unknown</t>
        </is>
      </c>
      <c r="BH100" t="inlineStr">
        <is>
          <t>no-count</t>
        </is>
      </c>
      <c r="BI100" t="inlineStr"/>
      <c r="BJ100" t="inlineStr"/>
      <c r="BK100" t="inlineStr">
        <is>
          <t>unknown</t>
        </is>
      </c>
      <c r="BL100" t="inlineStr">
        <is>
          <t>unknown</t>
        </is>
      </c>
      <c r="BM100" t="inlineStr">
        <is>
          <t>unknown</t>
        </is>
      </c>
      <c r="BN100" t="inlineStr">
        <is>
          <t>unknown</t>
        </is>
      </c>
      <c r="BO100" t="inlineStr">
        <is>
          <t>unknown</t>
        </is>
      </c>
      <c r="BP100" t="n">
        <v>10003</v>
      </c>
      <c r="BQ100" t="n">
        <v>40.739138</v>
      </c>
      <c r="BR100" t="n">
        <v>-73.99111600000001</v>
      </c>
      <c r="BS100" t="inlineStr">
        <is>
          <t>Y</t>
        </is>
      </c>
      <c r="BT100" t="n">
        <v>0</v>
      </c>
      <c r="BU100" t="inlineStr">
        <is>
          <t>B-B-024</t>
        </is>
      </c>
      <c r="BV100" t="inlineStr">
        <is>
          <t>119 Fifth Avenue</t>
        </is>
      </c>
      <c r="BW100" t="inlineStr">
        <is>
          <t>https://commercialobserver.com/2026/08/extend-ai-lease-119-fifth-avenue/</t>
        </is>
      </c>
      <c r="BX100" t="inlineStr">
        <is>
          <t>2026-08-07</t>
        </is>
      </c>
      <c r="BY100" t="inlineStr">
        <is>
          <t>leasing-press</t>
        </is>
      </c>
      <c r="BZ100" t="inlineStr">
        <is>
          <t>https://www.extend.ai/</t>
        </is>
      </c>
      <c r="CA100" t="inlineStr">
        <is>
          <t>2026-10-23</t>
        </is>
      </c>
      <c r="CB100" t="inlineStr"/>
      <c r="CC100" t="inlineStr">
        <is>
          <t>high</t>
        </is>
      </c>
      <c r="CD100" t="inlineStr"/>
      <c r="CE100" t="inlineStr">
        <is>
          <t>N</t>
        </is>
      </c>
      <c r="CF100" t="inlineStr"/>
      <c r="CG100" t="inlineStr"/>
      <c r="CH100" t="inlineStr">
        <is>
          <t>unknown</t>
        </is>
      </c>
      <c r="CI100" t="inlineStr"/>
      <c r="CJ100" t="inlineStr">
        <is>
          <t>unknown</t>
        </is>
      </c>
      <c r="CK100" t="inlineStr">
        <is>
          <t>N</t>
        </is>
      </c>
      <c r="CL100" t="inlineStr">
        <is>
          <t>unknown</t>
        </is>
      </c>
      <c r="CM100" t="inlineStr"/>
      <c r="CN100" t="inlineStr"/>
      <c r="CO100" t="inlineStr">
        <is>
          <t>unknown</t>
        </is>
      </c>
      <c r="CP100" t="inlineStr"/>
      <c r="CQ100" t="inlineStr">
        <is>
          <t>No sourced headcount, so no Tuesday estimate; ask the Tuesday count at intake.</t>
        </is>
      </c>
      <c r="CR100" t="inlineStr">
        <is>
          <t>estimate until intake replaces it</t>
        </is>
      </c>
      <c r="CS100" t="inlineStr">
        <is>
          <t>unknown</t>
        </is>
      </c>
      <c r="CT100" t="n">
        <v>36</v>
      </c>
      <c r="CU100" t="n">
        <v>7</v>
      </c>
      <c r="CV100" t="n">
        <v>8</v>
      </c>
      <c r="CW100" t="n">
        <v>6</v>
      </c>
      <c r="CX100" t="n">
        <v>15</v>
      </c>
      <c r="CY100" t="n">
        <v>0</v>
      </c>
      <c r="CZ100" t="n">
        <v>0</v>
      </c>
      <c r="DA100" t="inlineStr"/>
      <c r="DB100" t="inlineStr"/>
      <c r="DC100" t="inlineStr"/>
      <c r="DD100" t="inlineStr"/>
      <c r="DE100" t="inlineStr"/>
      <c r="DF100" t="inlineStr">
        <is>
          <t>none</t>
        </is>
      </c>
      <c r="DG100" t="inlineStr">
        <is>
          <t>candidate</t>
        </is>
      </c>
      <c r="DH100" t="inlineStr"/>
      <c r="DI100" t="inlineStr"/>
      <c r="DJ100" t="inlineStr">
        <is>
          <t>8,750 sf</t>
        </is>
      </c>
      <c r="DK100" t="inlineStr">
        <is>
          <t>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is>
      </c>
      <c r="DL100" t="inlineStr"/>
      <c r="DM100" t="inlineStr"/>
      <c r="DN100" t="inlineStr"/>
      <c r="DO100" t="inlineStr"/>
      <c r="DP100" t="inlineStr"/>
      <c r="DQ100" t="inlineStr"/>
      <c r="DR100" t="inlineStr"/>
      <c r="DS100" t="inlineStr">
        <is>
          <t>none</t>
        </is>
      </c>
      <c r="DT100" t="inlineStr"/>
      <c r="DU100" t="inlineStr"/>
      <c r="DV100" t="inlineStr"/>
      <c r="DW100" t="inlineStr"/>
      <c r="DX100" t="inlineStr">
        <is>
          <t>N</t>
        </is>
      </c>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f>IF(ISNUMBER(MATCH(U100,{"queued","contacted","replied","call_booked","call_done","yes_in_principle","materials_sent"},0)),"Y","N")</f>
        <v/>
      </c>
      <c r="ES100">
        <f>IF(COUNTIFS($AP$2:$AP$1000,AP100,$ER$2:$ER$1000,"Y")+COUNTIFS($AP$2:$AP$1000,AP100,$T$2:$T$1000,"Y")&gt;0,"Y","N")</f>
        <v/>
      </c>
      <c r="ET100">
        <f>IF(AND(U100="new",T100="N",AT100="Y",AS100="",ES100="N"),"Y","N")</f>
        <v/>
      </c>
      <c r="EU100">
        <f>IF(ET100&lt;&gt;"Y","N",IF(COUNTIFS($AP$2:$AP$1000,AP100,$ET$2:$ET$1000,"Y",$J$2:$J$1000,"&gt;"&amp;J100)+COUNTIFS($AP$2:$AP$1000,AP100,$ET$2:$ET$1000,"Y",$J$2:$J$1000,J100,$EW$2:$EW$1000,"&lt;"&amp;EW100)=0,"Y","N"))</f>
        <v/>
      </c>
      <c r="EV100">
        <f>IF(Y100="","N",IF(Y100&lt;=10,"Y","N"))</f>
        <v/>
      </c>
      <c r="EW100">
        <f>ROW()-1</f>
        <v/>
      </c>
    </row>
    <row r="101">
      <c r="A101" t="inlineStr">
        <is>
          <t>AO-C-165</t>
        </is>
      </c>
      <c r="B101" t="inlineStr">
        <is>
          <t>FCA (architecture and design)</t>
        </is>
      </c>
      <c r="C101" t="inlineStr"/>
      <c r="D101" t="inlineStr"/>
      <c r="E101" t="inlineStr"/>
      <c r="F101" t="inlineStr"/>
      <c r="G101" t="inlineStr"/>
      <c r="H101" t="inlineStr">
        <is>
          <t>none</t>
        </is>
      </c>
      <c r="I101" t="inlineStr">
        <is>
          <t>linkedin</t>
        </is>
      </c>
      <c r="J101" t="n">
        <v>36</v>
      </c>
      <c r="K101" t="inlineStr">
        <is>
          <t>Tuesday headcount unknown (no sourced count), company size unknown, no attendance signal, occupied at a high-confidence address; contacts not researched yet (below the top 50).</t>
        </is>
      </c>
      <c r="L101" t="inlineStr">
        <is>
          <t>unknown</t>
        </is>
      </c>
      <c r="M101" t="inlineStr"/>
      <c r="N101" t="inlineStr"/>
      <c r="O101" t="inlineStr"/>
      <c r="P101" t="inlineStr"/>
      <c r="Q101" t="inlineStr"/>
      <c r="R101" t="inlineStr">
        <is>
          <t>N</t>
        </is>
      </c>
      <c r="S101" t="inlineStr">
        <is>
          <t>unknown</t>
        </is>
      </c>
      <c r="T101" t="inlineStr">
        <is>
          <t>N</t>
        </is>
      </c>
      <c r="U101" t="inlineStr">
        <is>
          <t>new</t>
        </is>
      </c>
      <c r="V101" t="inlineStr">
        <is>
          <t>https://commercialobserver.com/2025/02/fca-lease-261-fifth-avenue/</t>
        </is>
      </c>
      <c r="W101" t="inlineStr">
        <is>
          <t>2026-10-23</t>
        </is>
      </c>
      <c r="X101" t="inlineStr">
        <is>
          <t>office</t>
        </is>
      </c>
      <c r="Y101" t="inlineStr"/>
      <c r="Z101" t="n">
        <v>100</v>
      </c>
      <c r="AA101" t="inlineStr">
        <is>
          <t>N</t>
        </is>
      </c>
      <c r="AB101" t="inlineStr"/>
      <c r="AC101" t="inlineStr"/>
      <c r="AD101" t="inlineStr">
        <is>
          <t>none</t>
        </is>
      </c>
      <c r="AE101" t="inlineStr"/>
      <c r="AF101" t="inlineStr"/>
      <c r="AG101" t="inlineStr"/>
      <c r="AH101" t="inlineStr">
        <is>
          <t>none</t>
        </is>
      </c>
      <c r="AI101" t="inlineStr">
        <is>
          <t>261 Fifth Avenue</t>
        </is>
      </c>
      <c r="AJ101" t="inlineStr">
        <is>
          <t>4 (Suite 408)</t>
        </is>
      </c>
      <c r="AK101" t="inlineStr">
        <is>
          <t>occupied</t>
        </is>
      </c>
      <c r="AL101" t="inlineStr">
        <is>
          <t>unknown</t>
        </is>
      </c>
      <c r="AM101" t="inlineStr">
        <is>
          <t>unknown</t>
        </is>
      </c>
      <c r="AN101" t="inlineStr">
        <is>
          <t>none</t>
        </is>
      </c>
      <c r="AO101" t="inlineStr">
        <is>
          <t>unknown</t>
        </is>
      </c>
      <c r="AP101" t="inlineStr">
        <is>
          <t>AO-C-165</t>
        </is>
      </c>
      <c r="AQ101" t="inlineStr">
        <is>
          <t>N</t>
        </is>
      </c>
      <c r="AR101" t="inlineStr"/>
      <c r="AS101" t="inlineStr"/>
      <c r="AT101" t="inlineStr">
        <is>
          <t>N</t>
        </is>
      </c>
      <c r="AU101" t="inlineStr">
        <is>
          <t>no contact named on an opened page</t>
        </is>
      </c>
      <c r="AV101" t="inlineStr"/>
      <c r="AW101" t="inlineStr">
        <is>
          <t>N</t>
        </is>
      </c>
      <c r="AX101" t="inlineStr">
        <is>
          <t>pass</t>
        </is>
      </c>
      <c r="AY101" t="inlineStr">
        <is>
          <t>passes all hard gates</t>
        </is>
      </c>
      <c r="AZ101" t="inlineStr">
        <is>
          <t>company</t>
        </is>
      </c>
      <c r="BA101" t="inlineStr">
        <is>
          <t>B-C-165</t>
        </is>
      </c>
      <c r="BB101" t="inlineStr">
        <is>
          <t>https://www.fcarchitects.com</t>
        </is>
      </c>
      <c r="BC101" t="inlineStr">
        <is>
          <t>architecture and interior design</t>
        </is>
      </c>
      <c r="BD101" t="inlineStr">
        <is>
          <t>unknown</t>
        </is>
      </c>
      <c r="BE101" t="inlineStr"/>
      <c r="BF101" t="inlineStr">
        <is>
          <t>unknown</t>
        </is>
      </c>
      <c r="BG101" t="inlineStr">
        <is>
          <t>unknown</t>
        </is>
      </c>
      <c r="BH101" t="inlineStr">
        <is>
          <t>no-count</t>
        </is>
      </c>
      <c r="BI101" t="inlineStr"/>
      <c r="BJ101" t="inlineStr"/>
      <c r="BK101" t="inlineStr">
        <is>
          <t>unknown</t>
        </is>
      </c>
      <c r="BL101" t="inlineStr">
        <is>
          <t>Philadelphia</t>
        </is>
      </c>
      <c r="BM101" t="inlineStr">
        <is>
          <t>N</t>
        </is>
      </c>
      <c r="BN101" t="inlineStr">
        <is>
          <t>unknown</t>
        </is>
      </c>
      <c r="BO101" t="inlineStr">
        <is>
          <t>unknown</t>
        </is>
      </c>
      <c r="BP101" t="n">
        <v>10016</v>
      </c>
      <c r="BQ101" t="n">
        <v>40.745027</v>
      </c>
      <c r="BR101" t="n">
        <v>-73.986825</v>
      </c>
      <c r="BS101" t="inlineStr">
        <is>
          <t>Y</t>
        </is>
      </c>
      <c r="BT101" t="n">
        <v>0</v>
      </c>
      <c r="BU101" t="inlineStr">
        <is>
          <t>B-B-077</t>
        </is>
      </c>
      <c r="BV101" t="inlineStr">
        <is>
          <t>261 Fifth Avenue (Feil Organization)</t>
        </is>
      </c>
      <c r="BW101" t="inlineStr">
        <is>
          <t>https://commercialobserver.com/2025/02/fca-lease-261-fifth-avenue/</t>
        </is>
      </c>
      <c r="BX101" t="inlineStr">
        <is>
          <t>2025-02-25</t>
        </is>
      </c>
      <c r="BY101" t="inlineStr">
        <is>
          <t>leasing-press</t>
        </is>
      </c>
      <c r="BZ101" t="inlineStr">
        <is>
          <t>https://www.fcarchitects.com/contact</t>
        </is>
      </c>
      <c r="CA101" t="inlineStr">
        <is>
          <t>2026-10-23</t>
        </is>
      </c>
      <c r="CB101" t="inlineStr"/>
      <c r="CC101" t="inlineStr">
        <is>
          <t>high</t>
        </is>
      </c>
      <c r="CD101" t="inlineStr"/>
      <c r="CE101" t="inlineStr">
        <is>
          <t>N</t>
        </is>
      </c>
      <c r="CF101" t="inlineStr"/>
      <c r="CG101" t="inlineStr"/>
      <c r="CH101" t="inlineStr">
        <is>
          <t>security desk</t>
        </is>
      </c>
      <c r="CI101" t="inlineStr">
        <is>
          <t>https://www.metro-manhattan.com/buildings/261-fifth-avenue-office-space-for-lease/</t>
        </is>
      </c>
      <c r="CJ101" t="inlineStr">
        <is>
          <t>unknown</t>
        </is>
      </c>
      <c r="CK101" t="inlineStr">
        <is>
          <t>N</t>
        </is>
      </c>
      <c r="CL101" t="inlineStr">
        <is>
          <t>unknown</t>
        </is>
      </c>
      <c r="CM101" t="inlineStr"/>
      <c r="CN101" t="inlineStr"/>
      <c r="CO101" t="inlineStr">
        <is>
          <t>unknown</t>
        </is>
      </c>
      <c r="CP101" t="inlineStr"/>
      <c r="CQ101" t="inlineStr">
        <is>
          <t>No sourced headcount, so no Tuesday estimate; ask the Tuesday count at intake.</t>
        </is>
      </c>
      <c r="CR101" t="inlineStr">
        <is>
          <t>estimate until intake replaces it</t>
        </is>
      </c>
      <c r="CS101" t="inlineStr">
        <is>
          <t>unknown</t>
        </is>
      </c>
      <c r="CT101" t="n">
        <v>36</v>
      </c>
      <c r="CU101" t="n">
        <v>7</v>
      </c>
      <c r="CV101" t="n">
        <v>8</v>
      </c>
      <c r="CW101" t="n">
        <v>6</v>
      </c>
      <c r="CX101" t="n">
        <v>15</v>
      </c>
      <c r="CY101" t="n">
        <v>0</v>
      </c>
      <c r="CZ101" t="n">
        <v>0</v>
      </c>
      <c r="DA101" t="inlineStr"/>
      <c r="DB101" t="inlineStr"/>
      <c r="DC101" t="inlineStr"/>
      <c r="DD101" t="inlineStr"/>
      <c r="DE101" t="inlineStr"/>
      <c r="DF101" t="inlineStr">
        <is>
          <t>none</t>
        </is>
      </c>
      <c r="DG101" t="inlineStr">
        <is>
          <t>candidate</t>
        </is>
      </c>
      <c r="DH101" t="inlineStr"/>
      <c r="DI101" t="inlineStr"/>
      <c r="DJ101" t="inlineStr">
        <is>
          <t>6,015 sf</t>
        </is>
      </c>
      <c r="DK101" t="inlineStr">
        <is>
          <t>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is>
      </c>
      <c r="DL101" t="inlineStr"/>
      <c r="DM101" t="inlineStr"/>
      <c r="DN101" t="inlineStr"/>
      <c r="DO101" t="inlineStr"/>
      <c r="DP101" t="inlineStr"/>
      <c r="DQ101" t="inlineStr"/>
      <c r="DR101" t="inlineStr"/>
      <c r="DS101" t="inlineStr">
        <is>
          <t>none</t>
        </is>
      </c>
      <c r="DT101" t="inlineStr"/>
      <c r="DU101" t="inlineStr"/>
      <c r="DV101" t="inlineStr"/>
      <c r="DW101" t="inlineStr"/>
      <c r="DX101" t="inlineStr">
        <is>
          <t>N</t>
        </is>
      </c>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f>IF(ISNUMBER(MATCH(U101,{"queued","contacted","replied","call_booked","call_done","yes_in_principle","materials_sent"},0)),"Y","N")</f>
        <v/>
      </c>
      <c r="ES101">
        <f>IF(COUNTIFS($AP$2:$AP$1000,AP101,$ER$2:$ER$1000,"Y")+COUNTIFS($AP$2:$AP$1000,AP101,$T$2:$T$1000,"Y")&gt;0,"Y","N")</f>
        <v/>
      </c>
      <c r="ET101">
        <f>IF(AND(U101="new",T101="N",AT101="Y",AS101="",ES101="N"),"Y","N")</f>
        <v/>
      </c>
      <c r="EU101">
        <f>IF(ET101&lt;&gt;"Y","N",IF(COUNTIFS($AP$2:$AP$1000,AP101,$ET$2:$ET$1000,"Y",$J$2:$J$1000,"&gt;"&amp;J101)+COUNTIFS($AP$2:$AP$1000,AP101,$ET$2:$ET$1000,"Y",$J$2:$J$1000,J101,$EW$2:$EW$1000,"&lt;"&amp;EW101)=0,"Y","N"))</f>
        <v/>
      </c>
      <c r="EV101">
        <f>IF(Y101="","N",IF(Y101&lt;=10,"Y","N"))</f>
        <v/>
      </c>
      <c r="EW101">
        <f>ROW()-1</f>
        <v/>
      </c>
    </row>
    <row r="102">
      <c r="A102" t="inlineStr">
        <is>
          <t>AO-C-141</t>
        </is>
      </c>
      <c r="B102" t="inlineStr">
        <is>
          <t>Full Picture</t>
        </is>
      </c>
      <c r="C102" t="inlineStr"/>
      <c r="D102" t="inlineStr"/>
      <c r="E102" t="inlineStr"/>
      <c r="F102" t="inlineStr"/>
      <c r="G102" t="inlineStr"/>
      <c r="H102" t="inlineStr">
        <is>
          <t>none</t>
        </is>
      </c>
      <c r="I102" t="inlineStr">
        <is>
          <t>linkedin</t>
        </is>
      </c>
      <c r="J102" t="n">
        <v>36</v>
      </c>
      <c r="K102" t="inlineStr">
        <is>
          <t>Tuesday headcount unknown (no sourced count), company size unknown, no attendance signal, occupied at a high-confidence address; contacts not researched yet (below the top 50).</t>
        </is>
      </c>
      <c r="L102" t="inlineStr">
        <is>
          <t>unknown</t>
        </is>
      </c>
      <c r="M102" t="inlineStr"/>
      <c r="N102" t="inlineStr"/>
      <c r="O102" t="inlineStr"/>
      <c r="P102" t="inlineStr"/>
      <c r="Q102" t="inlineStr"/>
      <c r="R102" t="inlineStr">
        <is>
          <t>N</t>
        </is>
      </c>
      <c r="S102" t="inlineStr">
        <is>
          <t>unknown</t>
        </is>
      </c>
      <c r="T102" t="inlineStr">
        <is>
          <t>N</t>
        </is>
      </c>
      <c r="U102" t="inlineStr">
        <is>
          <t>new</t>
        </is>
      </c>
      <c r="V102" t="inlineStr">
        <is>
          <t>https://commercialobserver.com/2026/06/moinian-group-tenex-labs-lease-60-madison-avenue/</t>
        </is>
      </c>
      <c r="W102" t="inlineStr">
        <is>
          <t>2026-10-23</t>
        </is>
      </c>
      <c r="X102" t="inlineStr">
        <is>
          <t>office</t>
        </is>
      </c>
      <c r="Y102" t="inlineStr"/>
      <c r="Z102" t="n">
        <v>101</v>
      </c>
      <c r="AA102" t="inlineStr">
        <is>
          <t>N</t>
        </is>
      </c>
      <c r="AB102" t="inlineStr"/>
      <c r="AC102" t="inlineStr"/>
      <c r="AD102" t="inlineStr">
        <is>
          <t>none</t>
        </is>
      </c>
      <c r="AE102" t="inlineStr"/>
      <c r="AF102" t="inlineStr"/>
      <c r="AG102" t="inlineStr"/>
      <c r="AH102" t="inlineStr">
        <is>
          <t>none</t>
        </is>
      </c>
      <c r="AI102" t="inlineStr">
        <is>
          <t>60 Madison Avenue</t>
        </is>
      </c>
      <c r="AJ102" t="inlineStr">
        <is>
          <t>6 per site (CO: part of 11)</t>
        </is>
      </c>
      <c r="AK102" t="inlineStr">
        <is>
          <t>occupied</t>
        </is>
      </c>
      <c r="AL102" t="inlineStr">
        <is>
          <t>unknown</t>
        </is>
      </c>
      <c r="AM102" t="inlineStr">
        <is>
          <t>unknown</t>
        </is>
      </c>
      <c r="AN102" t="inlineStr">
        <is>
          <t>none</t>
        </is>
      </c>
      <c r="AO102" t="inlineStr">
        <is>
          <t>unknown</t>
        </is>
      </c>
      <c r="AP102" t="inlineStr">
        <is>
          <t>AO-C-141</t>
        </is>
      </c>
      <c r="AQ102" t="inlineStr">
        <is>
          <t>N</t>
        </is>
      </c>
      <c r="AR102" t="inlineStr"/>
      <c r="AS102" t="inlineStr"/>
      <c r="AT102" t="inlineStr">
        <is>
          <t>N</t>
        </is>
      </c>
      <c r="AU102" t="inlineStr">
        <is>
          <t>no contact named on an opened page</t>
        </is>
      </c>
      <c r="AV102" t="inlineStr"/>
      <c r="AW102" t="inlineStr">
        <is>
          <t>N</t>
        </is>
      </c>
      <c r="AX102" t="inlineStr">
        <is>
          <t>pass</t>
        </is>
      </c>
      <c r="AY102" t="inlineStr">
        <is>
          <t>passes all hard gates</t>
        </is>
      </c>
      <c r="AZ102" t="inlineStr">
        <is>
          <t>company</t>
        </is>
      </c>
      <c r="BA102" t="inlineStr">
        <is>
          <t>B-C-141</t>
        </is>
      </c>
      <c r="BB102" t="inlineStr">
        <is>
          <t>https://www.fullpicture.com</t>
        </is>
      </c>
      <c r="BC102" t="inlineStr">
        <is>
          <t>communications and brand strategy agency</t>
        </is>
      </c>
      <c r="BD102" t="inlineStr">
        <is>
          <t>unknown</t>
        </is>
      </c>
      <c r="BE102" t="inlineStr"/>
      <c r="BF102" t="inlineStr">
        <is>
          <t>unknown</t>
        </is>
      </c>
      <c r="BG102" t="inlineStr">
        <is>
          <t>unknown</t>
        </is>
      </c>
      <c r="BH102" t="inlineStr">
        <is>
          <t>no-count</t>
        </is>
      </c>
      <c r="BI102" t="inlineStr"/>
      <c r="BJ102" t="inlineStr"/>
      <c r="BK102" t="inlineStr">
        <is>
          <t>unknown</t>
        </is>
      </c>
      <c r="BL102" t="inlineStr">
        <is>
          <t>unknown</t>
        </is>
      </c>
      <c r="BM102" t="inlineStr">
        <is>
          <t>unknown</t>
        </is>
      </c>
      <c r="BN102" t="inlineStr">
        <is>
          <t>unknown</t>
        </is>
      </c>
      <c r="BO102" t="inlineStr">
        <is>
          <t>unknown</t>
        </is>
      </c>
      <c r="BP102" t="n">
        <v>10010</v>
      </c>
      <c r="BQ102" t="n">
        <v>40.743288</v>
      </c>
      <c r="BR102" t="n">
        <v>-73.986627</v>
      </c>
      <c r="BS102" t="inlineStr">
        <is>
          <t>Y</t>
        </is>
      </c>
      <c r="BT102" t="n">
        <v>0</v>
      </c>
      <c r="BU102" t="inlineStr">
        <is>
          <t>B-B-066</t>
        </is>
      </c>
      <c r="BV102" t="inlineStr">
        <is>
          <t>60 Madison Avenue (Moinian Group)</t>
        </is>
      </c>
      <c r="BW102" t="inlineStr">
        <is>
          <t>https://commercialobserver.com/2026/06/moinian-group-tenex-labs-lease-60-madison-avenue/</t>
        </is>
      </c>
      <c r="BX102" t="inlineStr">
        <is>
          <t>2026-06-22</t>
        </is>
      </c>
      <c r="BY102" t="inlineStr">
        <is>
          <t>leasing-press</t>
        </is>
      </c>
      <c r="BZ102" t="inlineStr">
        <is>
          <t>https://www.fullpicture.com/</t>
        </is>
      </c>
      <c r="CA102" t="inlineStr">
        <is>
          <t>2026-10-23</t>
        </is>
      </c>
      <c r="CB102" t="inlineStr"/>
      <c r="CC102" t="inlineStr">
        <is>
          <t>high</t>
        </is>
      </c>
      <c r="CD102" t="inlineStr"/>
      <c r="CE102" t="inlineStr">
        <is>
          <t>N</t>
        </is>
      </c>
      <c r="CF102" t="inlineStr"/>
      <c r="CG102" t="inlineStr"/>
      <c r="CH102" t="inlineStr">
        <is>
          <t>unknown</t>
        </is>
      </c>
      <c r="CI102" t="inlineStr"/>
      <c r="CJ102" t="inlineStr">
        <is>
          <t>unknown</t>
        </is>
      </c>
      <c r="CK102" t="inlineStr">
        <is>
          <t>N</t>
        </is>
      </c>
      <c r="CL102" t="inlineStr">
        <is>
          <t>unknown</t>
        </is>
      </c>
      <c r="CM102" t="inlineStr"/>
      <c r="CN102" t="inlineStr"/>
      <c r="CO102" t="inlineStr">
        <is>
          <t>unknown</t>
        </is>
      </c>
      <c r="CP102" t="inlineStr"/>
      <c r="CQ102" t="inlineStr">
        <is>
          <t>No sourced headcount, so no Tuesday estimate; ask the Tuesday count at intake.</t>
        </is>
      </c>
      <c r="CR102" t="inlineStr">
        <is>
          <t>estimate until intake replaces it</t>
        </is>
      </c>
      <c r="CS102" t="inlineStr">
        <is>
          <t>unknown</t>
        </is>
      </c>
      <c r="CT102" t="n">
        <v>36</v>
      </c>
      <c r="CU102" t="n">
        <v>7</v>
      </c>
      <c r="CV102" t="n">
        <v>8</v>
      </c>
      <c r="CW102" t="n">
        <v>6</v>
      </c>
      <c r="CX102" t="n">
        <v>15</v>
      </c>
      <c r="CY102" t="n">
        <v>0</v>
      </c>
      <c r="CZ102" t="n">
        <v>0</v>
      </c>
      <c r="DA102" t="inlineStr"/>
      <c r="DB102" t="inlineStr"/>
      <c r="DC102" t="inlineStr"/>
      <c r="DD102" t="inlineStr"/>
      <c r="DE102" t="inlineStr"/>
      <c r="DF102" t="inlineStr">
        <is>
          <t>none</t>
        </is>
      </c>
      <c r="DG102" t="inlineStr">
        <is>
          <t>candidate</t>
        </is>
      </c>
      <c r="DH102" t="inlineStr"/>
      <c r="DI102" t="inlineStr"/>
      <c r="DJ102" t="inlineStr">
        <is>
          <t>8,000 sf</t>
        </is>
      </c>
      <c r="DK102" t="inlineStr">
        <is>
          <t>CO 2026-06-22: 8,000 SF on part of floor 11, relocating from its NYC HQ at 79 Madison Ave. Homepage now lists NEW YORK HQ 60 Madison Ave, 6th Fl, so the move appears done (floor differs from CO; founder to confirm). Also has an LA HQ. Headcount not found.</t>
        </is>
      </c>
      <c r="DL102" t="inlineStr"/>
      <c r="DM102" t="inlineStr"/>
      <c r="DN102" t="inlineStr"/>
      <c r="DO102" t="inlineStr"/>
      <c r="DP102" t="inlineStr"/>
      <c r="DQ102" t="inlineStr"/>
      <c r="DR102" t="inlineStr"/>
      <c r="DS102" t="inlineStr">
        <is>
          <t>none</t>
        </is>
      </c>
      <c r="DT102" t="inlineStr"/>
      <c r="DU102" t="inlineStr"/>
      <c r="DV102" t="inlineStr"/>
      <c r="DW102" t="inlineStr"/>
      <c r="DX102" t="inlineStr">
        <is>
          <t>N</t>
        </is>
      </c>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f>IF(ISNUMBER(MATCH(U102,{"queued","contacted","replied","call_booked","call_done","yes_in_principle","materials_sent"},0)),"Y","N")</f>
        <v/>
      </c>
      <c r="ES102">
        <f>IF(COUNTIFS($AP$2:$AP$1000,AP102,$ER$2:$ER$1000,"Y")+COUNTIFS($AP$2:$AP$1000,AP102,$T$2:$T$1000,"Y")&gt;0,"Y","N")</f>
        <v/>
      </c>
      <c r="ET102">
        <f>IF(AND(U102="new",T102="N",AT102="Y",AS102="",ES102="N"),"Y","N")</f>
        <v/>
      </c>
      <c r="EU102">
        <f>IF(ET102&lt;&gt;"Y","N",IF(COUNTIFS($AP$2:$AP$1000,AP102,$ET$2:$ET$1000,"Y",$J$2:$J$1000,"&gt;"&amp;J102)+COUNTIFS($AP$2:$AP$1000,AP102,$ET$2:$ET$1000,"Y",$J$2:$J$1000,J102,$EW$2:$EW$1000,"&lt;"&amp;EW102)=0,"Y","N"))</f>
        <v/>
      </c>
      <c r="EV102">
        <f>IF(Y102="","N",IF(Y102&lt;=10,"Y","N"))</f>
        <v/>
      </c>
      <c r="EW102">
        <f>ROW()-1</f>
        <v/>
      </c>
    </row>
    <row r="103">
      <c r="A103" t="inlineStr">
        <is>
          <t>AO-W-007</t>
        </is>
      </c>
      <c r="B103" t="inlineStr">
        <is>
          <t>Industrious 156 5th Ave</t>
        </is>
      </c>
      <c r="C103" t="inlineStr"/>
      <c r="D103" t="inlineStr"/>
      <c r="E103" t="inlineStr"/>
      <c r="F103" t="inlineStr"/>
      <c r="G103" t="inlineStr"/>
      <c r="H103" t="inlineStr">
        <is>
          <t>none</t>
        </is>
      </c>
      <c r="I103" t="inlineStr">
        <is>
          <t>linkedin</t>
        </is>
      </c>
      <c r="J103" t="n">
        <v>36</v>
      </c>
      <c r="K103" t="inlineStr">
        <is>
          <t>Tuesday headcount unknown (no sourced count), coworking operator site (one office if it controls the pantry), no attendance signal, open at a high-confidence address; contacts not researched yet (below the top 50).</t>
        </is>
      </c>
      <c r="L103" t="inlineStr">
        <is>
          <t>unknown</t>
        </is>
      </c>
      <c r="M103" t="inlineStr"/>
      <c r="N103" t="inlineStr"/>
      <c r="O103" t="inlineStr"/>
      <c r="P103" t="inlineStr"/>
      <c r="Q103" t="inlineStr"/>
      <c r="R103" t="inlineStr">
        <is>
          <t>N</t>
        </is>
      </c>
      <c r="S103" t="inlineStr">
        <is>
          <t>unknown</t>
        </is>
      </c>
      <c r="T103" t="inlineStr">
        <is>
          <t>N</t>
        </is>
      </c>
      <c r="U103" t="inlineStr">
        <is>
          <t>new</t>
        </is>
      </c>
      <c r="V103" t="inlineStr">
        <is>
          <t>https://www.industriousoffice.com/m/new-york-city</t>
        </is>
      </c>
      <c r="W103" t="inlineStr">
        <is>
          <t>2026-10-23</t>
        </is>
      </c>
      <c r="X103" t="inlineStr">
        <is>
          <t>office</t>
        </is>
      </c>
      <c r="Y103" t="inlineStr"/>
      <c r="Z103" t="n">
        <v>102</v>
      </c>
      <c r="AA103" t="inlineStr">
        <is>
          <t>N</t>
        </is>
      </c>
      <c r="AB103" t="inlineStr"/>
      <c r="AC103" t="inlineStr"/>
      <c r="AD103" t="inlineStr">
        <is>
          <t>none</t>
        </is>
      </c>
      <c r="AE103" t="inlineStr"/>
      <c r="AF103" t="inlineStr"/>
      <c r="AG103" t="inlineStr"/>
      <c r="AH103" t="inlineStr">
        <is>
          <t>none</t>
        </is>
      </c>
      <c r="AI103" t="inlineStr">
        <is>
          <t>156 Fifth Avenue, 4th Floor, New York, NY 10010</t>
        </is>
      </c>
      <c r="AJ103" t="inlineStr">
        <is>
          <t>4th Floor</t>
        </is>
      </c>
      <c r="AK103" t="inlineStr">
        <is>
          <t>open</t>
        </is>
      </c>
      <c r="AL103" t="inlineStr">
        <is>
          <t>unknown</t>
        </is>
      </c>
      <c r="AM103" t="inlineStr">
        <is>
          <t>unknown</t>
        </is>
      </c>
      <c r="AN103" t="inlineStr">
        <is>
          <t>none</t>
        </is>
      </c>
      <c r="AO103" t="inlineStr">
        <is>
          <t>unknown</t>
        </is>
      </c>
      <c r="AP103" t="inlineStr">
        <is>
          <t>grp-W003-W005-W007-W008-W014-W016-W027</t>
        </is>
      </c>
      <c r="AQ103" t="inlineStr">
        <is>
          <t>N</t>
        </is>
      </c>
      <c r="AR103" t="inlineStr"/>
      <c r="AS103" t="inlineStr"/>
      <c r="AT103" t="inlineStr">
        <is>
          <t>N</t>
        </is>
      </c>
      <c r="AU103" t="inlineStr">
        <is>
          <t>no contact named on an opened page</t>
        </is>
      </c>
      <c r="AV103" t="inlineStr"/>
      <c r="AW103" t="inlineStr">
        <is>
          <t>N</t>
        </is>
      </c>
      <c r="AX103" t="inlineStr">
        <is>
          <t>pass</t>
        </is>
      </c>
      <c r="AY103" t="inlineStr">
        <is>
          <t>passes all hard gates</t>
        </is>
      </c>
      <c r="AZ103" t="inlineStr">
        <is>
          <t>coworking-operator</t>
        </is>
      </c>
      <c r="BA103" t="inlineStr">
        <is>
          <t>B-W-007</t>
        </is>
      </c>
      <c r="BB103" t="inlineStr">
        <is>
          <t>https://www.industriousoffice.com</t>
        </is>
      </c>
      <c r="BC103" t="inlineStr">
        <is>
          <t>coworking operator</t>
        </is>
      </c>
      <c r="BD103" t="inlineStr">
        <is>
          <t>unknown</t>
        </is>
      </c>
      <c r="BE103" t="inlineStr"/>
      <c r="BF103" t="inlineStr">
        <is>
          <t>unknown</t>
        </is>
      </c>
      <c r="BG103" t="inlineStr">
        <is>
          <t>unknown</t>
        </is>
      </c>
      <c r="BH103" t="inlineStr"/>
      <c r="BI103" t="inlineStr"/>
      <c r="BJ103" t="inlineStr"/>
      <c r="BK103" t="inlineStr">
        <is>
          <t>unknown</t>
        </is>
      </c>
      <c r="BL103" t="inlineStr">
        <is>
          <t>n/a (operator site)</t>
        </is>
      </c>
      <c r="BM103" t="inlineStr">
        <is>
          <t>unknown</t>
        </is>
      </c>
      <c r="BN103" t="inlineStr">
        <is>
          <t>Industrious</t>
        </is>
      </c>
      <c r="BO103" t="inlineStr"/>
      <c r="BP103" t="n">
        <v>10010</v>
      </c>
      <c r="BQ103" t="n">
        <v>40.739961</v>
      </c>
      <c r="BR103" t="n">
        <v>-73.990971</v>
      </c>
      <c r="BS103" t="inlineStr">
        <is>
          <t>Y</t>
        </is>
      </c>
      <c r="BT103" t="n">
        <v>0</v>
      </c>
      <c r="BU103" t="inlineStr">
        <is>
          <t>B-B-029</t>
        </is>
      </c>
      <c r="BV103" t="inlineStr">
        <is>
          <t>Presbyterian Building / Flatiron Suites (HRC)</t>
        </is>
      </c>
      <c r="BW103" t="inlineStr">
        <is>
          <t>https://www.industriousoffice.com/m/new-york-city</t>
        </is>
      </c>
      <c r="BX103" t="inlineStr">
        <is>
          <t>2026-10-23</t>
        </is>
      </c>
      <c r="BY103" t="inlineStr">
        <is>
          <t>operator-site</t>
        </is>
      </c>
      <c r="BZ103" t="inlineStr">
        <is>
          <t>https://commercialobserver.com/2026/03/industrious-leases-110-east-42nd-street/</t>
        </is>
      </c>
      <c r="CA103" t="inlineStr"/>
      <c r="CB103" t="inlineStr"/>
      <c r="CC103" t="inlineStr">
        <is>
          <t>high</t>
        </is>
      </c>
      <c r="CD103" t="inlineStr"/>
      <c r="CE103" t="inlineStr">
        <is>
          <t>N</t>
        </is>
      </c>
      <c r="CF103" t="inlineStr">
        <is>
          <t>B-W-007</t>
        </is>
      </c>
      <c r="CG103" t="inlineStr">
        <is>
          <t>operator</t>
        </is>
      </c>
      <c r="CH103" t="inlineStr">
        <is>
          <t>unknown</t>
        </is>
      </c>
      <c r="CI103" t="inlineStr"/>
      <c r="CJ103" t="inlineStr">
        <is>
          <t>unknown</t>
        </is>
      </c>
      <c r="CK103" t="inlineStr">
        <is>
          <t>N</t>
        </is>
      </c>
      <c r="CL103" t="inlineStr">
        <is>
          <t>unknown</t>
        </is>
      </c>
      <c r="CM103" t="inlineStr"/>
      <c r="CN103" t="inlineStr"/>
      <c r="CO103" t="inlineStr">
        <is>
          <t>unknown</t>
        </is>
      </c>
      <c r="CP103" t="inlineStr"/>
      <c r="CQ103" t="inlineStr">
        <is>
          <t>Coworking site: member headcount not sourced; treat as one office if the operator controls the pantry and ask the Tuesday count at intake.</t>
        </is>
      </c>
      <c r="CR103" t="inlineStr">
        <is>
          <t>estimate until intake replaces it</t>
        </is>
      </c>
      <c r="CS103" t="inlineStr">
        <is>
          <t>unknown</t>
        </is>
      </c>
      <c r="CT103" t="n">
        <v>36</v>
      </c>
      <c r="CU103" t="n">
        <v>7</v>
      </c>
      <c r="CV103" t="n">
        <v>8</v>
      </c>
      <c r="CW103" t="n">
        <v>6</v>
      </c>
      <c r="CX103" t="n">
        <v>15</v>
      </c>
      <c r="CY103" t="n">
        <v>0</v>
      </c>
      <c r="CZ103" t="n">
        <v>0</v>
      </c>
      <c r="DA103" t="inlineStr"/>
      <c r="DB103" t="inlineStr"/>
      <c r="DC103" t="inlineStr"/>
      <c r="DD103" t="inlineStr"/>
      <c r="DE103" t="inlineStr"/>
      <c r="DF103" t="inlineStr">
        <is>
          <t>none</t>
        </is>
      </c>
      <c r="DG103" t="inlineStr">
        <is>
          <t>coworking-operator</t>
        </is>
      </c>
      <c r="DH103" t="inlineStr"/>
      <c r="DI103" t="inlineStr"/>
      <c r="DJ103" t="inlineStr"/>
      <c r="DK103" t="inlineStr">
        <is>
          <t>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is>
      </c>
      <c r="DL103" t="inlineStr"/>
      <c r="DM103" t="inlineStr"/>
      <c r="DN103" t="inlineStr"/>
      <c r="DO103" t="inlineStr"/>
      <c r="DP103" t="inlineStr"/>
      <c r="DQ103" t="inlineStr"/>
      <c r="DR103" t="inlineStr"/>
      <c r="DS103" t="inlineStr">
        <is>
          <t>none</t>
        </is>
      </c>
      <c r="DT103" t="inlineStr"/>
      <c r="DU103" t="inlineStr"/>
      <c r="DV103" t="inlineStr"/>
      <c r="DW103" t="inlineStr"/>
      <c r="DX103" t="inlineStr">
        <is>
          <t>N</t>
        </is>
      </c>
      <c r="DY103" t="inlineStr"/>
      <c r="DZ103" t="inlineStr">
        <is>
          <t>parent 'industrious' shared with AO-W-016, AO-W-008, AO-W-014, AO-W-005, AO-W-003, AO-W-027</t>
        </is>
      </c>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f>IF(ISNUMBER(MATCH(U103,{"queued","contacted","replied","call_booked","call_done","yes_in_principle","materials_sent"},0)),"Y","N")</f>
        <v/>
      </c>
      <c r="ES103">
        <f>IF(COUNTIFS($AP$2:$AP$1000,AP103,$ER$2:$ER$1000,"Y")+COUNTIFS($AP$2:$AP$1000,AP103,$T$2:$T$1000,"Y")&gt;0,"Y","N")</f>
        <v/>
      </c>
      <c r="ET103">
        <f>IF(AND(U103="new",T103="N",AT103="Y",AS103="",ES103="N"),"Y","N")</f>
        <v/>
      </c>
      <c r="EU103">
        <f>IF(ET103&lt;&gt;"Y","N",IF(COUNTIFS($AP$2:$AP$1000,AP103,$ET$2:$ET$1000,"Y",$J$2:$J$1000,"&gt;"&amp;J103)+COUNTIFS($AP$2:$AP$1000,AP103,$ET$2:$ET$1000,"Y",$J$2:$J$1000,J103,$EW$2:$EW$1000,"&lt;"&amp;EW103)=0,"Y","N"))</f>
        <v/>
      </c>
      <c r="EV103">
        <f>IF(Y103="","N",IF(Y103&lt;=10,"Y","N"))</f>
        <v/>
      </c>
      <c r="EW103">
        <f>ROW()-1</f>
        <v/>
      </c>
    </row>
    <row r="104">
      <c r="A104" t="inlineStr">
        <is>
          <t>AO-W-016</t>
        </is>
      </c>
      <c r="B104" t="inlineStr">
        <is>
          <t>Industrious 386 Park Ave S</t>
        </is>
      </c>
      <c r="C104" t="inlineStr"/>
      <c r="D104" t="inlineStr"/>
      <c r="E104" t="inlineStr"/>
      <c r="F104" t="inlineStr"/>
      <c r="G104" t="inlineStr"/>
      <c r="H104" t="inlineStr">
        <is>
          <t>none</t>
        </is>
      </c>
      <c r="I104" t="inlineStr">
        <is>
          <t>linkedin</t>
        </is>
      </c>
      <c r="J104" t="n">
        <v>36</v>
      </c>
      <c r="K104" t="inlineStr">
        <is>
          <t>Tuesday headcount unknown (no sourced count), coworking operator site (one office if it controls the pantry), no attendance signal, open at a high-confidence address; contacts not researched yet (below the top 50).</t>
        </is>
      </c>
      <c r="L104" t="inlineStr">
        <is>
          <t>unknown</t>
        </is>
      </c>
      <c r="M104" t="inlineStr"/>
      <c r="N104" t="inlineStr"/>
      <c r="O104" t="inlineStr"/>
      <c r="P104" t="inlineStr"/>
      <c r="Q104" t="inlineStr"/>
      <c r="R104" t="inlineStr">
        <is>
          <t>N</t>
        </is>
      </c>
      <c r="S104" t="inlineStr">
        <is>
          <t>unknown</t>
        </is>
      </c>
      <c r="T104" t="inlineStr">
        <is>
          <t>N</t>
        </is>
      </c>
      <c r="U104" t="inlineStr">
        <is>
          <t>new</t>
        </is>
      </c>
      <c r="V104" t="inlineStr">
        <is>
          <t>https://www.industriousoffice.com/m/new-york-city</t>
        </is>
      </c>
      <c r="W104" t="inlineStr">
        <is>
          <t>2026-10-23</t>
        </is>
      </c>
      <c r="X104" t="inlineStr">
        <is>
          <t>office</t>
        </is>
      </c>
      <c r="Y104" t="inlineStr"/>
      <c r="Z104" t="n">
        <v>103</v>
      </c>
      <c r="AA104" t="inlineStr">
        <is>
          <t>N</t>
        </is>
      </c>
      <c r="AB104" t="inlineStr"/>
      <c r="AC104" t="inlineStr"/>
      <c r="AD104" t="inlineStr">
        <is>
          <t>none</t>
        </is>
      </c>
      <c r="AE104" t="inlineStr"/>
      <c r="AF104" t="inlineStr"/>
      <c r="AG104" t="inlineStr"/>
      <c r="AH104" t="inlineStr">
        <is>
          <t>none</t>
        </is>
      </c>
      <c r="AI104" t="inlineStr">
        <is>
          <t>386 Park Avenue South, 18th Floor, New York, NY 10016</t>
        </is>
      </c>
      <c r="AJ104" t="inlineStr">
        <is>
          <t>18th Floor</t>
        </is>
      </c>
      <c r="AK104" t="inlineStr">
        <is>
          <t>open</t>
        </is>
      </c>
      <c r="AL104" t="inlineStr">
        <is>
          <t>unknown</t>
        </is>
      </c>
      <c r="AM104" t="inlineStr">
        <is>
          <t>unknown</t>
        </is>
      </c>
      <c r="AN104" t="inlineStr">
        <is>
          <t>none</t>
        </is>
      </c>
      <c r="AO104" t="inlineStr">
        <is>
          <t>unknown</t>
        </is>
      </c>
      <c r="AP104" t="inlineStr">
        <is>
          <t>grp-W003-W005-W007-W008-W014-W016-W027</t>
        </is>
      </c>
      <c r="AQ104" t="inlineStr">
        <is>
          <t>N</t>
        </is>
      </c>
      <c r="AR104" t="inlineStr"/>
      <c r="AS104" t="inlineStr"/>
      <c r="AT104" t="inlineStr">
        <is>
          <t>N</t>
        </is>
      </c>
      <c r="AU104" t="inlineStr">
        <is>
          <t>no contact named on an opened page</t>
        </is>
      </c>
      <c r="AV104" t="inlineStr"/>
      <c r="AW104" t="inlineStr">
        <is>
          <t>N</t>
        </is>
      </c>
      <c r="AX104" t="inlineStr">
        <is>
          <t>pass</t>
        </is>
      </c>
      <c r="AY104" t="inlineStr">
        <is>
          <t>passes all hard gates</t>
        </is>
      </c>
      <c r="AZ104" t="inlineStr">
        <is>
          <t>coworking-operator</t>
        </is>
      </c>
      <c r="BA104" t="inlineStr">
        <is>
          <t>B-W-016</t>
        </is>
      </c>
      <c r="BB104" t="inlineStr">
        <is>
          <t>https://www.industriousoffice.com</t>
        </is>
      </c>
      <c r="BC104" t="inlineStr">
        <is>
          <t>coworking operator</t>
        </is>
      </c>
      <c r="BD104" t="inlineStr">
        <is>
          <t>unknown</t>
        </is>
      </c>
      <c r="BE104" t="inlineStr"/>
      <c r="BF104" t="inlineStr">
        <is>
          <t>unknown</t>
        </is>
      </c>
      <c r="BG104" t="inlineStr">
        <is>
          <t>unknown</t>
        </is>
      </c>
      <c r="BH104" t="inlineStr"/>
      <c r="BI104" t="inlineStr"/>
      <c r="BJ104" t="inlineStr"/>
      <c r="BK104" t="inlineStr">
        <is>
          <t>unknown</t>
        </is>
      </c>
      <c r="BL104" t="inlineStr">
        <is>
          <t>n/a (operator site)</t>
        </is>
      </c>
      <c r="BM104" t="inlineStr">
        <is>
          <t>unknown</t>
        </is>
      </c>
      <c r="BN104" t="inlineStr">
        <is>
          <t>Industrious</t>
        </is>
      </c>
      <c r="BO104" t="inlineStr"/>
      <c r="BP104" t="n">
        <v>10016</v>
      </c>
      <c r="BQ104" t="n">
        <v>40.74291</v>
      </c>
      <c r="BR104" t="n">
        <v>-73.984627</v>
      </c>
      <c r="BS104" t="inlineStr">
        <is>
          <t>Y</t>
        </is>
      </c>
      <c r="BT104" t="n">
        <v>0</v>
      </c>
      <c r="BU104" t="inlineStr">
        <is>
          <t>B-B-072</t>
        </is>
      </c>
      <c r="BV104" t="inlineStr">
        <is>
          <t>386 Park Avenue South (HSR Corporation)</t>
        </is>
      </c>
      <c r="BW104" t="inlineStr">
        <is>
          <t>https://www.industriousoffice.com/m/new-york-city</t>
        </is>
      </c>
      <c r="BX104" t="inlineStr">
        <is>
          <t>2026-10-23</t>
        </is>
      </c>
      <c r="BY104" t="inlineStr">
        <is>
          <t>operator-site</t>
        </is>
      </c>
      <c r="BZ104" t="inlineStr">
        <is>
          <t>https://commercialobserver.com/2026/02/industrious-lease-386-park-avenue-south/</t>
        </is>
      </c>
      <c r="CA104" t="inlineStr"/>
      <c r="CB104" t="inlineStr"/>
      <c r="CC104" t="inlineStr">
        <is>
          <t>high</t>
        </is>
      </c>
      <c r="CD104" t="inlineStr"/>
      <c r="CE104" t="inlineStr">
        <is>
          <t>N</t>
        </is>
      </c>
      <c r="CF104" t="inlineStr">
        <is>
          <t>B-W-016</t>
        </is>
      </c>
      <c r="CG104" t="inlineStr">
        <is>
          <t>operator</t>
        </is>
      </c>
      <c r="CH104" t="inlineStr">
        <is>
          <t>unknown</t>
        </is>
      </c>
      <c r="CI104" t="inlineStr"/>
      <c r="CJ104" t="inlineStr">
        <is>
          <t>unknown</t>
        </is>
      </c>
      <c r="CK104" t="inlineStr">
        <is>
          <t>N</t>
        </is>
      </c>
      <c r="CL104" t="inlineStr">
        <is>
          <t>unknown</t>
        </is>
      </c>
      <c r="CM104" t="inlineStr"/>
      <c r="CN104" t="inlineStr"/>
      <c r="CO104" t="inlineStr">
        <is>
          <t>unknown</t>
        </is>
      </c>
      <c r="CP104" t="inlineStr"/>
      <c r="CQ104" t="inlineStr">
        <is>
          <t>Coworking site: member headcount not sourced; treat as one office if the operator controls the pantry and ask the Tuesday count at intake.</t>
        </is>
      </c>
      <c r="CR104" t="inlineStr">
        <is>
          <t>estimate until intake replaces it</t>
        </is>
      </c>
      <c r="CS104" t="inlineStr">
        <is>
          <t>unknown</t>
        </is>
      </c>
      <c r="CT104" t="n">
        <v>36</v>
      </c>
      <c r="CU104" t="n">
        <v>7</v>
      </c>
      <c r="CV104" t="n">
        <v>8</v>
      </c>
      <c r="CW104" t="n">
        <v>6</v>
      </c>
      <c r="CX104" t="n">
        <v>15</v>
      </c>
      <c r="CY104" t="n">
        <v>0</v>
      </c>
      <c r="CZ104" t="n">
        <v>0</v>
      </c>
      <c r="DA104" t="inlineStr"/>
      <c r="DB104" t="inlineStr"/>
      <c r="DC104" t="inlineStr"/>
      <c r="DD104" t="inlineStr"/>
      <c r="DE104" t="inlineStr"/>
      <c r="DF104" t="inlineStr">
        <is>
          <t>none</t>
        </is>
      </c>
      <c r="DG104" t="inlineStr">
        <is>
          <t>coworking-operator</t>
        </is>
      </c>
      <c r="DH104" t="inlineStr"/>
      <c r="DI104" t="inlineStr"/>
      <c r="DJ104" t="inlineStr"/>
      <c r="DK104" t="inlineStr">
        <is>
          <t>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is>
      </c>
      <c r="DL104" t="inlineStr"/>
      <c r="DM104" t="inlineStr"/>
      <c r="DN104" t="inlineStr"/>
      <c r="DO104" t="inlineStr"/>
      <c r="DP104" t="inlineStr"/>
      <c r="DQ104" t="inlineStr"/>
      <c r="DR104" t="inlineStr"/>
      <c r="DS104" t="inlineStr">
        <is>
          <t>none</t>
        </is>
      </c>
      <c r="DT104" t="inlineStr"/>
      <c r="DU104" t="inlineStr"/>
      <c r="DV104" t="inlineStr"/>
      <c r="DW104" t="inlineStr"/>
      <c r="DX104" t="inlineStr">
        <is>
          <t>N</t>
        </is>
      </c>
      <c r="DY104" t="inlineStr"/>
      <c r="DZ104" t="inlineStr">
        <is>
          <t>parent 'industrious' shared with AO-W-007, AO-W-008, AO-W-014, AO-W-005, AO-W-003, AO-W-027</t>
        </is>
      </c>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f>IF(ISNUMBER(MATCH(U104,{"queued","contacted","replied","call_booked","call_done","yes_in_principle","materials_sent"},0)),"Y","N")</f>
        <v/>
      </c>
      <c r="ES104">
        <f>IF(COUNTIFS($AP$2:$AP$1000,AP104,$ER$2:$ER$1000,"Y")+COUNTIFS($AP$2:$AP$1000,AP104,$T$2:$T$1000,"Y")&gt;0,"Y","N")</f>
        <v/>
      </c>
      <c r="ET104">
        <f>IF(AND(U104="new",T104="N",AT104="Y",AS104="",ES104="N"),"Y","N")</f>
        <v/>
      </c>
      <c r="EU104">
        <f>IF(ET104&lt;&gt;"Y","N",IF(COUNTIFS($AP$2:$AP$1000,AP104,$ET$2:$ET$1000,"Y",$J$2:$J$1000,"&gt;"&amp;J104)+COUNTIFS($AP$2:$AP$1000,AP104,$ET$2:$ET$1000,"Y",$J$2:$J$1000,J104,$EW$2:$EW$1000,"&lt;"&amp;EW104)=0,"Y","N"))</f>
        <v/>
      </c>
      <c r="EV104">
        <f>IF(Y104="","N",IF(Y104&lt;=10,"Y","N"))</f>
        <v/>
      </c>
      <c r="EW104">
        <f>ROW()-1</f>
        <v/>
      </c>
    </row>
    <row r="105">
      <c r="A105" t="inlineStr">
        <is>
          <t>AO-W-008</t>
        </is>
      </c>
      <c r="B105" t="inlineStr">
        <is>
          <t>Industrious 902 Broadway</t>
        </is>
      </c>
      <c r="C105" t="inlineStr"/>
      <c r="D105" t="inlineStr"/>
      <c r="E105" t="inlineStr"/>
      <c r="F105" t="inlineStr"/>
      <c r="G105" t="inlineStr"/>
      <c r="H105" t="inlineStr">
        <is>
          <t>none</t>
        </is>
      </c>
      <c r="I105" t="inlineStr">
        <is>
          <t>linkedin</t>
        </is>
      </c>
      <c r="J105" t="n">
        <v>36</v>
      </c>
      <c r="K105" t="inlineStr">
        <is>
          <t>Tuesday headcount unknown (no sourced count), coworking operator site (one office if it controls the pantry), no attendance signal, open at a high-confidence address; contacts not researched yet (below the top 50).</t>
        </is>
      </c>
      <c r="L105" t="inlineStr">
        <is>
          <t>unknown</t>
        </is>
      </c>
      <c r="M105" t="inlineStr"/>
      <c r="N105" t="inlineStr"/>
      <c r="O105" t="inlineStr"/>
      <c r="P105" t="inlineStr"/>
      <c r="Q105" t="inlineStr"/>
      <c r="R105" t="inlineStr">
        <is>
          <t>N</t>
        </is>
      </c>
      <c r="S105" t="inlineStr">
        <is>
          <t>unknown</t>
        </is>
      </c>
      <c r="T105" t="inlineStr">
        <is>
          <t>N</t>
        </is>
      </c>
      <c r="U105" t="inlineStr">
        <is>
          <t>new</t>
        </is>
      </c>
      <c r="V105" t="inlineStr">
        <is>
          <t>https://www.industriousoffice.com/m/new-york-city</t>
        </is>
      </c>
      <c r="W105" t="inlineStr">
        <is>
          <t>2026-10-23</t>
        </is>
      </c>
      <c r="X105" t="inlineStr">
        <is>
          <t>office</t>
        </is>
      </c>
      <c r="Y105" t="inlineStr"/>
      <c r="Z105" t="n">
        <v>104</v>
      </c>
      <c r="AA105" t="inlineStr">
        <is>
          <t>N</t>
        </is>
      </c>
      <c r="AB105" t="inlineStr"/>
      <c r="AC105" t="inlineStr"/>
      <c r="AD105" t="inlineStr">
        <is>
          <t>none</t>
        </is>
      </c>
      <c r="AE105" t="inlineStr"/>
      <c r="AF105" t="inlineStr"/>
      <c r="AG105" t="inlineStr"/>
      <c r="AH105" t="inlineStr">
        <is>
          <t>none</t>
        </is>
      </c>
      <c r="AI105" t="inlineStr">
        <is>
          <t>902 Broadway, 7th Floor, New York, NY 10010</t>
        </is>
      </c>
      <c r="AJ105" t="inlineStr">
        <is>
          <t>7th Floor</t>
        </is>
      </c>
      <c r="AK105" t="inlineStr">
        <is>
          <t>open</t>
        </is>
      </c>
      <c r="AL105" t="inlineStr">
        <is>
          <t>unknown</t>
        </is>
      </c>
      <c r="AM105" t="inlineStr">
        <is>
          <t>unknown</t>
        </is>
      </c>
      <c r="AN105" t="inlineStr">
        <is>
          <t>none</t>
        </is>
      </c>
      <c r="AO105" t="inlineStr">
        <is>
          <t>unknown</t>
        </is>
      </c>
      <c r="AP105" t="inlineStr">
        <is>
          <t>grp-W003-W005-W007-W008-W014-W016-W027</t>
        </is>
      </c>
      <c r="AQ105" t="inlineStr">
        <is>
          <t>N</t>
        </is>
      </c>
      <c r="AR105" t="inlineStr"/>
      <c r="AS105" t="inlineStr"/>
      <c r="AT105" t="inlineStr">
        <is>
          <t>N</t>
        </is>
      </c>
      <c r="AU105" t="inlineStr">
        <is>
          <t>no contact named on an opened page</t>
        </is>
      </c>
      <c r="AV105" t="inlineStr"/>
      <c r="AW105" t="inlineStr">
        <is>
          <t>N</t>
        </is>
      </c>
      <c r="AX105" t="inlineStr">
        <is>
          <t>pass</t>
        </is>
      </c>
      <c r="AY105" t="inlineStr">
        <is>
          <t>passes all hard gates</t>
        </is>
      </c>
      <c r="AZ105" t="inlineStr">
        <is>
          <t>coworking-operator</t>
        </is>
      </c>
      <c r="BA105" t="inlineStr">
        <is>
          <t>B-W-008</t>
        </is>
      </c>
      <c r="BB105" t="inlineStr">
        <is>
          <t>https://www.industriousoffice.com</t>
        </is>
      </c>
      <c r="BC105" t="inlineStr">
        <is>
          <t>coworking operator</t>
        </is>
      </c>
      <c r="BD105" t="inlineStr">
        <is>
          <t>unknown</t>
        </is>
      </c>
      <c r="BE105" t="inlineStr"/>
      <c r="BF105" t="inlineStr">
        <is>
          <t>unknown</t>
        </is>
      </c>
      <c r="BG105" t="inlineStr">
        <is>
          <t>unknown</t>
        </is>
      </c>
      <c r="BH105" t="inlineStr"/>
      <c r="BI105" t="inlineStr"/>
      <c r="BJ105" t="inlineStr"/>
      <c r="BK105" t="inlineStr">
        <is>
          <t>unknown</t>
        </is>
      </c>
      <c r="BL105" t="inlineStr">
        <is>
          <t>n/a (operator site)</t>
        </is>
      </c>
      <c r="BM105" t="inlineStr">
        <is>
          <t>unknown</t>
        </is>
      </c>
      <c r="BN105" t="inlineStr">
        <is>
          <t>Industrious</t>
        </is>
      </c>
      <c r="BO105" t="inlineStr"/>
      <c r="BP105" t="n">
        <v>10010</v>
      </c>
      <c r="BQ105" t="n">
        <v>40.739363</v>
      </c>
      <c r="BR105" t="n">
        <v>-73.98953400000001</v>
      </c>
      <c r="BS105" t="inlineStr">
        <is>
          <t>Y</t>
        </is>
      </c>
      <c r="BT105" t="n">
        <v>0</v>
      </c>
      <c r="BU105" t="inlineStr">
        <is>
          <t>B-B-031</t>
        </is>
      </c>
      <c r="BV105" t="inlineStr">
        <is>
          <t>902 Broadway (Rosen family / Koeppel Rosen)</t>
        </is>
      </c>
      <c r="BW105" t="inlineStr">
        <is>
          <t>https://www.industriousoffice.com/m/new-york-city</t>
        </is>
      </c>
      <c r="BX105" t="inlineStr">
        <is>
          <t>2026-10-23</t>
        </is>
      </c>
      <c r="BY105" t="inlineStr">
        <is>
          <t>operator-site</t>
        </is>
      </c>
      <c r="BZ105" t="inlineStr">
        <is>
          <t>https://www.connectcre.com/stories/industrious-commits-to-full-floor-space-in-flatiron-district/</t>
        </is>
      </c>
      <c r="CA105" t="inlineStr"/>
      <c r="CB105" t="inlineStr"/>
      <c r="CC105" t="inlineStr">
        <is>
          <t>high</t>
        </is>
      </c>
      <c r="CD105" t="inlineStr"/>
      <c r="CE105" t="inlineStr">
        <is>
          <t>N</t>
        </is>
      </c>
      <c r="CF105" t="inlineStr">
        <is>
          <t>B-W-008</t>
        </is>
      </c>
      <c r="CG105" t="inlineStr">
        <is>
          <t>operator</t>
        </is>
      </c>
      <c r="CH105" t="inlineStr">
        <is>
          <t>security desk</t>
        </is>
      </c>
      <c r="CI105" t="inlineStr">
        <is>
          <t>https://www.metro-manhattan.com/buildings/902-broadway/</t>
        </is>
      </c>
      <c r="CJ105" t="inlineStr">
        <is>
          <t>unknown</t>
        </is>
      </c>
      <c r="CK105" t="inlineStr">
        <is>
          <t>N</t>
        </is>
      </c>
      <c r="CL105" t="inlineStr">
        <is>
          <t>unknown</t>
        </is>
      </c>
      <c r="CM105" t="inlineStr"/>
      <c r="CN105" t="inlineStr"/>
      <c r="CO105" t="inlineStr">
        <is>
          <t>unknown</t>
        </is>
      </c>
      <c r="CP105" t="inlineStr"/>
      <c r="CQ105" t="inlineStr">
        <is>
          <t>Coworking site: member headcount not sourced; treat as one office if the operator controls the pantry and ask the Tuesday count at intake.</t>
        </is>
      </c>
      <c r="CR105" t="inlineStr">
        <is>
          <t>estimate until intake replaces it</t>
        </is>
      </c>
      <c r="CS105" t="inlineStr">
        <is>
          <t>unknown</t>
        </is>
      </c>
      <c r="CT105" t="n">
        <v>36</v>
      </c>
      <c r="CU105" t="n">
        <v>7</v>
      </c>
      <c r="CV105" t="n">
        <v>8</v>
      </c>
      <c r="CW105" t="n">
        <v>6</v>
      </c>
      <c r="CX105" t="n">
        <v>15</v>
      </c>
      <c r="CY105" t="n">
        <v>0</v>
      </c>
      <c r="CZ105" t="n">
        <v>0</v>
      </c>
      <c r="DA105" t="inlineStr"/>
      <c r="DB105" t="inlineStr"/>
      <c r="DC105" t="inlineStr"/>
      <c r="DD105" t="inlineStr"/>
      <c r="DE105" t="inlineStr"/>
      <c r="DF105" t="inlineStr">
        <is>
          <t>none</t>
        </is>
      </c>
      <c r="DG105" t="inlineStr">
        <is>
          <t>coworking-operator</t>
        </is>
      </c>
      <c r="DH105" t="inlineStr"/>
      <c r="DI105" t="inlineStr"/>
      <c r="DJ105" t="inlineStr"/>
      <c r="DK105" t="inlineStr">
        <is>
          <t>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is>
      </c>
      <c r="DL105" t="inlineStr"/>
      <c r="DM105" t="inlineStr"/>
      <c r="DN105" t="inlineStr"/>
      <c r="DO105" t="inlineStr"/>
      <c r="DP105" t="inlineStr"/>
      <c r="DQ105" t="inlineStr"/>
      <c r="DR105" t="inlineStr"/>
      <c r="DS105" t="inlineStr">
        <is>
          <t>none</t>
        </is>
      </c>
      <c r="DT105" t="inlineStr"/>
      <c r="DU105" t="inlineStr"/>
      <c r="DV105" t="inlineStr"/>
      <c r="DW105" t="inlineStr"/>
      <c r="DX105" t="inlineStr">
        <is>
          <t>N</t>
        </is>
      </c>
      <c r="DY105" t="inlineStr"/>
      <c r="DZ105" t="inlineStr">
        <is>
          <t>parent 'industrious' shared with AO-W-007, AO-W-016, AO-W-014, AO-W-005, AO-W-003, AO-W-027</t>
        </is>
      </c>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f>IF(ISNUMBER(MATCH(U105,{"queued","contacted","replied","call_booked","call_done","yes_in_principle","materials_sent"},0)),"Y","N")</f>
        <v/>
      </c>
      <c r="ES105">
        <f>IF(COUNTIFS($AP$2:$AP$1000,AP105,$ER$2:$ER$1000,"Y")+COUNTIFS($AP$2:$AP$1000,AP105,$T$2:$T$1000,"Y")&gt;0,"Y","N")</f>
        <v/>
      </c>
      <c r="ET105">
        <f>IF(AND(U105="new",T105="N",AT105="Y",AS105="",ES105="N"),"Y","N")</f>
        <v/>
      </c>
      <c r="EU105">
        <f>IF(ET105&lt;&gt;"Y","N",IF(COUNTIFS($AP$2:$AP$1000,AP105,$ET$2:$ET$1000,"Y",$J$2:$J$1000,"&gt;"&amp;J105)+COUNTIFS($AP$2:$AP$1000,AP105,$ET$2:$ET$1000,"Y",$J$2:$J$1000,J105,$EW$2:$EW$1000,"&lt;"&amp;EW105)=0,"Y","N"))</f>
        <v/>
      </c>
      <c r="EV105">
        <f>IF(Y105="","N",IF(Y105&lt;=10,"Y","N"))</f>
        <v/>
      </c>
      <c r="EW105">
        <f>ROW()-1</f>
        <v/>
      </c>
    </row>
    <row r="106">
      <c r="A106" t="inlineStr">
        <is>
          <t>AO-W-014</t>
        </is>
      </c>
      <c r="B106" t="inlineStr">
        <is>
          <t>Industrious NoMad</t>
        </is>
      </c>
      <c r="C106" t="inlineStr"/>
      <c r="D106" t="inlineStr"/>
      <c r="E106" t="inlineStr"/>
      <c r="F106" t="inlineStr"/>
      <c r="G106" t="inlineStr"/>
      <c r="H106" t="inlineStr">
        <is>
          <t>none</t>
        </is>
      </c>
      <c r="I106" t="inlineStr">
        <is>
          <t>linkedin</t>
        </is>
      </c>
      <c r="J106" t="n">
        <v>36</v>
      </c>
      <c r="K106" t="inlineStr">
        <is>
          <t>Tuesday headcount unknown (no sourced count), coworking operator site (one office if it controls the pantry), no attendance signal, open at a high-confidence address; contacts not researched yet (below the top 50).</t>
        </is>
      </c>
      <c r="L106" t="inlineStr">
        <is>
          <t>unknown</t>
        </is>
      </c>
      <c r="M106" t="inlineStr"/>
      <c r="N106" t="inlineStr"/>
      <c r="O106" t="inlineStr"/>
      <c r="P106" t="inlineStr"/>
      <c r="Q106" t="inlineStr"/>
      <c r="R106" t="inlineStr">
        <is>
          <t>N</t>
        </is>
      </c>
      <c r="S106" t="inlineStr">
        <is>
          <t>unknown</t>
        </is>
      </c>
      <c r="T106" t="inlineStr">
        <is>
          <t>N</t>
        </is>
      </c>
      <c r="U106" t="inlineStr">
        <is>
          <t>new</t>
        </is>
      </c>
      <c r="V106" t="inlineStr">
        <is>
          <t>https://www.industriousoffice.com/m/new-york-city</t>
        </is>
      </c>
      <c r="W106" t="inlineStr">
        <is>
          <t>2026-10-23</t>
        </is>
      </c>
      <c r="X106" t="inlineStr">
        <is>
          <t>office</t>
        </is>
      </c>
      <c r="Y106" t="inlineStr"/>
      <c r="Z106" t="n">
        <v>105</v>
      </c>
      <c r="AA106" t="inlineStr">
        <is>
          <t>N</t>
        </is>
      </c>
      <c r="AB106" t="inlineStr"/>
      <c r="AC106" t="inlineStr"/>
      <c r="AD106" t="inlineStr">
        <is>
          <t>none</t>
        </is>
      </c>
      <c r="AE106" t="inlineStr"/>
      <c r="AF106" t="inlineStr"/>
      <c r="AG106" t="inlineStr"/>
      <c r="AH106" t="inlineStr">
        <is>
          <t>none</t>
        </is>
      </c>
      <c r="AI106" t="inlineStr">
        <is>
          <t>776A Sixth Avenue, New York, NY 10001</t>
        </is>
      </c>
      <c r="AJ106" t="inlineStr">
        <is>
          <t>unknown</t>
        </is>
      </c>
      <c r="AK106" t="inlineStr">
        <is>
          <t>open</t>
        </is>
      </c>
      <c r="AL106" t="inlineStr">
        <is>
          <t>unknown</t>
        </is>
      </c>
      <c r="AM106" t="inlineStr">
        <is>
          <t>unknown</t>
        </is>
      </c>
      <c r="AN106" t="inlineStr">
        <is>
          <t>none</t>
        </is>
      </c>
      <c r="AO106" t="inlineStr">
        <is>
          <t>unknown</t>
        </is>
      </c>
      <c r="AP106" t="inlineStr">
        <is>
          <t>grp-W003-W005-W007-W008-W014-W016-W027</t>
        </is>
      </c>
      <c r="AQ106" t="inlineStr">
        <is>
          <t>N</t>
        </is>
      </c>
      <c r="AR106" t="inlineStr"/>
      <c r="AS106" t="inlineStr"/>
      <c r="AT106" t="inlineStr">
        <is>
          <t>N</t>
        </is>
      </c>
      <c r="AU106" t="inlineStr">
        <is>
          <t>no contact named on an opened page</t>
        </is>
      </c>
      <c r="AV106" t="inlineStr"/>
      <c r="AW106" t="inlineStr">
        <is>
          <t>N</t>
        </is>
      </c>
      <c r="AX106" t="inlineStr">
        <is>
          <t>pass</t>
        </is>
      </c>
      <c r="AY106" t="inlineStr">
        <is>
          <t>passes all hard gates</t>
        </is>
      </c>
      <c r="AZ106" t="inlineStr">
        <is>
          <t>coworking-operator</t>
        </is>
      </c>
      <c r="BA106" t="inlineStr">
        <is>
          <t>B-W-014</t>
        </is>
      </c>
      <c r="BB106" t="inlineStr">
        <is>
          <t>https://www.industriousoffice.com</t>
        </is>
      </c>
      <c r="BC106" t="inlineStr">
        <is>
          <t>coworking operator</t>
        </is>
      </c>
      <c r="BD106" t="inlineStr">
        <is>
          <t>unknown</t>
        </is>
      </c>
      <c r="BE106" t="inlineStr"/>
      <c r="BF106" t="inlineStr">
        <is>
          <t>unknown</t>
        </is>
      </c>
      <c r="BG106" t="inlineStr">
        <is>
          <t>unknown</t>
        </is>
      </c>
      <c r="BH106" t="inlineStr"/>
      <c r="BI106" t="inlineStr"/>
      <c r="BJ106" t="inlineStr"/>
      <c r="BK106" t="inlineStr">
        <is>
          <t>unknown</t>
        </is>
      </c>
      <c r="BL106" t="inlineStr">
        <is>
          <t>n/a (operator site)</t>
        </is>
      </c>
      <c r="BM106" t="inlineStr">
        <is>
          <t>unknown</t>
        </is>
      </c>
      <c r="BN106" t="inlineStr">
        <is>
          <t>Industrious</t>
        </is>
      </c>
      <c r="BO106" t="inlineStr"/>
      <c r="BP106" t="n">
        <v>10001</v>
      </c>
      <c r="BQ106" t="n">
        <v>40.744955</v>
      </c>
      <c r="BR106" t="n">
        <v>-73.990911</v>
      </c>
      <c r="BS106" t="inlineStr">
        <is>
          <t>Y</t>
        </is>
      </c>
      <c r="BT106" t="n">
        <v>0</v>
      </c>
      <c r="BU106" t="inlineStr"/>
      <c r="BV106" t="inlineStr">
        <is>
          <t>unknown</t>
        </is>
      </c>
      <c r="BW106" t="inlineStr">
        <is>
          <t>https://www.industriousoffice.com/m/new-york-city</t>
        </is>
      </c>
      <c r="BX106" t="inlineStr">
        <is>
          <t>2026-10-23</t>
        </is>
      </c>
      <c r="BY106" t="inlineStr">
        <is>
          <t>operator-site</t>
        </is>
      </c>
      <c r="BZ106" t="inlineStr">
        <is>
          <t>https://commercialobserver.com/2026/03/industrious-leases-110-east-42nd-street/</t>
        </is>
      </c>
      <c r="CA106" t="inlineStr"/>
      <c r="CB106" t="inlineStr"/>
      <c r="CC106" t="inlineStr">
        <is>
          <t>high</t>
        </is>
      </c>
      <c r="CD106" t="inlineStr"/>
      <c r="CE106" t="inlineStr">
        <is>
          <t>N</t>
        </is>
      </c>
      <c r="CF106" t="inlineStr">
        <is>
          <t>B-W-014</t>
        </is>
      </c>
      <c r="CG106" t="inlineStr">
        <is>
          <t>operator</t>
        </is>
      </c>
      <c r="CH106" t="inlineStr">
        <is>
          <t>unknown</t>
        </is>
      </c>
      <c r="CI106" t="inlineStr"/>
      <c r="CJ106" t="inlineStr">
        <is>
          <t>unknown</t>
        </is>
      </c>
      <c r="CK106" t="inlineStr">
        <is>
          <t>N</t>
        </is>
      </c>
      <c r="CL106" t="inlineStr">
        <is>
          <t>unknown</t>
        </is>
      </c>
      <c r="CM106" t="inlineStr"/>
      <c r="CN106" t="inlineStr"/>
      <c r="CO106" t="inlineStr">
        <is>
          <t>unknown</t>
        </is>
      </c>
      <c r="CP106" t="inlineStr"/>
      <c r="CQ106" t="inlineStr">
        <is>
          <t>Coworking site: member headcount not sourced; treat as one office if the operator controls the pantry and ask the Tuesday count at intake.</t>
        </is>
      </c>
      <c r="CR106" t="inlineStr">
        <is>
          <t>estimate until intake replaces it</t>
        </is>
      </c>
      <c r="CS106" t="inlineStr">
        <is>
          <t>unknown</t>
        </is>
      </c>
      <c r="CT106" t="n">
        <v>36</v>
      </c>
      <c r="CU106" t="n">
        <v>7</v>
      </c>
      <c r="CV106" t="n">
        <v>8</v>
      </c>
      <c r="CW106" t="n">
        <v>6</v>
      </c>
      <c r="CX106" t="n">
        <v>15</v>
      </c>
      <c r="CY106" t="n">
        <v>0</v>
      </c>
      <c r="CZ106" t="n">
        <v>0</v>
      </c>
      <c r="DA106" t="inlineStr"/>
      <c r="DB106" t="inlineStr"/>
      <c r="DC106" t="inlineStr"/>
      <c r="DD106" t="inlineStr"/>
      <c r="DE106" t="inlineStr"/>
      <c r="DF106" t="inlineStr">
        <is>
          <t>none</t>
        </is>
      </c>
      <c r="DG106" t="inlineStr">
        <is>
          <t>coworking-operator</t>
        </is>
      </c>
      <c r="DH106" t="inlineStr"/>
      <c r="DI106" t="inlineStr"/>
      <c r="DJ106" t="inlineStr"/>
      <c r="DK106" t="inlineStr">
        <is>
          <t>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is>
      </c>
      <c r="DL106" t="inlineStr"/>
      <c r="DM106" t="inlineStr"/>
      <c r="DN106" t="inlineStr"/>
      <c r="DO106" t="inlineStr"/>
      <c r="DP106" t="inlineStr"/>
      <c r="DQ106" t="inlineStr"/>
      <c r="DR106" t="inlineStr"/>
      <c r="DS106" t="inlineStr">
        <is>
          <t>none</t>
        </is>
      </c>
      <c r="DT106" t="inlineStr"/>
      <c r="DU106" t="inlineStr"/>
      <c r="DV106" t="inlineStr"/>
      <c r="DW106" t="inlineStr"/>
      <c r="DX106" t="inlineStr">
        <is>
          <t>N</t>
        </is>
      </c>
      <c r="DY106" t="inlineStr"/>
      <c r="DZ106" t="inlineStr">
        <is>
          <t>parent 'industrious' shared with AO-W-007, AO-W-016, AO-W-008, AO-W-005, AO-W-003, AO-W-027</t>
        </is>
      </c>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f>IF(ISNUMBER(MATCH(U106,{"queued","contacted","replied","call_booked","call_done","yes_in_principle","materials_sent"},0)),"Y","N")</f>
        <v/>
      </c>
      <c r="ES106">
        <f>IF(COUNTIFS($AP$2:$AP$1000,AP106,$ER$2:$ER$1000,"Y")+COUNTIFS($AP$2:$AP$1000,AP106,$T$2:$T$1000,"Y")&gt;0,"Y","N")</f>
        <v/>
      </c>
      <c r="ET106">
        <f>IF(AND(U106="new",T106="N",AT106="Y",AS106="",ES106="N"),"Y","N")</f>
        <v/>
      </c>
      <c r="EU106">
        <f>IF(ET106&lt;&gt;"Y","N",IF(COUNTIFS($AP$2:$AP$1000,AP106,$ET$2:$ET$1000,"Y",$J$2:$J$1000,"&gt;"&amp;J106)+COUNTIFS($AP$2:$AP$1000,AP106,$ET$2:$ET$1000,"Y",$J$2:$J$1000,J106,$EW$2:$EW$1000,"&lt;"&amp;EW106)=0,"Y","N"))</f>
        <v/>
      </c>
      <c r="EV106">
        <f>IF(Y106="","N",IF(Y106&lt;=10,"Y","N"))</f>
        <v/>
      </c>
      <c r="EW106">
        <f>ROW()-1</f>
        <v/>
      </c>
    </row>
    <row r="107">
      <c r="A107" t="inlineStr">
        <is>
          <t>AO-W-005</t>
        </is>
      </c>
      <c r="B107" t="inlineStr">
        <is>
          <t>Industrious Union Square on Park</t>
        </is>
      </c>
      <c r="C107" t="inlineStr"/>
      <c r="D107" t="inlineStr"/>
      <c r="E107" t="inlineStr"/>
      <c r="F107" t="inlineStr"/>
      <c r="G107" t="inlineStr"/>
      <c r="H107" t="inlineStr">
        <is>
          <t>none</t>
        </is>
      </c>
      <c r="I107" t="inlineStr">
        <is>
          <t>linkedin</t>
        </is>
      </c>
      <c r="J107" t="n">
        <v>36</v>
      </c>
      <c r="K107" t="inlineStr">
        <is>
          <t>Tuesday headcount unknown (no sourced count), coworking operator site (one office if it controls the pantry), no attendance signal, open at a high-confidence address; contacts not researched yet (below the top 50).</t>
        </is>
      </c>
      <c r="L107" t="inlineStr">
        <is>
          <t>unknown</t>
        </is>
      </c>
      <c r="M107" t="inlineStr"/>
      <c r="N107" t="inlineStr"/>
      <c r="O107" t="inlineStr"/>
      <c r="P107" t="inlineStr"/>
      <c r="Q107" t="inlineStr"/>
      <c r="R107" t="inlineStr">
        <is>
          <t>N</t>
        </is>
      </c>
      <c r="S107" t="inlineStr">
        <is>
          <t>unknown</t>
        </is>
      </c>
      <c r="T107" t="inlineStr">
        <is>
          <t>N</t>
        </is>
      </c>
      <c r="U107" t="inlineStr">
        <is>
          <t>new</t>
        </is>
      </c>
      <c r="V107" t="inlineStr">
        <is>
          <t>https://www.industriousoffice.com/m/new-york-city</t>
        </is>
      </c>
      <c r="W107" t="inlineStr">
        <is>
          <t>2026-10-23</t>
        </is>
      </c>
      <c r="X107" t="inlineStr">
        <is>
          <t>office</t>
        </is>
      </c>
      <c r="Y107" t="inlineStr"/>
      <c r="Z107" t="n">
        <v>106</v>
      </c>
      <c r="AA107" t="inlineStr">
        <is>
          <t>N</t>
        </is>
      </c>
      <c r="AB107" t="inlineStr"/>
      <c r="AC107" t="inlineStr"/>
      <c r="AD107" t="inlineStr">
        <is>
          <t>none</t>
        </is>
      </c>
      <c r="AE107" t="inlineStr"/>
      <c r="AF107" t="inlineStr"/>
      <c r="AG107" t="inlineStr"/>
      <c r="AH107" t="inlineStr">
        <is>
          <t>none</t>
        </is>
      </c>
      <c r="AI107" t="inlineStr">
        <is>
          <t>215 Park Avenue South, 11th Floor, New York, NY 10003</t>
        </is>
      </c>
      <c r="AJ107" t="inlineStr">
        <is>
          <t>11th Floor</t>
        </is>
      </c>
      <c r="AK107" t="inlineStr">
        <is>
          <t>open</t>
        </is>
      </c>
      <c r="AL107" t="inlineStr">
        <is>
          <t>unknown</t>
        </is>
      </c>
      <c r="AM107" t="inlineStr">
        <is>
          <t>unknown</t>
        </is>
      </c>
      <c r="AN107" t="inlineStr">
        <is>
          <t>none</t>
        </is>
      </c>
      <c r="AO107" t="inlineStr">
        <is>
          <t>unknown</t>
        </is>
      </c>
      <c r="AP107" t="inlineStr">
        <is>
          <t>grp-W003-W005-W007-W008-W014-W016-W027</t>
        </is>
      </c>
      <c r="AQ107" t="inlineStr">
        <is>
          <t>N</t>
        </is>
      </c>
      <c r="AR107" t="inlineStr"/>
      <c r="AS107" t="inlineStr"/>
      <c r="AT107" t="inlineStr">
        <is>
          <t>N</t>
        </is>
      </c>
      <c r="AU107" t="inlineStr">
        <is>
          <t>no contact named on an opened page</t>
        </is>
      </c>
      <c r="AV107" t="inlineStr"/>
      <c r="AW107" t="inlineStr">
        <is>
          <t>N</t>
        </is>
      </c>
      <c r="AX107" t="inlineStr">
        <is>
          <t>pass</t>
        </is>
      </c>
      <c r="AY107" t="inlineStr">
        <is>
          <t>passes all hard gates</t>
        </is>
      </c>
      <c r="AZ107" t="inlineStr">
        <is>
          <t>coworking-operator</t>
        </is>
      </c>
      <c r="BA107" t="inlineStr">
        <is>
          <t>B-W-005</t>
        </is>
      </c>
      <c r="BB107" t="inlineStr">
        <is>
          <t>https://www.industriousoffice.com</t>
        </is>
      </c>
      <c r="BC107" t="inlineStr">
        <is>
          <t>coworking operator</t>
        </is>
      </c>
      <c r="BD107" t="inlineStr">
        <is>
          <t>unknown</t>
        </is>
      </c>
      <c r="BE107" t="inlineStr"/>
      <c r="BF107" t="inlineStr">
        <is>
          <t>unknown</t>
        </is>
      </c>
      <c r="BG107" t="inlineStr">
        <is>
          <t>unknown</t>
        </is>
      </c>
      <c r="BH107" t="inlineStr"/>
      <c r="BI107" t="inlineStr"/>
      <c r="BJ107" t="inlineStr"/>
      <c r="BK107" t="inlineStr">
        <is>
          <t>unknown</t>
        </is>
      </c>
      <c r="BL107" t="inlineStr">
        <is>
          <t>n/a (operator site)</t>
        </is>
      </c>
      <c r="BM107" t="inlineStr">
        <is>
          <t>unknown</t>
        </is>
      </c>
      <c r="BN107" t="inlineStr">
        <is>
          <t>Industrious</t>
        </is>
      </c>
      <c r="BO107" t="inlineStr"/>
      <c r="BP107" t="n">
        <v>10003</v>
      </c>
      <c r="BQ107" t="n">
        <v>40.73686</v>
      </c>
      <c r="BR107" t="n">
        <v>-73.988546</v>
      </c>
      <c r="BS107" t="inlineStr">
        <is>
          <t>Y</t>
        </is>
      </c>
      <c r="BT107" t="n">
        <v>0</v>
      </c>
      <c r="BU107" t="inlineStr">
        <is>
          <t>B-B-016</t>
        </is>
      </c>
      <c r="BV107" t="inlineStr">
        <is>
          <t>215 Park Avenue South (SL Green managed)</t>
        </is>
      </c>
      <c r="BW107" t="inlineStr">
        <is>
          <t>https://www.industriousoffice.com/m/new-york-city</t>
        </is>
      </c>
      <c r="BX107" t="inlineStr">
        <is>
          <t>2026-10-23</t>
        </is>
      </c>
      <c r="BY107" t="inlineStr">
        <is>
          <t>operator-site</t>
        </is>
      </c>
      <c r="BZ107" t="inlineStr">
        <is>
          <t>https://www.sec.gov/Archives/edgar/data/1013454/000153949726000704/n5676_x5-424h.htm</t>
        </is>
      </c>
      <c r="CA107" t="inlineStr"/>
      <c r="CB107" t="inlineStr">
        <is>
          <t>cites a sec.gov filing: agents do not open it (EDGAR demands a contact email); the founder may open it in a browser</t>
        </is>
      </c>
      <c r="CC107" t="inlineStr">
        <is>
          <t>high</t>
        </is>
      </c>
      <c r="CD107" t="inlineStr"/>
      <c r="CE107" t="inlineStr">
        <is>
          <t>N</t>
        </is>
      </c>
      <c r="CF107" t="inlineStr">
        <is>
          <t>B-W-005</t>
        </is>
      </c>
      <c r="CG107" t="inlineStr">
        <is>
          <t>operator</t>
        </is>
      </c>
      <c r="CH107" t="inlineStr">
        <is>
          <t>security desk</t>
        </is>
      </c>
      <c r="CI107" t="inlineStr">
        <is>
          <t>https://www.metro-manhattan.com/buildings/215-park-avenue-south/</t>
        </is>
      </c>
      <c r="CJ107" t="inlineStr">
        <is>
          <t>unknown</t>
        </is>
      </c>
      <c r="CK107" t="inlineStr">
        <is>
          <t>N</t>
        </is>
      </c>
      <c r="CL107" t="inlineStr">
        <is>
          <t>unknown</t>
        </is>
      </c>
      <c r="CM107" t="inlineStr"/>
      <c r="CN107" t="inlineStr"/>
      <c r="CO107" t="inlineStr">
        <is>
          <t>unknown</t>
        </is>
      </c>
      <c r="CP107" t="inlineStr"/>
      <c r="CQ107" t="inlineStr">
        <is>
          <t>Coworking site: member headcount not sourced; treat as one office if the operator controls the pantry and ask the Tuesday count at intake.</t>
        </is>
      </c>
      <c r="CR107" t="inlineStr">
        <is>
          <t>estimate until intake replaces it</t>
        </is>
      </c>
      <c r="CS107" t="inlineStr">
        <is>
          <t>unknown</t>
        </is>
      </c>
      <c r="CT107" t="n">
        <v>36</v>
      </c>
      <c r="CU107" t="n">
        <v>7</v>
      </c>
      <c r="CV107" t="n">
        <v>8</v>
      </c>
      <c r="CW107" t="n">
        <v>6</v>
      </c>
      <c r="CX107" t="n">
        <v>15</v>
      </c>
      <c r="CY107" t="n">
        <v>0</v>
      </c>
      <c r="CZ107" t="n">
        <v>0</v>
      </c>
      <c r="DA107" t="inlineStr"/>
      <c r="DB107" t="inlineStr"/>
      <c r="DC107" t="inlineStr"/>
      <c r="DD107" t="inlineStr"/>
      <c r="DE107" t="inlineStr"/>
      <c r="DF107" t="inlineStr">
        <is>
          <t>none</t>
        </is>
      </c>
      <c r="DG107" t="inlineStr">
        <is>
          <t>coworking-operator</t>
        </is>
      </c>
      <c r="DH107" t="inlineStr"/>
      <c r="DI107" t="inlineStr"/>
      <c r="DJ107" t="inlineStr"/>
      <c r="DK107" t="inlineStr">
        <is>
          <t>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is>
      </c>
      <c r="DL107" t="inlineStr"/>
      <c r="DM107" t="inlineStr"/>
      <c r="DN107" t="inlineStr"/>
      <c r="DO107" t="inlineStr"/>
      <c r="DP107" t="inlineStr"/>
      <c r="DQ107" t="inlineStr"/>
      <c r="DR107" t="inlineStr"/>
      <c r="DS107" t="inlineStr">
        <is>
          <t>none</t>
        </is>
      </c>
      <c r="DT107" t="inlineStr"/>
      <c r="DU107" t="inlineStr"/>
      <c r="DV107" t="inlineStr"/>
      <c r="DW107" t="inlineStr"/>
      <c r="DX107" t="inlineStr">
        <is>
          <t>N</t>
        </is>
      </c>
      <c r="DY107" t="inlineStr"/>
      <c r="DZ107" t="inlineStr">
        <is>
          <t>parent 'industrious' shared with AO-W-007, AO-W-016, AO-W-008, AO-W-014, AO-W-003, AO-W-027</t>
        </is>
      </c>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f>IF(ISNUMBER(MATCH(U107,{"queued","contacted","replied","call_booked","call_done","yes_in_principle","materials_sent"},0)),"Y","N")</f>
        <v/>
      </c>
      <c r="ES107">
        <f>IF(COUNTIFS($AP$2:$AP$1000,AP107,$ER$2:$ER$1000,"Y")+COUNTIFS($AP$2:$AP$1000,AP107,$T$2:$T$1000,"Y")&gt;0,"Y","N")</f>
        <v/>
      </c>
      <c r="ET107">
        <f>IF(AND(U107="new",T107="N",AT107="Y",AS107="",ES107="N"),"Y","N")</f>
        <v/>
      </c>
      <c r="EU107">
        <f>IF(ET107&lt;&gt;"Y","N",IF(COUNTIFS($AP$2:$AP$1000,AP107,$ET$2:$ET$1000,"Y",$J$2:$J$1000,"&gt;"&amp;J107)+COUNTIFS($AP$2:$AP$1000,AP107,$ET$2:$ET$1000,"Y",$J$2:$J$1000,J107,$EW$2:$EW$1000,"&lt;"&amp;EW107)=0,"Y","N"))</f>
        <v/>
      </c>
      <c r="EV107">
        <f>IF(Y107="","N",IF(Y107&lt;=10,"Y","N"))</f>
        <v/>
      </c>
      <c r="EW107">
        <f>ROW()-1</f>
        <v/>
      </c>
    </row>
    <row r="108">
      <c r="A108" t="inlineStr">
        <is>
          <t>AO-C-170</t>
        </is>
      </c>
      <c r="B108" t="inlineStr">
        <is>
          <t>Innovant</t>
        </is>
      </c>
      <c r="C108" t="inlineStr"/>
      <c r="D108" t="inlineStr"/>
      <c r="E108" t="inlineStr"/>
      <c r="F108" t="inlineStr"/>
      <c r="G108" t="inlineStr"/>
      <c r="H108" t="inlineStr">
        <is>
          <t>none</t>
        </is>
      </c>
      <c r="I108" t="inlineStr">
        <is>
          <t>linkedin</t>
        </is>
      </c>
      <c r="J108" t="n">
        <v>36</v>
      </c>
      <c r="K108" t="inlineStr">
        <is>
          <t>Tuesday headcount unknown (no sourced count), company size unknown, no attendance signal, occupied at a high-confidence address; contacts not researched yet (below the top 50).</t>
        </is>
      </c>
      <c r="L108" t="inlineStr">
        <is>
          <t>unknown</t>
        </is>
      </c>
      <c r="M108" t="inlineStr"/>
      <c r="N108" t="inlineStr"/>
      <c r="O108" t="inlineStr"/>
      <c r="P108" t="inlineStr"/>
      <c r="Q108" t="inlineStr"/>
      <c r="R108" t="inlineStr">
        <is>
          <t>N</t>
        </is>
      </c>
      <c r="S108" t="inlineStr">
        <is>
          <t>unknown</t>
        </is>
      </c>
      <c r="T108" t="inlineStr">
        <is>
          <t>N</t>
        </is>
      </c>
      <c r="U108" t="inlineStr">
        <is>
          <t>new</t>
        </is>
      </c>
      <c r="V108" t="inlineStr">
        <is>
          <t>https://commercialobserver.com/2023/06/innovant-440-park-avenue-south-nomad/</t>
        </is>
      </c>
      <c r="W108" t="inlineStr">
        <is>
          <t>2026-10-23</t>
        </is>
      </c>
      <c r="X108" t="inlineStr">
        <is>
          <t>office</t>
        </is>
      </c>
      <c r="Y108" t="inlineStr"/>
      <c r="Z108" t="n">
        <v>107</v>
      </c>
      <c r="AA108" t="inlineStr">
        <is>
          <t>N</t>
        </is>
      </c>
      <c r="AB108" t="inlineStr"/>
      <c r="AC108" t="inlineStr"/>
      <c r="AD108" t="inlineStr">
        <is>
          <t>none</t>
        </is>
      </c>
      <c r="AE108" t="inlineStr"/>
      <c r="AF108" t="inlineStr"/>
      <c r="AG108" t="inlineStr"/>
      <c r="AH108" t="inlineStr">
        <is>
          <t>none</t>
        </is>
      </c>
      <c r="AI108" t="inlineStr">
        <is>
          <t>440 Park Avenue South</t>
        </is>
      </c>
      <c r="AJ108" t="n">
        <v>9</v>
      </c>
      <c r="AK108" t="inlineStr">
        <is>
          <t>occupied</t>
        </is>
      </c>
      <c r="AL108" t="inlineStr">
        <is>
          <t>unknown</t>
        </is>
      </c>
      <c r="AM108" t="inlineStr">
        <is>
          <t>unknown</t>
        </is>
      </c>
      <c r="AN108" t="inlineStr">
        <is>
          <t>none</t>
        </is>
      </c>
      <c r="AO108" t="inlineStr">
        <is>
          <t>unknown</t>
        </is>
      </c>
      <c r="AP108" t="inlineStr">
        <is>
          <t>AO-C-170</t>
        </is>
      </c>
      <c r="AQ108" t="inlineStr">
        <is>
          <t>N</t>
        </is>
      </c>
      <c r="AR108" t="inlineStr"/>
      <c r="AS108" t="inlineStr"/>
      <c r="AT108" t="inlineStr">
        <is>
          <t>N</t>
        </is>
      </c>
      <c r="AU108" t="inlineStr">
        <is>
          <t>no contact named on an opened page</t>
        </is>
      </c>
      <c r="AV108" t="inlineStr"/>
      <c r="AW108" t="inlineStr">
        <is>
          <t>N</t>
        </is>
      </c>
      <c r="AX108" t="inlineStr">
        <is>
          <t>pass</t>
        </is>
      </c>
      <c r="AY108" t="inlineStr">
        <is>
          <t>passes all hard gates</t>
        </is>
      </c>
      <c r="AZ108" t="inlineStr">
        <is>
          <t>company</t>
        </is>
      </c>
      <c r="BA108" t="inlineStr">
        <is>
          <t>B-C-170</t>
        </is>
      </c>
      <c r="BB108" t="inlineStr">
        <is>
          <t>https://innovant.com</t>
        </is>
      </c>
      <c r="BC108" t="inlineStr">
        <is>
          <t>office furniture manufacturer (showroom and offices)</t>
        </is>
      </c>
      <c r="BD108" t="inlineStr">
        <is>
          <t>unknown</t>
        </is>
      </c>
      <c r="BE108" t="inlineStr"/>
      <c r="BF108" t="inlineStr">
        <is>
          <t>unknown</t>
        </is>
      </c>
      <c r="BG108" t="inlineStr">
        <is>
          <t>unknown</t>
        </is>
      </c>
      <c r="BH108" t="inlineStr">
        <is>
          <t>no-count</t>
        </is>
      </c>
      <c r="BI108" t="inlineStr"/>
      <c r="BJ108" t="inlineStr"/>
      <c r="BK108" t="inlineStr">
        <is>
          <t>unknown</t>
        </is>
      </c>
      <c r="BL108" t="inlineStr">
        <is>
          <t>unknown</t>
        </is>
      </c>
      <c r="BM108" t="inlineStr">
        <is>
          <t>unknown</t>
        </is>
      </c>
      <c r="BN108" t="inlineStr">
        <is>
          <t>unknown</t>
        </is>
      </c>
      <c r="BO108" t="inlineStr">
        <is>
          <t>unknown</t>
        </is>
      </c>
      <c r="BP108" t="n">
        <v>10016</v>
      </c>
      <c r="BQ108" t="n">
        <v>40.744442</v>
      </c>
      <c r="BR108" t="n">
        <v>-73.983525</v>
      </c>
      <c r="BS108" t="inlineStr">
        <is>
          <t>Y</t>
        </is>
      </c>
      <c r="BT108" t="n">
        <v>0</v>
      </c>
      <c r="BU108" t="inlineStr">
        <is>
          <t>B-B-080</t>
        </is>
      </c>
      <c r="BV108" t="inlineStr">
        <is>
          <t>440 Park Avenue South (Samco Properties)</t>
        </is>
      </c>
      <c r="BW108" t="inlineStr">
        <is>
          <t>https://commercialobserver.com/2023/06/innovant-440-park-avenue-south-nomad/</t>
        </is>
      </c>
      <c r="BX108" t="inlineStr">
        <is>
          <t>2023-06-23</t>
        </is>
      </c>
      <c r="BY108" t="inlineStr">
        <is>
          <t>leasing-press</t>
        </is>
      </c>
      <c r="BZ108" t="inlineStr">
        <is>
          <t>https://innovant.com/contact-us/</t>
        </is>
      </c>
      <c r="CA108" t="inlineStr">
        <is>
          <t>2026-10-23</t>
        </is>
      </c>
      <c r="CB108" t="inlineStr"/>
      <c r="CC108" t="inlineStr">
        <is>
          <t>high</t>
        </is>
      </c>
      <c r="CD108" t="inlineStr"/>
      <c r="CE108" t="inlineStr">
        <is>
          <t>N</t>
        </is>
      </c>
      <c r="CF108" t="inlineStr"/>
      <c r="CG108" t="inlineStr"/>
      <c r="CH108" t="inlineStr">
        <is>
          <t>unknown</t>
        </is>
      </c>
      <c r="CI108" t="inlineStr"/>
      <c r="CJ108" t="inlineStr">
        <is>
          <t>unknown</t>
        </is>
      </c>
      <c r="CK108" t="inlineStr">
        <is>
          <t>N</t>
        </is>
      </c>
      <c r="CL108" t="inlineStr">
        <is>
          <t>unknown</t>
        </is>
      </c>
      <c r="CM108" t="inlineStr"/>
      <c r="CN108" t="inlineStr"/>
      <c r="CO108" t="inlineStr">
        <is>
          <t>unknown</t>
        </is>
      </c>
      <c r="CP108" t="inlineStr"/>
      <c r="CQ108" t="inlineStr">
        <is>
          <t>No sourced headcount, so no Tuesday estimate; ask the Tuesday count at intake.</t>
        </is>
      </c>
      <c r="CR108" t="inlineStr">
        <is>
          <t>estimate until intake replaces it</t>
        </is>
      </c>
      <c r="CS108" t="inlineStr">
        <is>
          <t>unknown</t>
        </is>
      </c>
      <c r="CT108" t="n">
        <v>36</v>
      </c>
      <c r="CU108" t="n">
        <v>7</v>
      </c>
      <c r="CV108" t="n">
        <v>8</v>
      </c>
      <c r="CW108" t="n">
        <v>6</v>
      </c>
      <c r="CX108" t="n">
        <v>15</v>
      </c>
      <c r="CY108" t="n">
        <v>0</v>
      </c>
      <c r="CZ108" t="n">
        <v>0</v>
      </c>
      <c r="DA108" t="inlineStr"/>
      <c r="DB108" t="inlineStr"/>
      <c r="DC108" t="inlineStr"/>
      <c r="DD108" t="inlineStr"/>
      <c r="DE108" t="inlineStr"/>
      <c r="DF108" t="inlineStr">
        <is>
          <t>none</t>
        </is>
      </c>
      <c r="DG108" t="inlineStr">
        <is>
          <t>candidate</t>
        </is>
      </c>
      <c r="DH108" t="inlineStr"/>
      <c r="DI108" t="inlineStr"/>
      <c r="DJ108" t="inlineStr">
        <is>
          <t>11,120 sf</t>
        </is>
      </c>
      <c r="DK108" t="inlineStr">
        <is>
          <t>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is>
      </c>
      <c r="DL108" t="inlineStr"/>
      <c r="DM108" t="inlineStr"/>
      <c r="DN108" t="inlineStr"/>
      <c r="DO108" t="inlineStr"/>
      <c r="DP108" t="inlineStr"/>
      <c r="DQ108" t="inlineStr"/>
      <c r="DR108" t="inlineStr"/>
      <c r="DS108" t="inlineStr">
        <is>
          <t>none</t>
        </is>
      </c>
      <c r="DT108" t="inlineStr"/>
      <c r="DU108" t="inlineStr"/>
      <c r="DV108" t="inlineStr"/>
      <c r="DW108" t="inlineStr"/>
      <c r="DX108" t="inlineStr">
        <is>
          <t>N</t>
        </is>
      </c>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f>IF(ISNUMBER(MATCH(U108,{"queued","contacted","replied","call_booked","call_done","yes_in_principle","materials_sent"},0)),"Y","N")</f>
        <v/>
      </c>
      <c r="ES108">
        <f>IF(COUNTIFS($AP$2:$AP$1000,AP108,$ER$2:$ER$1000,"Y")+COUNTIFS($AP$2:$AP$1000,AP108,$T$2:$T$1000,"Y")&gt;0,"Y","N")</f>
        <v/>
      </c>
      <c r="ET108">
        <f>IF(AND(U108="new",T108="N",AT108="Y",AS108="",ES108="N"),"Y","N")</f>
        <v/>
      </c>
      <c r="EU108">
        <f>IF(ET108&lt;&gt;"Y","N",IF(COUNTIFS($AP$2:$AP$1000,AP108,$ET$2:$ET$1000,"Y",$J$2:$J$1000,"&gt;"&amp;J108)+COUNTIFS($AP$2:$AP$1000,AP108,$ET$2:$ET$1000,"Y",$J$2:$J$1000,J108,$EW$2:$EW$1000,"&lt;"&amp;EW108)=0,"Y","N"))</f>
        <v/>
      </c>
      <c r="EV108">
        <f>IF(Y108="","N",IF(Y108&lt;=10,"Y","N"))</f>
        <v/>
      </c>
      <c r="EW108">
        <f>ROW()-1</f>
        <v/>
      </c>
    </row>
    <row r="109">
      <c r="A109" t="inlineStr">
        <is>
          <t>AO-C-029</t>
        </is>
      </c>
      <c r="B109" t="inlineStr">
        <is>
          <t>LUMA Partners</t>
        </is>
      </c>
      <c r="C109" t="inlineStr"/>
      <c r="D109" t="inlineStr"/>
      <c r="E109" t="inlineStr"/>
      <c r="F109" t="inlineStr"/>
      <c r="G109" t="inlineStr"/>
      <c r="H109" t="inlineStr">
        <is>
          <t>none</t>
        </is>
      </c>
      <c r="I109" t="inlineStr">
        <is>
          <t>linkedin</t>
        </is>
      </c>
      <c r="J109" t="n">
        <v>36</v>
      </c>
      <c r="K109" t="inlineStr">
        <is>
          <t>Tuesday headcount unknown (no sourced count), company size unknown, no attendance signal, occupied at a high-confidence address; contacts not researched yet (below the top 50).</t>
        </is>
      </c>
      <c r="L109" t="inlineStr">
        <is>
          <t>unknown</t>
        </is>
      </c>
      <c r="M109" t="inlineStr"/>
      <c r="N109" t="inlineStr"/>
      <c r="O109" t="inlineStr"/>
      <c r="P109" t="inlineStr"/>
      <c r="Q109" t="inlineStr"/>
      <c r="R109" t="inlineStr">
        <is>
          <t>N</t>
        </is>
      </c>
      <c r="S109" t="inlineStr">
        <is>
          <t>unknown</t>
        </is>
      </c>
      <c r="T109" t="inlineStr">
        <is>
          <t>N</t>
        </is>
      </c>
      <c r="U109" t="inlineStr">
        <is>
          <t>new</t>
        </is>
      </c>
      <c r="V109" t="inlineStr">
        <is>
          <t>https://www.lumapartners.com/contact</t>
        </is>
      </c>
      <c r="W109" t="inlineStr">
        <is>
          <t>2026-10-23</t>
        </is>
      </c>
      <c r="X109" t="inlineStr">
        <is>
          <t>office</t>
        </is>
      </c>
      <c r="Y109" t="inlineStr"/>
      <c r="Z109" t="n">
        <v>108</v>
      </c>
      <c r="AA109" t="inlineStr">
        <is>
          <t>N</t>
        </is>
      </c>
      <c r="AB109" t="inlineStr"/>
      <c r="AC109" t="inlineStr"/>
      <c r="AD109" t="inlineStr">
        <is>
          <t>none</t>
        </is>
      </c>
      <c r="AE109" t="inlineStr"/>
      <c r="AF109" t="inlineStr"/>
      <c r="AG109" t="inlineStr"/>
      <c r="AH109" t="inlineStr">
        <is>
          <t>none</t>
        </is>
      </c>
      <c r="AI109" t="inlineStr">
        <is>
          <t>101 Fifth Avenue</t>
        </is>
      </c>
      <c r="AJ109" t="n">
        <v>9</v>
      </c>
      <c r="AK109" t="inlineStr">
        <is>
          <t>occupied</t>
        </is>
      </c>
      <c r="AL109" t="inlineStr">
        <is>
          <t>unknown</t>
        </is>
      </c>
      <c r="AM109" t="inlineStr">
        <is>
          <t>unknown</t>
        </is>
      </c>
      <c r="AN109" t="inlineStr">
        <is>
          <t>none</t>
        </is>
      </c>
      <c r="AO109" t="inlineStr">
        <is>
          <t>unknown</t>
        </is>
      </c>
      <c r="AP109" t="inlineStr">
        <is>
          <t>AO-C-029</t>
        </is>
      </c>
      <c r="AQ109" t="inlineStr">
        <is>
          <t>N</t>
        </is>
      </c>
      <c r="AR109" t="inlineStr"/>
      <c r="AS109" t="inlineStr"/>
      <c r="AT109" t="inlineStr">
        <is>
          <t>N</t>
        </is>
      </c>
      <c r="AU109" t="inlineStr">
        <is>
          <t>no contact named on an opened page</t>
        </is>
      </c>
      <c r="AV109" t="inlineStr"/>
      <c r="AW109" t="inlineStr">
        <is>
          <t>N</t>
        </is>
      </c>
      <c r="AX109" t="inlineStr">
        <is>
          <t>pass</t>
        </is>
      </c>
      <c r="AY109" t="inlineStr">
        <is>
          <t>passes all hard gates</t>
        </is>
      </c>
      <c r="AZ109" t="inlineStr">
        <is>
          <t>company</t>
        </is>
      </c>
      <c r="BA109" t="inlineStr">
        <is>
          <t>B-C-029</t>
        </is>
      </c>
      <c r="BB109" t="inlineStr">
        <is>
          <t>https://www.lumapartners.com</t>
        </is>
      </c>
      <c r="BC109" t="inlineStr">
        <is>
          <t>investment banking (digital media and marketing tech)</t>
        </is>
      </c>
      <c r="BD109" t="inlineStr">
        <is>
          <t>unknown</t>
        </is>
      </c>
      <c r="BE109" t="inlineStr"/>
      <c r="BF109" t="inlineStr">
        <is>
          <t>unknown</t>
        </is>
      </c>
      <c r="BG109" t="inlineStr">
        <is>
          <t>unknown</t>
        </is>
      </c>
      <c r="BH109" t="inlineStr">
        <is>
          <t>no-count</t>
        </is>
      </c>
      <c r="BI109" t="inlineStr"/>
      <c r="BJ109" t="inlineStr"/>
      <c r="BK109" t="inlineStr">
        <is>
          <t>unknown</t>
        </is>
      </c>
      <c r="BL109" t="inlineStr">
        <is>
          <t>unknown</t>
        </is>
      </c>
      <c r="BM109" t="inlineStr">
        <is>
          <t>unknown</t>
        </is>
      </c>
      <c r="BN109" t="inlineStr">
        <is>
          <t>unknown</t>
        </is>
      </c>
      <c r="BO109" t="inlineStr">
        <is>
          <t>unknown</t>
        </is>
      </c>
      <c r="BP109" t="n">
        <v>10003</v>
      </c>
      <c r="BQ109" t="n">
        <v>40.738063</v>
      </c>
      <c r="BR109" t="n">
        <v>-73.99189800000001</v>
      </c>
      <c r="BS109" t="inlineStr">
        <is>
          <t>Y</t>
        </is>
      </c>
      <c r="BT109" t="n">
        <v>0</v>
      </c>
      <c r="BU109" t="inlineStr">
        <is>
          <t>B-B-012</t>
        </is>
      </c>
      <c r="BV109" t="inlineStr">
        <is>
          <t>101 Fifth Avenue</t>
        </is>
      </c>
      <c r="BW109" t="inlineStr">
        <is>
          <t>https://www.lumapartners.com/contact</t>
        </is>
      </c>
      <c r="BX109" t="inlineStr">
        <is>
          <t>2026-10-23</t>
        </is>
      </c>
      <c r="BY109" t="inlineStr">
        <is>
          <t>company-site</t>
        </is>
      </c>
      <c r="BZ109" t="inlineStr">
        <is>
          <t>https://commercialobserver.com/2025/08/prepared-911-101-fifth-avenue/</t>
        </is>
      </c>
      <c r="CA109" t="inlineStr">
        <is>
          <t>2025-08-04</t>
        </is>
      </c>
      <c r="CB109" t="inlineStr"/>
      <c r="CC109" t="inlineStr">
        <is>
          <t>high</t>
        </is>
      </c>
      <c r="CD109" t="inlineStr"/>
      <c r="CE109" t="inlineStr">
        <is>
          <t>N</t>
        </is>
      </c>
      <c r="CF109" t="inlineStr"/>
      <c r="CG109" t="inlineStr"/>
      <c r="CH109" t="inlineStr">
        <is>
          <t>unknown</t>
        </is>
      </c>
      <c r="CI109" t="inlineStr"/>
      <c r="CJ109" t="inlineStr">
        <is>
          <t>unknown</t>
        </is>
      </c>
      <c r="CK109" t="inlineStr">
        <is>
          <t>N</t>
        </is>
      </c>
      <c r="CL109" t="inlineStr">
        <is>
          <t>unknown</t>
        </is>
      </c>
      <c r="CM109" t="inlineStr"/>
      <c r="CN109" t="inlineStr"/>
      <c r="CO109" t="inlineStr">
        <is>
          <t>unknown</t>
        </is>
      </c>
      <c r="CP109" t="inlineStr"/>
      <c r="CQ109" t="inlineStr">
        <is>
          <t>No sourced headcount, so no Tuesday estimate; ask the Tuesday count at intake.</t>
        </is>
      </c>
      <c r="CR109" t="inlineStr">
        <is>
          <t>estimate until intake replaces it</t>
        </is>
      </c>
      <c r="CS109" t="inlineStr">
        <is>
          <t>unknown</t>
        </is>
      </c>
      <c r="CT109" t="n">
        <v>36</v>
      </c>
      <c r="CU109" t="n">
        <v>7</v>
      </c>
      <c r="CV109" t="n">
        <v>8</v>
      </c>
      <c r="CW109" t="n">
        <v>6</v>
      </c>
      <c r="CX109" t="n">
        <v>15</v>
      </c>
      <c r="CY109" t="n">
        <v>0</v>
      </c>
      <c r="CZ109" t="n">
        <v>0</v>
      </c>
      <c r="DA109" t="inlineStr"/>
      <c r="DB109" t="inlineStr"/>
      <c r="DC109" t="inlineStr"/>
      <c r="DD109" t="inlineStr"/>
      <c r="DE109" t="inlineStr"/>
      <c r="DF109" t="inlineStr">
        <is>
          <t>none</t>
        </is>
      </c>
      <c r="DG109" t="inlineStr">
        <is>
          <t>candidate</t>
        </is>
      </c>
      <c r="DH109" t="inlineStr"/>
      <c r="DI109" t="inlineStr"/>
      <c r="DJ109" t="inlineStr"/>
      <c r="DK109" t="inlineStr">
        <is>
          <t>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is>
      </c>
      <c r="DL109" t="inlineStr"/>
      <c r="DM109" t="inlineStr"/>
      <c r="DN109" t="inlineStr"/>
      <c r="DO109" t="inlineStr"/>
      <c r="DP109" t="inlineStr"/>
      <c r="DQ109" t="inlineStr"/>
      <c r="DR109" t="inlineStr"/>
      <c r="DS109" t="inlineStr">
        <is>
          <t>none</t>
        </is>
      </c>
      <c r="DT109" t="inlineStr"/>
      <c r="DU109" t="inlineStr"/>
      <c r="DV109" t="inlineStr"/>
      <c r="DW109" t="inlineStr"/>
      <c r="DX109" t="inlineStr">
        <is>
          <t>N</t>
        </is>
      </c>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f>IF(ISNUMBER(MATCH(U109,{"queued","contacted","replied","call_booked","call_done","yes_in_principle","materials_sent"},0)),"Y","N")</f>
        <v/>
      </c>
      <c r="ES109">
        <f>IF(COUNTIFS($AP$2:$AP$1000,AP109,$ER$2:$ER$1000,"Y")+COUNTIFS($AP$2:$AP$1000,AP109,$T$2:$T$1000,"Y")&gt;0,"Y","N")</f>
        <v/>
      </c>
      <c r="ET109">
        <f>IF(AND(U109="new",T109="N",AT109="Y",AS109="",ES109="N"),"Y","N")</f>
        <v/>
      </c>
      <c r="EU109">
        <f>IF(ET109&lt;&gt;"Y","N",IF(COUNTIFS($AP$2:$AP$1000,AP109,$ET$2:$ET$1000,"Y",$J$2:$J$1000,"&gt;"&amp;J109)+COUNTIFS($AP$2:$AP$1000,AP109,$ET$2:$ET$1000,"Y",$J$2:$J$1000,J109,$EW$2:$EW$1000,"&lt;"&amp;EW109)=0,"Y","N"))</f>
        <v/>
      </c>
      <c r="EV109">
        <f>IF(Y109="","N",IF(Y109&lt;=10,"Y","N"))</f>
        <v/>
      </c>
      <c r="EW109">
        <f>ROW()-1</f>
        <v/>
      </c>
    </row>
    <row r="110">
      <c r="A110" t="inlineStr">
        <is>
          <t>AO-C-148</t>
        </is>
      </c>
      <c r="B110" t="inlineStr">
        <is>
          <t>Lee &amp; Low Books</t>
        </is>
      </c>
      <c r="C110" t="inlineStr"/>
      <c r="D110" t="inlineStr"/>
      <c r="E110" t="inlineStr"/>
      <c r="F110" t="inlineStr"/>
      <c r="G110" t="inlineStr"/>
      <c r="H110" t="inlineStr">
        <is>
          <t>none</t>
        </is>
      </c>
      <c r="I110" t="inlineStr">
        <is>
          <t>linkedin</t>
        </is>
      </c>
      <c r="J110" t="n">
        <v>36</v>
      </c>
      <c r="K110" t="inlineStr">
        <is>
          <t>Tuesday headcount unknown (no sourced count), company size unknown, no attendance signal, occupied at a high-confidence address; contacts not researched yet (below the top 50).</t>
        </is>
      </c>
      <c r="L110" t="inlineStr">
        <is>
          <t>unknown</t>
        </is>
      </c>
      <c r="M110" t="inlineStr"/>
      <c r="N110" t="inlineStr"/>
      <c r="O110" t="inlineStr"/>
      <c r="P110" t="inlineStr"/>
      <c r="Q110" t="inlineStr"/>
      <c r="R110" t="inlineStr">
        <is>
          <t>N</t>
        </is>
      </c>
      <c r="S110" t="inlineStr">
        <is>
          <t>unknown</t>
        </is>
      </c>
      <c r="T110" t="inlineStr">
        <is>
          <t>N</t>
        </is>
      </c>
      <c r="U110" t="inlineStr">
        <is>
          <t>new</t>
        </is>
      </c>
      <c r="V110" t="inlineStr">
        <is>
          <t>https://www.leeandlow.com/about/</t>
        </is>
      </c>
      <c r="W110" t="inlineStr">
        <is>
          <t>2026-10-23</t>
        </is>
      </c>
      <c r="X110" t="inlineStr">
        <is>
          <t>office</t>
        </is>
      </c>
      <c r="Y110" t="inlineStr"/>
      <c r="Z110" t="n">
        <v>109</v>
      </c>
      <c r="AA110" t="inlineStr">
        <is>
          <t>N</t>
        </is>
      </c>
      <c r="AB110" t="inlineStr"/>
      <c r="AC110" t="inlineStr"/>
      <c r="AD110" t="inlineStr">
        <is>
          <t>none</t>
        </is>
      </c>
      <c r="AE110" t="inlineStr"/>
      <c r="AF110" t="inlineStr"/>
      <c r="AG110" t="inlineStr"/>
      <c r="AH110" t="inlineStr">
        <is>
          <t>none</t>
        </is>
      </c>
      <c r="AI110" t="inlineStr">
        <is>
          <t>381 Park Avenue South</t>
        </is>
      </c>
      <c r="AJ110" t="inlineStr">
        <is>
          <t>14 (Room 1401)</t>
        </is>
      </c>
      <c r="AK110" t="inlineStr">
        <is>
          <t>occupied</t>
        </is>
      </c>
      <c r="AL110" t="inlineStr">
        <is>
          <t>unknown</t>
        </is>
      </c>
      <c r="AM110" t="inlineStr">
        <is>
          <t>unknown</t>
        </is>
      </c>
      <c r="AN110" t="inlineStr">
        <is>
          <t>none</t>
        </is>
      </c>
      <c r="AO110" t="inlineStr">
        <is>
          <t>unknown</t>
        </is>
      </c>
      <c r="AP110" t="inlineStr">
        <is>
          <t>AO-C-148</t>
        </is>
      </c>
      <c r="AQ110" t="inlineStr">
        <is>
          <t>N</t>
        </is>
      </c>
      <c r="AR110" t="inlineStr"/>
      <c r="AS110" t="inlineStr"/>
      <c r="AT110" t="inlineStr">
        <is>
          <t>N</t>
        </is>
      </c>
      <c r="AU110" t="inlineStr">
        <is>
          <t>no contact named on an opened page</t>
        </is>
      </c>
      <c r="AV110" t="inlineStr"/>
      <c r="AW110" t="inlineStr">
        <is>
          <t>N</t>
        </is>
      </c>
      <c r="AX110" t="inlineStr">
        <is>
          <t>pass</t>
        </is>
      </c>
      <c r="AY110" t="inlineStr">
        <is>
          <t>passes all hard gates</t>
        </is>
      </c>
      <c r="AZ110" t="inlineStr">
        <is>
          <t>company</t>
        </is>
      </c>
      <c r="BA110" t="inlineStr">
        <is>
          <t>B-C-148</t>
        </is>
      </c>
      <c r="BB110" t="inlineStr">
        <is>
          <t>https://www.leeandlow.com</t>
        </is>
      </c>
      <c r="BC110" t="inlineStr">
        <is>
          <t>book publishing (children's)</t>
        </is>
      </c>
      <c r="BD110" t="inlineStr">
        <is>
          <t>unknown</t>
        </is>
      </c>
      <c r="BE110" t="inlineStr"/>
      <c r="BF110" t="inlineStr">
        <is>
          <t>unknown</t>
        </is>
      </c>
      <c r="BG110" t="inlineStr">
        <is>
          <t>unknown</t>
        </is>
      </c>
      <c r="BH110" t="inlineStr">
        <is>
          <t>no-count</t>
        </is>
      </c>
      <c r="BI110" t="inlineStr"/>
      <c r="BJ110" t="inlineStr"/>
      <c r="BK110" t="inlineStr">
        <is>
          <t>unknown</t>
        </is>
      </c>
      <c r="BL110" t="inlineStr">
        <is>
          <t>unknown</t>
        </is>
      </c>
      <c r="BM110" t="inlineStr">
        <is>
          <t>unknown</t>
        </is>
      </c>
      <c r="BN110" t="inlineStr">
        <is>
          <t>unknown</t>
        </is>
      </c>
      <c r="BO110" t="inlineStr">
        <is>
          <t>unknown</t>
        </is>
      </c>
      <c r="BP110" t="n">
        <v>10016</v>
      </c>
      <c r="BQ110" t="n">
        <v>40.7425</v>
      </c>
      <c r="BR110" t="n">
        <v>-73.98444600000001</v>
      </c>
      <c r="BS110" t="inlineStr">
        <is>
          <t>Y</t>
        </is>
      </c>
      <c r="BT110" t="n">
        <v>0</v>
      </c>
      <c r="BU110" t="inlineStr">
        <is>
          <t>B-B-068</t>
        </is>
      </c>
      <c r="BV110" t="inlineStr">
        <is>
          <t>381 Park Avenue South (Olmstead Properties and Vertex)</t>
        </is>
      </c>
      <c r="BW110" t="inlineStr">
        <is>
          <t>https://www.leeandlow.com/about/</t>
        </is>
      </c>
      <c r="BX110" t="inlineStr">
        <is>
          <t>2026-10-23</t>
        </is>
      </c>
      <c r="BY110" t="inlineStr">
        <is>
          <t>company-site</t>
        </is>
      </c>
      <c r="BZ110" t="inlineStr">
        <is>
          <t>https://commercialobserver.com/2024/04/publisher-lee-low-moving-offices-to-6k-sf-at-381-park-avenue-south/</t>
        </is>
      </c>
      <c r="CA110" t="inlineStr">
        <is>
          <t>2024-04-25</t>
        </is>
      </c>
      <c r="CB110" t="inlineStr"/>
      <c r="CC110" t="inlineStr">
        <is>
          <t>high</t>
        </is>
      </c>
      <c r="CD110" t="inlineStr"/>
      <c r="CE110" t="inlineStr">
        <is>
          <t>N</t>
        </is>
      </c>
      <c r="CF110" t="inlineStr"/>
      <c r="CG110" t="inlineStr"/>
      <c r="CH110" t="inlineStr">
        <is>
          <t>unknown</t>
        </is>
      </c>
      <c r="CI110" t="inlineStr"/>
      <c r="CJ110" t="inlineStr">
        <is>
          <t>unknown</t>
        </is>
      </c>
      <c r="CK110" t="inlineStr">
        <is>
          <t>N</t>
        </is>
      </c>
      <c r="CL110" t="inlineStr">
        <is>
          <t>unknown</t>
        </is>
      </c>
      <c r="CM110" t="inlineStr"/>
      <c r="CN110" t="inlineStr"/>
      <c r="CO110" t="inlineStr">
        <is>
          <t>unknown</t>
        </is>
      </c>
      <c r="CP110" t="inlineStr"/>
      <c r="CQ110" t="inlineStr">
        <is>
          <t>No sourced headcount, so no Tuesday estimate; ask the Tuesday count at intake.</t>
        </is>
      </c>
      <c r="CR110" t="inlineStr">
        <is>
          <t>estimate until intake replaces it</t>
        </is>
      </c>
      <c r="CS110" t="inlineStr">
        <is>
          <t>unknown</t>
        </is>
      </c>
      <c r="CT110" t="n">
        <v>36</v>
      </c>
      <c r="CU110" t="n">
        <v>7</v>
      </c>
      <c r="CV110" t="n">
        <v>8</v>
      </c>
      <c r="CW110" t="n">
        <v>6</v>
      </c>
      <c r="CX110" t="n">
        <v>15</v>
      </c>
      <c r="CY110" t="n">
        <v>0</v>
      </c>
      <c r="CZ110" t="n">
        <v>0</v>
      </c>
      <c r="DA110" t="inlineStr"/>
      <c r="DB110" t="inlineStr"/>
      <c r="DC110" t="inlineStr"/>
      <c r="DD110" t="inlineStr"/>
      <c r="DE110" t="inlineStr"/>
      <c r="DF110" t="inlineStr">
        <is>
          <t>none</t>
        </is>
      </c>
      <c r="DG110" t="inlineStr">
        <is>
          <t>candidate</t>
        </is>
      </c>
      <c r="DH110" t="inlineStr"/>
      <c r="DI110" t="inlineStr"/>
      <c r="DJ110" t="inlineStr">
        <is>
          <t>5,844 sf</t>
        </is>
      </c>
      <c r="DK110" t="inlineStr">
        <is>
          <t>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L110" t="inlineStr"/>
      <c r="DM110" t="inlineStr"/>
      <c r="DN110" t="inlineStr"/>
      <c r="DO110" t="inlineStr"/>
      <c r="DP110" t="inlineStr"/>
      <c r="DQ110" t="inlineStr"/>
      <c r="DR110" t="inlineStr"/>
      <c r="DS110" t="inlineStr">
        <is>
          <t>none</t>
        </is>
      </c>
      <c r="DT110" t="inlineStr"/>
      <c r="DU110" t="inlineStr"/>
      <c r="DV110" t="inlineStr"/>
      <c r="DW110" t="inlineStr"/>
      <c r="DX110" t="inlineStr">
        <is>
          <t>N</t>
        </is>
      </c>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f>IF(ISNUMBER(MATCH(U110,{"queued","contacted","replied","call_booked","call_done","yes_in_principle","materials_sent"},0)),"Y","N")</f>
        <v/>
      </c>
      <c r="ES110">
        <f>IF(COUNTIFS($AP$2:$AP$1000,AP110,$ER$2:$ER$1000,"Y")+COUNTIFS($AP$2:$AP$1000,AP110,$T$2:$T$1000,"Y")&gt;0,"Y","N")</f>
        <v/>
      </c>
      <c r="ET110">
        <f>IF(AND(U110="new",T110="N",AT110="Y",AS110="",ES110="N"),"Y","N")</f>
        <v/>
      </c>
      <c r="EU110">
        <f>IF(ET110&lt;&gt;"Y","N",IF(COUNTIFS($AP$2:$AP$1000,AP110,$ET$2:$ET$1000,"Y",$J$2:$J$1000,"&gt;"&amp;J110)+COUNTIFS($AP$2:$AP$1000,AP110,$ET$2:$ET$1000,"Y",$J$2:$J$1000,J110,$EW$2:$EW$1000,"&lt;"&amp;EW110)=0,"Y","N"))</f>
        <v/>
      </c>
      <c r="EV110">
        <f>IF(Y110="","N",IF(Y110&lt;=10,"Y","N"))</f>
        <v/>
      </c>
      <c r="EW110">
        <f>ROW()-1</f>
        <v/>
      </c>
    </row>
    <row r="111">
      <c r="A111" t="inlineStr">
        <is>
          <t>AO-C-004</t>
        </is>
      </c>
      <c r="B111" t="inlineStr">
        <is>
          <t>Lepercq de Neuflize &amp; Co.</t>
        </is>
      </c>
      <c r="C111" t="inlineStr"/>
      <c r="D111" t="inlineStr"/>
      <c r="E111" t="inlineStr"/>
      <c r="F111" t="inlineStr"/>
      <c r="G111" t="inlineStr"/>
      <c r="H111" t="inlineStr">
        <is>
          <t>none</t>
        </is>
      </c>
      <c r="I111" t="inlineStr">
        <is>
          <t>linkedin</t>
        </is>
      </c>
      <c r="J111" t="n">
        <v>36</v>
      </c>
      <c r="K111" t="inlineStr">
        <is>
          <t>Tuesday headcount unknown (no sourced count), company size unknown, no attendance signal, occupied at a high-confidence address; contacts not researched yet (below the top 50).</t>
        </is>
      </c>
      <c r="L111" t="inlineStr">
        <is>
          <t>unknown</t>
        </is>
      </c>
      <c r="M111" t="inlineStr"/>
      <c r="N111" t="inlineStr"/>
      <c r="O111" t="inlineStr"/>
      <c r="P111" t="inlineStr"/>
      <c r="Q111" t="inlineStr"/>
      <c r="R111" t="inlineStr">
        <is>
          <t>N</t>
        </is>
      </c>
      <c r="S111" t="inlineStr">
        <is>
          <t>unknown</t>
        </is>
      </c>
      <c r="T111" t="inlineStr">
        <is>
          <t>N</t>
        </is>
      </c>
      <c r="U111" t="inlineStr">
        <is>
          <t>new</t>
        </is>
      </c>
      <c r="V111" t="inlineStr">
        <is>
          <t>https://www.lepercq.com/</t>
        </is>
      </c>
      <c r="W111" t="inlineStr">
        <is>
          <t>2026-10-23</t>
        </is>
      </c>
      <c r="X111" t="inlineStr">
        <is>
          <t>office</t>
        </is>
      </c>
      <c r="Y111" t="inlineStr"/>
      <c r="Z111" t="n">
        <v>110</v>
      </c>
      <c r="AA111" t="inlineStr">
        <is>
          <t>N</t>
        </is>
      </c>
      <c r="AB111" t="inlineStr"/>
      <c r="AC111" t="inlineStr"/>
      <c r="AD111" t="inlineStr">
        <is>
          <t>none</t>
        </is>
      </c>
      <c r="AE111" t="inlineStr"/>
      <c r="AF111" t="inlineStr"/>
      <c r="AG111" t="inlineStr"/>
      <c r="AH111" t="inlineStr">
        <is>
          <t>none</t>
        </is>
      </c>
      <c r="AI111" t="inlineStr">
        <is>
          <t>853 Broadway</t>
        </is>
      </c>
      <c r="AJ111" t="n">
        <v>16</v>
      </c>
      <c r="AK111" t="inlineStr">
        <is>
          <t>occupied</t>
        </is>
      </c>
      <c r="AL111" t="inlineStr">
        <is>
          <t>unknown</t>
        </is>
      </c>
      <c r="AM111" t="inlineStr">
        <is>
          <t>unknown</t>
        </is>
      </c>
      <c r="AN111" t="inlineStr">
        <is>
          <t>none</t>
        </is>
      </c>
      <c r="AO111" t="inlineStr">
        <is>
          <t>unknown</t>
        </is>
      </c>
      <c r="AP111" t="inlineStr">
        <is>
          <t>AO-C-004</t>
        </is>
      </c>
      <c r="AQ111" t="inlineStr">
        <is>
          <t>N</t>
        </is>
      </c>
      <c r="AR111" t="inlineStr"/>
      <c r="AS111" t="inlineStr"/>
      <c r="AT111" t="inlineStr">
        <is>
          <t>N</t>
        </is>
      </c>
      <c r="AU111" t="inlineStr">
        <is>
          <t>no contact named on an opened page</t>
        </is>
      </c>
      <c r="AV111" t="inlineStr"/>
      <c r="AW111" t="inlineStr">
        <is>
          <t>N</t>
        </is>
      </c>
      <c r="AX111" t="inlineStr">
        <is>
          <t>pass</t>
        </is>
      </c>
      <c r="AY111" t="inlineStr">
        <is>
          <t>passes all hard gates</t>
        </is>
      </c>
      <c r="AZ111" t="inlineStr">
        <is>
          <t>company</t>
        </is>
      </c>
      <c r="BA111" t="inlineStr">
        <is>
          <t>B-C-004</t>
        </is>
      </c>
      <c r="BB111" t="inlineStr">
        <is>
          <t>https://www.lepercq.com</t>
        </is>
      </c>
      <c r="BC111" t="inlineStr">
        <is>
          <t>investment management</t>
        </is>
      </c>
      <c r="BD111" t="inlineStr">
        <is>
          <t>unknown</t>
        </is>
      </c>
      <c r="BE111" t="inlineStr"/>
      <c r="BF111" t="inlineStr">
        <is>
          <t>unknown</t>
        </is>
      </c>
      <c r="BG111" t="inlineStr">
        <is>
          <t>unknown</t>
        </is>
      </c>
      <c r="BH111" t="inlineStr">
        <is>
          <t>no-count</t>
        </is>
      </c>
      <c r="BI111" t="inlineStr"/>
      <c r="BJ111" t="inlineStr"/>
      <c r="BK111" t="inlineStr">
        <is>
          <t>unknown</t>
        </is>
      </c>
      <c r="BL111" t="inlineStr">
        <is>
          <t>unknown</t>
        </is>
      </c>
      <c r="BM111" t="inlineStr">
        <is>
          <t>unknown</t>
        </is>
      </c>
      <c r="BN111" t="inlineStr">
        <is>
          <t>unknown</t>
        </is>
      </c>
      <c r="BO111" t="inlineStr">
        <is>
          <t>unknown</t>
        </is>
      </c>
      <c r="BP111" t="n">
        <v>10003</v>
      </c>
      <c r="BQ111" t="n">
        <v>40.734626</v>
      </c>
      <c r="BR111" t="n">
        <v>-73.9911</v>
      </c>
      <c r="BS111" t="inlineStr">
        <is>
          <t>Y</t>
        </is>
      </c>
      <c r="BT111" t="n">
        <v>0</v>
      </c>
      <c r="BU111" t="inlineStr">
        <is>
          <t>B-B-001</t>
        </is>
      </c>
      <c r="BV111" t="inlineStr">
        <is>
          <t>853 Broadway (Union Building)</t>
        </is>
      </c>
      <c r="BW111" t="inlineStr">
        <is>
          <t>https://www.lepercq.com/</t>
        </is>
      </c>
      <c r="BX111" t="inlineStr">
        <is>
          <t>2026-10-23</t>
        </is>
      </c>
      <c r="BY111" t="inlineStr">
        <is>
          <t>company-site</t>
        </is>
      </c>
      <c r="BZ111" t="inlineStr">
        <is>
          <t>https://nyrej.com/print/54591</t>
        </is>
      </c>
      <c r="CA111" t="inlineStr">
        <is>
          <t>2025-04-08</t>
        </is>
      </c>
      <c r="CB111" t="inlineStr"/>
      <c r="CC111" t="inlineStr">
        <is>
          <t>high</t>
        </is>
      </c>
      <c r="CD111" t="inlineStr"/>
      <c r="CE111" t="inlineStr">
        <is>
          <t>N</t>
        </is>
      </c>
      <c r="CF111" t="inlineStr"/>
      <c r="CG111" t="inlineStr"/>
      <c r="CH111" t="inlineStr">
        <is>
          <t>security desk</t>
        </is>
      </c>
      <c r="CI111" t="inlineStr">
        <is>
          <t>https://853broadway.sharplaunch.com/</t>
        </is>
      </c>
      <c r="CJ111" t="inlineStr">
        <is>
          <t>unknown</t>
        </is>
      </c>
      <c r="CK111" t="inlineStr">
        <is>
          <t>N</t>
        </is>
      </c>
      <c r="CL111" t="inlineStr">
        <is>
          <t>unknown</t>
        </is>
      </c>
      <c r="CM111" t="inlineStr"/>
      <c r="CN111" t="inlineStr"/>
      <c r="CO111" t="inlineStr">
        <is>
          <t>unknown</t>
        </is>
      </c>
      <c r="CP111" t="inlineStr"/>
      <c r="CQ111" t="inlineStr">
        <is>
          <t>No sourced headcount, so no Tuesday estimate; ask the Tuesday count at intake.</t>
        </is>
      </c>
      <c r="CR111" t="inlineStr">
        <is>
          <t>estimate until intake replaces it</t>
        </is>
      </c>
      <c r="CS111" t="inlineStr">
        <is>
          <t>unknown</t>
        </is>
      </c>
      <c r="CT111" t="n">
        <v>36</v>
      </c>
      <c r="CU111" t="n">
        <v>7</v>
      </c>
      <c r="CV111" t="n">
        <v>8</v>
      </c>
      <c r="CW111" t="n">
        <v>6</v>
      </c>
      <c r="CX111" t="n">
        <v>15</v>
      </c>
      <c r="CY111" t="n">
        <v>0</v>
      </c>
      <c r="CZ111" t="n">
        <v>0</v>
      </c>
      <c r="DA111" t="inlineStr"/>
      <c r="DB111" t="inlineStr"/>
      <c r="DC111" t="inlineStr"/>
      <c r="DD111" t="inlineStr"/>
      <c r="DE111" t="inlineStr"/>
      <c r="DF111" t="inlineStr">
        <is>
          <t>none</t>
        </is>
      </c>
      <c r="DG111" t="inlineStr">
        <is>
          <t>candidate</t>
        </is>
      </c>
      <c r="DH111" t="inlineStr"/>
      <c r="DI111" t="inlineStr"/>
      <c r="DJ111" t="inlineStr">
        <is>
          <t>7,563 sf</t>
        </is>
      </c>
      <c r="DK111" t="inlineStr">
        <is>
          <t>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is>
      </c>
      <c r="DL111" t="inlineStr"/>
      <c r="DM111" t="inlineStr"/>
      <c r="DN111" t="inlineStr"/>
      <c r="DO111" t="inlineStr"/>
      <c r="DP111" t="inlineStr"/>
      <c r="DQ111" t="inlineStr"/>
      <c r="DR111" t="inlineStr"/>
      <c r="DS111" t="inlineStr">
        <is>
          <t>none</t>
        </is>
      </c>
      <c r="DT111" t="inlineStr"/>
      <c r="DU111" t="inlineStr"/>
      <c r="DV111" t="inlineStr"/>
      <c r="DW111" t="inlineStr"/>
      <c r="DX111" t="inlineStr">
        <is>
          <t>N</t>
        </is>
      </c>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f>IF(ISNUMBER(MATCH(U111,{"queued","contacted","replied","call_booked","call_done","yes_in_principle","materials_sent"},0)),"Y","N")</f>
        <v/>
      </c>
      <c r="ES111">
        <f>IF(COUNTIFS($AP$2:$AP$1000,AP111,$ER$2:$ER$1000,"Y")+COUNTIFS($AP$2:$AP$1000,AP111,$T$2:$T$1000,"Y")&gt;0,"Y","N")</f>
        <v/>
      </c>
      <c r="ET111">
        <f>IF(AND(U111="new",T111="N",AT111="Y",AS111="",ES111="N"),"Y","N")</f>
        <v/>
      </c>
      <c r="EU111">
        <f>IF(ET111&lt;&gt;"Y","N",IF(COUNTIFS($AP$2:$AP$1000,AP111,$ET$2:$ET$1000,"Y",$J$2:$J$1000,"&gt;"&amp;J111)+COUNTIFS($AP$2:$AP$1000,AP111,$ET$2:$ET$1000,"Y",$J$2:$J$1000,J111,$EW$2:$EW$1000,"&lt;"&amp;EW111)=0,"Y","N"))</f>
        <v/>
      </c>
      <c r="EV111">
        <f>IF(Y111="","N",IF(Y111&lt;=10,"Y","N"))</f>
        <v/>
      </c>
      <c r="EW111">
        <f>ROW()-1</f>
        <v/>
      </c>
    </row>
    <row r="112">
      <c r="A112" t="inlineStr">
        <is>
          <t>AO-W-010</t>
        </is>
      </c>
      <c r="B112" t="inlineStr">
        <is>
          <t>NeueHouse Madison Square</t>
        </is>
      </c>
      <c r="C112" t="inlineStr"/>
      <c r="D112" t="inlineStr"/>
      <c r="E112" t="inlineStr"/>
      <c r="F112" t="inlineStr"/>
      <c r="G112" t="inlineStr"/>
      <c r="H112" t="inlineStr">
        <is>
          <t>none</t>
        </is>
      </c>
      <c r="I112" t="inlineStr">
        <is>
          <t>linkedin</t>
        </is>
      </c>
      <c r="J112" t="n">
        <v>36</v>
      </c>
      <c r="K112" t="inlineStr">
        <is>
          <t>Tuesday headcount unknown (no sourced count), coworking operator site (one office if it controls the pantry), no attendance signal, open at a high-confidence address; contacts not researched yet (below the top 50).</t>
        </is>
      </c>
      <c r="L112" t="inlineStr">
        <is>
          <t>unknown</t>
        </is>
      </c>
      <c r="M112" t="inlineStr"/>
      <c r="N112" t="inlineStr"/>
      <c r="O112" t="inlineStr"/>
      <c r="P112" t="inlineStr"/>
      <c r="Q112" t="inlineStr"/>
      <c r="R112" t="inlineStr">
        <is>
          <t>N</t>
        </is>
      </c>
      <c r="S112" t="inlineStr">
        <is>
          <t>unknown</t>
        </is>
      </c>
      <c r="T112" t="inlineStr">
        <is>
          <t>N</t>
        </is>
      </c>
      <c r="U112" t="inlineStr">
        <is>
          <t>new</t>
        </is>
      </c>
      <c r="V112" t="inlineStr">
        <is>
          <t>https://nyrej.com/print/57154</t>
        </is>
      </c>
      <c r="W112" t="inlineStr">
        <is>
          <t>2026-10-23</t>
        </is>
      </c>
      <c r="X112" t="inlineStr">
        <is>
          <t>office</t>
        </is>
      </c>
      <c r="Y112" t="inlineStr"/>
      <c r="Z112" t="n">
        <v>111</v>
      </c>
      <c r="AA112" t="inlineStr">
        <is>
          <t>N</t>
        </is>
      </c>
      <c r="AB112" t="inlineStr"/>
      <c r="AC112" t="inlineStr"/>
      <c r="AD112" t="inlineStr">
        <is>
          <t>none</t>
        </is>
      </c>
      <c r="AE112" t="inlineStr"/>
      <c r="AF112" t="inlineStr"/>
      <c r="AG112" t="inlineStr"/>
      <c r="AH112" t="inlineStr">
        <is>
          <t>none</t>
        </is>
      </c>
      <c r="AI112" t="inlineStr">
        <is>
          <t>110 East 25th Street, New York, NY 10010</t>
        </is>
      </c>
      <c r="AJ112" t="inlineStr">
        <is>
          <t>unknown</t>
        </is>
      </c>
      <c r="AK112" t="inlineStr">
        <is>
          <t>open</t>
        </is>
      </c>
      <c r="AL112" t="inlineStr">
        <is>
          <t>unknown</t>
        </is>
      </c>
      <c r="AM112" t="inlineStr">
        <is>
          <t>unknown</t>
        </is>
      </c>
      <c r="AN112" t="inlineStr">
        <is>
          <t>none</t>
        </is>
      </c>
      <c r="AO112" t="inlineStr">
        <is>
          <t>unknown</t>
        </is>
      </c>
      <c r="AP112" t="inlineStr">
        <is>
          <t>AO-W-010</t>
        </is>
      </c>
      <c r="AQ112" t="inlineStr">
        <is>
          <t>N</t>
        </is>
      </c>
      <c r="AR112" t="inlineStr"/>
      <c r="AS112" t="inlineStr"/>
      <c r="AT112" t="inlineStr">
        <is>
          <t>N</t>
        </is>
      </c>
      <c r="AU112" t="inlineStr">
        <is>
          <t>no contact named on an opened page</t>
        </is>
      </c>
      <c r="AV112" t="inlineStr"/>
      <c r="AW112" t="inlineStr">
        <is>
          <t>N</t>
        </is>
      </c>
      <c r="AX112" t="inlineStr">
        <is>
          <t>pass</t>
        </is>
      </c>
      <c r="AY112" t="inlineStr">
        <is>
          <t>passes all hard gates</t>
        </is>
      </c>
      <c r="AZ112" t="inlineStr">
        <is>
          <t>coworking-operator</t>
        </is>
      </c>
      <c r="BA112" t="inlineStr">
        <is>
          <t>B-W-010</t>
        </is>
      </c>
      <c r="BB112" t="inlineStr">
        <is>
          <t>https://nyrej.com</t>
        </is>
      </c>
      <c r="BC112" t="inlineStr">
        <is>
          <t>coworking operator</t>
        </is>
      </c>
      <c r="BD112" t="inlineStr">
        <is>
          <t>unknown</t>
        </is>
      </c>
      <c r="BE112" t="inlineStr"/>
      <c r="BF112" t="inlineStr">
        <is>
          <t>unknown</t>
        </is>
      </c>
      <c r="BG112" t="inlineStr">
        <is>
          <t>unknown</t>
        </is>
      </c>
      <c r="BH112" t="inlineStr"/>
      <c r="BI112" t="inlineStr"/>
      <c r="BJ112" t="inlineStr"/>
      <c r="BK112" t="inlineStr">
        <is>
          <t>unknown</t>
        </is>
      </c>
      <c r="BL112" t="inlineStr">
        <is>
          <t>n/a (operator site)</t>
        </is>
      </c>
      <c r="BM112" t="inlineStr">
        <is>
          <t>unknown</t>
        </is>
      </c>
      <c r="BN112" t="inlineStr">
        <is>
          <t>Convene Hospitality Group (NeueHouse)</t>
        </is>
      </c>
      <c r="BO112" t="inlineStr"/>
      <c r="BP112" t="n">
        <v>10010</v>
      </c>
      <c r="BQ112" t="n">
        <v>40.741024</v>
      </c>
      <c r="BR112" t="n">
        <v>-73.984936</v>
      </c>
      <c r="BS112" t="inlineStr">
        <is>
          <t>Y</t>
        </is>
      </c>
      <c r="BT112" t="n">
        <v>0</v>
      </c>
      <c r="BU112" t="inlineStr">
        <is>
          <t>B-B-055</t>
        </is>
      </c>
      <c r="BV112" t="inlineStr">
        <is>
          <t>104 East 25th Street (Williams Equities; NeueHouse Madison Square)</t>
        </is>
      </c>
      <c r="BW112" t="inlineStr">
        <is>
          <t>https://nyrej.com/print/57154</t>
        </is>
      </c>
      <c r="BX112" t="inlineStr">
        <is>
          <t>2026-03-10</t>
        </is>
      </c>
      <c r="BY112" t="inlineStr">
        <is>
          <t>operator-site</t>
        </is>
      </c>
      <c r="BZ112" t="inlineStr">
        <is>
          <t>https://www.neuehouse.com/private-events/madison-square/</t>
        </is>
      </c>
      <c r="CA112" t="inlineStr"/>
      <c r="CB112" t="inlineStr"/>
      <c r="CC112" t="inlineStr">
        <is>
          <t>high</t>
        </is>
      </c>
      <c r="CD112" t="inlineStr"/>
      <c r="CE112" t="inlineStr">
        <is>
          <t>N</t>
        </is>
      </c>
      <c r="CF112" t="inlineStr">
        <is>
          <t>B-W-010</t>
        </is>
      </c>
      <c r="CG112" t="inlineStr">
        <is>
          <t>operator</t>
        </is>
      </c>
      <c r="CH112" t="inlineStr">
        <is>
          <t>unknown</t>
        </is>
      </c>
      <c r="CI112" t="inlineStr"/>
      <c r="CJ112" t="inlineStr">
        <is>
          <t>unknown</t>
        </is>
      </c>
      <c r="CK112" t="inlineStr">
        <is>
          <t>N</t>
        </is>
      </c>
      <c r="CL112" t="inlineStr">
        <is>
          <t>unknown</t>
        </is>
      </c>
      <c r="CM112" t="inlineStr"/>
      <c r="CN112" t="inlineStr"/>
      <c r="CO112" t="inlineStr">
        <is>
          <t>unknown</t>
        </is>
      </c>
      <c r="CP112" t="inlineStr"/>
      <c r="CQ112" t="inlineStr">
        <is>
          <t>Coworking site: member headcount not sourced; treat as one office if the operator controls the pantry and ask the Tuesday count at intake.</t>
        </is>
      </c>
      <c r="CR112" t="inlineStr">
        <is>
          <t>estimate until intake replaces it</t>
        </is>
      </c>
      <c r="CS112" t="inlineStr">
        <is>
          <t>unknown</t>
        </is>
      </c>
      <c r="CT112" t="n">
        <v>36</v>
      </c>
      <c r="CU112" t="n">
        <v>7</v>
      </c>
      <c r="CV112" t="n">
        <v>8</v>
      </c>
      <c r="CW112" t="n">
        <v>6</v>
      </c>
      <c r="CX112" t="n">
        <v>15</v>
      </c>
      <c r="CY112" t="n">
        <v>0</v>
      </c>
      <c r="CZ112" t="n">
        <v>0</v>
      </c>
      <c r="DA112" t="inlineStr"/>
      <c r="DB112" t="inlineStr"/>
      <c r="DC112" t="inlineStr"/>
      <c r="DD112" t="inlineStr"/>
      <c r="DE112" t="inlineStr"/>
      <c r="DF112" t="inlineStr">
        <is>
          <t>none</t>
        </is>
      </c>
      <c r="DG112" t="inlineStr">
        <is>
          <t>coworking-operator</t>
        </is>
      </c>
      <c r="DH112" t="inlineStr"/>
      <c r="DI112" t="inlineStr"/>
      <c r="DJ112" t="inlineStr"/>
      <c r="DK112" t="inlineStr">
        <is>
          <t>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is>
      </c>
      <c r="DL112" t="inlineStr"/>
      <c r="DM112" t="inlineStr"/>
      <c r="DN112" t="inlineStr"/>
      <c r="DO112" t="inlineStr"/>
      <c r="DP112" t="inlineStr"/>
      <c r="DQ112" t="inlineStr"/>
      <c r="DR112" t="inlineStr"/>
      <c r="DS112" t="inlineStr">
        <is>
          <t>none</t>
        </is>
      </c>
      <c r="DT112" t="inlineStr"/>
      <c r="DU112" t="inlineStr"/>
      <c r="DV112" t="inlineStr"/>
      <c r="DW112" t="inlineStr"/>
      <c r="DX112" t="inlineStr">
        <is>
          <t>N</t>
        </is>
      </c>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f>IF(ISNUMBER(MATCH(U112,{"queued","contacted","replied","call_booked","call_done","yes_in_principle","materials_sent"},0)),"Y","N")</f>
        <v/>
      </c>
      <c r="ES112">
        <f>IF(COUNTIFS($AP$2:$AP$1000,AP112,$ER$2:$ER$1000,"Y")+COUNTIFS($AP$2:$AP$1000,AP112,$T$2:$T$1000,"Y")&gt;0,"Y","N")</f>
        <v/>
      </c>
      <c r="ET112">
        <f>IF(AND(U112="new",T112="N",AT112="Y",AS112="",ES112="N"),"Y","N")</f>
        <v/>
      </c>
      <c r="EU112">
        <f>IF(ET112&lt;&gt;"Y","N",IF(COUNTIFS($AP$2:$AP$1000,AP112,$ET$2:$ET$1000,"Y",$J$2:$J$1000,"&gt;"&amp;J112)+COUNTIFS($AP$2:$AP$1000,AP112,$ET$2:$ET$1000,"Y",$J$2:$J$1000,J112,$EW$2:$EW$1000,"&lt;"&amp;EW112)=0,"Y","N"))</f>
        <v/>
      </c>
      <c r="EV112">
        <f>IF(Y112="","N",IF(Y112&lt;=10,"Y","N"))</f>
        <v/>
      </c>
      <c r="EW112">
        <f>ROW()-1</f>
        <v/>
      </c>
    </row>
    <row r="113">
      <c r="A113" t="inlineStr">
        <is>
          <t>AO-C-125</t>
        </is>
      </c>
      <c r="B113" t="inlineStr">
        <is>
          <t>OTTO Brand Lab</t>
        </is>
      </c>
      <c r="C113" t="inlineStr"/>
      <c r="D113" t="inlineStr"/>
      <c r="E113" t="inlineStr"/>
      <c r="F113" t="inlineStr"/>
      <c r="G113" t="inlineStr"/>
      <c r="H113" t="inlineStr">
        <is>
          <t>none</t>
        </is>
      </c>
      <c r="I113" t="inlineStr">
        <is>
          <t>linkedin</t>
        </is>
      </c>
      <c r="J113" t="n">
        <v>36</v>
      </c>
      <c r="K113" t="inlineStr">
        <is>
          <t>Tuesday headcount unknown (no sourced count), company size unknown, no attendance signal, occupied at a high-confidence address; contacts not researched yet (below the top 50).</t>
        </is>
      </c>
      <c r="L113" t="inlineStr">
        <is>
          <t>unknown</t>
        </is>
      </c>
      <c r="M113" t="inlineStr"/>
      <c r="N113" t="inlineStr"/>
      <c r="O113" t="inlineStr"/>
      <c r="P113" t="inlineStr"/>
      <c r="Q113" t="inlineStr"/>
      <c r="R113" t="inlineStr">
        <is>
          <t>N</t>
        </is>
      </c>
      <c r="S113" t="inlineStr">
        <is>
          <t>unknown</t>
        </is>
      </c>
      <c r="T113" t="inlineStr">
        <is>
          <t>N</t>
        </is>
      </c>
      <c r="U113" t="inlineStr">
        <is>
          <t>new</t>
        </is>
      </c>
      <c r="V113" t="inlineStr">
        <is>
          <t>https://ottobrandlab.com/contact</t>
        </is>
      </c>
      <c r="W113" t="inlineStr">
        <is>
          <t>2026-10-23</t>
        </is>
      </c>
      <c r="X113" t="inlineStr">
        <is>
          <t>office</t>
        </is>
      </c>
      <c r="Y113" t="inlineStr"/>
      <c r="Z113" t="n">
        <v>112</v>
      </c>
      <c r="AA113" t="inlineStr">
        <is>
          <t>N</t>
        </is>
      </c>
      <c r="AB113" t="inlineStr"/>
      <c r="AC113" t="inlineStr"/>
      <c r="AD113" t="inlineStr">
        <is>
          <t>none</t>
        </is>
      </c>
      <c r="AE113" t="inlineStr"/>
      <c r="AF113" t="inlineStr"/>
      <c r="AG113" t="inlineStr"/>
      <c r="AH113" t="inlineStr">
        <is>
          <t>none</t>
        </is>
      </c>
      <c r="AI113" t="inlineStr">
        <is>
          <t>25 West 26th Street</t>
        </is>
      </c>
      <c r="AJ113" t="n">
        <v>7</v>
      </c>
      <c r="AK113" t="inlineStr">
        <is>
          <t>occupied</t>
        </is>
      </c>
      <c r="AL113" t="inlineStr">
        <is>
          <t>unknown</t>
        </is>
      </c>
      <c r="AM113" t="inlineStr">
        <is>
          <t>unknown</t>
        </is>
      </c>
      <c r="AN113" t="inlineStr">
        <is>
          <t>none</t>
        </is>
      </c>
      <c r="AO113" t="inlineStr">
        <is>
          <t>unknown</t>
        </is>
      </c>
      <c r="AP113" t="inlineStr">
        <is>
          <t>AO-C-125</t>
        </is>
      </c>
      <c r="AQ113" t="inlineStr">
        <is>
          <t>N</t>
        </is>
      </c>
      <c r="AR113" t="inlineStr"/>
      <c r="AS113" t="inlineStr"/>
      <c r="AT113" t="inlineStr">
        <is>
          <t>N</t>
        </is>
      </c>
      <c r="AU113" t="inlineStr">
        <is>
          <t>no contact named on an opened page</t>
        </is>
      </c>
      <c r="AV113" t="inlineStr"/>
      <c r="AW113" t="inlineStr">
        <is>
          <t>N</t>
        </is>
      </c>
      <c r="AX113" t="inlineStr">
        <is>
          <t>pass</t>
        </is>
      </c>
      <c r="AY113" t="inlineStr">
        <is>
          <t>passes all hard gates</t>
        </is>
      </c>
      <c r="AZ113" t="inlineStr">
        <is>
          <t>company</t>
        </is>
      </c>
      <c r="BA113" t="inlineStr">
        <is>
          <t>B-C-125</t>
        </is>
      </c>
      <c r="BB113" t="inlineStr">
        <is>
          <t>https://ottobrandlab.com</t>
        </is>
      </c>
      <c r="BC113" t="inlineStr">
        <is>
          <t>brand strategy agency</t>
        </is>
      </c>
      <c r="BD113" t="inlineStr">
        <is>
          <t>unknown</t>
        </is>
      </c>
      <c r="BE113" t="inlineStr"/>
      <c r="BF113" t="inlineStr">
        <is>
          <t>unknown</t>
        </is>
      </c>
      <c r="BG113" t="inlineStr">
        <is>
          <t>unknown</t>
        </is>
      </c>
      <c r="BH113" t="inlineStr">
        <is>
          <t>no-count</t>
        </is>
      </c>
      <c r="BI113" t="inlineStr"/>
      <c r="BJ113" t="inlineStr"/>
      <c r="BK113" t="inlineStr">
        <is>
          <t>unknown</t>
        </is>
      </c>
      <c r="BL113" t="inlineStr">
        <is>
          <t>unknown</t>
        </is>
      </c>
      <c r="BM113" t="inlineStr">
        <is>
          <t>unknown</t>
        </is>
      </c>
      <c r="BN113" t="inlineStr">
        <is>
          <t>unknown</t>
        </is>
      </c>
      <c r="BO113" t="inlineStr">
        <is>
          <t>unknown</t>
        </is>
      </c>
      <c r="BP113" t="n">
        <v>10010</v>
      </c>
      <c r="BQ113" t="n">
        <v>40.744387</v>
      </c>
      <c r="BR113" t="n">
        <v>-73.98987099999999</v>
      </c>
      <c r="BS113" t="inlineStr">
        <is>
          <t>Y</t>
        </is>
      </c>
      <c r="BT113" t="n">
        <v>0</v>
      </c>
      <c r="BU113" t="inlineStr">
        <is>
          <t>B-B-061</t>
        </is>
      </c>
      <c r="BV113" t="inlineStr">
        <is>
          <t>25 West 26th Street</t>
        </is>
      </c>
      <c r="BW113" t="inlineStr">
        <is>
          <t>https://ottobrandlab.com/contact</t>
        </is>
      </c>
      <c r="BX113" t="inlineStr">
        <is>
          <t>2026-10-23</t>
        </is>
      </c>
      <c r="BY113" t="inlineStr">
        <is>
          <t>company-site</t>
        </is>
      </c>
      <c r="BZ113" t="inlineStr">
        <is>
          <t>https://commercialobserver.com/2022/10/otto-brand-labs-takes-5k-sf-at-25-west-26th-street/</t>
        </is>
      </c>
      <c r="CA113" t="inlineStr">
        <is>
          <t>2022-10-02</t>
        </is>
      </c>
      <c r="CB113" t="inlineStr"/>
      <c r="CC113" t="inlineStr">
        <is>
          <t>high</t>
        </is>
      </c>
      <c r="CD113" t="inlineStr"/>
      <c r="CE113" t="inlineStr">
        <is>
          <t>N</t>
        </is>
      </c>
      <c r="CF113" t="inlineStr"/>
      <c r="CG113" t="inlineStr"/>
      <c r="CH113" t="inlineStr">
        <is>
          <t>unknown</t>
        </is>
      </c>
      <c r="CI113" t="inlineStr"/>
      <c r="CJ113" t="inlineStr">
        <is>
          <t>unknown</t>
        </is>
      </c>
      <c r="CK113" t="inlineStr">
        <is>
          <t>N</t>
        </is>
      </c>
      <c r="CL113" t="inlineStr">
        <is>
          <t>unknown</t>
        </is>
      </c>
      <c r="CM113" t="inlineStr"/>
      <c r="CN113" t="inlineStr"/>
      <c r="CO113" t="inlineStr">
        <is>
          <t>unknown</t>
        </is>
      </c>
      <c r="CP113" t="inlineStr"/>
      <c r="CQ113" t="inlineStr">
        <is>
          <t>No sourced headcount, so no Tuesday estimate; ask the Tuesday count at intake.</t>
        </is>
      </c>
      <c r="CR113" t="inlineStr">
        <is>
          <t>estimate until intake replaces it</t>
        </is>
      </c>
      <c r="CS113" t="inlineStr">
        <is>
          <t>unknown</t>
        </is>
      </c>
      <c r="CT113" t="n">
        <v>36</v>
      </c>
      <c r="CU113" t="n">
        <v>7</v>
      </c>
      <c r="CV113" t="n">
        <v>8</v>
      </c>
      <c r="CW113" t="n">
        <v>6</v>
      </c>
      <c r="CX113" t="n">
        <v>15</v>
      </c>
      <c r="CY113" t="n">
        <v>0</v>
      </c>
      <c r="CZ113" t="n">
        <v>0</v>
      </c>
      <c r="DA113" t="inlineStr"/>
      <c r="DB113" t="inlineStr"/>
      <c r="DC113" t="inlineStr"/>
      <c r="DD113" t="inlineStr"/>
      <c r="DE113" t="inlineStr"/>
      <c r="DF113" t="inlineStr">
        <is>
          <t>none</t>
        </is>
      </c>
      <c r="DG113" t="inlineStr">
        <is>
          <t>candidate</t>
        </is>
      </c>
      <c r="DH113" t="inlineStr"/>
      <c r="DI113" t="inlineStr"/>
      <c r="DJ113" t="inlineStr">
        <is>
          <t>5,000 sf</t>
        </is>
      </c>
      <c r="DK113" t="inlineStr">
        <is>
          <t>Contact page lists main location 25 W 26th St, 7th Fl. CO 2022: 5,000 SF top floor. Headcount not sourced (no Built In total, no company figure); founder to confirm at intake.</t>
        </is>
      </c>
      <c r="DL113" t="inlineStr"/>
      <c r="DM113" t="inlineStr"/>
      <c r="DN113" t="inlineStr"/>
      <c r="DO113" t="inlineStr"/>
      <c r="DP113" t="inlineStr"/>
      <c r="DQ113" t="inlineStr"/>
      <c r="DR113" t="inlineStr"/>
      <c r="DS113" t="inlineStr">
        <is>
          <t>none</t>
        </is>
      </c>
      <c r="DT113" t="inlineStr"/>
      <c r="DU113" t="inlineStr"/>
      <c r="DV113" t="inlineStr"/>
      <c r="DW113" t="inlineStr"/>
      <c r="DX113" t="inlineStr">
        <is>
          <t>N</t>
        </is>
      </c>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f>IF(ISNUMBER(MATCH(U113,{"queued","contacted","replied","call_booked","call_done","yes_in_principle","materials_sent"},0)),"Y","N")</f>
        <v/>
      </c>
      <c r="ES113">
        <f>IF(COUNTIFS($AP$2:$AP$1000,AP113,$ER$2:$ER$1000,"Y")+COUNTIFS($AP$2:$AP$1000,AP113,$T$2:$T$1000,"Y")&gt;0,"Y","N")</f>
        <v/>
      </c>
      <c r="ET113">
        <f>IF(AND(U113="new",T113="N",AT113="Y",AS113="",ES113="N"),"Y","N")</f>
        <v/>
      </c>
      <c r="EU113">
        <f>IF(ET113&lt;&gt;"Y","N",IF(COUNTIFS($AP$2:$AP$1000,AP113,$ET$2:$ET$1000,"Y",$J$2:$J$1000,"&gt;"&amp;J113)+COUNTIFS($AP$2:$AP$1000,AP113,$ET$2:$ET$1000,"Y",$J$2:$J$1000,J113,$EW$2:$EW$1000,"&lt;"&amp;EW113)=0,"Y","N"))</f>
        <v/>
      </c>
      <c r="EV113">
        <f>IF(Y113="","N",IF(Y113&lt;=10,"Y","N"))</f>
        <v/>
      </c>
      <c r="EW113">
        <f>ROW()-1</f>
        <v/>
      </c>
    </row>
    <row r="114">
      <c r="A114" t="inlineStr">
        <is>
          <t>AO-C-057</t>
        </is>
      </c>
      <c r="B114" t="inlineStr">
        <is>
          <t>Pentagram</t>
        </is>
      </c>
      <c r="C114" t="inlineStr"/>
      <c r="D114" t="inlineStr"/>
      <c r="E114" t="inlineStr"/>
      <c r="F114" t="inlineStr"/>
      <c r="G114" t="inlineStr"/>
      <c r="H114" t="inlineStr">
        <is>
          <t>none</t>
        </is>
      </c>
      <c r="I114" t="inlineStr">
        <is>
          <t>linkedin</t>
        </is>
      </c>
      <c r="J114" t="n">
        <v>36</v>
      </c>
      <c r="K114" t="inlineStr">
        <is>
          <t>Tuesday headcount unknown (no sourced count), company size unknown, no attendance signal, occupied at a high-confidence address; contacts not researched yet (below the top 50).</t>
        </is>
      </c>
      <c r="L114" t="inlineStr">
        <is>
          <t>unknown</t>
        </is>
      </c>
      <c r="M114" t="inlineStr"/>
      <c r="N114" t="inlineStr"/>
      <c r="O114" t="inlineStr"/>
      <c r="P114" t="inlineStr"/>
      <c r="Q114" t="inlineStr"/>
      <c r="R114" t="inlineStr">
        <is>
          <t>N</t>
        </is>
      </c>
      <c r="S114" t="inlineStr">
        <is>
          <t>unknown</t>
        </is>
      </c>
      <c r="T114" t="inlineStr">
        <is>
          <t>N</t>
        </is>
      </c>
      <c r="U114" t="inlineStr">
        <is>
          <t>new</t>
        </is>
      </c>
      <c r="V114" t="inlineStr">
        <is>
          <t>https://www.pentagram.com/contact</t>
        </is>
      </c>
      <c r="W114" t="inlineStr">
        <is>
          <t>2026-10-23</t>
        </is>
      </c>
      <c r="X114" t="inlineStr">
        <is>
          <t>office</t>
        </is>
      </c>
      <c r="Y114" t="inlineStr"/>
      <c r="Z114" t="n">
        <v>113</v>
      </c>
      <c r="AA114" t="inlineStr">
        <is>
          <t>N</t>
        </is>
      </c>
      <c r="AB114" t="inlineStr"/>
      <c r="AC114" t="inlineStr"/>
      <c r="AD114" t="inlineStr">
        <is>
          <t>none</t>
        </is>
      </c>
      <c r="AE114" t="inlineStr"/>
      <c r="AF114" t="inlineStr"/>
      <c r="AG114" t="inlineStr"/>
      <c r="AH114" t="inlineStr">
        <is>
          <t>none</t>
        </is>
      </c>
      <c r="AI114" t="inlineStr">
        <is>
          <t>250 Park Avenue South</t>
        </is>
      </c>
      <c r="AJ114" t="inlineStr">
        <is>
          <t>unknown</t>
        </is>
      </c>
      <c r="AK114" t="inlineStr">
        <is>
          <t>occupied</t>
        </is>
      </c>
      <c r="AL114" t="inlineStr">
        <is>
          <t>unknown</t>
        </is>
      </c>
      <c r="AM114" t="inlineStr">
        <is>
          <t>unknown</t>
        </is>
      </c>
      <c r="AN114" t="inlineStr">
        <is>
          <t>none</t>
        </is>
      </c>
      <c r="AO114" t="inlineStr">
        <is>
          <t>unknown</t>
        </is>
      </c>
      <c r="AP114" t="inlineStr">
        <is>
          <t>AO-C-057</t>
        </is>
      </c>
      <c r="AQ114" t="inlineStr">
        <is>
          <t>N</t>
        </is>
      </c>
      <c r="AR114" t="inlineStr"/>
      <c r="AS114" t="inlineStr"/>
      <c r="AT114" t="inlineStr">
        <is>
          <t>N</t>
        </is>
      </c>
      <c r="AU114" t="inlineStr">
        <is>
          <t>no contact named on an opened page</t>
        </is>
      </c>
      <c r="AV114" t="inlineStr"/>
      <c r="AW114" t="inlineStr">
        <is>
          <t>N</t>
        </is>
      </c>
      <c r="AX114" t="inlineStr">
        <is>
          <t>pass</t>
        </is>
      </c>
      <c r="AY114" t="inlineStr">
        <is>
          <t>passes all hard gates</t>
        </is>
      </c>
      <c r="AZ114" t="inlineStr">
        <is>
          <t>company</t>
        </is>
      </c>
      <c r="BA114" t="inlineStr">
        <is>
          <t>B-C-057</t>
        </is>
      </c>
      <c r="BB114" t="inlineStr">
        <is>
          <t>https://www.pentagram.com</t>
        </is>
      </c>
      <c r="BC114" t="inlineStr">
        <is>
          <t>design consultancy</t>
        </is>
      </c>
      <c r="BD114" t="inlineStr">
        <is>
          <t>unknown</t>
        </is>
      </c>
      <c r="BE114" t="inlineStr"/>
      <c r="BF114" t="inlineStr">
        <is>
          <t>unknown</t>
        </is>
      </c>
      <c r="BG114" t="inlineStr">
        <is>
          <t>unknown</t>
        </is>
      </c>
      <c r="BH114" t="inlineStr">
        <is>
          <t>no-count</t>
        </is>
      </c>
      <c r="BI114" t="inlineStr"/>
      <c r="BJ114" t="inlineStr"/>
      <c r="BK114" t="inlineStr">
        <is>
          <t>unknown</t>
        </is>
      </c>
      <c r="BL114" t="inlineStr">
        <is>
          <t>unknown</t>
        </is>
      </c>
      <c r="BM114" t="inlineStr">
        <is>
          <t>unknown</t>
        </is>
      </c>
      <c r="BN114" t="inlineStr">
        <is>
          <t>unknown</t>
        </is>
      </c>
      <c r="BO114" t="inlineStr">
        <is>
          <t>unknown</t>
        </is>
      </c>
      <c r="BP114" t="n">
        <v>10003</v>
      </c>
      <c r="BQ114" t="n">
        <v>40.73827</v>
      </c>
      <c r="BR114" t="n">
        <v>-73.98819899999999</v>
      </c>
      <c r="BS114" t="inlineStr">
        <is>
          <t>Y</t>
        </is>
      </c>
      <c r="BT114" t="n">
        <v>0</v>
      </c>
      <c r="BU114" t="inlineStr">
        <is>
          <t>B-B-028</t>
        </is>
      </c>
      <c r="BV114" t="inlineStr">
        <is>
          <t>250 Park Avenue South (Feil Organization)</t>
        </is>
      </c>
      <c r="BW114" t="inlineStr">
        <is>
          <t>https://www.pentagram.com/contact</t>
        </is>
      </c>
      <c r="BX114" t="inlineStr">
        <is>
          <t>2026-10-23</t>
        </is>
      </c>
      <c r="BY114" t="inlineStr">
        <is>
          <t>company-site</t>
        </is>
      </c>
      <c r="BZ114" t="inlineStr">
        <is>
          <t>https://commercialobserver.com/2026/01/hex-technologies-lease-feil-250-park-avenue-south/</t>
        </is>
      </c>
      <c r="CA114" t="inlineStr">
        <is>
          <t>2026-01-09</t>
        </is>
      </c>
      <c r="CB114" t="inlineStr"/>
      <c r="CC114" t="inlineStr">
        <is>
          <t>high</t>
        </is>
      </c>
      <c r="CD114" t="inlineStr"/>
      <c r="CE114" t="inlineStr">
        <is>
          <t>N</t>
        </is>
      </c>
      <c r="CF114" t="inlineStr"/>
      <c r="CG114" t="inlineStr"/>
      <c r="CH114" t="inlineStr">
        <is>
          <t>unknown</t>
        </is>
      </c>
      <c r="CI114" t="inlineStr"/>
      <c r="CJ114" t="inlineStr">
        <is>
          <t>unknown</t>
        </is>
      </c>
      <c r="CK114" t="inlineStr">
        <is>
          <t>N</t>
        </is>
      </c>
      <c r="CL114" t="inlineStr">
        <is>
          <t>unknown</t>
        </is>
      </c>
      <c r="CM114" t="inlineStr"/>
      <c r="CN114" t="inlineStr"/>
      <c r="CO114" t="inlineStr">
        <is>
          <t>unknown</t>
        </is>
      </c>
      <c r="CP114" t="inlineStr"/>
      <c r="CQ114" t="inlineStr">
        <is>
          <t>No sourced headcount, so no Tuesday estimate; ask the Tuesday count at intake.</t>
        </is>
      </c>
      <c r="CR114" t="inlineStr">
        <is>
          <t>estimate until intake replaces it</t>
        </is>
      </c>
      <c r="CS114" t="inlineStr">
        <is>
          <t>unknown</t>
        </is>
      </c>
      <c r="CT114" t="n">
        <v>36</v>
      </c>
      <c r="CU114" t="n">
        <v>7</v>
      </c>
      <c r="CV114" t="n">
        <v>8</v>
      </c>
      <c r="CW114" t="n">
        <v>6</v>
      </c>
      <c r="CX114" t="n">
        <v>15</v>
      </c>
      <c r="CY114" t="n">
        <v>0</v>
      </c>
      <c r="CZ114" t="n">
        <v>0</v>
      </c>
      <c r="DA114" t="inlineStr"/>
      <c r="DB114" t="inlineStr"/>
      <c r="DC114" t="inlineStr"/>
      <c r="DD114" t="inlineStr"/>
      <c r="DE114" t="inlineStr"/>
      <c r="DF114" t="inlineStr">
        <is>
          <t>none</t>
        </is>
      </c>
      <c r="DG114" t="inlineStr">
        <is>
          <t>candidate</t>
        </is>
      </c>
      <c r="DH114" t="inlineStr"/>
      <c r="DI114" t="inlineStr"/>
      <c r="DJ114" t="inlineStr"/>
      <c r="DK114" t="inlineStr">
        <is>
          <t>Contact page lists Pentagram New York at 250 Park Avenue South; CO names Pentagram Design as a current tenant. Global firm with several offices; no sourced headcount found.</t>
        </is>
      </c>
      <c r="DL114" t="inlineStr"/>
      <c r="DM114" t="inlineStr"/>
      <c r="DN114" t="inlineStr"/>
      <c r="DO114" t="inlineStr"/>
      <c r="DP114" t="inlineStr"/>
      <c r="DQ114" t="inlineStr"/>
      <c r="DR114" t="inlineStr"/>
      <c r="DS114" t="inlineStr">
        <is>
          <t>none</t>
        </is>
      </c>
      <c r="DT114" t="inlineStr"/>
      <c r="DU114" t="inlineStr"/>
      <c r="DV114" t="inlineStr"/>
      <c r="DW114" t="inlineStr"/>
      <c r="DX114" t="inlineStr">
        <is>
          <t>N</t>
        </is>
      </c>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f>IF(ISNUMBER(MATCH(U114,{"queued","contacted","replied","call_booked","call_done","yes_in_principle","materials_sent"},0)),"Y","N")</f>
        <v/>
      </c>
      <c r="ES114">
        <f>IF(COUNTIFS($AP$2:$AP$1000,AP114,$ER$2:$ER$1000,"Y")+COUNTIFS($AP$2:$AP$1000,AP114,$T$2:$T$1000,"Y")&gt;0,"Y","N")</f>
        <v/>
      </c>
      <c r="ET114">
        <f>IF(AND(U114="new",T114="N",AT114="Y",AS114="",ES114="N"),"Y","N")</f>
        <v/>
      </c>
      <c r="EU114">
        <f>IF(ET114&lt;&gt;"Y","N",IF(COUNTIFS($AP$2:$AP$1000,AP114,$ET$2:$ET$1000,"Y",$J$2:$J$1000,"&gt;"&amp;J114)+COUNTIFS($AP$2:$AP$1000,AP114,$ET$2:$ET$1000,"Y",$J$2:$J$1000,J114,$EW$2:$EW$1000,"&lt;"&amp;EW114)=0,"Y","N"))</f>
        <v/>
      </c>
      <c r="EV114">
        <f>IF(Y114="","N",IF(Y114&lt;=10,"Y","N"))</f>
        <v/>
      </c>
      <c r="EW114">
        <f>ROW()-1</f>
        <v/>
      </c>
    </row>
    <row r="115">
      <c r="A115" t="inlineStr">
        <is>
          <t>AO-C-071</t>
        </is>
      </c>
      <c r="B115" t="inlineStr">
        <is>
          <t>Phipps Houses</t>
        </is>
      </c>
      <c r="C115" t="inlineStr"/>
      <c r="D115" t="inlineStr"/>
      <c r="E115" t="inlineStr"/>
      <c r="F115" t="inlineStr"/>
      <c r="G115" t="inlineStr"/>
      <c r="H115" t="inlineStr">
        <is>
          <t>none</t>
        </is>
      </c>
      <c r="I115" t="inlineStr">
        <is>
          <t>linkedin</t>
        </is>
      </c>
      <c r="J115" t="n">
        <v>36</v>
      </c>
      <c r="K115" t="inlineStr">
        <is>
          <t>Tuesday headcount unknown (no sourced count), company size unknown, no attendance signal, occupied at a high-confidence address; contacts not researched yet (below the top 50).</t>
        </is>
      </c>
      <c r="L115" t="inlineStr">
        <is>
          <t>unknown</t>
        </is>
      </c>
      <c r="M115" t="inlineStr"/>
      <c r="N115" t="inlineStr"/>
      <c r="O115" t="inlineStr"/>
      <c r="P115" t="inlineStr"/>
      <c r="Q115" t="inlineStr"/>
      <c r="R115" t="inlineStr">
        <is>
          <t>N</t>
        </is>
      </c>
      <c r="S115" t="inlineStr">
        <is>
          <t>unknown</t>
        </is>
      </c>
      <c r="T115" t="inlineStr">
        <is>
          <t>N</t>
        </is>
      </c>
      <c r="U115" t="inlineStr">
        <is>
          <t>new</t>
        </is>
      </c>
      <c r="V115" t="inlineStr">
        <is>
          <t>https://www.phippsny.org/contact-us/</t>
        </is>
      </c>
      <c r="W115" t="inlineStr">
        <is>
          <t>2026-10-23</t>
        </is>
      </c>
      <c r="X115" t="inlineStr">
        <is>
          <t>office</t>
        </is>
      </c>
      <c r="Y115" t="inlineStr"/>
      <c r="Z115" t="n">
        <v>114</v>
      </c>
      <c r="AA115" t="inlineStr">
        <is>
          <t>N</t>
        </is>
      </c>
      <c r="AB115" t="inlineStr"/>
      <c r="AC115" t="inlineStr"/>
      <c r="AD115" t="inlineStr">
        <is>
          <t>none</t>
        </is>
      </c>
      <c r="AE115" t="inlineStr"/>
      <c r="AF115" t="inlineStr"/>
      <c r="AG115" t="inlineStr"/>
      <c r="AH115" t="inlineStr">
        <is>
          <t>none</t>
        </is>
      </c>
      <c r="AI115" t="inlineStr">
        <is>
          <t>257 Park Avenue South</t>
        </is>
      </c>
      <c r="AJ115" t="inlineStr">
        <is>
          <t>11-12, 15</t>
        </is>
      </c>
      <c r="AK115" t="inlineStr">
        <is>
          <t>occupied</t>
        </is>
      </c>
      <c r="AL115" t="inlineStr">
        <is>
          <t>unknown</t>
        </is>
      </c>
      <c r="AM115" t="inlineStr">
        <is>
          <t>unknown</t>
        </is>
      </c>
      <c r="AN115" t="inlineStr">
        <is>
          <t>none</t>
        </is>
      </c>
      <c r="AO115" t="inlineStr">
        <is>
          <t>unknown</t>
        </is>
      </c>
      <c r="AP115" t="inlineStr">
        <is>
          <t>AO-C-071</t>
        </is>
      </c>
      <c r="AQ115" t="inlineStr">
        <is>
          <t>N</t>
        </is>
      </c>
      <c r="AR115" t="inlineStr"/>
      <c r="AS115" t="inlineStr"/>
      <c r="AT115" t="inlineStr">
        <is>
          <t>N</t>
        </is>
      </c>
      <c r="AU115" t="inlineStr">
        <is>
          <t>no contact named on an opened page</t>
        </is>
      </c>
      <c r="AV115" t="inlineStr"/>
      <c r="AW115" t="inlineStr">
        <is>
          <t>N</t>
        </is>
      </c>
      <c r="AX115" t="inlineStr">
        <is>
          <t>pass</t>
        </is>
      </c>
      <c r="AY115" t="inlineStr">
        <is>
          <t>passes all hard gates</t>
        </is>
      </c>
      <c r="AZ115" t="inlineStr">
        <is>
          <t>company</t>
        </is>
      </c>
      <c r="BA115" t="inlineStr">
        <is>
          <t>B-C-071</t>
        </is>
      </c>
      <c r="BB115" t="inlineStr">
        <is>
          <t>https://www.phippsny.org</t>
        </is>
      </c>
      <c r="BC115" t="inlineStr">
        <is>
          <t>nonprofit affordable housing developer</t>
        </is>
      </c>
      <c r="BD115" t="inlineStr">
        <is>
          <t>unknown</t>
        </is>
      </c>
      <c r="BE115" t="inlineStr"/>
      <c r="BF115" t="inlineStr">
        <is>
          <t>unknown</t>
        </is>
      </c>
      <c r="BG115" t="inlineStr">
        <is>
          <t>unknown</t>
        </is>
      </c>
      <c r="BH115" t="inlineStr">
        <is>
          <t>no-count</t>
        </is>
      </c>
      <c r="BI115" t="inlineStr"/>
      <c r="BJ115" t="inlineStr"/>
      <c r="BK115" t="inlineStr">
        <is>
          <t>unknown</t>
        </is>
      </c>
      <c r="BL115" t="inlineStr">
        <is>
          <t>unknown</t>
        </is>
      </c>
      <c r="BM115" t="inlineStr">
        <is>
          <t>unknown</t>
        </is>
      </c>
      <c r="BN115" t="inlineStr">
        <is>
          <t>unknown</t>
        </is>
      </c>
      <c r="BO115" t="inlineStr">
        <is>
          <t>unknown</t>
        </is>
      </c>
      <c r="BP115" t="n">
        <v>10010</v>
      </c>
      <c r="BQ115" t="n">
        <v>40.738577</v>
      </c>
      <c r="BR115" t="n">
        <v>-73.987151</v>
      </c>
      <c r="BS115" t="inlineStr">
        <is>
          <t>Y</t>
        </is>
      </c>
      <c r="BT115" t="n">
        <v>0</v>
      </c>
      <c r="BU115" t="inlineStr">
        <is>
          <t>B-B-032</t>
        </is>
      </c>
      <c r="BV115" t="inlineStr">
        <is>
          <t>Gramercy Park Building (Feil Organization)</t>
        </is>
      </c>
      <c r="BW115" t="inlineStr">
        <is>
          <t>https://www.phippsny.org/contact-us/</t>
        </is>
      </c>
      <c r="BX115" t="inlineStr">
        <is>
          <t>2026-10-23</t>
        </is>
      </c>
      <c r="BY115" t="inlineStr">
        <is>
          <t>company-site</t>
        </is>
      </c>
      <c r="BZ115" t="inlineStr">
        <is>
          <t>https://commercialobserver.com/2024/07/phipps-houses-feil-organization-257-park-avenue-south/</t>
        </is>
      </c>
      <c r="CA115" t="inlineStr">
        <is>
          <t>2024-07-31</t>
        </is>
      </c>
      <c r="CB115" t="inlineStr"/>
      <c r="CC115" t="inlineStr">
        <is>
          <t>high</t>
        </is>
      </c>
      <c r="CD115" t="inlineStr"/>
      <c r="CE115" t="inlineStr">
        <is>
          <t>N</t>
        </is>
      </c>
      <c r="CF115" t="inlineStr"/>
      <c r="CG115" t="inlineStr"/>
      <c r="CH115" t="inlineStr">
        <is>
          <t>unknown</t>
        </is>
      </c>
      <c r="CI115" t="inlineStr"/>
      <c r="CJ115" t="inlineStr">
        <is>
          <t>unknown</t>
        </is>
      </c>
      <c r="CK115" t="inlineStr">
        <is>
          <t>N</t>
        </is>
      </c>
      <c r="CL115" t="inlineStr">
        <is>
          <t>unknown</t>
        </is>
      </c>
      <c r="CM115" t="inlineStr"/>
      <c r="CN115" t="inlineStr"/>
      <c r="CO115" t="inlineStr">
        <is>
          <t>unknown</t>
        </is>
      </c>
      <c r="CP115" t="inlineStr"/>
      <c r="CQ115" t="inlineStr">
        <is>
          <t>No sourced headcount, so no Tuesday estimate; ask the Tuesday count at intake.</t>
        </is>
      </c>
      <c r="CR115" t="inlineStr">
        <is>
          <t>estimate until intake replaces it</t>
        </is>
      </c>
      <c r="CS115" t="inlineStr">
        <is>
          <t>unknown</t>
        </is>
      </c>
      <c r="CT115" t="n">
        <v>36</v>
      </c>
      <c r="CU115" t="n">
        <v>7</v>
      </c>
      <c r="CV115" t="n">
        <v>8</v>
      </c>
      <c r="CW115" t="n">
        <v>6</v>
      </c>
      <c r="CX115" t="n">
        <v>15</v>
      </c>
      <c r="CY115" t="n">
        <v>0</v>
      </c>
      <c r="CZ115" t="n">
        <v>0</v>
      </c>
      <c r="DA115" t="inlineStr"/>
      <c r="DB115" t="inlineStr"/>
      <c r="DC115" t="inlineStr"/>
      <c r="DD115" t="inlineStr"/>
      <c r="DE115" t="inlineStr"/>
      <c r="DF115" t="inlineStr">
        <is>
          <t>none</t>
        </is>
      </c>
      <c r="DG115" t="inlineStr">
        <is>
          <t>candidate</t>
        </is>
      </c>
      <c r="DH115" t="inlineStr"/>
      <c r="DI115" t="inlineStr"/>
      <c r="DJ115" t="inlineStr">
        <is>
          <t>38,862 sf</t>
        </is>
      </c>
      <c r="DK115" t="inlineStr">
        <is>
          <t>Contact page lists 257 Park Avenue South, 12th Floor; CO July 2024 reported a 32-year, 38,862 sf HQ lease on floors 11, 12 and 15 (relocated from 902 Broadway). Headcount not sourced.</t>
        </is>
      </c>
      <c r="DL115" t="inlineStr"/>
      <c r="DM115" t="inlineStr"/>
      <c r="DN115" t="inlineStr"/>
      <c r="DO115" t="inlineStr"/>
      <c r="DP115" t="inlineStr"/>
      <c r="DQ115" t="inlineStr"/>
      <c r="DR115" t="inlineStr"/>
      <c r="DS115" t="inlineStr">
        <is>
          <t>none</t>
        </is>
      </c>
      <c r="DT115" t="inlineStr"/>
      <c r="DU115" t="inlineStr"/>
      <c r="DV115" t="inlineStr"/>
      <c r="DW115" t="inlineStr"/>
      <c r="DX115" t="inlineStr">
        <is>
          <t>N</t>
        </is>
      </c>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f>IF(ISNUMBER(MATCH(U115,{"queued","contacted","replied","call_booked","call_done","yes_in_principle","materials_sent"},0)),"Y","N")</f>
        <v/>
      </c>
      <c r="ES115">
        <f>IF(COUNTIFS($AP$2:$AP$1000,AP115,$ER$2:$ER$1000,"Y")+COUNTIFS($AP$2:$AP$1000,AP115,$T$2:$T$1000,"Y")&gt;0,"Y","N")</f>
        <v/>
      </c>
      <c r="ET115">
        <f>IF(AND(U115="new",T115="N",AT115="Y",AS115="",ES115="N"),"Y","N")</f>
        <v/>
      </c>
      <c r="EU115">
        <f>IF(ET115&lt;&gt;"Y","N",IF(COUNTIFS($AP$2:$AP$1000,AP115,$ET$2:$ET$1000,"Y",$J$2:$J$1000,"&gt;"&amp;J115)+COUNTIFS($AP$2:$AP$1000,AP115,$ET$2:$ET$1000,"Y",$J$2:$J$1000,J115,$EW$2:$EW$1000,"&lt;"&amp;EW115)=0,"Y","N"))</f>
        <v/>
      </c>
      <c r="EV115">
        <f>IF(Y115="","N",IF(Y115&lt;=10,"Y","N"))</f>
        <v/>
      </c>
      <c r="EW115">
        <f>ROW()-1</f>
        <v/>
      </c>
    </row>
    <row r="116">
      <c r="A116" t="inlineStr">
        <is>
          <t>AO-C-115</t>
        </is>
      </c>
      <c r="B116" t="inlineStr">
        <is>
          <t>Polar Asset Management Partners</t>
        </is>
      </c>
      <c r="C116" t="inlineStr"/>
      <c r="D116" t="inlineStr"/>
      <c r="E116" t="inlineStr"/>
      <c r="F116" t="inlineStr"/>
      <c r="G116" t="inlineStr"/>
      <c r="H116" t="inlineStr">
        <is>
          <t>none</t>
        </is>
      </c>
      <c r="I116" t="inlineStr">
        <is>
          <t>linkedin</t>
        </is>
      </c>
      <c r="J116" t="n">
        <v>36</v>
      </c>
      <c r="K116" t="inlineStr">
        <is>
          <t>Tuesday headcount unknown (no sourced count), company size unknown, no attendance signal, occupied at a high-confidence address; contacts not researched yet (below the top 50).</t>
        </is>
      </c>
      <c r="L116" t="inlineStr">
        <is>
          <t>unknown</t>
        </is>
      </c>
      <c r="M116" t="inlineStr"/>
      <c r="N116" t="inlineStr"/>
      <c r="O116" t="inlineStr">
        <is>
          <t>New or renewed lease at 41 Madison Avenue reported 2026-05-04</t>
        </is>
      </c>
      <c r="P116" t="inlineStr">
        <is>
          <t>https://commercialobserver.com/2026/05/polar-asset-management-partners-lease-rudin-41-madison-avenue/</t>
        </is>
      </c>
      <c r="Q116" t="inlineStr">
        <is>
          <t>2026-05-04</t>
        </is>
      </c>
      <c r="R116" t="inlineStr">
        <is>
          <t>N</t>
        </is>
      </c>
      <c r="S116" t="inlineStr">
        <is>
          <t>unknown</t>
        </is>
      </c>
      <c r="T116" t="inlineStr">
        <is>
          <t>N</t>
        </is>
      </c>
      <c r="U116" t="inlineStr">
        <is>
          <t>new</t>
        </is>
      </c>
      <c r="V116" t="inlineStr">
        <is>
          <t>https://commercialobserver.com/2026/05/polar-asset-management-partners-lease-rudin-41-madison-avenue/</t>
        </is>
      </c>
      <c r="W116" t="inlineStr">
        <is>
          <t>2026-10-23</t>
        </is>
      </c>
      <c r="X116" t="inlineStr">
        <is>
          <t>office</t>
        </is>
      </c>
      <c r="Y116" t="inlineStr"/>
      <c r="Z116" t="n">
        <v>115</v>
      </c>
      <c r="AA116" t="inlineStr">
        <is>
          <t>N</t>
        </is>
      </c>
      <c r="AB116" t="inlineStr"/>
      <c r="AC116" t="inlineStr"/>
      <c r="AD116" t="inlineStr">
        <is>
          <t>none</t>
        </is>
      </c>
      <c r="AE116" t="inlineStr"/>
      <c r="AF116" t="inlineStr"/>
      <c r="AG116" t="inlineStr"/>
      <c r="AH116" t="inlineStr">
        <is>
          <t>none</t>
        </is>
      </c>
      <c r="AI116" t="inlineStr">
        <is>
          <t>41 Madison Avenue</t>
        </is>
      </c>
      <c r="AJ116" t="inlineStr">
        <is>
          <t>36 (per site); moving to 33</t>
        </is>
      </c>
      <c r="AK116" t="inlineStr">
        <is>
          <t>occupied</t>
        </is>
      </c>
      <c r="AL116" t="inlineStr">
        <is>
          <t>unknown</t>
        </is>
      </c>
      <c r="AM116" t="inlineStr">
        <is>
          <t>unknown</t>
        </is>
      </c>
      <c r="AN116" t="inlineStr">
        <is>
          <t>none</t>
        </is>
      </c>
      <c r="AO116" t="inlineStr">
        <is>
          <t>unknown</t>
        </is>
      </c>
      <c r="AP116" t="inlineStr">
        <is>
          <t>AO-C-115</t>
        </is>
      </c>
      <c r="AQ116" t="inlineStr">
        <is>
          <t>N</t>
        </is>
      </c>
      <c r="AR116" t="inlineStr"/>
      <c r="AS116" t="inlineStr"/>
      <c r="AT116" t="inlineStr">
        <is>
          <t>N</t>
        </is>
      </c>
      <c r="AU116" t="inlineStr">
        <is>
          <t>no contact named on an opened page</t>
        </is>
      </c>
      <c r="AV116" t="inlineStr"/>
      <c r="AW116" t="inlineStr">
        <is>
          <t>N</t>
        </is>
      </c>
      <c r="AX116" t="inlineStr">
        <is>
          <t>pass</t>
        </is>
      </c>
      <c r="AY116" t="inlineStr">
        <is>
          <t>passes all hard gates</t>
        </is>
      </c>
      <c r="AZ116" t="inlineStr">
        <is>
          <t>company</t>
        </is>
      </c>
      <c r="BA116" t="inlineStr">
        <is>
          <t>B-C-115</t>
        </is>
      </c>
      <c r="BB116" t="inlineStr">
        <is>
          <t>https://polaramp.com</t>
        </is>
      </c>
      <c r="BC116" t="inlineStr">
        <is>
          <t>alternative asset management</t>
        </is>
      </c>
      <c r="BD116" t="inlineStr">
        <is>
          <t>unknown</t>
        </is>
      </c>
      <c r="BE116" t="inlineStr"/>
      <c r="BF116" t="inlineStr">
        <is>
          <t>unknown</t>
        </is>
      </c>
      <c r="BG116" t="inlineStr">
        <is>
          <t>unknown</t>
        </is>
      </c>
      <c r="BH116" t="inlineStr">
        <is>
          <t>no-count</t>
        </is>
      </c>
      <c r="BI116" t="inlineStr"/>
      <c r="BJ116" t="inlineStr"/>
      <c r="BK116" t="inlineStr">
        <is>
          <t>unknown</t>
        </is>
      </c>
      <c r="BL116" t="inlineStr">
        <is>
          <t>unknown</t>
        </is>
      </c>
      <c r="BM116" t="inlineStr">
        <is>
          <t>unknown</t>
        </is>
      </c>
      <c r="BN116" t="inlineStr">
        <is>
          <t>unknown</t>
        </is>
      </c>
      <c r="BO116" t="inlineStr">
        <is>
          <t>unknown</t>
        </is>
      </c>
      <c r="BP116" t="n">
        <v>10010</v>
      </c>
      <c r="BQ116" t="n">
        <v>40.742477</v>
      </c>
      <c r="BR116" t="n">
        <v>-73.986608</v>
      </c>
      <c r="BS116" t="inlineStr">
        <is>
          <t>Y</t>
        </is>
      </c>
      <c r="BT116" t="n">
        <v>0</v>
      </c>
      <c r="BU116" t="inlineStr">
        <is>
          <t>B-B-057</t>
        </is>
      </c>
      <c r="BV116" t="inlineStr">
        <is>
          <t>41 Madison Avenue (Rudin)</t>
        </is>
      </c>
      <c r="BW116" t="inlineStr">
        <is>
          <t>https://commercialobserver.com/2026/05/polar-asset-management-partners-lease-rudin-41-madison-avenue/</t>
        </is>
      </c>
      <c r="BX116" t="inlineStr">
        <is>
          <t>2026-05-04</t>
        </is>
      </c>
      <c r="BY116" t="inlineStr">
        <is>
          <t>leasing-press</t>
        </is>
      </c>
      <c r="BZ116" t="inlineStr">
        <is>
          <t>https://polaramp.com/contact</t>
        </is>
      </c>
      <c r="CA116" t="inlineStr">
        <is>
          <t>2026-10-23</t>
        </is>
      </c>
      <c r="CB116" t="inlineStr"/>
      <c r="CC116" t="inlineStr">
        <is>
          <t>high</t>
        </is>
      </c>
      <c r="CD116" t="inlineStr"/>
      <c r="CE116" t="inlineStr">
        <is>
          <t>N</t>
        </is>
      </c>
      <c r="CF116" t="inlineStr"/>
      <c r="CG116" t="inlineStr"/>
      <c r="CH116" t="inlineStr">
        <is>
          <t>security desk</t>
        </is>
      </c>
      <c r="CI116" t="inlineStr">
        <is>
          <t>https://www.metro-manhattan.com/buildings/41-madison-avenue-forty-one-madison-office-space/</t>
        </is>
      </c>
      <c r="CJ116" t="inlineStr">
        <is>
          <t>unknown</t>
        </is>
      </c>
      <c r="CK116" t="inlineStr">
        <is>
          <t>N</t>
        </is>
      </c>
      <c r="CL116" t="inlineStr">
        <is>
          <t>unknown</t>
        </is>
      </c>
      <c r="CM116" t="inlineStr"/>
      <c r="CN116" t="inlineStr"/>
      <c r="CO116" t="inlineStr">
        <is>
          <t>unknown</t>
        </is>
      </c>
      <c r="CP116" t="inlineStr"/>
      <c r="CQ116" t="inlineStr">
        <is>
          <t>No sourced headcount, so no Tuesday estimate; ask the Tuesday count at intake.</t>
        </is>
      </c>
      <c r="CR116" t="inlineStr">
        <is>
          <t>estimate until intake replaces it</t>
        </is>
      </c>
      <c r="CS116" t="inlineStr">
        <is>
          <t>unknown</t>
        </is>
      </c>
      <c r="CT116" t="n">
        <v>36</v>
      </c>
      <c r="CU116" t="n">
        <v>7</v>
      </c>
      <c r="CV116" t="n">
        <v>8</v>
      </c>
      <c r="CW116" t="n">
        <v>6</v>
      </c>
      <c r="CX116" t="n">
        <v>15</v>
      </c>
      <c r="CY116" t="n">
        <v>0</v>
      </c>
      <c r="CZ116" t="n">
        <v>0</v>
      </c>
      <c r="DA116" t="inlineStr"/>
      <c r="DB116" t="inlineStr"/>
      <c r="DC116" t="inlineStr"/>
      <c r="DD116" t="inlineStr"/>
      <c r="DE116" t="inlineStr"/>
      <c r="DF116" t="inlineStr">
        <is>
          <t>none</t>
        </is>
      </c>
      <c r="DG116" t="inlineStr">
        <is>
          <t>candidate</t>
        </is>
      </c>
      <c r="DH116" t="inlineStr"/>
      <c r="DI116" t="inlineStr"/>
      <c r="DJ116" t="inlineStr">
        <is>
          <t>9,848 sf;13,357 sf</t>
        </is>
      </c>
      <c r="DK116" t="inlineStr">
        <is>
          <t>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is>
      </c>
      <c r="DL116" t="inlineStr"/>
      <c r="DM116" t="inlineStr"/>
      <c r="DN116" t="inlineStr"/>
      <c r="DO116" t="inlineStr"/>
      <c r="DP116" t="inlineStr"/>
      <c r="DQ116" t="inlineStr"/>
      <c r="DR116" t="inlineStr"/>
      <c r="DS116" t="inlineStr">
        <is>
          <t>none</t>
        </is>
      </c>
      <c r="DT116" t="inlineStr"/>
      <c r="DU116" t="inlineStr"/>
      <c r="DV116" t="inlineStr"/>
      <c r="DW116" t="inlineStr"/>
      <c r="DX116" t="inlineStr">
        <is>
          <t>N</t>
        </is>
      </c>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f>IF(ISNUMBER(MATCH(U116,{"queued","contacted","replied","call_booked","call_done","yes_in_principle","materials_sent"},0)),"Y","N")</f>
        <v/>
      </c>
      <c r="ES116">
        <f>IF(COUNTIFS($AP$2:$AP$1000,AP116,$ER$2:$ER$1000,"Y")+COUNTIFS($AP$2:$AP$1000,AP116,$T$2:$T$1000,"Y")&gt;0,"Y","N")</f>
        <v/>
      </c>
      <c r="ET116">
        <f>IF(AND(U116="new",T116="N",AT116="Y",AS116="",ES116="N"),"Y","N")</f>
        <v/>
      </c>
      <c r="EU116">
        <f>IF(ET116&lt;&gt;"Y","N",IF(COUNTIFS($AP$2:$AP$1000,AP116,$ET$2:$ET$1000,"Y",$J$2:$J$1000,"&gt;"&amp;J116)+COUNTIFS($AP$2:$AP$1000,AP116,$ET$2:$ET$1000,"Y",$J$2:$J$1000,J116,$EW$2:$EW$1000,"&lt;"&amp;EW116)=0,"Y","N"))</f>
        <v/>
      </c>
      <c r="EV116">
        <f>IF(Y116="","N",IF(Y116&lt;=10,"Y","N"))</f>
        <v/>
      </c>
      <c r="EW116">
        <f>ROW()-1</f>
        <v/>
      </c>
    </row>
    <row r="117">
      <c r="A117" t="inlineStr">
        <is>
          <t>AO-C-122</t>
        </is>
      </c>
      <c r="B117" t="inlineStr">
        <is>
          <t>Rogo</t>
        </is>
      </c>
      <c r="C117" t="inlineStr"/>
      <c r="D117" t="inlineStr"/>
      <c r="E117" t="inlineStr"/>
      <c r="F117" t="inlineStr"/>
      <c r="G117" t="inlineStr"/>
      <c r="H117" t="inlineStr">
        <is>
          <t>none</t>
        </is>
      </c>
      <c r="I117" t="inlineStr">
        <is>
          <t>linkedin</t>
        </is>
      </c>
      <c r="J117" t="n">
        <v>36</v>
      </c>
      <c r="K117" t="inlineStr">
        <is>
          <t>Tuesday headcount unknown (no sourced count), company size unknown, no attendance signal, occupied at a high-confidence address; contacts not researched yet (below the top 50).</t>
        </is>
      </c>
      <c r="L117" t="inlineStr">
        <is>
          <t>unknown</t>
        </is>
      </c>
      <c r="M117" t="inlineStr"/>
      <c r="N117" t="inlineStr"/>
      <c r="O117" t="inlineStr"/>
      <c r="P117" t="inlineStr"/>
      <c r="Q117" t="inlineStr"/>
      <c r="R117" t="inlineStr">
        <is>
          <t>N</t>
        </is>
      </c>
      <c r="S117" t="inlineStr">
        <is>
          <t>unknown</t>
        </is>
      </c>
      <c r="T117" t="inlineStr">
        <is>
          <t>N</t>
        </is>
      </c>
      <c r="U117" t="inlineStr">
        <is>
          <t>new</t>
        </is>
      </c>
      <c r="V117" t="inlineStr">
        <is>
          <t>https://rogo.com/legal/privacy-policy</t>
        </is>
      </c>
      <c r="W117" t="inlineStr">
        <is>
          <t>2026-10-23</t>
        </is>
      </c>
      <c r="X117" t="inlineStr">
        <is>
          <t>office</t>
        </is>
      </c>
      <c r="Y117" t="inlineStr"/>
      <c r="Z117" t="n">
        <v>116</v>
      </c>
      <c r="AA117" t="inlineStr">
        <is>
          <t>N</t>
        </is>
      </c>
      <c r="AB117" t="inlineStr"/>
      <c r="AC117" t="inlineStr"/>
      <c r="AD117" t="inlineStr">
        <is>
          <t>none</t>
        </is>
      </c>
      <c r="AE117" t="inlineStr"/>
      <c r="AF117" t="inlineStr"/>
      <c r="AG117" t="inlineStr"/>
      <c r="AH117" t="inlineStr">
        <is>
          <t>none</t>
        </is>
      </c>
      <c r="AI117" t="inlineStr">
        <is>
          <t>360 Park Avenue South</t>
        </is>
      </c>
      <c r="AJ117" t="inlineStr">
        <is>
          <t>7 plus second full floor (46,000 sf)</t>
        </is>
      </c>
      <c r="AK117" t="inlineStr">
        <is>
          <t>occupied</t>
        </is>
      </c>
      <c r="AL117" t="inlineStr">
        <is>
          <t>unknown</t>
        </is>
      </c>
      <c r="AM117" t="inlineStr">
        <is>
          <t>unknown</t>
        </is>
      </c>
      <c r="AN117" t="inlineStr">
        <is>
          <t>none</t>
        </is>
      </c>
      <c r="AO117" t="inlineStr">
        <is>
          <t>unknown</t>
        </is>
      </c>
      <c r="AP117" t="inlineStr">
        <is>
          <t>AO-C-122</t>
        </is>
      </c>
      <c r="AQ117" t="inlineStr">
        <is>
          <t>N</t>
        </is>
      </c>
      <c r="AR117" t="inlineStr"/>
      <c r="AS117" t="inlineStr"/>
      <c r="AT117" t="inlineStr">
        <is>
          <t>N</t>
        </is>
      </c>
      <c r="AU117" t="inlineStr">
        <is>
          <t>no contact named on an opened page</t>
        </is>
      </c>
      <c r="AV117" t="inlineStr"/>
      <c r="AW117" t="inlineStr">
        <is>
          <t>N</t>
        </is>
      </c>
      <c r="AX117" t="inlineStr">
        <is>
          <t>pass</t>
        </is>
      </c>
      <c r="AY117" t="inlineStr">
        <is>
          <t>passes all hard gates</t>
        </is>
      </c>
      <c r="AZ117" t="inlineStr">
        <is>
          <t>company</t>
        </is>
      </c>
      <c r="BA117" t="inlineStr">
        <is>
          <t>B-C-122</t>
        </is>
      </c>
      <c r="BB117" t="inlineStr">
        <is>
          <t>https://rogo.com/</t>
        </is>
      </c>
      <c r="BC117" t="inlineStr">
        <is>
          <t>Software (AI for financial services)</t>
        </is>
      </c>
      <c r="BD117" t="inlineStr">
        <is>
          <t>unknown</t>
        </is>
      </c>
      <c r="BE117" t="inlineStr"/>
      <c r="BF117" t="inlineStr">
        <is>
          <t>unknown</t>
        </is>
      </c>
      <c r="BG117" t="inlineStr">
        <is>
          <t>unknown</t>
        </is>
      </c>
      <c r="BH117" t="inlineStr">
        <is>
          <t>no-count</t>
        </is>
      </c>
      <c r="BI117" t="inlineStr"/>
      <c r="BJ117" t="inlineStr"/>
      <c r="BK117" t="inlineStr">
        <is>
          <t>unknown</t>
        </is>
      </c>
      <c r="BL117" t="inlineStr">
        <is>
          <t>unknown</t>
        </is>
      </c>
      <c r="BM117" t="inlineStr">
        <is>
          <t>unknown</t>
        </is>
      </c>
      <c r="BN117" t="inlineStr">
        <is>
          <t>unknown</t>
        </is>
      </c>
      <c r="BO117" t="inlineStr">
        <is>
          <t>unknown</t>
        </is>
      </c>
      <c r="BP117" t="n">
        <v>10010</v>
      </c>
      <c r="BQ117" t="n">
        <v>40.741968</v>
      </c>
      <c r="BR117" t="n">
        <v>-73.985327</v>
      </c>
      <c r="BS117" t="inlineStr">
        <is>
          <t>Y</t>
        </is>
      </c>
      <c r="BT117" t="n">
        <v>0</v>
      </c>
      <c r="BU117" t="inlineStr">
        <is>
          <t>B-B-059</t>
        </is>
      </c>
      <c r="BV117" t="inlineStr">
        <is>
          <t>360 Park Avenue South (BXP)</t>
        </is>
      </c>
      <c r="BW117" t="inlineStr">
        <is>
          <t>https://rogo.com/legal/privacy-policy</t>
        </is>
      </c>
      <c r="BX117" t="inlineStr">
        <is>
          <t>2026-10-23</t>
        </is>
      </c>
      <c r="BY117" t="inlineStr">
        <is>
          <t>company-site</t>
        </is>
      </c>
      <c r="BZ117" t="inlineStr">
        <is>
          <t>https://commercialobserver.com/2026/09/rogo-technologies-360-park-avenue-south-lease-expansion/</t>
        </is>
      </c>
      <c r="CA117" t="inlineStr">
        <is>
          <t>2026-09-22</t>
        </is>
      </c>
      <c r="CB117" t="inlineStr"/>
      <c r="CC117" t="inlineStr">
        <is>
          <t>high</t>
        </is>
      </c>
      <c r="CD117" t="inlineStr"/>
      <c r="CE117" t="inlineStr">
        <is>
          <t>N</t>
        </is>
      </c>
      <c r="CF117" t="inlineStr"/>
      <c r="CG117" t="inlineStr"/>
      <c r="CH117" t="inlineStr">
        <is>
          <t>unknown</t>
        </is>
      </c>
      <c r="CI117" t="inlineStr"/>
      <c r="CJ117" t="inlineStr">
        <is>
          <t>unknown</t>
        </is>
      </c>
      <c r="CK117" t="inlineStr">
        <is>
          <t>N</t>
        </is>
      </c>
      <c r="CL117" t="inlineStr">
        <is>
          <t>unknown</t>
        </is>
      </c>
      <c r="CM117" t="inlineStr"/>
      <c r="CN117" t="inlineStr"/>
      <c r="CO117" t="inlineStr">
        <is>
          <t>unknown</t>
        </is>
      </c>
      <c r="CP117" t="inlineStr"/>
      <c r="CQ117" t="inlineStr">
        <is>
          <t>No sourced headcount, so no Tuesday estimate; ask the Tuesday count at intake.</t>
        </is>
      </c>
      <c r="CR117" t="inlineStr">
        <is>
          <t>estimate until intake replaces it</t>
        </is>
      </c>
      <c r="CS117" t="inlineStr">
        <is>
          <t>unknown</t>
        </is>
      </c>
      <c r="CT117" t="n">
        <v>36</v>
      </c>
      <c r="CU117" t="n">
        <v>7</v>
      </c>
      <c r="CV117" t="n">
        <v>8</v>
      </c>
      <c r="CW117" t="n">
        <v>6</v>
      </c>
      <c r="CX117" t="n">
        <v>15</v>
      </c>
      <c r="CY117" t="n">
        <v>0</v>
      </c>
      <c r="CZ117" t="n">
        <v>0</v>
      </c>
      <c r="DA117" t="inlineStr"/>
      <c r="DB117" t="inlineStr"/>
      <c r="DC117" t="inlineStr"/>
      <c r="DD117" t="inlineStr"/>
      <c r="DE117" t="inlineStr"/>
      <c r="DF117" t="inlineStr">
        <is>
          <t>none</t>
        </is>
      </c>
      <c r="DG117" t="inlineStr">
        <is>
          <t>candidate</t>
        </is>
      </c>
      <c r="DH117" t="inlineStr"/>
      <c r="DI117" t="inlineStr"/>
      <c r="DJ117" t="inlineStr">
        <is>
          <t>46,000 sf</t>
        </is>
      </c>
      <c r="DK117" t="inlineStr">
        <is>
          <t>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is>
      </c>
      <c r="DL117" t="inlineStr"/>
      <c r="DM117" t="inlineStr"/>
      <c r="DN117" t="inlineStr"/>
      <c r="DO117" t="inlineStr"/>
      <c r="DP117" t="inlineStr"/>
      <c r="DQ117" t="inlineStr"/>
      <c r="DR117" t="inlineStr"/>
      <c r="DS117" t="inlineStr">
        <is>
          <t>none</t>
        </is>
      </c>
      <c r="DT117" t="inlineStr"/>
      <c r="DU117" t="inlineStr"/>
      <c r="DV117" t="inlineStr"/>
      <c r="DW117" t="inlineStr"/>
      <c r="DX117" t="inlineStr">
        <is>
          <t>N</t>
        </is>
      </c>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f>IF(ISNUMBER(MATCH(U117,{"queued","contacted","replied","call_booked","call_done","yes_in_principle","materials_sent"},0)),"Y","N")</f>
        <v/>
      </c>
      <c r="ES117">
        <f>IF(COUNTIFS($AP$2:$AP$1000,AP117,$ER$2:$ER$1000,"Y")+COUNTIFS($AP$2:$AP$1000,AP117,$T$2:$T$1000,"Y")&gt;0,"Y","N")</f>
        <v/>
      </c>
      <c r="ET117">
        <f>IF(AND(U117="new",T117="N",AT117="Y",AS117="",ES117="N"),"Y","N")</f>
        <v/>
      </c>
      <c r="EU117">
        <f>IF(ET117&lt;&gt;"Y","N",IF(COUNTIFS($AP$2:$AP$1000,AP117,$ET$2:$ET$1000,"Y",$J$2:$J$1000,"&gt;"&amp;J117)+COUNTIFS($AP$2:$AP$1000,AP117,$ET$2:$ET$1000,"Y",$J$2:$J$1000,J117,$EW$2:$EW$1000,"&lt;"&amp;EW117)=0,"Y","N"))</f>
        <v/>
      </c>
      <c r="EV117">
        <f>IF(Y117="","N",IF(Y117&lt;=10,"Y","N"))</f>
        <v/>
      </c>
      <c r="EW117">
        <f>ROW()-1</f>
        <v/>
      </c>
    </row>
    <row r="118">
      <c r="A118" t="inlineStr">
        <is>
          <t>AO-C-043</t>
        </is>
      </c>
      <c r="B118" t="inlineStr">
        <is>
          <t>SEIU 32BJ and 32BJ Benefit Funds</t>
        </is>
      </c>
      <c r="C118" t="inlineStr"/>
      <c r="D118" t="inlineStr"/>
      <c r="E118" t="inlineStr"/>
      <c r="F118" t="inlineStr"/>
      <c r="G118" t="inlineStr"/>
      <c r="H118" t="inlineStr">
        <is>
          <t>none</t>
        </is>
      </c>
      <c r="I118" t="inlineStr">
        <is>
          <t>linkedin</t>
        </is>
      </c>
      <c r="J118" t="n">
        <v>36</v>
      </c>
      <c r="K118" t="inlineStr">
        <is>
          <t>Tuesday headcount unknown (no sourced count), company size unknown, no attendance signal, occupied at a high-confidence address; contacts not researched yet (below the top 50).</t>
        </is>
      </c>
      <c r="L118" t="inlineStr">
        <is>
          <t>unknown</t>
        </is>
      </c>
      <c r="M118" t="inlineStr"/>
      <c r="N118" t="inlineStr"/>
      <c r="O118" t="inlineStr"/>
      <c r="P118" t="inlineStr"/>
      <c r="Q118" t="inlineStr"/>
      <c r="R118" t="inlineStr">
        <is>
          <t>N</t>
        </is>
      </c>
      <c r="S118" t="inlineStr">
        <is>
          <t>unknown</t>
        </is>
      </c>
      <c r="T118" t="inlineStr">
        <is>
          <t>N</t>
        </is>
      </c>
      <c r="U118" t="inlineStr">
        <is>
          <t>new</t>
        </is>
      </c>
      <c r="V118" t="inlineStr">
        <is>
          <t>https://www.seiu32bj.org/contact-us/</t>
        </is>
      </c>
      <c r="W118" t="inlineStr">
        <is>
          <t>2026-10-23</t>
        </is>
      </c>
      <c r="X118" t="inlineStr">
        <is>
          <t>office</t>
        </is>
      </c>
      <c r="Y118" t="inlineStr"/>
      <c r="Z118" t="n">
        <v>117</v>
      </c>
      <c r="AA118" t="inlineStr">
        <is>
          <t>N</t>
        </is>
      </c>
      <c r="AB118" t="inlineStr"/>
      <c r="AC118" t="inlineStr"/>
      <c r="AD118" t="inlineStr">
        <is>
          <t>none</t>
        </is>
      </c>
      <c r="AE118" t="inlineStr"/>
      <c r="AF118" t="inlineStr"/>
      <c r="AG118" t="inlineStr"/>
      <c r="AH118" t="inlineStr">
        <is>
          <t>none</t>
        </is>
      </c>
      <c r="AI118" t="inlineStr">
        <is>
          <t>25 West 18th Street</t>
        </is>
      </c>
      <c r="AJ118" t="inlineStr">
        <is>
          <t>unknown</t>
        </is>
      </c>
      <c r="AK118" t="inlineStr">
        <is>
          <t>occupied</t>
        </is>
      </c>
      <c r="AL118" t="inlineStr">
        <is>
          <t>unknown</t>
        </is>
      </c>
      <c r="AM118" t="inlineStr">
        <is>
          <t>unknown</t>
        </is>
      </c>
      <c r="AN118" t="inlineStr">
        <is>
          <t>none</t>
        </is>
      </c>
      <c r="AO118" t="inlineStr">
        <is>
          <t>unknown</t>
        </is>
      </c>
      <c r="AP118" t="inlineStr">
        <is>
          <t>AO-C-043</t>
        </is>
      </c>
      <c r="AQ118" t="inlineStr">
        <is>
          <t>N</t>
        </is>
      </c>
      <c r="AR118" t="inlineStr"/>
      <c r="AS118" t="inlineStr"/>
      <c r="AT118" t="inlineStr">
        <is>
          <t>N</t>
        </is>
      </c>
      <c r="AU118" t="inlineStr">
        <is>
          <t>no contact named on an opened page</t>
        </is>
      </c>
      <c r="AV118" t="inlineStr"/>
      <c r="AW118" t="inlineStr">
        <is>
          <t>N</t>
        </is>
      </c>
      <c r="AX118" t="inlineStr">
        <is>
          <t>pass</t>
        </is>
      </c>
      <c r="AY118" t="inlineStr">
        <is>
          <t>passes all hard gates</t>
        </is>
      </c>
      <c r="AZ118" t="inlineStr">
        <is>
          <t>company</t>
        </is>
      </c>
      <c r="BA118" t="inlineStr">
        <is>
          <t>B-C-043</t>
        </is>
      </c>
      <c r="BB118" t="inlineStr">
        <is>
          <t>https://www.seiu32bj.org</t>
        </is>
      </c>
      <c r="BC118" t="inlineStr">
        <is>
          <t>labor union (headquarters)</t>
        </is>
      </c>
      <c r="BD118" t="inlineStr">
        <is>
          <t>unknown</t>
        </is>
      </c>
      <c r="BE118" t="inlineStr"/>
      <c r="BF118" t="inlineStr">
        <is>
          <t>unknown</t>
        </is>
      </c>
      <c r="BG118" t="inlineStr">
        <is>
          <t>unknown</t>
        </is>
      </c>
      <c r="BH118" t="inlineStr">
        <is>
          <t>no-count</t>
        </is>
      </c>
      <c r="BI118" t="inlineStr"/>
      <c r="BJ118" t="inlineStr"/>
      <c r="BK118" t="inlineStr">
        <is>
          <t>unknown</t>
        </is>
      </c>
      <c r="BL118" t="inlineStr">
        <is>
          <t>New York</t>
        </is>
      </c>
      <c r="BM118" t="inlineStr">
        <is>
          <t>Y</t>
        </is>
      </c>
      <c r="BN118" t="inlineStr">
        <is>
          <t>unknown</t>
        </is>
      </c>
      <c r="BO118" t="inlineStr">
        <is>
          <t>unknown</t>
        </is>
      </c>
      <c r="BP118" t="n">
        <v>10011</v>
      </c>
      <c r="BQ118" t="n">
        <v>40.739345</v>
      </c>
      <c r="BR118" t="n">
        <v>-73.993191</v>
      </c>
      <c r="BS118" t="inlineStr">
        <is>
          <t>Y</t>
        </is>
      </c>
      <c r="BT118" t="n">
        <v>0</v>
      </c>
      <c r="BU118" t="inlineStr">
        <is>
          <t>B-B-021</t>
        </is>
      </c>
      <c r="BV118" t="inlineStr">
        <is>
          <t>Siegel-Cooper Building (RXR / Hudson Bay)</t>
        </is>
      </c>
      <c r="BW118" t="inlineStr">
        <is>
          <t>https://www.seiu32bj.org/contact-us/</t>
        </is>
      </c>
      <c r="BX118" t="inlineStr">
        <is>
          <t>2026-10-23</t>
        </is>
      </c>
      <c r="BY118" t="inlineStr">
        <is>
          <t>company-site</t>
        </is>
      </c>
      <c r="BZ118" t="inlineStr">
        <is>
          <t>https://32bjfunds.org/contact-us/</t>
        </is>
      </c>
      <c r="CA118" t="inlineStr">
        <is>
          <t>2026-10-23</t>
        </is>
      </c>
      <c r="CB118" t="inlineStr"/>
      <c r="CC118" t="inlineStr">
        <is>
          <t>high</t>
        </is>
      </c>
      <c r="CD118" t="inlineStr"/>
      <c r="CE118" t="inlineStr">
        <is>
          <t>N</t>
        </is>
      </c>
      <c r="CF118" t="inlineStr"/>
      <c r="CG118" t="inlineStr"/>
      <c r="CH118" t="inlineStr">
        <is>
          <t>loading dock</t>
        </is>
      </c>
      <c r="CI118" t="inlineStr">
        <is>
          <t>https://www.metro-manhattan.com/buildings/620-avenue-of-the-americas/</t>
        </is>
      </c>
      <c r="CJ118" t="inlineStr">
        <is>
          <t>unknown</t>
        </is>
      </c>
      <c r="CK118" t="inlineStr">
        <is>
          <t>N</t>
        </is>
      </c>
      <c r="CL118" t="inlineStr">
        <is>
          <t>unknown</t>
        </is>
      </c>
      <c r="CM118" t="inlineStr"/>
      <c r="CN118" t="inlineStr"/>
      <c r="CO118" t="inlineStr">
        <is>
          <t>unknown</t>
        </is>
      </c>
      <c r="CP118" t="inlineStr"/>
      <c r="CQ118" t="inlineStr">
        <is>
          <t>No sourced headcount, so no Tuesday estimate; ask the Tuesday count at intake.</t>
        </is>
      </c>
      <c r="CR118" t="inlineStr">
        <is>
          <t>estimate until intake replaces it</t>
        </is>
      </c>
      <c r="CS118" t="inlineStr">
        <is>
          <t>unknown</t>
        </is>
      </c>
      <c r="CT118" t="n">
        <v>36</v>
      </c>
      <c r="CU118" t="n">
        <v>7</v>
      </c>
      <c r="CV118" t="n">
        <v>8</v>
      </c>
      <c r="CW118" t="n">
        <v>6</v>
      </c>
      <c r="CX118" t="n">
        <v>15</v>
      </c>
      <c r="CY118" t="n">
        <v>0</v>
      </c>
      <c r="CZ118" t="n">
        <v>0</v>
      </c>
      <c r="DA118" t="inlineStr"/>
      <c r="DB118" t="inlineStr"/>
      <c r="DC118" t="inlineStr"/>
      <c r="DD118" t="inlineStr"/>
      <c r="DE118" t="inlineStr"/>
      <c r="DF118" t="inlineStr">
        <is>
          <t>none</t>
        </is>
      </c>
      <c r="DG118" t="inlineStr">
        <is>
          <t>candidate</t>
        </is>
      </c>
      <c r="DH118" t="inlineStr"/>
      <c r="DI118" t="inlineStr"/>
      <c r="DJ118" t="inlineStr">
        <is>
          <t>245,000 sf</t>
        </is>
      </c>
      <c r="DK118" t="inlineStr">
        <is>
          <t>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is>
      </c>
      <c r="DL118" t="inlineStr"/>
      <c r="DM118" t="inlineStr"/>
      <c r="DN118" t="inlineStr"/>
      <c r="DO118" t="inlineStr"/>
      <c r="DP118" t="inlineStr"/>
      <c r="DQ118" t="inlineStr"/>
      <c r="DR118" t="inlineStr"/>
      <c r="DS118" t="inlineStr">
        <is>
          <t>none</t>
        </is>
      </c>
      <c r="DT118" t="inlineStr"/>
      <c r="DU118" t="inlineStr"/>
      <c r="DV118" t="inlineStr"/>
      <c r="DW118" t="inlineStr"/>
      <c r="DX118" t="inlineStr">
        <is>
          <t>N</t>
        </is>
      </c>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f>IF(ISNUMBER(MATCH(U118,{"queued","contacted","replied","call_booked","call_done","yes_in_principle","materials_sent"},0)),"Y","N")</f>
        <v/>
      </c>
      <c r="ES118">
        <f>IF(COUNTIFS($AP$2:$AP$1000,AP118,$ER$2:$ER$1000,"Y")+COUNTIFS($AP$2:$AP$1000,AP118,$T$2:$T$1000,"Y")&gt;0,"Y","N")</f>
        <v/>
      </c>
      <c r="ET118">
        <f>IF(AND(U118="new",T118="N",AT118="Y",AS118="",ES118="N"),"Y","N")</f>
        <v/>
      </c>
      <c r="EU118">
        <f>IF(ET118&lt;&gt;"Y","N",IF(COUNTIFS($AP$2:$AP$1000,AP118,$ET$2:$ET$1000,"Y",$J$2:$J$1000,"&gt;"&amp;J118)+COUNTIFS($AP$2:$AP$1000,AP118,$ET$2:$ET$1000,"Y",$J$2:$J$1000,J118,$EW$2:$EW$1000,"&lt;"&amp;EW118)=0,"Y","N"))</f>
        <v/>
      </c>
      <c r="EV118">
        <f>IF(Y118="","N",IF(Y118&lt;=10,"Y","N"))</f>
        <v/>
      </c>
      <c r="EW118">
        <f>ROW()-1</f>
        <v/>
      </c>
    </row>
    <row r="119">
      <c r="A119" t="inlineStr">
        <is>
          <t>AO-C-145</t>
        </is>
      </c>
      <c r="B119" t="inlineStr">
        <is>
          <t>SL Home Fashions</t>
        </is>
      </c>
      <c r="C119" t="inlineStr"/>
      <c r="D119" t="inlineStr"/>
      <c r="E119" t="inlineStr"/>
      <c r="F119" t="inlineStr"/>
      <c r="G119" t="inlineStr"/>
      <c r="H119" t="inlineStr">
        <is>
          <t>none</t>
        </is>
      </c>
      <c r="I119" t="inlineStr">
        <is>
          <t>linkedin</t>
        </is>
      </c>
      <c r="J119" t="n">
        <v>36</v>
      </c>
      <c r="K119" t="inlineStr">
        <is>
          <t>Tuesday headcount unknown (no sourced count), company size unknown, no attendance signal, occupied at a high-confidence address; contacts not researched yet (below the top 50).</t>
        </is>
      </c>
      <c r="L119" t="inlineStr">
        <is>
          <t>unknown</t>
        </is>
      </c>
      <c r="M119" t="inlineStr"/>
      <c r="N119" t="inlineStr"/>
      <c r="O119" t="inlineStr"/>
      <c r="P119" t="inlineStr"/>
      <c r="Q119" t="inlineStr"/>
      <c r="R119" t="inlineStr">
        <is>
          <t>N</t>
        </is>
      </c>
      <c r="S119" t="inlineStr">
        <is>
          <t>unknown</t>
        </is>
      </c>
      <c r="T119" t="inlineStr">
        <is>
          <t>N</t>
        </is>
      </c>
      <c r="U119" t="inlineStr">
        <is>
          <t>new</t>
        </is>
      </c>
      <c r="V119" t="inlineStr">
        <is>
          <t>https://commercialobserver.com/2024/10/sl-home-fashions-lease-230-fifth-avenue/</t>
        </is>
      </c>
      <c r="W119" t="inlineStr">
        <is>
          <t>2026-10-23</t>
        </is>
      </c>
      <c r="X119" t="inlineStr">
        <is>
          <t>office</t>
        </is>
      </c>
      <c r="Y119" t="inlineStr"/>
      <c r="Z119" t="n">
        <v>118</v>
      </c>
      <c r="AA119" t="inlineStr">
        <is>
          <t>N</t>
        </is>
      </c>
      <c r="AB119" t="inlineStr"/>
      <c r="AC119" t="inlineStr"/>
      <c r="AD119" t="inlineStr">
        <is>
          <t>none</t>
        </is>
      </c>
      <c r="AE119" t="inlineStr"/>
      <c r="AF119" t="inlineStr"/>
      <c r="AG119" t="inlineStr"/>
      <c r="AH119" t="inlineStr">
        <is>
          <t>none</t>
        </is>
      </c>
      <c r="AI119" t="inlineStr">
        <is>
          <t>230 Fifth Avenue</t>
        </is>
      </c>
      <c r="AJ119" t="inlineStr">
        <is>
          <t>14 (Suite 1411)</t>
        </is>
      </c>
      <c r="AK119" t="inlineStr">
        <is>
          <t>occupied</t>
        </is>
      </c>
      <c r="AL119" t="inlineStr">
        <is>
          <t>unknown</t>
        </is>
      </c>
      <c r="AM119" t="inlineStr">
        <is>
          <t>unknown</t>
        </is>
      </c>
      <c r="AN119" t="inlineStr">
        <is>
          <t>none</t>
        </is>
      </c>
      <c r="AO119" t="inlineStr">
        <is>
          <t>unknown</t>
        </is>
      </c>
      <c r="AP119" t="inlineStr">
        <is>
          <t>AO-C-145</t>
        </is>
      </c>
      <c r="AQ119" t="inlineStr">
        <is>
          <t>N</t>
        </is>
      </c>
      <c r="AR119" t="inlineStr"/>
      <c r="AS119" t="inlineStr"/>
      <c r="AT119" t="inlineStr">
        <is>
          <t>N</t>
        </is>
      </c>
      <c r="AU119" t="inlineStr">
        <is>
          <t>no contact named on an opened page</t>
        </is>
      </c>
      <c r="AV119" t="inlineStr"/>
      <c r="AW119" t="inlineStr">
        <is>
          <t>N</t>
        </is>
      </c>
      <c r="AX119" t="inlineStr">
        <is>
          <t>pass</t>
        </is>
      </c>
      <c r="AY119" t="inlineStr">
        <is>
          <t>passes all hard gates</t>
        </is>
      </c>
      <c r="AZ119" t="inlineStr">
        <is>
          <t>company</t>
        </is>
      </c>
      <c r="BA119" t="inlineStr">
        <is>
          <t>B-C-145</t>
        </is>
      </c>
      <c r="BB119" t="inlineStr">
        <is>
          <t>https://slhomefashions.com</t>
        </is>
      </c>
      <c r="BC119" t="inlineStr">
        <is>
          <t>home textiles (office and showroom)</t>
        </is>
      </c>
      <c r="BD119" t="inlineStr">
        <is>
          <t>unknown</t>
        </is>
      </c>
      <c r="BE119" t="inlineStr"/>
      <c r="BF119" t="inlineStr">
        <is>
          <t>unknown</t>
        </is>
      </c>
      <c r="BG119" t="inlineStr">
        <is>
          <t>unknown</t>
        </is>
      </c>
      <c r="BH119" t="inlineStr">
        <is>
          <t>no-count</t>
        </is>
      </c>
      <c r="BI119" t="inlineStr"/>
      <c r="BJ119" t="inlineStr"/>
      <c r="BK119" t="inlineStr">
        <is>
          <t>unknown</t>
        </is>
      </c>
      <c r="BL119" t="inlineStr">
        <is>
          <t>Vernon, CA</t>
        </is>
      </c>
      <c r="BM119" t="inlineStr">
        <is>
          <t>N</t>
        </is>
      </c>
      <c r="BN119" t="inlineStr">
        <is>
          <t>unknown</t>
        </is>
      </c>
      <c r="BO119" t="inlineStr">
        <is>
          <t>unknown</t>
        </is>
      </c>
      <c r="BP119" t="n">
        <v>10001</v>
      </c>
      <c r="BQ119" t="n">
        <v>40.743942</v>
      </c>
      <c r="BR119" t="n">
        <v>-73.988072</v>
      </c>
      <c r="BS119" t="inlineStr">
        <is>
          <t>Y</t>
        </is>
      </c>
      <c r="BT119" t="n">
        <v>0</v>
      </c>
      <c r="BU119" t="inlineStr">
        <is>
          <t>B-B-067</t>
        </is>
      </c>
      <c r="BV119" t="inlineStr">
        <is>
          <t>230 Fifth Avenue (New York MarketCenter, GFP Real Estate)</t>
        </is>
      </c>
      <c r="BW119" t="inlineStr">
        <is>
          <t>https://commercialobserver.com/2024/10/sl-home-fashions-lease-230-fifth-avenue/</t>
        </is>
      </c>
      <c r="BX119" t="inlineStr">
        <is>
          <t>2024-10-09</t>
        </is>
      </c>
      <c r="BY119" t="inlineStr">
        <is>
          <t>leasing-press</t>
        </is>
      </c>
      <c r="BZ119" t="inlineStr">
        <is>
          <t>https://slhomefashions.com/contact/</t>
        </is>
      </c>
      <c r="CA119" t="inlineStr">
        <is>
          <t>2026-10-23</t>
        </is>
      </c>
      <c r="CB119" t="inlineStr"/>
      <c r="CC119" t="inlineStr">
        <is>
          <t>high</t>
        </is>
      </c>
      <c r="CD119" t="inlineStr"/>
      <c r="CE119" t="inlineStr">
        <is>
          <t>N</t>
        </is>
      </c>
      <c r="CF119" t="inlineStr"/>
      <c r="CG119" t="inlineStr"/>
      <c r="CH119" t="inlineStr">
        <is>
          <t>unknown</t>
        </is>
      </c>
      <c r="CI119" t="inlineStr"/>
      <c r="CJ119" t="inlineStr">
        <is>
          <t>unknown</t>
        </is>
      </c>
      <c r="CK119" t="inlineStr">
        <is>
          <t>N</t>
        </is>
      </c>
      <c r="CL119" t="inlineStr">
        <is>
          <t>unknown</t>
        </is>
      </c>
      <c r="CM119" t="inlineStr"/>
      <c r="CN119" t="inlineStr"/>
      <c r="CO119" t="inlineStr">
        <is>
          <t>unknown</t>
        </is>
      </c>
      <c r="CP119" t="inlineStr"/>
      <c r="CQ119" t="inlineStr">
        <is>
          <t>No sourced headcount, so no Tuesday estimate; ask the Tuesday count at intake.</t>
        </is>
      </c>
      <c r="CR119" t="inlineStr">
        <is>
          <t>estimate until intake replaces it</t>
        </is>
      </c>
      <c r="CS119" t="inlineStr">
        <is>
          <t>unknown</t>
        </is>
      </c>
      <c r="CT119" t="n">
        <v>36</v>
      </c>
      <c r="CU119" t="n">
        <v>7</v>
      </c>
      <c r="CV119" t="n">
        <v>8</v>
      </c>
      <c r="CW119" t="n">
        <v>6</v>
      </c>
      <c r="CX119" t="n">
        <v>15</v>
      </c>
      <c r="CY119" t="n">
        <v>0</v>
      </c>
      <c r="CZ119" t="n">
        <v>0</v>
      </c>
      <c r="DA119" t="inlineStr"/>
      <c r="DB119" t="inlineStr"/>
      <c r="DC119" t="inlineStr"/>
      <c r="DD119" t="inlineStr"/>
      <c r="DE119" t="inlineStr"/>
      <c r="DF119" t="inlineStr">
        <is>
          <t>none</t>
        </is>
      </c>
      <c r="DG119" t="inlineStr">
        <is>
          <t>candidate</t>
        </is>
      </c>
      <c r="DH119" t="inlineStr"/>
      <c r="DI119" t="inlineStr"/>
      <c r="DJ119" t="inlineStr">
        <is>
          <t>10,176 sf</t>
        </is>
      </c>
      <c r="DK119" t="inlineStr">
        <is>
          <t>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DL119" t="inlineStr"/>
      <c r="DM119" t="inlineStr"/>
      <c r="DN119" t="inlineStr"/>
      <c r="DO119" t="inlineStr"/>
      <c r="DP119" t="inlineStr"/>
      <c r="DQ119" t="inlineStr"/>
      <c r="DR119" t="inlineStr"/>
      <c r="DS119" t="inlineStr">
        <is>
          <t>none</t>
        </is>
      </c>
      <c r="DT119" t="inlineStr"/>
      <c r="DU119" t="inlineStr"/>
      <c r="DV119" t="inlineStr"/>
      <c r="DW119" t="inlineStr"/>
      <c r="DX119" t="inlineStr">
        <is>
          <t>N</t>
        </is>
      </c>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f>IF(ISNUMBER(MATCH(U119,{"queued","contacted","replied","call_booked","call_done","yes_in_principle","materials_sent"},0)),"Y","N")</f>
        <v/>
      </c>
      <c r="ES119">
        <f>IF(COUNTIFS($AP$2:$AP$1000,AP119,$ER$2:$ER$1000,"Y")+COUNTIFS($AP$2:$AP$1000,AP119,$T$2:$T$1000,"Y")&gt;0,"Y","N")</f>
        <v/>
      </c>
      <c r="ET119">
        <f>IF(AND(U119="new",T119="N",AT119="Y",AS119="",ES119="N"),"Y","N")</f>
        <v/>
      </c>
      <c r="EU119">
        <f>IF(ET119&lt;&gt;"Y","N",IF(COUNTIFS($AP$2:$AP$1000,AP119,$ET$2:$ET$1000,"Y",$J$2:$J$1000,"&gt;"&amp;J119)+COUNTIFS($AP$2:$AP$1000,AP119,$ET$2:$ET$1000,"Y",$J$2:$J$1000,J119,$EW$2:$EW$1000,"&lt;"&amp;EW119)=0,"Y","N"))</f>
        <v/>
      </c>
      <c r="EV119">
        <f>IF(Y119="","N",IF(Y119&lt;=10,"Y","N"))</f>
        <v/>
      </c>
      <c r="EW119">
        <f>ROW()-1</f>
        <v/>
      </c>
    </row>
    <row r="120">
      <c r="A120" t="inlineStr">
        <is>
          <t>AO-C-011</t>
        </is>
      </c>
      <c r="B120" t="inlineStr">
        <is>
          <t>Senator Investment Group</t>
        </is>
      </c>
      <c r="C120" t="inlineStr"/>
      <c r="D120" t="inlineStr"/>
      <c r="E120" t="inlineStr"/>
      <c r="F120" t="inlineStr"/>
      <c r="G120" t="inlineStr"/>
      <c r="H120" t="inlineStr">
        <is>
          <t>none</t>
        </is>
      </c>
      <c r="I120" t="inlineStr">
        <is>
          <t>linkedin</t>
        </is>
      </c>
      <c r="J120" t="n">
        <v>36</v>
      </c>
      <c r="K120" t="inlineStr">
        <is>
          <t>Tuesday headcount unknown (no sourced count), company size unknown, no attendance signal, occupied at a high-confidence address; contacts not researched yet (below the top 50).</t>
        </is>
      </c>
      <c r="L120" t="inlineStr">
        <is>
          <t>unknown</t>
        </is>
      </c>
      <c r="M120" t="inlineStr"/>
      <c r="N120" t="inlineStr"/>
      <c r="O120" t="inlineStr"/>
      <c r="P120" t="inlineStr"/>
      <c r="Q120" t="inlineStr"/>
      <c r="R120" t="inlineStr">
        <is>
          <t>N</t>
        </is>
      </c>
      <c r="S120" t="inlineStr">
        <is>
          <t>unknown</t>
        </is>
      </c>
      <c r="T120" t="inlineStr">
        <is>
          <t>N</t>
        </is>
      </c>
      <c r="U120" t="inlineStr">
        <is>
          <t>new</t>
        </is>
      </c>
      <c r="V120" t="inlineStr">
        <is>
          <t>https://www.senatorlp.com/</t>
        </is>
      </c>
      <c r="W120" t="inlineStr">
        <is>
          <t>2026-10-23</t>
        </is>
      </c>
      <c r="X120" t="inlineStr">
        <is>
          <t>office</t>
        </is>
      </c>
      <c r="Y120" t="inlineStr"/>
      <c r="Z120" t="n">
        <v>119</v>
      </c>
      <c r="AA120" t="inlineStr">
        <is>
          <t>N</t>
        </is>
      </c>
      <c r="AB120" t="inlineStr"/>
      <c r="AC120" t="inlineStr"/>
      <c r="AD120" t="inlineStr">
        <is>
          <t>none</t>
        </is>
      </c>
      <c r="AE120" t="inlineStr"/>
      <c r="AF120" t="inlineStr"/>
      <c r="AG120" t="inlineStr"/>
      <c r="AH120" t="inlineStr">
        <is>
          <t>none</t>
        </is>
      </c>
      <c r="AI120" t="inlineStr">
        <is>
          <t>124 East 14th Street</t>
        </is>
      </c>
      <c r="AJ120" t="n">
        <v>20</v>
      </c>
      <c r="AK120" t="inlineStr">
        <is>
          <t>occupied</t>
        </is>
      </c>
      <c r="AL120" t="inlineStr">
        <is>
          <t>unknown</t>
        </is>
      </c>
      <c r="AM120" t="inlineStr">
        <is>
          <t>unknown</t>
        </is>
      </c>
      <c r="AN120" t="inlineStr">
        <is>
          <t>none</t>
        </is>
      </c>
      <c r="AO120" t="inlineStr">
        <is>
          <t>unknown</t>
        </is>
      </c>
      <c r="AP120" t="inlineStr">
        <is>
          <t>AO-C-011</t>
        </is>
      </c>
      <c r="AQ120" t="inlineStr">
        <is>
          <t>N</t>
        </is>
      </c>
      <c r="AR120" t="inlineStr"/>
      <c r="AS120" t="inlineStr"/>
      <c r="AT120" t="inlineStr">
        <is>
          <t>N</t>
        </is>
      </c>
      <c r="AU120" t="inlineStr">
        <is>
          <t>no contact named on an opened page</t>
        </is>
      </c>
      <c r="AV120" t="inlineStr"/>
      <c r="AW120" t="inlineStr">
        <is>
          <t>N</t>
        </is>
      </c>
      <c r="AX120" t="inlineStr">
        <is>
          <t>pass</t>
        </is>
      </c>
      <c r="AY120" t="inlineStr">
        <is>
          <t>passes all hard gates</t>
        </is>
      </c>
      <c r="AZ120" t="inlineStr">
        <is>
          <t>company</t>
        </is>
      </c>
      <c r="BA120" t="inlineStr">
        <is>
          <t>B-C-011</t>
        </is>
      </c>
      <c r="BB120" t="inlineStr">
        <is>
          <t>https://www.senatorlp.com</t>
        </is>
      </c>
      <c r="BC120" t="inlineStr">
        <is>
          <t>investment management (hedge fund)</t>
        </is>
      </c>
      <c r="BD120" t="inlineStr">
        <is>
          <t>unknown</t>
        </is>
      </c>
      <c r="BE120" t="inlineStr"/>
      <c r="BF120" t="inlineStr">
        <is>
          <t>unknown</t>
        </is>
      </c>
      <c r="BG120" t="inlineStr">
        <is>
          <t>unknown</t>
        </is>
      </c>
      <c r="BH120" t="inlineStr">
        <is>
          <t>no-count</t>
        </is>
      </c>
      <c r="BI120" t="inlineStr"/>
      <c r="BJ120" t="inlineStr"/>
      <c r="BK120" t="inlineStr">
        <is>
          <t>unknown</t>
        </is>
      </c>
      <c r="BL120" t="inlineStr">
        <is>
          <t>unknown</t>
        </is>
      </c>
      <c r="BM120" t="inlineStr">
        <is>
          <t>unknown</t>
        </is>
      </c>
      <c r="BN120" t="inlineStr">
        <is>
          <t>unknown</t>
        </is>
      </c>
      <c r="BO120" t="inlineStr">
        <is>
          <t>unknown</t>
        </is>
      </c>
      <c r="BP120" t="n">
        <v>10003</v>
      </c>
      <c r="BQ120" t="n">
        <v>40.733674</v>
      </c>
      <c r="BR120" t="n">
        <v>-73.988766</v>
      </c>
      <c r="BS120" t="inlineStr">
        <is>
          <t>Y</t>
        </is>
      </c>
      <c r="BT120" t="n">
        <v>0</v>
      </c>
      <c r="BU120" t="inlineStr">
        <is>
          <t>B-B-002</t>
        </is>
      </c>
      <c r="BV120" t="inlineStr">
        <is>
          <t>Zero Irving</t>
        </is>
      </c>
      <c r="BW120" t="inlineStr">
        <is>
          <t>https://www.senatorlp.com/</t>
        </is>
      </c>
      <c r="BX120" t="inlineStr">
        <is>
          <t>2026-10-24</t>
        </is>
      </c>
      <c r="BY120" t="inlineStr">
        <is>
          <t>company-site</t>
        </is>
      </c>
      <c r="BZ120" t="inlineStr">
        <is>
          <t>https://commercialobserver.com/2024/08/senator-investment-group-lease-zero-irving/</t>
        </is>
      </c>
      <c r="CA120" t="inlineStr">
        <is>
          <t>2024-08</t>
        </is>
      </c>
      <c r="CB120" t="inlineStr"/>
      <c r="CC120" t="inlineStr">
        <is>
          <t>high</t>
        </is>
      </c>
      <c r="CD120" t="inlineStr"/>
      <c r="CE120" t="inlineStr">
        <is>
          <t>N</t>
        </is>
      </c>
      <c r="CF120" t="inlineStr"/>
      <c r="CG120" t="inlineStr"/>
      <c r="CH120" t="inlineStr">
        <is>
          <t>unknown</t>
        </is>
      </c>
      <c r="CI120" t="inlineStr"/>
      <c r="CJ120" t="inlineStr">
        <is>
          <t>unknown</t>
        </is>
      </c>
      <c r="CK120" t="inlineStr">
        <is>
          <t>N</t>
        </is>
      </c>
      <c r="CL120" t="inlineStr">
        <is>
          <t>unknown</t>
        </is>
      </c>
      <c r="CM120" t="inlineStr"/>
      <c r="CN120" t="inlineStr"/>
      <c r="CO120" t="inlineStr">
        <is>
          <t>unknown</t>
        </is>
      </c>
      <c r="CP120" t="inlineStr"/>
      <c r="CQ120" t="inlineStr">
        <is>
          <t>No sourced headcount, so no Tuesday estimate; ask the Tuesday count at intake.</t>
        </is>
      </c>
      <c r="CR120" t="inlineStr">
        <is>
          <t>estimate until intake replaces it</t>
        </is>
      </c>
      <c r="CS120" t="inlineStr">
        <is>
          <t>unknown</t>
        </is>
      </c>
      <c r="CT120" t="n">
        <v>36</v>
      </c>
      <c r="CU120" t="n">
        <v>7</v>
      </c>
      <c r="CV120" t="n">
        <v>8</v>
      </c>
      <c r="CW120" t="n">
        <v>6</v>
      </c>
      <c r="CX120" t="n">
        <v>15</v>
      </c>
      <c r="CY120" t="n">
        <v>0</v>
      </c>
      <c r="CZ120" t="n">
        <v>0</v>
      </c>
      <c r="DA120" t="inlineStr"/>
      <c r="DB120" t="inlineStr"/>
      <c r="DC120" t="inlineStr"/>
      <c r="DD120" t="inlineStr"/>
      <c r="DE120" t="inlineStr"/>
      <c r="DF120" t="inlineStr">
        <is>
          <t>none</t>
        </is>
      </c>
      <c r="DG120" t="inlineStr">
        <is>
          <t>candidate</t>
        </is>
      </c>
      <c r="DH120" t="inlineStr"/>
      <c r="DI120" t="inlineStr"/>
      <c r="DJ120" t="inlineStr">
        <is>
          <t>12,455 sf;240,000 sf</t>
        </is>
      </c>
      <c r="DK120" t="inlineStr">
        <is>
          <t>Site: '124 E. 14th Street 20th Floor New York, NY 10003'. CO 2024-08: 12,455 sf lease that filled the 240,000 sf building. Headcount not found. Margin: south side of 14th between Irving Pl and Third Ave.</t>
        </is>
      </c>
      <c r="DL120" t="inlineStr"/>
      <c r="DM120" t="inlineStr"/>
      <c r="DN120" t="inlineStr"/>
      <c r="DO120" t="inlineStr"/>
      <c r="DP120" t="inlineStr"/>
      <c r="DQ120" t="inlineStr"/>
      <c r="DR120" t="inlineStr"/>
      <c r="DS120" t="inlineStr">
        <is>
          <t>none</t>
        </is>
      </c>
      <c r="DT120" t="inlineStr"/>
      <c r="DU120" t="inlineStr"/>
      <c r="DV120" t="inlineStr"/>
      <c r="DW120" t="inlineStr"/>
      <c r="DX120" t="inlineStr">
        <is>
          <t>N</t>
        </is>
      </c>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f>IF(ISNUMBER(MATCH(U120,{"queued","contacted","replied","call_booked","call_done","yes_in_principle","materials_sent"},0)),"Y","N")</f>
        <v/>
      </c>
      <c r="ES120">
        <f>IF(COUNTIFS($AP$2:$AP$1000,AP120,$ER$2:$ER$1000,"Y")+COUNTIFS($AP$2:$AP$1000,AP120,$T$2:$T$1000,"Y")&gt;0,"Y","N")</f>
        <v/>
      </c>
      <c r="ET120">
        <f>IF(AND(U120="new",T120="N",AT120="Y",AS120="",ES120="N"),"Y","N")</f>
        <v/>
      </c>
      <c r="EU120">
        <f>IF(ET120&lt;&gt;"Y","N",IF(COUNTIFS($AP$2:$AP$1000,AP120,$ET$2:$ET$1000,"Y",$J$2:$J$1000,"&gt;"&amp;J120)+COUNTIFS($AP$2:$AP$1000,AP120,$ET$2:$ET$1000,"Y",$J$2:$J$1000,J120,$EW$2:$EW$1000,"&lt;"&amp;EW120)=0,"Y","N"))</f>
        <v/>
      </c>
      <c r="EV120">
        <f>IF(Y120="","N",IF(Y120&lt;=10,"Y","N"))</f>
        <v/>
      </c>
      <c r="EW120">
        <f>ROW()-1</f>
        <v/>
      </c>
    </row>
    <row r="121">
      <c r="A121" t="inlineStr">
        <is>
          <t>AO-C-116</t>
        </is>
      </c>
      <c r="B121" t="inlineStr">
        <is>
          <t>TenBerke (formerly Deborah Berke Partners)</t>
        </is>
      </c>
      <c r="C121" t="inlineStr"/>
      <c r="D121" t="inlineStr"/>
      <c r="E121" t="inlineStr"/>
      <c r="F121" t="inlineStr"/>
      <c r="G121" t="inlineStr"/>
      <c r="H121" t="inlineStr">
        <is>
          <t>none</t>
        </is>
      </c>
      <c r="I121" t="inlineStr">
        <is>
          <t>linkedin</t>
        </is>
      </c>
      <c r="J121" t="n">
        <v>36</v>
      </c>
      <c r="K121" t="inlineStr">
        <is>
          <t>Tuesday headcount unknown (no sourced count), company size unknown, no attendance signal, occupied at a high-confidence address; contacts not researched yet (below the top 50).</t>
        </is>
      </c>
      <c r="L121" t="inlineStr">
        <is>
          <t>unknown</t>
        </is>
      </c>
      <c r="M121" t="inlineStr"/>
      <c r="N121" t="inlineStr"/>
      <c r="O121" t="inlineStr"/>
      <c r="P121" t="inlineStr"/>
      <c r="Q121" t="inlineStr"/>
      <c r="R121" t="inlineStr">
        <is>
          <t>N</t>
        </is>
      </c>
      <c r="S121" t="inlineStr">
        <is>
          <t>unknown</t>
        </is>
      </c>
      <c r="T121" t="inlineStr">
        <is>
          <t>N</t>
        </is>
      </c>
      <c r="U121" t="inlineStr">
        <is>
          <t>new</t>
        </is>
      </c>
      <c r="V121" t="inlineStr">
        <is>
          <t>https://tenberke.com/contact/</t>
        </is>
      </c>
      <c r="W121" t="inlineStr">
        <is>
          <t>2026-10-23</t>
        </is>
      </c>
      <c r="X121" t="inlineStr">
        <is>
          <t>office</t>
        </is>
      </c>
      <c r="Y121" t="inlineStr"/>
      <c r="Z121" t="n">
        <v>120</v>
      </c>
      <c r="AA121" t="inlineStr">
        <is>
          <t>N</t>
        </is>
      </c>
      <c r="AB121" t="inlineStr"/>
      <c r="AC121" t="inlineStr"/>
      <c r="AD121" t="inlineStr">
        <is>
          <t>none</t>
        </is>
      </c>
      <c r="AE121" t="inlineStr"/>
      <c r="AF121" t="inlineStr"/>
      <c r="AG121" t="inlineStr"/>
      <c r="AH121" t="inlineStr">
        <is>
          <t>none</t>
        </is>
      </c>
      <c r="AI121" t="inlineStr">
        <is>
          <t>41 Madison Avenue</t>
        </is>
      </c>
      <c r="AJ121" t="n">
        <v>17</v>
      </c>
      <c r="AK121" t="inlineStr">
        <is>
          <t>occupied</t>
        </is>
      </c>
      <c r="AL121" t="inlineStr">
        <is>
          <t>unknown</t>
        </is>
      </c>
      <c r="AM121" t="inlineStr">
        <is>
          <t>unknown</t>
        </is>
      </c>
      <c r="AN121" t="inlineStr">
        <is>
          <t>none</t>
        </is>
      </c>
      <c r="AO121" t="inlineStr">
        <is>
          <t>unknown</t>
        </is>
      </c>
      <c r="AP121" t="inlineStr">
        <is>
          <t>AO-C-116</t>
        </is>
      </c>
      <c r="AQ121" t="inlineStr">
        <is>
          <t>N</t>
        </is>
      </c>
      <c r="AR121" t="inlineStr"/>
      <c r="AS121" t="inlineStr"/>
      <c r="AT121" t="inlineStr">
        <is>
          <t>N</t>
        </is>
      </c>
      <c r="AU121" t="inlineStr">
        <is>
          <t>no contact named on an opened page</t>
        </is>
      </c>
      <c r="AV121" t="inlineStr"/>
      <c r="AW121" t="inlineStr">
        <is>
          <t>N</t>
        </is>
      </c>
      <c r="AX121" t="inlineStr">
        <is>
          <t>pass</t>
        </is>
      </c>
      <c r="AY121" t="inlineStr">
        <is>
          <t>passes all hard gates</t>
        </is>
      </c>
      <c r="AZ121" t="inlineStr">
        <is>
          <t>company</t>
        </is>
      </c>
      <c r="BA121" t="inlineStr">
        <is>
          <t>B-C-116</t>
        </is>
      </c>
      <c r="BB121" t="inlineStr">
        <is>
          <t>https://tenberke.com</t>
        </is>
      </c>
      <c r="BC121" t="inlineStr">
        <is>
          <t>architecture</t>
        </is>
      </c>
      <c r="BD121" t="inlineStr">
        <is>
          <t>unknown</t>
        </is>
      </c>
      <c r="BE121" t="inlineStr"/>
      <c r="BF121" t="inlineStr">
        <is>
          <t>unknown</t>
        </is>
      </c>
      <c r="BG121" t="inlineStr">
        <is>
          <t>unknown</t>
        </is>
      </c>
      <c r="BH121" t="inlineStr">
        <is>
          <t>no-count</t>
        </is>
      </c>
      <c r="BI121" t="inlineStr"/>
      <c r="BJ121" t="inlineStr"/>
      <c r="BK121" t="inlineStr">
        <is>
          <t>unknown</t>
        </is>
      </c>
      <c r="BL121" t="inlineStr">
        <is>
          <t>unknown</t>
        </is>
      </c>
      <c r="BM121" t="inlineStr">
        <is>
          <t>unknown</t>
        </is>
      </c>
      <c r="BN121" t="inlineStr">
        <is>
          <t>unknown</t>
        </is>
      </c>
      <c r="BO121" t="inlineStr">
        <is>
          <t>unknown</t>
        </is>
      </c>
      <c r="BP121" t="n">
        <v>10010</v>
      </c>
      <c r="BQ121" t="n">
        <v>40.742477</v>
      </c>
      <c r="BR121" t="n">
        <v>-73.986608</v>
      </c>
      <c r="BS121" t="inlineStr">
        <is>
          <t>Y</t>
        </is>
      </c>
      <c r="BT121" t="n">
        <v>0</v>
      </c>
      <c r="BU121" t="inlineStr">
        <is>
          <t>B-B-057</t>
        </is>
      </c>
      <c r="BV121" t="inlineStr">
        <is>
          <t>41 Madison Avenue (Rudin)</t>
        </is>
      </c>
      <c r="BW121" t="inlineStr">
        <is>
          <t>https://tenberke.com/contact/</t>
        </is>
      </c>
      <c r="BX121" t="inlineStr">
        <is>
          <t>2026-10-23</t>
        </is>
      </c>
      <c r="BY121" t="inlineStr">
        <is>
          <t>company-site</t>
        </is>
      </c>
      <c r="BZ121" t="inlineStr">
        <is>
          <t>https://commercialobserver.com/2022/12/deborah-berke-takes-13k-sf-at-41-madison-avenue/</t>
        </is>
      </c>
      <c r="CA121" t="inlineStr">
        <is>
          <t>2022-12-20</t>
        </is>
      </c>
      <c r="CB121" t="inlineStr"/>
      <c r="CC121" t="inlineStr">
        <is>
          <t>high</t>
        </is>
      </c>
      <c r="CD121" t="inlineStr"/>
      <c r="CE121" t="inlineStr">
        <is>
          <t>N</t>
        </is>
      </c>
      <c r="CF121" t="inlineStr"/>
      <c r="CG121" t="inlineStr"/>
      <c r="CH121" t="inlineStr">
        <is>
          <t>security desk</t>
        </is>
      </c>
      <c r="CI121" t="inlineStr">
        <is>
          <t>https://www.metro-manhattan.com/buildings/41-madison-avenue-forty-one-madison-office-space/</t>
        </is>
      </c>
      <c r="CJ121" t="inlineStr">
        <is>
          <t>unknown</t>
        </is>
      </c>
      <c r="CK121" t="inlineStr">
        <is>
          <t>N</t>
        </is>
      </c>
      <c r="CL121" t="inlineStr">
        <is>
          <t>unknown</t>
        </is>
      </c>
      <c r="CM121" t="inlineStr"/>
      <c r="CN121" t="inlineStr"/>
      <c r="CO121" t="inlineStr">
        <is>
          <t>unknown</t>
        </is>
      </c>
      <c r="CP121" t="inlineStr"/>
      <c r="CQ121" t="inlineStr">
        <is>
          <t>No sourced headcount, so no Tuesday estimate; ask the Tuesday count at intake.</t>
        </is>
      </c>
      <c r="CR121" t="inlineStr">
        <is>
          <t>estimate until intake replaces it</t>
        </is>
      </c>
      <c r="CS121" t="inlineStr">
        <is>
          <t>unknown</t>
        </is>
      </c>
      <c r="CT121" t="n">
        <v>36</v>
      </c>
      <c r="CU121" t="n">
        <v>7</v>
      </c>
      <c r="CV121" t="n">
        <v>8</v>
      </c>
      <c r="CW121" t="n">
        <v>6</v>
      </c>
      <c r="CX121" t="n">
        <v>15</v>
      </c>
      <c r="CY121" t="n">
        <v>0</v>
      </c>
      <c r="CZ121" t="n">
        <v>0</v>
      </c>
      <c r="DA121" t="inlineStr"/>
      <c r="DB121" t="inlineStr"/>
      <c r="DC121" t="inlineStr"/>
      <c r="DD121" t="inlineStr"/>
      <c r="DE121" t="inlineStr"/>
      <c r="DF121" t="inlineStr">
        <is>
          <t>none</t>
        </is>
      </c>
      <c r="DG121" t="inlineStr">
        <is>
          <t>candidate</t>
        </is>
      </c>
      <c r="DH121" t="inlineStr"/>
      <c r="DI121" t="inlineStr"/>
      <c r="DJ121" t="inlineStr">
        <is>
          <t>13,331 sf</t>
        </is>
      </c>
      <c r="DK121" t="inlineStr">
        <is>
          <t>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is>
      </c>
      <c r="DL121" t="inlineStr"/>
      <c r="DM121" t="inlineStr"/>
      <c r="DN121" t="inlineStr"/>
      <c r="DO121" t="inlineStr"/>
      <c r="DP121" t="inlineStr"/>
      <c r="DQ121" t="inlineStr"/>
      <c r="DR121" t="inlineStr"/>
      <c r="DS121" t="inlineStr">
        <is>
          <t>none</t>
        </is>
      </c>
      <c r="DT121" t="inlineStr"/>
      <c r="DU121" t="inlineStr"/>
      <c r="DV121" t="inlineStr"/>
      <c r="DW121" t="inlineStr"/>
      <c r="DX121" t="inlineStr">
        <is>
          <t>N</t>
        </is>
      </c>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f>IF(ISNUMBER(MATCH(U121,{"queued","contacted","replied","call_booked","call_done","yes_in_principle","materials_sent"},0)),"Y","N")</f>
        <v/>
      </c>
      <c r="ES121">
        <f>IF(COUNTIFS($AP$2:$AP$1000,AP121,$ER$2:$ER$1000,"Y")+COUNTIFS($AP$2:$AP$1000,AP121,$T$2:$T$1000,"Y")&gt;0,"Y","N")</f>
        <v/>
      </c>
      <c r="ET121">
        <f>IF(AND(U121="new",T121="N",AT121="Y",AS121="",ES121="N"),"Y","N")</f>
        <v/>
      </c>
      <c r="EU121">
        <f>IF(ET121&lt;&gt;"Y","N",IF(COUNTIFS($AP$2:$AP$1000,AP121,$ET$2:$ET$1000,"Y",$J$2:$J$1000,"&gt;"&amp;J121)+COUNTIFS($AP$2:$AP$1000,AP121,$ET$2:$ET$1000,"Y",$J$2:$J$1000,J121,$EW$2:$EW$1000,"&lt;"&amp;EW121)=0,"Y","N"))</f>
        <v/>
      </c>
      <c r="EV121">
        <f>IF(Y121="","N",IF(Y121&lt;=10,"Y","N"))</f>
        <v/>
      </c>
      <c r="EW121">
        <f>ROW()-1</f>
        <v/>
      </c>
    </row>
    <row r="122">
      <c r="A122" t="inlineStr">
        <is>
          <t>AO-W-006</t>
        </is>
      </c>
      <c r="B122" t="inlineStr">
        <is>
          <t>The Malin Flatiron</t>
        </is>
      </c>
      <c r="C122" t="inlineStr"/>
      <c r="D122" t="inlineStr"/>
      <c r="E122" t="inlineStr"/>
      <c r="F122" t="inlineStr"/>
      <c r="G122" t="inlineStr"/>
      <c r="H122" t="inlineStr">
        <is>
          <t>none</t>
        </is>
      </c>
      <c r="I122" t="inlineStr">
        <is>
          <t>linkedin</t>
        </is>
      </c>
      <c r="J122" t="n">
        <v>36</v>
      </c>
      <c r="K122" t="inlineStr">
        <is>
          <t>Tuesday headcount unknown (no sourced count), coworking operator site (one office if it controls the pantry), no attendance signal, open at a high-confidence address; contacts not researched yet (below the top 50).</t>
        </is>
      </c>
      <c r="L122" t="inlineStr">
        <is>
          <t>unknown</t>
        </is>
      </c>
      <c r="M122" t="inlineStr"/>
      <c r="N122" t="inlineStr"/>
      <c r="O122" t="inlineStr"/>
      <c r="P122" t="inlineStr"/>
      <c r="Q122" t="inlineStr"/>
      <c r="R122" t="inlineStr">
        <is>
          <t>N</t>
        </is>
      </c>
      <c r="S122" t="inlineStr">
        <is>
          <t>unknown</t>
        </is>
      </c>
      <c r="T122" t="inlineStr">
        <is>
          <t>N</t>
        </is>
      </c>
      <c r="U122" t="inlineStr">
        <is>
          <t>new</t>
        </is>
      </c>
      <c r="V122" t="inlineStr">
        <is>
          <t>https://rebusinessonline.com/the-malin-opens-32700-sf-coworking-space-in-manhattans-flatiron-district/</t>
        </is>
      </c>
      <c r="W122" t="inlineStr">
        <is>
          <t>2026-10-23</t>
        </is>
      </c>
      <c r="X122" t="inlineStr">
        <is>
          <t>office</t>
        </is>
      </c>
      <c r="Y122" t="inlineStr"/>
      <c r="Z122" t="n">
        <v>121</v>
      </c>
      <c r="AA122" t="inlineStr">
        <is>
          <t>N</t>
        </is>
      </c>
      <c r="AB122" t="inlineStr"/>
      <c r="AC122" t="inlineStr"/>
      <c r="AD122" t="inlineStr">
        <is>
          <t>none</t>
        </is>
      </c>
      <c r="AE122" t="inlineStr"/>
      <c r="AF122" t="inlineStr"/>
      <c r="AG122" t="inlineStr"/>
      <c r="AH122" t="inlineStr">
        <is>
          <t>none</t>
        </is>
      </c>
      <c r="AI122" t="inlineStr">
        <is>
          <t>895 Broadway, 5th Floor, New York, NY 10003</t>
        </is>
      </c>
      <c r="AJ122" t="inlineStr">
        <is>
          <t>5th Floor</t>
        </is>
      </c>
      <c r="AK122" t="inlineStr">
        <is>
          <t>open</t>
        </is>
      </c>
      <c r="AL122" t="inlineStr">
        <is>
          <t>unknown</t>
        </is>
      </c>
      <c r="AM122" t="inlineStr">
        <is>
          <t>unknown</t>
        </is>
      </c>
      <c r="AN122" t="inlineStr">
        <is>
          <t>none</t>
        </is>
      </c>
      <c r="AO122" t="inlineStr">
        <is>
          <t>unknown</t>
        </is>
      </c>
      <c r="AP122" t="inlineStr">
        <is>
          <t>grp-W006-W017</t>
        </is>
      </c>
      <c r="AQ122" t="inlineStr">
        <is>
          <t>N</t>
        </is>
      </c>
      <c r="AR122" t="inlineStr"/>
      <c r="AS122" t="inlineStr"/>
      <c r="AT122" t="inlineStr">
        <is>
          <t>N</t>
        </is>
      </c>
      <c r="AU122" t="inlineStr">
        <is>
          <t>no contact named on an opened page</t>
        </is>
      </c>
      <c r="AV122" t="inlineStr"/>
      <c r="AW122" t="inlineStr">
        <is>
          <t>N</t>
        </is>
      </c>
      <c r="AX122" t="inlineStr">
        <is>
          <t>pass</t>
        </is>
      </c>
      <c r="AY122" t="inlineStr">
        <is>
          <t>passes all hard gates</t>
        </is>
      </c>
      <c r="AZ122" t="inlineStr">
        <is>
          <t>coworking-operator</t>
        </is>
      </c>
      <c r="BA122" t="inlineStr">
        <is>
          <t>B-W-006</t>
        </is>
      </c>
      <c r="BB122" t="inlineStr">
        <is>
          <t>https://rebusinessonline.com</t>
        </is>
      </c>
      <c r="BC122" t="inlineStr">
        <is>
          <t>coworking operator</t>
        </is>
      </c>
      <c r="BD122" t="inlineStr">
        <is>
          <t>unknown</t>
        </is>
      </c>
      <c r="BE122" t="inlineStr"/>
      <c r="BF122" t="inlineStr">
        <is>
          <t>unknown</t>
        </is>
      </c>
      <c r="BG122" t="inlineStr">
        <is>
          <t>unknown</t>
        </is>
      </c>
      <c r="BH122" t="inlineStr"/>
      <c r="BI122" t="inlineStr"/>
      <c r="BJ122" t="inlineStr"/>
      <c r="BK122" t="inlineStr">
        <is>
          <t>unknown</t>
        </is>
      </c>
      <c r="BL122" t="inlineStr">
        <is>
          <t>n/a (operator site)</t>
        </is>
      </c>
      <c r="BM122" t="inlineStr">
        <is>
          <t>unknown</t>
        </is>
      </c>
      <c r="BN122" t="inlineStr">
        <is>
          <t>The Malin</t>
        </is>
      </c>
      <c r="BO122" t="inlineStr"/>
      <c r="BP122" t="n">
        <v>10003</v>
      </c>
      <c r="BQ122" t="n">
        <v>40.739015</v>
      </c>
      <c r="BR122" t="n">
        <v>-73.989998</v>
      </c>
      <c r="BS122" t="inlineStr">
        <is>
          <t>Y</t>
        </is>
      </c>
      <c r="BT122" t="n">
        <v>0</v>
      </c>
      <c r="BU122" t="inlineStr">
        <is>
          <t>B-B-027</t>
        </is>
      </c>
      <c r="BV122" t="inlineStr">
        <is>
          <t>Equinox Building</t>
        </is>
      </c>
      <c r="BW122" t="inlineStr">
        <is>
          <t>https://rebusinessonline.com/the-malin-opens-32700-sf-coworking-space-in-manhattans-flatiron-district/</t>
        </is>
      </c>
      <c r="BX122" t="inlineStr">
        <is>
          <t>2025-06-19</t>
        </is>
      </c>
      <c r="BY122" t="inlineStr">
        <is>
          <t>operator-site</t>
        </is>
      </c>
      <c r="BZ122" t="inlineStr">
        <is>
          <t>https://commercialobserver.com/2024/11/the-malin-lease-895-broadway</t>
        </is>
      </c>
      <c r="CA122" t="inlineStr"/>
      <c r="CB122" t="inlineStr"/>
      <c r="CC122" t="inlineStr">
        <is>
          <t>high</t>
        </is>
      </c>
      <c r="CD122" t="inlineStr"/>
      <c r="CE122" t="inlineStr">
        <is>
          <t>N</t>
        </is>
      </c>
      <c r="CF122" t="inlineStr">
        <is>
          <t>B-W-006</t>
        </is>
      </c>
      <c r="CG122" t="inlineStr">
        <is>
          <t>operator</t>
        </is>
      </c>
      <c r="CH122" t="inlineStr">
        <is>
          <t>unknown</t>
        </is>
      </c>
      <c r="CI122" t="inlineStr"/>
      <c r="CJ122" t="inlineStr">
        <is>
          <t>unknown</t>
        </is>
      </c>
      <c r="CK122" t="inlineStr">
        <is>
          <t>N</t>
        </is>
      </c>
      <c r="CL122" t="inlineStr">
        <is>
          <t>unknown</t>
        </is>
      </c>
      <c r="CM122" t="inlineStr"/>
      <c r="CN122" t="inlineStr"/>
      <c r="CO122" t="inlineStr">
        <is>
          <t>unknown</t>
        </is>
      </c>
      <c r="CP122" t="inlineStr"/>
      <c r="CQ122" t="inlineStr">
        <is>
          <t>Coworking site: member headcount not sourced; treat as one office if the operator controls the pantry and ask the Tuesday count at intake.</t>
        </is>
      </c>
      <c r="CR122" t="inlineStr">
        <is>
          <t>estimate until intake replaces it</t>
        </is>
      </c>
      <c r="CS122" t="inlineStr">
        <is>
          <t>unknown</t>
        </is>
      </c>
      <c r="CT122" t="n">
        <v>36</v>
      </c>
      <c r="CU122" t="n">
        <v>7</v>
      </c>
      <c r="CV122" t="n">
        <v>8</v>
      </c>
      <c r="CW122" t="n">
        <v>6</v>
      </c>
      <c r="CX122" t="n">
        <v>15</v>
      </c>
      <c r="CY122" t="n">
        <v>0</v>
      </c>
      <c r="CZ122" t="n">
        <v>0</v>
      </c>
      <c r="DA122" t="inlineStr"/>
      <c r="DB122" t="inlineStr"/>
      <c r="DC122" t="inlineStr"/>
      <c r="DD122" t="inlineStr"/>
      <c r="DE122" t="inlineStr"/>
      <c r="DF122" t="inlineStr">
        <is>
          <t>none</t>
        </is>
      </c>
      <c r="DG122" t="inlineStr">
        <is>
          <t>coworking-operator</t>
        </is>
      </c>
      <c r="DH122" t="inlineStr"/>
      <c r="DI122" t="inlineStr"/>
      <c r="DJ122" t="inlineStr"/>
      <c r="DK122" t="inlineStr">
        <is>
          <t>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is>
      </c>
      <c r="DL122" t="inlineStr"/>
      <c r="DM122" t="inlineStr"/>
      <c r="DN122" t="inlineStr"/>
      <c r="DO122" t="inlineStr"/>
      <c r="DP122" t="inlineStr"/>
      <c r="DQ122" t="inlineStr"/>
      <c r="DR122" t="inlineStr"/>
      <c r="DS122" t="inlineStr">
        <is>
          <t>none</t>
        </is>
      </c>
      <c r="DT122" t="inlineStr"/>
      <c r="DU122" t="inlineStr"/>
      <c r="DV122" t="inlineStr"/>
      <c r="DW122" t="inlineStr"/>
      <c r="DX122" t="inlineStr">
        <is>
          <t>N</t>
        </is>
      </c>
      <c r="DY122" t="inlineStr"/>
      <c r="DZ122" t="inlineStr">
        <is>
          <t>parent 'the malin' shared with AO-W-017</t>
        </is>
      </c>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f>IF(ISNUMBER(MATCH(U122,{"queued","contacted","replied","call_booked","call_done","yes_in_principle","materials_sent"},0)),"Y","N")</f>
        <v/>
      </c>
      <c r="ES122">
        <f>IF(COUNTIFS($AP$2:$AP$1000,AP122,$ER$2:$ER$1000,"Y")+COUNTIFS($AP$2:$AP$1000,AP122,$T$2:$T$1000,"Y")&gt;0,"Y","N")</f>
        <v/>
      </c>
      <c r="ET122">
        <f>IF(AND(U122="new",T122="N",AT122="Y",AS122="",ES122="N"),"Y","N")</f>
        <v/>
      </c>
      <c r="EU122">
        <f>IF(ET122&lt;&gt;"Y","N",IF(COUNTIFS($AP$2:$AP$1000,AP122,$ET$2:$ET$1000,"Y",$J$2:$J$1000,"&gt;"&amp;J122)+COUNTIFS($AP$2:$AP$1000,AP122,$ET$2:$ET$1000,"Y",$J$2:$J$1000,J122,$EW$2:$EW$1000,"&lt;"&amp;EW122)=0,"Y","N"))</f>
        <v/>
      </c>
      <c r="EV122">
        <f>IF(Y122="","N",IF(Y122&lt;=10,"Y","N"))</f>
        <v/>
      </c>
      <c r="EW122">
        <f>ROW()-1</f>
        <v/>
      </c>
    </row>
    <row r="123">
      <c r="A123" t="inlineStr">
        <is>
          <t>AO-W-017</t>
        </is>
      </c>
      <c r="B123" t="inlineStr">
        <is>
          <t>The Malin NoMad</t>
        </is>
      </c>
      <c r="C123" t="inlineStr"/>
      <c r="D123" t="inlineStr"/>
      <c r="E123" t="inlineStr"/>
      <c r="F123" t="inlineStr"/>
      <c r="G123" t="inlineStr"/>
      <c r="H123" t="inlineStr">
        <is>
          <t>none</t>
        </is>
      </c>
      <c r="I123" t="inlineStr">
        <is>
          <t>linkedin</t>
        </is>
      </c>
      <c r="J123" t="n">
        <v>36</v>
      </c>
      <c r="K123" t="inlineStr">
        <is>
          <t>Tuesday headcount unknown (no sourced count), coworking operator site (one office if it controls the pantry), no attendance signal, open at a high-confidence address; contacts not researched yet (below the top 50).</t>
        </is>
      </c>
      <c r="L123" t="inlineStr">
        <is>
          <t>unknown</t>
        </is>
      </c>
      <c r="M123" t="inlineStr"/>
      <c r="N123" t="inlineStr"/>
      <c r="O123" t="inlineStr"/>
      <c r="P123" t="inlineStr"/>
      <c r="Q123" t="inlineStr"/>
      <c r="R123" t="inlineStr">
        <is>
          <t>N</t>
        </is>
      </c>
      <c r="S123" t="inlineStr">
        <is>
          <t>unknown</t>
        </is>
      </c>
      <c r="T123" t="inlineStr">
        <is>
          <t>N</t>
        </is>
      </c>
      <c r="U123" t="inlineStr">
        <is>
          <t>new</t>
        </is>
      </c>
      <c r="V123" t="inlineStr">
        <is>
          <t>https://commercialobserver.com/2024/11/the-malin-lease-895-broadway</t>
        </is>
      </c>
      <c r="W123" t="inlineStr">
        <is>
          <t>2026-10-23</t>
        </is>
      </c>
      <c r="X123" t="inlineStr">
        <is>
          <t>office</t>
        </is>
      </c>
      <c r="Y123" t="inlineStr"/>
      <c r="Z123" t="n">
        <v>122</v>
      </c>
      <c r="AA123" t="inlineStr">
        <is>
          <t>N</t>
        </is>
      </c>
      <c r="AB123" t="inlineStr"/>
      <c r="AC123" t="inlineStr"/>
      <c r="AD123" t="inlineStr">
        <is>
          <t>none</t>
        </is>
      </c>
      <c r="AE123" t="inlineStr"/>
      <c r="AF123" t="inlineStr"/>
      <c r="AG123" t="inlineStr"/>
      <c r="AH123" t="inlineStr">
        <is>
          <t>none</t>
        </is>
      </c>
      <c r="AI123" t="inlineStr">
        <is>
          <t>387 Park Avenue South, 5th Floor, New York, NY 10016</t>
        </is>
      </c>
      <c r="AJ123" t="inlineStr">
        <is>
          <t>5th Floor</t>
        </is>
      </c>
      <c r="AK123" t="inlineStr">
        <is>
          <t>open</t>
        </is>
      </c>
      <c r="AL123" t="inlineStr">
        <is>
          <t>unknown</t>
        </is>
      </c>
      <c r="AM123" t="inlineStr">
        <is>
          <t>unknown</t>
        </is>
      </c>
      <c r="AN123" t="inlineStr">
        <is>
          <t>none</t>
        </is>
      </c>
      <c r="AO123" t="inlineStr">
        <is>
          <t>unknown</t>
        </is>
      </c>
      <c r="AP123" t="inlineStr">
        <is>
          <t>grp-W006-W017</t>
        </is>
      </c>
      <c r="AQ123" t="inlineStr">
        <is>
          <t>N</t>
        </is>
      </c>
      <c r="AR123" t="inlineStr"/>
      <c r="AS123" t="inlineStr"/>
      <c r="AT123" t="inlineStr">
        <is>
          <t>N</t>
        </is>
      </c>
      <c r="AU123" t="inlineStr">
        <is>
          <t>no contact named on an opened page</t>
        </is>
      </c>
      <c r="AV123" t="inlineStr"/>
      <c r="AW123" t="inlineStr">
        <is>
          <t>N</t>
        </is>
      </c>
      <c r="AX123" t="inlineStr">
        <is>
          <t>pass</t>
        </is>
      </c>
      <c r="AY123" t="inlineStr">
        <is>
          <t>passes all hard gates</t>
        </is>
      </c>
      <c r="AZ123" t="inlineStr">
        <is>
          <t>coworking-operator</t>
        </is>
      </c>
      <c r="BA123" t="inlineStr">
        <is>
          <t>B-W-017</t>
        </is>
      </c>
      <c r="BB123" t="inlineStr">
        <is>
          <t>https://commercialobserver.com</t>
        </is>
      </c>
      <c r="BC123" t="inlineStr">
        <is>
          <t>coworking operator</t>
        </is>
      </c>
      <c r="BD123" t="inlineStr">
        <is>
          <t>unknown</t>
        </is>
      </c>
      <c r="BE123" t="inlineStr"/>
      <c r="BF123" t="inlineStr">
        <is>
          <t>unknown</t>
        </is>
      </c>
      <c r="BG123" t="inlineStr">
        <is>
          <t>unknown</t>
        </is>
      </c>
      <c r="BH123" t="inlineStr"/>
      <c r="BI123" t="inlineStr"/>
      <c r="BJ123" t="inlineStr"/>
      <c r="BK123" t="inlineStr">
        <is>
          <t>unknown</t>
        </is>
      </c>
      <c r="BL123" t="inlineStr">
        <is>
          <t>n/a (operator site)</t>
        </is>
      </c>
      <c r="BM123" t="inlineStr">
        <is>
          <t>unknown</t>
        </is>
      </c>
      <c r="BN123" t="inlineStr">
        <is>
          <t>The Malin</t>
        </is>
      </c>
      <c r="BO123" t="inlineStr"/>
      <c r="BP123" t="n">
        <v>10016</v>
      </c>
      <c r="BQ123" t="n">
        <v>40.742833</v>
      </c>
      <c r="BR123" t="n">
        <v>-73.984174</v>
      </c>
      <c r="BS123" t="inlineStr">
        <is>
          <t>Y</t>
        </is>
      </c>
      <c r="BT123" t="n">
        <v>0</v>
      </c>
      <c r="BU123" t="inlineStr">
        <is>
          <t>B-B-073</t>
        </is>
      </c>
      <c r="BV123" t="inlineStr">
        <is>
          <t>387 Park Avenue South (TF Cornerstone)</t>
        </is>
      </c>
      <c r="BW123" t="inlineStr">
        <is>
          <t>https://commercialobserver.com/2024/11/the-malin-lease-895-broadway</t>
        </is>
      </c>
      <c r="BX123" t="inlineStr">
        <is>
          <t>2024-11-18</t>
        </is>
      </c>
      <c r="BY123" t="inlineStr">
        <is>
          <t>operator-site</t>
        </is>
      </c>
      <c r="BZ123" t="inlineStr">
        <is>
          <t>https://api.deskpass.com/api/spaces/the-malin-nomad</t>
        </is>
      </c>
      <c r="CA123" t="inlineStr"/>
      <c r="CB123" t="inlineStr"/>
      <c r="CC123" t="inlineStr">
        <is>
          <t>high</t>
        </is>
      </c>
      <c r="CD123" t="inlineStr"/>
      <c r="CE123" t="inlineStr">
        <is>
          <t>N</t>
        </is>
      </c>
      <c r="CF123" t="inlineStr">
        <is>
          <t>B-W-017</t>
        </is>
      </c>
      <c r="CG123" t="inlineStr">
        <is>
          <t>operator</t>
        </is>
      </c>
      <c r="CH123" t="inlineStr">
        <is>
          <t>unknown</t>
        </is>
      </c>
      <c r="CI123" t="inlineStr"/>
      <c r="CJ123" t="inlineStr">
        <is>
          <t>unknown</t>
        </is>
      </c>
      <c r="CK123" t="inlineStr">
        <is>
          <t>N</t>
        </is>
      </c>
      <c r="CL123" t="inlineStr">
        <is>
          <t>unknown</t>
        </is>
      </c>
      <c r="CM123" t="inlineStr"/>
      <c r="CN123" t="inlineStr"/>
      <c r="CO123" t="inlineStr">
        <is>
          <t>unknown</t>
        </is>
      </c>
      <c r="CP123" t="inlineStr"/>
      <c r="CQ123" t="inlineStr">
        <is>
          <t>Coworking site: member headcount not sourced; treat as one office if the operator controls the pantry and ask the Tuesday count at intake.</t>
        </is>
      </c>
      <c r="CR123" t="inlineStr">
        <is>
          <t>estimate until intake replaces it</t>
        </is>
      </c>
      <c r="CS123" t="inlineStr">
        <is>
          <t>unknown</t>
        </is>
      </c>
      <c r="CT123" t="n">
        <v>36</v>
      </c>
      <c r="CU123" t="n">
        <v>7</v>
      </c>
      <c r="CV123" t="n">
        <v>8</v>
      </c>
      <c r="CW123" t="n">
        <v>6</v>
      </c>
      <c r="CX123" t="n">
        <v>15</v>
      </c>
      <c r="CY123" t="n">
        <v>0</v>
      </c>
      <c r="CZ123" t="n">
        <v>0</v>
      </c>
      <c r="DA123" t="inlineStr"/>
      <c r="DB123" t="inlineStr"/>
      <c r="DC123" t="inlineStr"/>
      <c r="DD123" t="inlineStr"/>
      <c r="DE123" t="inlineStr"/>
      <c r="DF123" t="inlineStr">
        <is>
          <t>none</t>
        </is>
      </c>
      <c r="DG123" t="inlineStr">
        <is>
          <t>coworking-operator</t>
        </is>
      </c>
      <c r="DH123" t="inlineStr"/>
      <c r="DI123" t="inlineStr"/>
      <c r="DJ123" t="inlineStr"/>
      <c r="DK123" t="inlineStr">
        <is>
          <t>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is>
      </c>
      <c r="DL123" t="inlineStr"/>
      <c r="DM123" t="inlineStr"/>
      <c r="DN123" t="inlineStr"/>
      <c r="DO123" t="inlineStr"/>
      <c r="DP123" t="inlineStr"/>
      <c r="DQ123" t="inlineStr"/>
      <c r="DR123" t="inlineStr"/>
      <c r="DS123" t="inlineStr">
        <is>
          <t>none</t>
        </is>
      </c>
      <c r="DT123" t="inlineStr"/>
      <c r="DU123" t="inlineStr"/>
      <c r="DV123" t="inlineStr"/>
      <c r="DW123" t="inlineStr"/>
      <c r="DX123" t="inlineStr">
        <is>
          <t>N</t>
        </is>
      </c>
      <c r="DY123" t="inlineStr"/>
      <c r="DZ123" t="inlineStr">
        <is>
          <t>parent 'the malin' shared with AO-W-006</t>
        </is>
      </c>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f>IF(ISNUMBER(MATCH(U123,{"queued","contacted","replied","call_booked","call_done","yes_in_principle","materials_sent"},0)),"Y","N")</f>
        <v/>
      </c>
      <c r="ES123">
        <f>IF(COUNTIFS($AP$2:$AP$1000,AP123,$ER$2:$ER$1000,"Y")+COUNTIFS($AP$2:$AP$1000,AP123,$T$2:$T$1000,"Y")&gt;0,"Y","N")</f>
        <v/>
      </c>
      <c r="ET123">
        <f>IF(AND(U123="new",T123="N",AT123="Y",AS123="",ES123="N"),"Y","N")</f>
        <v/>
      </c>
      <c r="EU123">
        <f>IF(ET123&lt;&gt;"Y","N",IF(COUNTIFS($AP$2:$AP$1000,AP123,$ET$2:$ET$1000,"Y",$J$2:$J$1000,"&gt;"&amp;J123)+COUNTIFS($AP$2:$AP$1000,AP123,$ET$2:$ET$1000,"Y",$J$2:$J$1000,J123,$EW$2:$EW$1000,"&lt;"&amp;EW123)=0,"Y","N"))</f>
        <v/>
      </c>
      <c r="EV123">
        <f>IF(Y123="","N",IF(Y123&lt;=10,"Y","N"))</f>
        <v/>
      </c>
      <c r="EW123">
        <f>ROW()-1</f>
        <v/>
      </c>
    </row>
    <row r="124">
      <c r="A124" t="inlineStr">
        <is>
          <t>AO-C-008</t>
        </is>
      </c>
      <c r="B124" t="inlineStr">
        <is>
          <t>Union Square Hospitality Group</t>
        </is>
      </c>
      <c r="C124" t="inlineStr"/>
      <c r="D124" t="inlineStr"/>
      <c r="E124" t="inlineStr"/>
      <c r="F124" t="inlineStr"/>
      <c r="G124" t="inlineStr"/>
      <c r="H124" t="inlineStr">
        <is>
          <t>none</t>
        </is>
      </c>
      <c r="I124" t="inlineStr">
        <is>
          <t>linkedin</t>
        </is>
      </c>
      <c r="J124" t="n">
        <v>36</v>
      </c>
      <c r="K124" t="inlineStr">
        <is>
          <t>Tuesday headcount unknown (no sourced count), company size unknown, no attendance signal, occupied at a high-confidence address; contacts not researched yet (below the top 50).</t>
        </is>
      </c>
      <c r="L124" t="inlineStr">
        <is>
          <t>unknown</t>
        </is>
      </c>
      <c r="M124" t="inlineStr"/>
      <c r="N124" t="inlineStr"/>
      <c r="O124" t="inlineStr"/>
      <c r="P124" t="inlineStr"/>
      <c r="Q124" t="inlineStr"/>
      <c r="R124" t="inlineStr">
        <is>
          <t>N</t>
        </is>
      </c>
      <c r="S124" t="inlineStr">
        <is>
          <t>unknown</t>
        </is>
      </c>
      <c r="T124" t="inlineStr">
        <is>
          <t>N</t>
        </is>
      </c>
      <c r="U124" t="inlineStr">
        <is>
          <t>new</t>
        </is>
      </c>
      <c r="V124" t="inlineStr">
        <is>
          <t>https://www.ushg.com/contact</t>
        </is>
      </c>
      <c r="W124" t="inlineStr">
        <is>
          <t>2026-10-23</t>
        </is>
      </c>
      <c r="X124" t="inlineStr">
        <is>
          <t>office</t>
        </is>
      </c>
      <c r="Y124" t="inlineStr"/>
      <c r="Z124" t="n">
        <v>123</v>
      </c>
      <c r="AA124" t="inlineStr">
        <is>
          <t>N</t>
        </is>
      </c>
      <c r="AB124" t="inlineStr"/>
      <c r="AC124" t="inlineStr"/>
      <c r="AD124" t="inlineStr">
        <is>
          <t>none</t>
        </is>
      </c>
      <c r="AE124" t="inlineStr"/>
      <c r="AF124" t="inlineStr"/>
      <c r="AG124" t="inlineStr"/>
      <c r="AH124" t="inlineStr">
        <is>
          <t>none</t>
        </is>
      </c>
      <c r="AI124" t="inlineStr">
        <is>
          <t>853 Broadway</t>
        </is>
      </c>
      <c r="AJ124" t="n">
        <v>17</v>
      </c>
      <c r="AK124" t="inlineStr">
        <is>
          <t>occupied</t>
        </is>
      </c>
      <c r="AL124" t="inlineStr">
        <is>
          <t>unknown</t>
        </is>
      </c>
      <c r="AM124" t="inlineStr">
        <is>
          <t>unknown</t>
        </is>
      </c>
      <c r="AN124" t="inlineStr">
        <is>
          <t>none</t>
        </is>
      </c>
      <c r="AO124" t="inlineStr">
        <is>
          <t>unknown</t>
        </is>
      </c>
      <c r="AP124" t="inlineStr">
        <is>
          <t>AO-C-008</t>
        </is>
      </c>
      <c r="AQ124" t="inlineStr">
        <is>
          <t>N</t>
        </is>
      </c>
      <c r="AR124" t="inlineStr"/>
      <c r="AS124" t="inlineStr"/>
      <c r="AT124" t="inlineStr">
        <is>
          <t>N</t>
        </is>
      </c>
      <c r="AU124" t="inlineStr">
        <is>
          <t>no contact named on an opened page</t>
        </is>
      </c>
      <c r="AV124" t="inlineStr"/>
      <c r="AW124" t="inlineStr">
        <is>
          <t>N</t>
        </is>
      </c>
      <c r="AX124" t="inlineStr">
        <is>
          <t>pass</t>
        </is>
      </c>
      <c r="AY124" t="inlineStr">
        <is>
          <t>passes all hard gates</t>
        </is>
      </c>
      <c r="AZ124" t="inlineStr">
        <is>
          <t>company</t>
        </is>
      </c>
      <c r="BA124" t="inlineStr">
        <is>
          <t>B-C-008</t>
        </is>
      </c>
      <c r="BB124" t="inlineStr">
        <is>
          <t>https://www.ushg.com</t>
        </is>
      </c>
      <c r="BC124" t="inlineStr">
        <is>
          <t>hospitality (restaurant group corporate office)</t>
        </is>
      </c>
      <c r="BD124" t="inlineStr">
        <is>
          <t>unknown</t>
        </is>
      </c>
      <c r="BE124" t="inlineStr"/>
      <c r="BF124" t="inlineStr">
        <is>
          <t>unknown</t>
        </is>
      </c>
      <c r="BG124" t="inlineStr">
        <is>
          <t>unknown</t>
        </is>
      </c>
      <c r="BH124" t="inlineStr">
        <is>
          <t>no-count</t>
        </is>
      </c>
      <c r="BI124" t="inlineStr"/>
      <c r="BJ124" t="inlineStr"/>
      <c r="BK124" t="inlineStr">
        <is>
          <t>unknown</t>
        </is>
      </c>
      <c r="BL124" t="inlineStr">
        <is>
          <t>unknown</t>
        </is>
      </c>
      <c r="BM124" t="inlineStr">
        <is>
          <t>unknown</t>
        </is>
      </c>
      <c r="BN124" t="inlineStr">
        <is>
          <t>unknown</t>
        </is>
      </c>
      <c r="BO124" t="inlineStr">
        <is>
          <t>unknown</t>
        </is>
      </c>
      <c r="BP124" t="n">
        <v>10003</v>
      </c>
      <c r="BQ124" t="n">
        <v>40.734626</v>
      </c>
      <c r="BR124" t="n">
        <v>-73.9911</v>
      </c>
      <c r="BS124" t="inlineStr">
        <is>
          <t>Y</t>
        </is>
      </c>
      <c r="BT124" t="n">
        <v>0</v>
      </c>
      <c r="BU124" t="inlineStr">
        <is>
          <t>B-B-001</t>
        </is>
      </c>
      <c r="BV124" t="inlineStr">
        <is>
          <t>853 Broadway (Union Building)</t>
        </is>
      </c>
      <c r="BW124" t="inlineStr">
        <is>
          <t>https://www.ushg.com/contact</t>
        </is>
      </c>
      <c r="BX124" t="inlineStr">
        <is>
          <t>2026-10-23</t>
        </is>
      </c>
      <c r="BY124" t="inlineStr">
        <is>
          <t>company-site</t>
        </is>
      </c>
      <c r="BZ124" t="inlineStr">
        <is>
          <t>https://commercialobserver.com/2018/02/danny-meyers-union-square-hospitality-moving-within-union-square/</t>
        </is>
      </c>
      <c r="CA124" t="inlineStr">
        <is>
          <t>2018-02</t>
        </is>
      </c>
      <c r="CB124" t="inlineStr"/>
      <c r="CC124" t="inlineStr">
        <is>
          <t>high</t>
        </is>
      </c>
      <c r="CD124" t="inlineStr"/>
      <c r="CE124" t="inlineStr">
        <is>
          <t>N</t>
        </is>
      </c>
      <c r="CF124" t="inlineStr"/>
      <c r="CG124" t="inlineStr"/>
      <c r="CH124" t="inlineStr">
        <is>
          <t>security desk</t>
        </is>
      </c>
      <c r="CI124" t="inlineStr">
        <is>
          <t>https://853broadway.sharplaunch.com/</t>
        </is>
      </c>
      <c r="CJ124" t="inlineStr">
        <is>
          <t>unknown</t>
        </is>
      </c>
      <c r="CK124" t="inlineStr">
        <is>
          <t>N</t>
        </is>
      </c>
      <c r="CL124" t="inlineStr">
        <is>
          <t>unknown</t>
        </is>
      </c>
      <c r="CM124" t="inlineStr"/>
      <c r="CN124" t="inlineStr"/>
      <c r="CO124" t="inlineStr">
        <is>
          <t>unknown</t>
        </is>
      </c>
      <c r="CP124" t="inlineStr"/>
      <c r="CQ124" t="inlineStr">
        <is>
          <t>No sourced headcount, so no Tuesday estimate; ask the Tuesday count at intake.</t>
        </is>
      </c>
      <c r="CR124" t="inlineStr">
        <is>
          <t>estimate until intake replaces it</t>
        </is>
      </c>
      <c r="CS124" t="inlineStr">
        <is>
          <t>unknown</t>
        </is>
      </c>
      <c r="CT124" t="n">
        <v>36</v>
      </c>
      <c r="CU124" t="n">
        <v>7</v>
      </c>
      <c r="CV124" t="n">
        <v>8</v>
      </c>
      <c r="CW124" t="n">
        <v>6</v>
      </c>
      <c r="CX124" t="n">
        <v>15</v>
      </c>
      <c r="CY124" t="n">
        <v>0</v>
      </c>
      <c r="CZ124" t="n">
        <v>0</v>
      </c>
      <c r="DA124" t="inlineStr"/>
      <c r="DB124" t="inlineStr"/>
      <c r="DC124" t="inlineStr"/>
      <c r="DD124" t="inlineStr"/>
      <c r="DE124" t="inlineStr"/>
      <c r="DF124" t="inlineStr">
        <is>
          <t>none</t>
        </is>
      </c>
      <c r="DG124" t="inlineStr">
        <is>
          <t>candidate</t>
        </is>
      </c>
      <c r="DH124" t="inlineStr"/>
      <c r="DI124" t="inlineStr"/>
      <c r="DJ124" t="inlineStr">
        <is>
          <t>15,000 sf</t>
        </is>
      </c>
      <c r="DK124" t="inlineStr">
        <is>
          <t>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is>
      </c>
      <c r="DL124" t="inlineStr"/>
      <c r="DM124" t="inlineStr"/>
      <c r="DN124" t="inlineStr"/>
      <c r="DO124" t="inlineStr"/>
      <c r="DP124" t="inlineStr"/>
      <c r="DQ124" t="inlineStr"/>
      <c r="DR124" t="inlineStr"/>
      <c r="DS124" t="inlineStr">
        <is>
          <t>none</t>
        </is>
      </c>
      <c r="DT124" t="inlineStr"/>
      <c r="DU124" t="inlineStr"/>
      <c r="DV124" t="inlineStr"/>
      <c r="DW124" t="inlineStr"/>
      <c r="DX124" t="inlineStr">
        <is>
          <t>N</t>
        </is>
      </c>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f>IF(ISNUMBER(MATCH(U124,{"queued","contacted","replied","call_booked","call_done","yes_in_principle","materials_sent"},0)),"Y","N")</f>
        <v/>
      </c>
      <c r="ES124">
        <f>IF(COUNTIFS($AP$2:$AP$1000,AP124,$ER$2:$ER$1000,"Y")+COUNTIFS($AP$2:$AP$1000,AP124,$T$2:$T$1000,"Y")&gt;0,"Y","N")</f>
        <v/>
      </c>
      <c r="ET124">
        <f>IF(AND(U124="new",T124="N",AT124="Y",AS124="",ES124="N"),"Y","N")</f>
        <v/>
      </c>
      <c r="EU124">
        <f>IF(ET124&lt;&gt;"Y","N",IF(COUNTIFS($AP$2:$AP$1000,AP124,$ET$2:$ET$1000,"Y",$J$2:$J$1000,"&gt;"&amp;J124)+COUNTIFS($AP$2:$AP$1000,AP124,$ET$2:$ET$1000,"Y",$J$2:$J$1000,J124,$EW$2:$EW$1000,"&lt;"&amp;EW124)=0,"Y","N"))</f>
        <v/>
      </c>
      <c r="EV124">
        <f>IF(Y124="","N",IF(Y124&lt;=10,"Y","N"))</f>
        <v/>
      </c>
      <c r="EW124">
        <f>ROW()-1</f>
        <v/>
      </c>
    </row>
    <row r="125">
      <c r="A125" t="inlineStr">
        <is>
          <t>AO-C-073</t>
        </is>
      </c>
      <c r="B125" t="inlineStr">
        <is>
          <t>Vivaldi</t>
        </is>
      </c>
      <c r="C125" t="inlineStr"/>
      <c r="D125" t="inlineStr"/>
      <c r="E125" t="inlineStr"/>
      <c r="F125" t="inlineStr"/>
      <c r="G125" t="inlineStr"/>
      <c r="H125" t="inlineStr">
        <is>
          <t>none</t>
        </is>
      </c>
      <c r="I125" t="inlineStr">
        <is>
          <t>linkedin</t>
        </is>
      </c>
      <c r="J125" t="n">
        <v>36</v>
      </c>
      <c r="K125" t="inlineStr">
        <is>
          <t>Tuesday headcount unknown (no sourced count), company size unknown, no attendance signal, occupied at a high-confidence address; contacts not researched yet (below the top 50).</t>
        </is>
      </c>
      <c r="L125" t="inlineStr">
        <is>
          <t>unknown</t>
        </is>
      </c>
      <c r="M125" t="inlineStr"/>
      <c r="N125" t="inlineStr"/>
      <c r="O125" t="inlineStr"/>
      <c r="P125" t="inlineStr"/>
      <c r="Q125" t="inlineStr"/>
      <c r="R125" t="inlineStr">
        <is>
          <t>N</t>
        </is>
      </c>
      <c r="S125" t="inlineStr">
        <is>
          <t>unknown</t>
        </is>
      </c>
      <c r="T125" t="inlineStr">
        <is>
          <t>N</t>
        </is>
      </c>
      <c r="U125" t="inlineStr">
        <is>
          <t>new</t>
        </is>
      </c>
      <c r="V125" t="inlineStr">
        <is>
          <t>https://vivaldigroup.com/contact/</t>
        </is>
      </c>
      <c r="W125" t="inlineStr">
        <is>
          <t>2026-10-23</t>
        </is>
      </c>
      <c r="X125" t="inlineStr">
        <is>
          <t>office</t>
        </is>
      </c>
      <c r="Y125" t="inlineStr"/>
      <c r="Z125" t="n">
        <v>124</v>
      </c>
      <c r="AA125" t="inlineStr">
        <is>
          <t>N</t>
        </is>
      </c>
      <c r="AB125" t="inlineStr"/>
      <c r="AC125" t="inlineStr"/>
      <c r="AD125" t="inlineStr">
        <is>
          <t>none</t>
        </is>
      </c>
      <c r="AE125" t="inlineStr"/>
      <c r="AF125" t="inlineStr"/>
      <c r="AG125" t="inlineStr"/>
      <c r="AH125" t="inlineStr">
        <is>
          <t>none</t>
        </is>
      </c>
      <c r="AI125" t="inlineStr">
        <is>
          <t>30 West 21st Street</t>
        </is>
      </c>
      <c r="AJ125" t="n">
        <v>12</v>
      </c>
      <c r="AK125" t="inlineStr">
        <is>
          <t>occupied</t>
        </is>
      </c>
      <c r="AL125" t="inlineStr">
        <is>
          <t>unknown</t>
        </is>
      </c>
      <c r="AM125" t="inlineStr">
        <is>
          <t>unknown</t>
        </is>
      </c>
      <c r="AN125" t="inlineStr">
        <is>
          <t>none</t>
        </is>
      </c>
      <c r="AO125" t="inlineStr">
        <is>
          <t>unknown</t>
        </is>
      </c>
      <c r="AP125" t="inlineStr">
        <is>
          <t>AO-C-073</t>
        </is>
      </c>
      <c r="AQ125" t="inlineStr">
        <is>
          <t>N</t>
        </is>
      </c>
      <c r="AR125" t="inlineStr"/>
      <c r="AS125" t="inlineStr"/>
      <c r="AT125" t="inlineStr">
        <is>
          <t>N</t>
        </is>
      </c>
      <c r="AU125" t="inlineStr">
        <is>
          <t>no contact named on an opened page</t>
        </is>
      </c>
      <c r="AV125" t="inlineStr"/>
      <c r="AW125" t="inlineStr">
        <is>
          <t>N</t>
        </is>
      </c>
      <c r="AX125" t="inlineStr">
        <is>
          <t>pass</t>
        </is>
      </c>
      <c r="AY125" t="inlineStr">
        <is>
          <t>passes all hard gates</t>
        </is>
      </c>
      <c r="AZ125" t="inlineStr">
        <is>
          <t>company</t>
        </is>
      </c>
      <c r="BA125" t="inlineStr">
        <is>
          <t>B-C-073</t>
        </is>
      </c>
      <c r="BB125" t="inlineStr">
        <is>
          <t>https://vivaldigroup.com</t>
        </is>
      </c>
      <c r="BC125" t="inlineStr">
        <is>
          <t>brand and business strategy consultancy</t>
        </is>
      </c>
      <c r="BD125" t="inlineStr">
        <is>
          <t>unknown</t>
        </is>
      </c>
      <c r="BE125" t="inlineStr"/>
      <c r="BF125" t="inlineStr">
        <is>
          <t>unknown</t>
        </is>
      </c>
      <c r="BG125" t="inlineStr">
        <is>
          <t>unknown</t>
        </is>
      </c>
      <c r="BH125" t="inlineStr">
        <is>
          <t>no-count</t>
        </is>
      </c>
      <c r="BI125" t="inlineStr"/>
      <c r="BJ125" t="inlineStr"/>
      <c r="BK125" t="inlineStr">
        <is>
          <t>unknown</t>
        </is>
      </c>
      <c r="BL125" t="inlineStr">
        <is>
          <t>New York</t>
        </is>
      </c>
      <c r="BM125" t="inlineStr">
        <is>
          <t>Y</t>
        </is>
      </c>
      <c r="BN125" t="inlineStr">
        <is>
          <t>unknown</t>
        </is>
      </c>
      <c r="BO125" t="inlineStr">
        <is>
          <t>unknown</t>
        </is>
      </c>
      <c r="BP125" t="n">
        <v>10010</v>
      </c>
      <c r="BQ125" t="n">
        <v>40.74082</v>
      </c>
      <c r="BR125" t="n">
        <v>-73.992366</v>
      </c>
      <c r="BS125" t="inlineStr">
        <is>
          <t>Y</t>
        </is>
      </c>
      <c r="BT125" t="n">
        <v>0</v>
      </c>
      <c r="BU125" t="inlineStr">
        <is>
          <t>B-B-033</t>
        </is>
      </c>
      <c r="BV125" t="inlineStr">
        <is>
          <t>30 West 21st Street (Skyway Development Group)</t>
        </is>
      </c>
      <c r="BW125" t="inlineStr">
        <is>
          <t>https://vivaldigroup.com/contact/</t>
        </is>
      </c>
      <c r="BX125" t="inlineStr">
        <is>
          <t>2026-10-23</t>
        </is>
      </c>
      <c r="BY125" t="inlineStr">
        <is>
          <t>company-site</t>
        </is>
      </c>
      <c r="BZ125" t="inlineStr">
        <is>
          <t>https://commercialobserver.com/2025/04/actively-ai-lease-30-west-21st-street/</t>
        </is>
      </c>
      <c r="CA125" t="inlineStr">
        <is>
          <t>2025-04-14</t>
        </is>
      </c>
      <c r="CB125" t="inlineStr"/>
      <c r="CC125" t="inlineStr">
        <is>
          <t>high</t>
        </is>
      </c>
      <c r="CD125" t="inlineStr"/>
      <c r="CE125" t="inlineStr">
        <is>
          <t>N</t>
        </is>
      </c>
      <c r="CF125" t="inlineStr"/>
      <c r="CG125" t="inlineStr"/>
      <c r="CH125" t="inlineStr">
        <is>
          <t>unknown</t>
        </is>
      </c>
      <c r="CI125" t="inlineStr"/>
      <c r="CJ125" t="inlineStr">
        <is>
          <t>unknown</t>
        </is>
      </c>
      <c r="CK125" t="inlineStr">
        <is>
          <t>N</t>
        </is>
      </c>
      <c r="CL125" t="inlineStr">
        <is>
          <t>unknown</t>
        </is>
      </c>
      <c r="CM125" t="inlineStr"/>
      <c r="CN125" t="inlineStr"/>
      <c r="CO125" t="inlineStr">
        <is>
          <t>unknown</t>
        </is>
      </c>
      <c r="CP125" t="inlineStr"/>
      <c r="CQ125" t="inlineStr">
        <is>
          <t>No sourced headcount, so no Tuesday estimate; ask the Tuesday count at intake.</t>
        </is>
      </c>
      <c r="CR125" t="inlineStr">
        <is>
          <t>estimate until intake replaces it</t>
        </is>
      </c>
      <c r="CS125" t="inlineStr">
        <is>
          <t>unknown</t>
        </is>
      </c>
      <c r="CT125" t="n">
        <v>36</v>
      </c>
      <c r="CU125" t="n">
        <v>7</v>
      </c>
      <c r="CV125" t="n">
        <v>8</v>
      </c>
      <c r="CW125" t="n">
        <v>6</v>
      </c>
      <c r="CX125" t="n">
        <v>15</v>
      </c>
      <c r="CY125" t="n">
        <v>0</v>
      </c>
      <c r="CZ125" t="n">
        <v>0</v>
      </c>
      <c r="DA125" t="inlineStr"/>
      <c r="DB125" t="inlineStr"/>
      <c r="DC125" t="inlineStr"/>
      <c r="DD125" t="inlineStr"/>
      <c r="DE125" t="inlineStr"/>
      <c r="DF125" t="inlineStr">
        <is>
          <t>none</t>
        </is>
      </c>
      <c r="DG125" t="inlineStr">
        <is>
          <t>candidate</t>
        </is>
      </c>
      <c r="DH125" t="inlineStr"/>
      <c r="DI125" t="inlineStr"/>
      <c r="DJ125" t="inlineStr"/>
      <c r="DK125" t="inlineStr">
        <is>
          <t>Contact page lists 30 West 21st Street, 12th Floor. CO calls it advertising agency Vivaldi, a tenant of the building.</t>
        </is>
      </c>
      <c r="DL125" t="inlineStr"/>
      <c r="DM125" t="inlineStr"/>
      <c r="DN125" t="inlineStr"/>
      <c r="DO125" t="inlineStr"/>
      <c r="DP125" t="inlineStr"/>
      <c r="DQ125" t="inlineStr"/>
      <c r="DR125" t="inlineStr"/>
      <c r="DS125" t="inlineStr">
        <is>
          <t>none</t>
        </is>
      </c>
      <c r="DT125" t="inlineStr"/>
      <c r="DU125" t="inlineStr"/>
      <c r="DV125" t="inlineStr"/>
      <c r="DW125" t="inlineStr"/>
      <c r="DX125" t="inlineStr">
        <is>
          <t>N</t>
        </is>
      </c>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f>IF(ISNUMBER(MATCH(U125,{"queued","contacted","replied","call_booked","call_done","yes_in_principle","materials_sent"},0)),"Y","N")</f>
        <v/>
      </c>
      <c r="ES125">
        <f>IF(COUNTIFS($AP$2:$AP$1000,AP125,$ER$2:$ER$1000,"Y")+COUNTIFS($AP$2:$AP$1000,AP125,$T$2:$T$1000,"Y")&gt;0,"Y","N")</f>
        <v/>
      </c>
      <c r="ET125">
        <f>IF(AND(U125="new",T125="N",AT125="Y",AS125="",ES125="N"),"Y","N")</f>
        <v/>
      </c>
      <c r="EU125">
        <f>IF(ET125&lt;&gt;"Y","N",IF(COUNTIFS($AP$2:$AP$1000,AP125,$ET$2:$ET$1000,"Y",$J$2:$J$1000,"&gt;"&amp;J125)+COUNTIFS($AP$2:$AP$1000,AP125,$ET$2:$ET$1000,"Y",$J$2:$J$1000,J125,$EW$2:$EW$1000,"&lt;"&amp;EW125)=0,"Y","N"))</f>
        <v/>
      </c>
      <c r="EV125">
        <f>IF(Y125="","N",IF(Y125&lt;=10,"Y","N"))</f>
        <v/>
      </c>
      <c r="EW125">
        <f>ROW()-1</f>
        <v/>
      </c>
    </row>
    <row r="126">
      <c r="A126" t="inlineStr">
        <is>
          <t>AO-C-138</t>
        </is>
      </c>
      <c r="B126" t="inlineStr">
        <is>
          <t>Warren Equity Partners</t>
        </is>
      </c>
      <c r="C126" t="inlineStr"/>
      <c r="D126" t="inlineStr"/>
      <c r="E126" t="inlineStr"/>
      <c r="F126" t="inlineStr"/>
      <c r="G126" t="inlineStr"/>
      <c r="H126" t="inlineStr">
        <is>
          <t>none</t>
        </is>
      </c>
      <c r="I126" t="inlineStr">
        <is>
          <t>linkedin</t>
        </is>
      </c>
      <c r="J126" t="n">
        <v>36</v>
      </c>
      <c r="K126" t="inlineStr">
        <is>
          <t>Tuesday headcount unknown (no sourced count), company size unknown, no attendance signal, occupied at a high-confidence address; contacts not researched yet (below the top 50).</t>
        </is>
      </c>
      <c r="L126" t="inlineStr">
        <is>
          <t>unknown</t>
        </is>
      </c>
      <c r="M126" t="inlineStr"/>
      <c r="N126" t="inlineStr"/>
      <c r="O126" t="inlineStr"/>
      <c r="P126" t="inlineStr"/>
      <c r="Q126" t="inlineStr"/>
      <c r="R126" t="inlineStr">
        <is>
          <t>N</t>
        </is>
      </c>
      <c r="S126" t="inlineStr">
        <is>
          <t>unknown</t>
        </is>
      </c>
      <c r="T126" t="inlineStr">
        <is>
          <t>N</t>
        </is>
      </c>
      <c r="U126" t="inlineStr">
        <is>
          <t>new</t>
        </is>
      </c>
      <c r="V126" t="inlineStr">
        <is>
          <t>https://commercialobserver.com/2025/06/warren-equity-partners-moving-nyc-hq-to-11-east-26th-street-in-24k-sf-lease/</t>
        </is>
      </c>
      <c r="W126" t="inlineStr">
        <is>
          <t>2026-10-23</t>
        </is>
      </c>
      <c r="X126" t="inlineStr">
        <is>
          <t>office</t>
        </is>
      </c>
      <c r="Y126" t="inlineStr"/>
      <c r="Z126" t="n">
        <v>125</v>
      </c>
      <c r="AA126" t="inlineStr">
        <is>
          <t>N</t>
        </is>
      </c>
      <c r="AB126" t="inlineStr"/>
      <c r="AC126" t="inlineStr"/>
      <c r="AD126" t="inlineStr">
        <is>
          <t>none</t>
        </is>
      </c>
      <c r="AE126" t="inlineStr"/>
      <c r="AF126" t="inlineStr"/>
      <c r="AG126" t="inlineStr"/>
      <c r="AH126" t="inlineStr">
        <is>
          <t>none</t>
        </is>
      </c>
      <c r="AI126" t="inlineStr">
        <is>
          <t>11 East 26th Street</t>
        </is>
      </c>
      <c r="AJ126" t="inlineStr">
        <is>
          <t>19-20</t>
        </is>
      </c>
      <c r="AK126" t="inlineStr">
        <is>
          <t>occupied</t>
        </is>
      </c>
      <c r="AL126" t="inlineStr">
        <is>
          <t>unknown</t>
        </is>
      </c>
      <c r="AM126" t="inlineStr">
        <is>
          <t>unknown</t>
        </is>
      </c>
      <c r="AN126" t="inlineStr">
        <is>
          <t>none</t>
        </is>
      </c>
      <c r="AO126" t="inlineStr">
        <is>
          <t>unknown</t>
        </is>
      </c>
      <c r="AP126" t="inlineStr">
        <is>
          <t>AO-C-138</t>
        </is>
      </c>
      <c r="AQ126" t="inlineStr">
        <is>
          <t>N</t>
        </is>
      </c>
      <c r="AR126" t="inlineStr"/>
      <c r="AS126" t="inlineStr"/>
      <c r="AT126" t="inlineStr">
        <is>
          <t>N</t>
        </is>
      </c>
      <c r="AU126" t="inlineStr">
        <is>
          <t>no contact named on an opened page</t>
        </is>
      </c>
      <c r="AV126" t="inlineStr"/>
      <c r="AW126" t="inlineStr">
        <is>
          <t>N</t>
        </is>
      </c>
      <c r="AX126" t="inlineStr">
        <is>
          <t>pass</t>
        </is>
      </c>
      <c r="AY126" t="inlineStr">
        <is>
          <t>passes all hard gates</t>
        </is>
      </c>
      <c r="AZ126" t="inlineStr">
        <is>
          <t>company</t>
        </is>
      </c>
      <c r="BA126" t="inlineStr">
        <is>
          <t>B-C-138</t>
        </is>
      </c>
      <c r="BB126" t="inlineStr">
        <is>
          <t>https://warrenequity.com</t>
        </is>
      </c>
      <c r="BC126" t="inlineStr">
        <is>
          <t>private equity</t>
        </is>
      </c>
      <c r="BD126" t="inlineStr">
        <is>
          <t>unknown</t>
        </is>
      </c>
      <c r="BE126" t="inlineStr"/>
      <c r="BF126" t="inlineStr">
        <is>
          <t>unknown</t>
        </is>
      </c>
      <c r="BG126" t="inlineStr">
        <is>
          <t>unknown</t>
        </is>
      </c>
      <c r="BH126" t="inlineStr">
        <is>
          <t>no-count</t>
        </is>
      </c>
      <c r="BI126" t="inlineStr"/>
      <c r="BJ126" t="inlineStr"/>
      <c r="BK126" t="inlineStr">
        <is>
          <t>unknown</t>
        </is>
      </c>
      <c r="BL126" t="inlineStr">
        <is>
          <t>Jacksonville Beach, FL</t>
        </is>
      </c>
      <c r="BM126" t="inlineStr">
        <is>
          <t>N</t>
        </is>
      </c>
      <c r="BN126" t="inlineStr">
        <is>
          <t>unknown</t>
        </is>
      </c>
      <c r="BO126" t="inlineStr">
        <is>
          <t>unknown</t>
        </is>
      </c>
      <c r="BP126" t="n">
        <v>10010</v>
      </c>
      <c r="BQ126" t="n">
        <v>40.743309</v>
      </c>
      <c r="BR126" t="n">
        <v>-73.987329</v>
      </c>
      <c r="BS126" t="inlineStr">
        <is>
          <t>Y</t>
        </is>
      </c>
      <c r="BT126" t="n">
        <v>0</v>
      </c>
      <c r="BU126" t="inlineStr">
        <is>
          <t>B-B-065</t>
        </is>
      </c>
      <c r="BV126" t="inlineStr">
        <is>
          <t>11 East 26th Street (Rockrose; joined to 15 East 26th Street)</t>
        </is>
      </c>
      <c r="BW126" t="inlineStr">
        <is>
          <t>https://commercialobserver.com/2025/06/warren-equity-partners-moving-nyc-hq-to-11-east-26th-street-in-24k-sf-lease/</t>
        </is>
      </c>
      <c r="BX126" t="inlineStr">
        <is>
          <t>2025-06-25</t>
        </is>
      </c>
      <c r="BY126" t="inlineStr">
        <is>
          <t>leasing-press</t>
        </is>
      </c>
      <c r="BZ126" t="inlineStr">
        <is>
          <t>https://warrenequity.com/contact-us/</t>
        </is>
      </c>
      <c r="CA126" t="inlineStr">
        <is>
          <t>2026-10-23</t>
        </is>
      </c>
      <c r="CB126" t="inlineStr"/>
      <c r="CC126" t="inlineStr">
        <is>
          <t>high</t>
        </is>
      </c>
      <c r="CD126" t="inlineStr"/>
      <c r="CE126" t="inlineStr">
        <is>
          <t>N</t>
        </is>
      </c>
      <c r="CF126" t="inlineStr"/>
      <c r="CG126" t="inlineStr"/>
      <c r="CH126" t="inlineStr">
        <is>
          <t>unknown</t>
        </is>
      </c>
      <c r="CI126" t="inlineStr"/>
      <c r="CJ126" t="inlineStr">
        <is>
          <t>unknown</t>
        </is>
      </c>
      <c r="CK126" t="inlineStr">
        <is>
          <t>N</t>
        </is>
      </c>
      <c r="CL126" t="inlineStr">
        <is>
          <t>unknown</t>
        </is>
      </c>
      <c r="CM126" t="inlineStr"/>
      <c r="CN126" t="inlineStr"/>
      <c r="CO126" t="inlineStr">
        <is>
          <t>unknown</t>
        </is>
      </c>
      <c r="CP126" t="inlineStr"/>
      <c r="CQ126" t="inlineStr">
        <is>
          <t>No sourced headcount, so no Tuesday estimate; ask the Tuesday count at intake.</t>
        </is>
      </c>
      <c r="CR126" t="inlineStr">
        <is>
          <t>estimate until intake replaces it</t>
        </is>
      </c>
      <c r="CS126" t="inlineStr">
        <is>
          <t>unknown</t>
        </is>
      </c>
      <c r="CT126" t="n">
        <v>36</v>
      </c>
      <c r="CU126" t="n">
        <v>7</v>
      </c>
      <c r="CV126" t="n">
        <v>8</v>
      </c>
      <c r="CW126" t="n">
        <v>6</v>
      </c>
      <c r="CX126" t="n">
        <v>15</v>
      </c>
      <c r="CY126" t="n">
        <v>0</v>
      </c>
      <c r="CZ126" t="n">
        <v>0</v>
      </c>
      <c r="DA126" t="inlineStr"/>
      <c r="DB126" t="inlineStr"/>
      <c r="DC126" t="inlineStr"/>
      <c r="DD126" t="inlineStr"/>
      <c r="DE126" t="inlineStr"/>
      <c r="DF126" t="inlineStr">
        <is>
          <t>none</t>
        </is>
      </c>
      <c r="DG126" t="inlineStr">
        <is>
          <t>candidate</t>
        </is>
      </c>
      <c r="DH126" t="inlineStr"/>
      <c r="DI126" t="inlineStr"/>
      <c r="DJ126" t="inlineStr">
        <is>
          <t>24,199 sf</t>
        </is>
      </c>
      <c r="DK126" t="inlineStr">
        <is>
          <t>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126" t="inlineStr"/>
      <c r="DM126" t="inlineStr"/>
      <c r="DN126" t="inlineStr"/>
      <c r="DO126" t="inlineStr"/>
      <c r="DP126" t="inlineStr"/>
      <c r="DQ126" t="inlineStr"/>
      <c r="DR126" t="inlineStr"/>
      <c r="DS126" t="inlineStr">
        <is>
          <t>none</t>
        </is>
      </c>
      <c r="DT126" t="inlineStr"/>
      <c r="DU126" t="inlineStr"/>
      <c r="DV126" t="inlineStr"/>
      <c r="DW126" t="inlineStr"/>
      <c r="DX126" t="inlineStr">
        <is>
          <t>N</t>
        </is>
      </c>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f>IF(ISNUMBER(MATCH(U126,{"queued","contacted","replied","call_booked","call_done","yes_in_principle","materials_sent"},0)),"Y","N")</f>
        <v/>
      </c>
      <c r="ES126">
        <f>IF(COUNTIFS($AP$2:$AP$1000,AP126,$ER$2:$ER$1000,"Y")+COUNTIFS($AP$2:$AP$1000,AP126,$T$2:$T$1000,"Y")&gt;0,"Y","N")</f>
        <v/>
      </c>
      <c r="ET126">
        <f>IF(AND(U126="new",T126="N",AT126="Y",AS126="",ES126="N"),"Y","N")</f>
        <v/>
      </c>
      <c r="EU126">
        <f>IF(ET126&lt;&gt;"Y","N",IF(COUNTIFS($AP$2:$AP$1000,AP126,$ET$2:$ET$1000,"Y",$J$2:$J$1000,"&gt;"&amp;J126)+COUNTIFS($AP$2:$AP$1000,AP126,$ET$2:$ET$1000,"Y",$J$2:$J$1000,J126,$EW$2:$EW$1000,"&lt;"&amp;EW126)=0,"Y","N"))</f>
        <v/>
      </c>
      <c r="EV126">
        <f>IF(Y126="","N",IF(Y126&lt;=10,"Y","N"))</f>
        <v/>
      </c>
      <c r="EW126">
        <f>ROW()-1</f>
        <v/>
      </c>
    </row>
    <row r="127">
      <c r="A127" t="inlineStr">
        <is>
          <t>AO-C-187</t>
        </is>
      </c>
      <c r="B127" t="inlineStr">
        <is>
          <t>Acxiom</t>
        </is>
      </c>
      <c r="C127" t="inlineStr"/>
      <c r="D127" t="inlineStr"/>
      <c r="E127" t="inlineStr"/>
      <c r="F127" t="inlineStr"/>
      <c r="G127" t="inlineStr"/>
      <c r="H127" t="inlineStr">
        <is>
          <t>none</t>
        </is>
      </c>
      <c r="I127" t="inlineStr">
        <is>
          <t>linkedin</t>
        </is>
      </c>
      <c r="J127" t="n">
        <v>35.6</v>
      </c>
      <c r="K127" t="inlineStr">
        <is>
          <t>Tuesday estimate 128 to 2555 (low confidence), 1,001 to 4,999 staff company-wide, on-site 5 days a week per its profile, occupied at a medium-confidence address; contacts not researched yet (below the top 50).</t>
        </is>
      </c>
      <c r="L127" t="inlineStr">
        <is>
          <t>over-500</t>
        </is>
      </c>
      <c r="M127" t="inlineStr"/>
      <c r="N127" t="inlineStr"/>
      <c r="O127" t="inlineStr"/>
      <c r="P127" t="inlineStr"/>
      <c r="Q127" t="inlineStr"/>
      <c r="R127" t="inlineStr">
        <is>
          <t>N</t>
        </is>
      </c>
      <c r="S127" t="inlineStr">
        <is>
          <t>unknown</t>
        </is>
      </c>
      <c r="T127" t="inlineStr">
        <is>
          <t>N</t>
        </is>
      </c>
      <c r="U127" t="inlineStr">
        <is>
          <t>new</t>
        </is>
      </c>
      <c r="V127" t="inlineStr">
        <is>
          <t>https://commercialobserver.com/2025/02/capital-one-expansion-114-fifth-avenue/</t>
        </is>
      </c>
      <c r="W127" t="inlineStr">
        <is>
          <t>2026-10-23</t>
        </is>
      </c>
      <c r="X127" t="inlineStr">
        <is>
          <t>office</t>
        </is>
      </c>
      <c r="Y127" t="inlineStr"/>
      <c r="Z127" t="n">
        <v>126</v>
      </c>
      <c r="AA127" t="inlineStr">
        <is>
          <t>N</t>
        </is>
      </c>
      <c r="AB127" t="inlineStr">
        <is>
          <t>Tuesday estimate band over-500: founder's call (set founder_ok_to_queue = Y to queue)</t>
        </is>
      </c>
      <c r="AC127" t="inlineStr"/>
      <c r="AD127" t="inlineStr">
        <is>
          <t>none</t>
        </is>
      </c>
      <c r="AE127" t="inlineStr"/>
      <c r="AF127" t="inlineStr"/>
      <c r="AG127" t="inlineStr"/>
      <c r="AH127" t="inlineStr">
        <is>
          <t>none</t>
        </is>
      </c>
      <c r="AI127" t="inlineStr">
        <is>
          <t>114 Fifth Avenue</t>
        </is>
      </c>
      <c r="AJ127" t="inlineStr">
        <is>
          <t>unknown</t>
        </is>
      </c>
      <c r="AK127" t="inlineStr">
        <is>
          <t>occupied</t>
        </is>
      </c>
      <c r="AL127" t="n">
        <v>128</v>
      </c>
      <c r="AM127" t="n">
        <v>2555</v>
      </c>
      <c r="AN127" t="inlineStr">
        <is>
          <t>low</t>
        </is>
      </c>
      <c r="AO127" t="inlineStr">
        <is>
          <t>in-office-5</t>
        </is>
      </c>
      <c r="AP127" t="inlineStr">
        <is>
          <t>AO-C-187</t>
        </is>
      </c>
      <c r="AQ127" t="inlineStr">
        <is>
          <t>N</t>
        </is>
      </c>
      <c r="AR127" t="inlineStr"/>
      <c r="AS127" t="inlineStr"/>
      <c r="AT127" t="inlineStr">
        <is>
          <t>N</t>
        </is>
      </c>
      <c r="AU127" t="inlineStr">
        <is>
          <t>no contact named on an opened page; Tuesday estimate band over-500: founder's call</t>
        </is>
      </c>
      <c r="AV127" t="inlineStr"/>
      <c r="AW127" t="inlineStr">
        <is>
          <t>Y</t>
        </is>
      </c>
      <c r="AX127" t="inlineStr">
        <is>
          <t>pass</t>
        </is>
      </c>
      <c r="AY127" t="inlineStr">
        <is>
          <t>passes all hard gates</t>
        </is>
      </c>
      <c r="AZ127" t="inlineStr">
        <is>
          <t>company</t>
        </is>
      </c>
      <c r="BA127" t="inlineStr">
        <is>
          <t>B-C-187</t>
        </is>
      </c>
      <c r="BB127" t="inlineStr">
        <is>
          <t>https://www.acxiom.com</t>
        </is>
      </c>
      <c r="BC127" t="inlineStr">
        <is>
          <t>marketing data and technology</t>
        </is>
      </c>
      <c r="BD127" t="n">
        <v>4482</v>
      </c>
      <c r="BE127" t="inlineStr"/>
      <c r="BF127" t="inlineStr">
        <is>
          <t>over-500</t>
        </is>
      </c>
      <c r="BG127" t="inlineStr">
        <is>
          <t>whole-company</t>
        </is>
      </c>
      <c r="BH127" t="inlineStr">
        <is>
          <t>single-source</t>
        </is>
      </c>
      <c r="BI127" t="inlineStr">
        <is>
          <t>https://www.builtinnyc.com/company/acxiom</t>
        </is>
      </c>
      <c r="BJ127" t="inlineStr"/>
      <c r="BK127" t="inlineStr">
        <is>
          <t>1001-4999</t>
        </is>
      </c>
      <c r="BL127" t="inlineStr">
        <is>
          <t>Conway</t>
        </is>
      </c>
      <c r="BM127" t="inlineStr">
        <is>
          <t>N</t>
        </is>
      </c>
      <c r="BN127" t="inlineStr">
        <is>
          <t>unknown</t>
        </is>
      </c>
      <c r="BO127" t="inlineStr">
        <is>
          <t>unknown</t>
        </is>
      </c>
      <c r="BP127" t="n">
        <v>10011</v>
      </c>
      <c r="BQ127" t="n">
        <v>40.737788</v>
      </c>
      <c r="BR127" t="n">
        <v>-73.992555</v>
      </c>
      <c r="BS127" t="inlineStr">
        <is>
          <t>Y</t>
        </is>
      </c>
      <c r="BT127" t="n">
        <v>0</v>
      </c>
      <c r="BU127" t="inlineStr">
        <is>
          <t>B-B-009</t>
        </is>
      </c>
      <c r="BV127" t="inlineStr">
        <is>
          <t>114 Fifth Avenue</t>
        </is>
      </c>
      <c r="BW127" t="inlineStr">
        <is>
          <t>https://commercialobserver.com/2025/02/capital-one-expansion-114-fifth-avenue/</t>
        </is>
      </c>
      <c r="BX127" t="inlineStr">
        <is>
          <t>2025-02</t>
        </is>
      </c>
      <c r="BY127" t="inlineStr">
        <is>
          <t>leasing-press</t>
        </is>
      </c>
      <c r="BZ127" t="inlineStr"/>
      <c r="CA127" t="inlineStr"/>
      <c r="CB127" t="inlineStr"/>
      <c r="CC127" t="inlineStr">
        <is>
          <t>medium</t>
        </is>
      </c>
      <c r="CD127" t="inlineStr"/>
      <c r="CE127" t="inlineStr">
        <is>
          <t>N</t>
        </is>
      </c>
      <c r="CF127" t="inlineStr"/>
      <c r="CG127" t="inlineStr"/>
      <c r="CH127" t="inlineStr">
        <is>
          <t>unknown</t>
        </is>
      </c>
      <c r="CI127" t="inlineStr"/>
      <c r="CJ127" t="inlineStr">
        <is>
          <t>unknown</t>
        </is>
      </c>
      <c r="CK127" t="inlineStr">
        <is>
          <t>N</t>
        </is>
      </c>
      <c r="CL127" t="inlineStr">
        <is>
          <t>Built In workplace type: OnSite Workplace; typical time on-site: 5 days a week; recent job tags: 1 In-Office</t>
        </is>
      </c>
      <c r="CM127" t="inlineStr">
        <is>
          <t>https://www.builtinnyc.com/company/acxiom/offices</t>
        </is>
      </c>
      <c r="CN127" t="inlineStr">
        <is>
          <t>2026-10-24</t>
        </is>
      </c>
      <c r="CO127" t="n">
        <v>572</v>
      </c>
      <c r="CP127" t="inlineStr">
        <is>
          <t>may exceed 250</t>
        </is>
      </c>
      <c r="CQ127" t="inlineStr">
        <is>
          <t>4482 (Built In) staff (whole-company count) x 5% to 100% of them in the New York office (HQ outside New York; share assumed) x 57% (Partnership for NYC, all Manhattan firms; no figure for 500 to 4,999) in on a weekday = 128 to 2555, central 572; low confidence; estimate until intake replaces it.</t>
        </is>
      </c>
      <c r="CR127" t="inlineStr">
        <is>
          <t>estimate until intake replaces it</t>
        </is>
      </c>
      <c r="CS127" t="n">
        <v>0.22</v>
      </c>
      <c r="CT127" t="n">
        <v>35.6</v>
      </c>
      <c r="CU127" t="n">
        <v>5.6</v>
      </c>
      <c r="CV127" t="n">
        <v>2</v>
      </c>
      <c r="CW127" t="n">
        <v>15</v>
      </c>
      <c r="CX127" t="n">
        <v>13</v>
      </c>
      <c r="CY127" t="n">
        <v>0</v>
      </c>
      <c r="CZ127" t="n">
        <v>0</v>
      </c>
      <c r="DA127" t="inlineStr"/>
      <c r="DB127" t="inlineStr"/>
      <c r="DC127" t="inlineStr"/>
      <c r="DD127" t="inlineStr"/>
      <c r="DE127" t="inlineStr"/>
      <c r="DF127" t="inlineStr">
        <is>
          <t>none</t>
        </is>
      </c>
      <c r="DG127" t="inlineStr">
        <is>
          <t>near-miss-over-500</t>
        </is>
      </c>
      <c r="DH127" t="inlineStr">
        <is>
          <t>over-1,000 (1,001 to 4,999)</t>
        </is>
      </c>
      <c r="DI127" t="inlineStr">
        <is>
          <t>Y</t>
        </is>
      </c>
      <c r="DJ127" t="inlineStr"/>
      <c r="DK127" t="inlineStr">
        <is>
          <t>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is>
      </c>
      <c r="DL127" t="inlineStr"/>
      <c r="DM127" t="inlineStr"/>
      <c r="DN127" t="inlineStr"/>
      <c r="DO127" t="inlineStr"/>
      <c r="DP127" t="inlineStr"/>
      <c r="DQ127" t="inlineStr"/>
      <c r="DR127" t="inlineStr"/>
      <c r="DS127" t="inlineStr">
        <is>
          <t>none</t>
        </is>
      </c>
      <c r="DT127" t="inlineStr"/>
      <c r="DU127" t="inlineStr"/>
      <c r="DV127" t="inlineStr"/>
      <c r="DW127" t="inlineStr"/>
      <c r="DX127" t="inlineStr">
        <is>
          <t>N</t>
        </is>
      </c>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f>IF(ISNUMBER(MATCH(U127,{"queued","contacted","replied","call_booked","call_done","yes_in_principle","materials_sent"},0)),"Y","N")</f>
        <v/>
      </c>
      <c r="ES127">
        <f>IF(COUNTIFS($AP$2:$AP$1000,AP127,$ER$2:$ER$1000,"Y")+COUNTIFS($AP$2:$AP$1000,AP127,$T$2:$T$1000,"Y")&gt;0,"Y","N")</f>
        <v/>
      </c>
      <c r="ET127">
        <f>IF(AND(U127="new",T127="N",AT127="Y",AS127="",ES127="N"),"Y","N")</f>
        <v/>
      </c>
      <c r="EU127">
        <f>IF(ET127&lt;&gt;"Y","N",IF(COUNTIFS($AP$2:$AP$1000,AP127,$ET$2:$ET$1000,"Y",$J$2:$J$1000,"&gt;"&amp;J127)+COUNTIFS($AP$2:$AP$1000,AP127,$ET$2:$ET$1000,"Y",$J$2:$J$1000,J127,$EW$2:$EW$1000,"&lt;"&amp;EW127)=0,"Y","N"))</f>
        <v/>
      </c>
      <c r="EV127">
        <f>IF(Y127="","N",IF(Y127&lt;=10,"Y","N"))</f>
        <v/>
      </c>
      <c r="EW127">
        <f>ROW()-1</f>
        <v/>
      </c>
    </row>
    <row r="128">
      <c r="A128" t="inlineStr">
        <is>
          <t>AO-C-184</t>
        </is>
      </c>
      <c r="B128" t="inlineStr">
        <is>
          <t>Hulu</t>
        </is>
      </c>
      <c r="C128" t="inlineStr"/>
      <c r="D128" t="inlineStr"/>
      <c r="E128" t="inlineStr"/>
      <c r="F128" t="inlineStr"/>
      <c r="G128" t="inlineStr"/>
      <c r="H128" t="inlineStr">
        <is>
          <t>none</t>
        </is>
      </c>
      <c r="I128" t="inlineStr">
        <is>
          <t>linkedin</t>
        </is>
      </c>
      <c r="J128" t="n">
        <v>35.4</v>
      </c>
      <c r="K128" t="inlineStr">
        <is>
          <t>Tuesday estimate 81 to 1621 (low confidence), 1,001 to 4,999 staff company-wide with a named parent (Disney), on-site 5 days a week per its profile, occupied at a medium-confidence address; contacts not researched yet (below the top 50).</t>
        </is>
      </c>
      <c r="L128" t="inlineStr">
        <is>
          <t>251-500</t>
        </is>
      </c>
      <c r="M128" t="inlineStr"/>
      <c r="N128" t="inlineStr"/>
      <c r="O128" t="inlineStr"/>
      <c r="P128" t="inlineStr"/>
      <c r="Q128" t="inlineStr"/>
      <c r="R128" t="inlineStr">
        <is>
          <t>N</t>
        </is>
      </c>
      <c r="S128" t="inlineStr">
        <is>
          <t>unknown</t>
        </is>
      </c>
      <c r="T128" t="inlineStr">
        <is>
          <t>N</t>
        </is>
      </c>
      <c r="U128" t="inlineStr">
        <is>
          <t>new</t>
        </is>
      </c>
      <c r="V128" t="inlineStr">
        <is>
          <t>https://commercialobserver.com/2026/08/thinking-machines-lab-79-fifth-avenue-lease/</t>
        </is>
      </c>
      <c r="W128" t="inlineStr">
        <is>
          <t>2026-10-23</t>
        </is>
      </c>
      <c r="X128" t="inlineStr">
        <is>
          <t>office</t>
        </is>
      </c>
      <c r="Y128" t="inlineStr"/>
      <c r="Z128" t="n">
        <v>127</v>
      </c>
      <c r="AA128" t="inlineStr">
        <is>
          <t>N</t>
        </is>
      </c>
      <c r="AB128" t="inlineStr">
        <is>
          <t>Tuesday estimate band 251-500: founder's call (set founder_ok_to_queue = Y to queue)</t>
        </is>
      </c>
      <c r="AC128" t="inlineStr"/>
      <c r="AD128" t="inlineStr">
        <is>
          <t>none</t>
        </is>
      </c>
      <c r="AE128" t="inlineStr"/>
      <c r="AF128" t="inlineStr"/>
      <c r="AG128" t="inlineStr"/>
      <c r="AH128" t="inlineStr">
        <is>
          <t>none</t>
        </is>
      </c>
      <c r="AI128" t="inlineStr">
        <is>
          <t>79 Fifth Avenue</t>
        </is>
      </c>
      <c r="AJ128" t="inlineStr">
        <is>
          <t>unknown</t>
        </is>
      </c>
      <c r="AK128" t="inlineStr">
        <is>
          <t>occupied</t>
        </is>
      </c>
      <c r="AL128" t="n">
        <v>81</v>
      </c>
      <c r="AM128" t="n">
        <v>1621</v>
      </c>
      <c r="AN128" t="inlineStr">
        <is>
          <t>low</t>
        </is>
      </c>
      <c r="AO128" t="inlineStr">
        <is>
          <t>in-office-5</t>
        </is>
      </c>
      <c r="AP128" t="inlineStr">
        <is>
          <t>AO-C-184</t>
        </is>
      </c>
      <c r="AQ128" t="inlineStr">
        <is>
          <t>N</t>
        </is>
      </c>
      <c r="AR128" t="inlineStr"/>
      <c r="AS128" t="inlineStr"/>
      <c r="AT128" t="inlineStr">
        <is>
          <t>N</t>
        </is>
      </c>
      <c r="AU128" t="inlineStr">
        <is>
          <t>no contact named on an opened page; Tuesday estimate band 251-500: founder's call</t>
        </is>
      </c>
      <c r="AV128" t="inlineStr"/>
      <c r="AW128" t="inlineStr">
        <is>
          <t>Y</t>
        </is>
      </c>
      <c r="AX128" t="inlineStr">
        <is>
          <t>pass</t>
        </is>
      </c>
      <c r="AY128" t="inlineStr">
        <is>
          <t>passes all hard gates</t>
        </is>
      </c>
      <c r="AZ128" t="inlineStr">
        <is>
          <t>company</t>
        </is>
      </c>
      <c r="BA128" t="inlineStr">
        <is>
          <t>B-C-184</t>
        </is>
      </c>
      <c r="BB128" t="inlineStr">
        <is>
          <t>https://www.hulu.com</t>
        </is>
      </c>
      <c r="BC128" t="inlineStr">
        <is>
          <t>streaming media</t>
        </is>
      </c>
      <c r="BD128" t="n">
        <v>2844</v>
      </c>
      <c r="BE128" t="inlineStr"/>
      <c r="BF128" t="inlineStr">
        <is>
          <t>over-500</t>
        </is>
      </c>
      <c r="BG128" t="inlineStr">
        <is>
          <t>whole-company</t>
        </is>
      </c>
      <c r="BH128" t="inlineStr">
        <is>
          <t>single-source</t>
        </is>
      </c>
      <c r="BI128" t="inlineStr">
        <is>
          <t>https://www.builtinnyc.com/company/hulu</t>
        </is>
      </c>
      <c r="BJ128" t="inlineStr"/>
      <c r="BK128" t="inlineStr">
        <is>
          <t>1001-4999</t>
        </is>
      </c>
      <c r="BL128" t="inlineStr">
        <is>
          <t>Santa Monica</t>
        </is>
      </c>
      <c r="BM128" t="inlineStr">
        <is>
          <t>N</t>
        </is>
      </c>
      <c r="BN128" t="inlineStr">
        <is>
          <t>Disney</t>
        </is>
      </c>
      <c r="BO128" t="inlineStr">
        <is>
          <t>unknown</t>
        </is>
      </c>
      <c r="BP128" t="n">
        <v>10003</v>
      </c>
      <c r="BQ128" t="n">
        <v>40.737054</v>
      </c>
      <c r="BR128" t="n">
        <v>-73.99263500000001</v>
      </c>
      <c r="BS128" t="inlineStr">
        <is>
          <t>Y</t>
        </is>
      </c>
      <c r="BT128" t="n">
        <v>0</v>
      </c>
      <c r="BU128" t="inlineStr">
        <is>
          <t>B-B-007</t>
        </is>
      </c>
      <c r="BV128" t="inlineStr">
        <is>
          <t>79 Fifth Avenue</t>
        </is>
      </c>
      <c r="BW128" t="inlineStr">
        <is>
          <t>https://commercialobserver.com/2026/08/thinking-machines-lab-79-fifth-avenue-lease/</t>
        </is>
      </c>
      <c r="BX128" t="inlineStr">
        <is>
          <t>2026-08-26</t>
        </is>
      </c>
      <c r="BY128" t="inlineStr">
        <is>
          <t>leasing-press</t>
        </is>
      </c>
      <c r="BZ128" t="inlineStr"/>
      <c r="CA128" t="inlineStr"/>
      <c r="CB128" t="inlineStr"/>
      <c r="CC128" t="inlineStr">
        <is>
          <t>medium</t>
        </is>
      </c>
      <c r="CD128" t="inlineStr"/>
      <c r="CE128" t="inlineStr">
        <is>
          <t>N</t>
        </is>
      </c>
      <c r="CF128" t="inlineStr"/>
      <c r="CG128" t="inlineStr"/>
      <c r="CH128" t="inlineStr">
        <is>
          <t>unknown</t>
        </is>
      </c>
      <c r="CI128" t="inlineStr"/>
      <c r="CJ128" t="inlineStr">
        <is>
          <t>unknown</t>
        </is>
      </c>
      <c r="CK128" t="inlineStr">
        <is>
          <t>N</t>
        </is>
      </c>
      <c r="CL128" t="inlineStr">
        <is>
          <t>Built In workplace type: OnSite Workplace; typical time on-site: 5 days a week</t>
        </is>
      </c>
      <c r="CM128" t="inlineStr">
        <is>
          <t>https://www.builtinnyc.com/company/hulu/offices</t>
        </is>
      </c>
      <c r="CN128" t="inlineStr">
        <is>
          <t>2026-10-24</t>
        </is>
      </c>
      <c r="CO128" t="n">
        <v>362</v>
      </c>
      <c r="CP128" t="inlineStr">
        <is>
          <t>may exceed 250</t>
        </is>
      </c>
      <c r="CQ128" t="inlineStr">
        <is>
          <t>2844 (Built In) staff (whole-company count) x 5% to 100% of them in the New York office (HQ outside New York; share assumed) x 57% (Partnership for NYC, all Manhattan firms; no figure for 500 to 4,999) in on a weekday = 81 to 1621, central 362; low confidence; estimate until intake replaces it.</t>
        </is>
      </c>
      <c r="CR128" t="inlineStr">
        <is>
          <t>estimate until intake replaces it</t>
        </is>
      </c>
      <c r="CS128" t="n">
        <v>0.38</v>
      </c>
      <c r="CT128" t="n">
        <v>35.4</v>
      </c>
      <c r="CU128" t="n">
        <v>9.4</v>
      </c>
      <c r="CV128" t="n">
        <v>-2</v>
      </c>
      <c r="CW128" t="n">
        <v>15</v>
      </c>
      <c r="CX128" t="n">
        <v>13</v>
      </c>
      <c r="CY128" t="n">
        <v>0</v>
      </c>
      <c r="CZ128" t="n">
        <v>0</v>
      </c>
      <c r="DA128" t="inlineStr"/>
      <c r="DB128" t="inlineStr"/>
      <c r="DC128" t="inlineStr"/>
      <c r="DD128" t="inlineStr"/>
      <c r="DE128" t="inlineStr"/>
      <c r="DF128" t="inlineStr">
        <is>
          <t>none</t>
        </is>
      </c>
      <c r="DG128" t="inlineStr">
        <is>
          <t>near-miss-over-500</t>
        </is>
      </c>
      <c r="DH128" t="inlineStr">
        <is>
          <t>over-1,000 (1,001 to 4,999)</t>
        </is>
      </c>
      <c r="DI128" t="inlineStr">
        <is>
          <t>N</t>
        </is>
      </c>
      <c r="DJ128" t="inlineStr"/>
      <c r="DK128" t="inlineStr">
        <is>
          <t>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is>
      </c>
      <c r="DL128" t="inlineStr"/>
      <c r="DM128" t="inlineStr"/>
      <c r="DN128" t="inlineStr"/>
      <c r="DO128" t="inlineStr"/>
      <c r="DP128" t="inlineStr"/>
      <c r="DQ128" t="inlineStr"/>
      <c r="DR128" t="inlineStr"/>
      <c r="DS128" t="inlineStr">
        <is>
          <t>none</t>
        </is>
      </c>
      <c r="DT128" t="inlineStr"/>
      <c r="DU128" t="inlineStr"/>
      <c r="DV128" t="inlineStr"/>
      <c r="DW128" t="inlineStr"/>
      <c r="DX128" t="inlineStr">
        <is>
          <t>N</t>
        </is>
      </c>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f>IF(ISNUMBER(MATCH(U128,{"queued","contacted","replied","call_booked","call_done","yes_in_principle","materials_sent"},0)),"Y","N")</f>
        <v/>
      </c>
      <c r="ES128">
        <f>IF(COUNTIFS($AP$2:$AP$1000,AP128,$ER$2:$ER$1000,"Y")+COUNTIFS($AP$2:$AP$1000,AP128,$T$2:$T$1000,"Y")&gt;0,"Y","N")</f>
        <v/>
      </c>
      <c r="ET128">
        <f>IF(AND(U128="new",T128="N",AT128="Y",AS128="",ES128="N"),"Y","N")</f>
        <v/>
      </c>
      <c r="EU128">
        <f>IF(ET128&lt;&gt;"Y","N",IF(COUNTIFS($AP$2:$AP$1000,AP128,$ET$2:$ET$1000,"Y",$J$2:$J$1000,"&gt;"&amp;J128)+COUNTIFS($AP$2:$AP$1000,AP128,$ET$2:$ET$1000,"Y",$J$2:$J$1000,J128,$EW$2:$EW$1000,"&lt;"&amp;EW128)=0,"Y","N"))</f>
        <v/>
      </c>
      <c r="EV128">
        <f>IF(Y128="","N",IF(Y128&lt;=10,"Y","N"))</f>
        <v/>
      </c>
      <c r="EW128">
        <f>ROW()-1</f>
        <v/>
      </c>
    </row>
    <row r="129">
      <c r="A129" t="inlineStr">
        <is>
          <t>AO-C-056</t>
        </is>
      </c>
      <c r="B129" t="inlineStr">
        <is>
          <t>Hex Technologies</t>
        </is>
      </c>
      <c r="C129" t="inlineStr"/>
      <c r="D129" t="inlineStr"/>
      <c r="E129" t="inlineStr"/>
      <c r="F129" t="inlineStr"/>
      <c r="G129" t="inlineStr"/>
      <c r="H129" t="inlineStr">
        <is>
          <t>none</t>
        </is>
      </c>
      <c r="I129" t="inlineStr">
        <is>
          <t>linkedin</t>
        </is>
      </c>
      <c r="J129" t="n">
        <v>34.9</v>
      </c>
      <c r="K129" t="inlineStr">
        <is>
          <t>Tuesday estimate 5 to 155 (low confidence), under 500 staff company-wide, hybrid 2 days or fewer, signed-not-occupied at a medium-confidence address (hold: lease signed, move not confirmed); contacts not researched yet (below the top 50).</t>
        </is>
      </c>
      <c r="L129" t="inlineStr">
        <is>
          <t>under-40</t>
        </is>
      </c>
      <c r="M129" t="inlineStr"/>
      <c r="N129" t="inlineStr"/>
      <c r="O129" t="inlineStr">
        <is>
          <t>New or renewed lease at 250 Park Avenue South reported 2026-01-09</t>
        </is>
      </c>
      <c r="P129" t="inlineStr">
        <is>
          <t>https://commercialobserver.com/2026/01/hex-technologies-lease-feil-250-park-avenue-south/</t>
        </is>
      </c>
      <c r="Q129" t="inlineStr">
        <is>
          <t>2026-01-09</t>
        </is>
      </c>
      <c r="R129" t="inlineStr">
        <is>
          <t>N</t>
        </is>
      </c>
      <c r="S129" t="inlineStr">
        <is>
          <t>unknown</t>
        </is>
      </c>
      <c r="T129" t="inlineStr">
        <is>
          <t>N</t>
        </is>
      </c>
      <c r="U129" t="inlineStr">
        <is>
          <t>new</t>
        </is>
      </c>
      <c r="V129" t="inlineStr">
        <is>
          <t>https://commercialobserver.com/2026/01/hex-technologies-lease-feil-250-park-avenue-south/</t>
        </is>
      </c>
      <c r="W129" t="inlineStr">
        <is>
          <t>2026-10-23</t>
        </is>
      </c>
      <c r="X129" t="inlineStr">
        <is>
          <t>office</t>
        </is>
      </c>
      <c r="Y129" t="inlineStr"/>
      <c r="Z129" t="n">
        <v>128</v>
      </c>
      <c r="AA129" t="inlineStr">
        <is>
          <t>N</t>
        </is>
      </c>
      <c r="AB129" t="inlineStr">
        <is>
          <t>Tuesday estimate band under-40: founder's call (set founder_ok_to_queue = Y to queue)</t>
        </is>
      </c>
      <c r="AC129" t="inlineStr"/>
      <c r="AD129" t="inlineStr">
        <is>
          <t>none</t>
        </is>
      </c>
      <c r="AE129" t="inlineStr"/>
      <c r="AF129" t="inlineStr"/>
      <c r="AG129" t="inlineStr"/>
      <c r="AH129" t="inlineStr">
        <is>
          <t>none</t>
        </is>
      </c>
      <c r="AI129" t="inlineStr">
        <is>
          <t>250 Park Avenue South</t>
        </is>
      </c>
      <c r="AJ129" t="n">
        <v>7</v>
      </c>
      <c r="AK129" t="inlineStr">
        <is>
          <t>signed-not-occupied</t>
        </is>
      </c>
      <c r="AL129" t="n">
        <v>5</v>
      </c>
      <c r="AM129" t="n">
        <v>155</v>
      </c>
      <c r="AN129" t="inlineStr">
        <is>
          <t>low</t>
        </is>
      </c>
      <c r="AO129" t="inlineStr">
        <is>
          <t>hybrid-2-or-less</t>
        </is>
      </c>
      <c r="AP129" t="inlineStr">
        <is>
          <t>AO-C-056</t>
        </is>
      </c>
      <c r="AQ129" t="inlineStr">
        <is>
          <t>Y</t>
        </is>
      </c>
      <c r="AR129" t="inlineStr">
        <is>
          <t>lease signed, move not confirmed: check the lobby directory before outreach (B)</t>
        </is>
      </c>
      <c r="AS129" t="inlineStr"/>
      <c r="AT129" t="inlineStr">
        <is>
          <t>N</t>
        </is>
      </c>
      <c r="AU129" t="inlineStr">
        <is>
          <t>on hold: lease signed, move not confirmed: check the lobby directory before outreach (B); no contact named on an opened page; Tuesday estimate band under-40: founder's call</t>
        </is>
      </c>
      <c r="AV129" t="inlineStr"/>
      <c r="AW129" t="inlineStr">
        <is>
          <t>Y</t>
        </is>
      </c>
      <c r="AX129" t="inlineStr">
        <is>
          <t>pass</t>
        </is>
      </c>
      <c r="AY129" t="inlineStr">
        <is>
          <t>passes all hard gates</t>
        </is>
      </c>
      <c r="AZ129" t="inlineStr">
        <is>
          <t>company</t>
        </is>
      </c>
      <c r="BA129" t="inlineStr">
        <is>
          <t>B-C-056</t>
        </is>
      </c>
      <c r="BB129" t="inlineStr">
        <is>
          <t>https://hex.tech</t>
        </is>
      </c>
      <c r="BC129" t="inlineStr">
        <is>
          <t>software (data analytics / AI)</t>
        </is>
      </c>
      <c r="BD129" t="n">
        <v>160</v>
      </c>
      <c r="BE129" t="n">
        <v>232</v>
      </c>
      <c r="BF129" t="inlineStr">
        <is>
          <t>151-250</t>
        </is>
      </c>
      <c r="BG129" t="inlineStr">
        <is>
          <t>whole-company</t>
        </is>
      </c>
      <c r="BH129" t="inlineStr">
        <is>
          <t>agree</t>
        </is>
      </c>
      <c r="BI129" t="inlineStr">
        <is>
          <t>https://www.builtinnyc.com/company/hex</t>
        </is>
      </c>
      <c r="BJ129" t="inlineStr">
        <is>
          <t>https://www.reveliolabs.com/companies/hex/employees</t>
        </is>
      </c>
      <c r="BK129" t="inlineStr">
        <is>
          <t>le500</t>
        </is>
      </c>
      <c r="BL129" t="inlineStr">
        <is>
          <t>San Francisco</t>
        </is>
      </c>
      <c r="BM129" t="inlineStr">
        <is>
          <t>N</t>
        </is>
      </c>
      <c r="BN129" t="inlineStr">
        <is>
          <t>unknown</t>
        </is>
      </c>
      <c r="BO129" t="inlineStr">
        <is>
          <t>unknown</t>
        </is>
      </c>
      <c r="BP129" t="n">
        <v>10003</v>
      </c>
      <c r="BQ129" t="n">
        <v>40.73827</v>
      </c>
      <c r="BR129" t="n">
        <v>-73.98819899999999</v>
      </c>
      <c r="BS129" t="inlineStr">
        <is>
          <t>Y</t>
        </is>
      </c>
      <c r="BT129" t="n">
        <v>0</v>
      </c>
      <c r="BU129" t="inlineStr">
        <is>
          <t>B-B-028</t>
        </is>
      </c>
      <c r="BV129" t="inlineStr">
        <is>
          <t>250 Park Avenue South (Feil Organization)</t>
        </is>
      </c>
      <c r="BW129" t="inlineStr">
        <is>
          <t>https://commercialobserver.com/2026/01/hex-technologies-lease-feil-250-park-avenue-south/</t>
        </is>
      </c>
      <c r="BX129" t="inlineStr">
        <is>
          <t>2026-01-09</t>
        </is>
      </c>
      <c r="BY129" t="inlineStr">
        <is>
          <t>leasing-press</t>
        </is>
      </c>
      <c r="BZ129" t="inlineStr">
        <is>
          <t>https://nyrej.com/print/57161</t>
        </is>
      </c>
      <c r="CA129" t="inlineStr">
        <is>
          <t>2026-03-10</t>
        </is>
      </c>
      <c r="CB129" t="inlineStr"/>
      <c r="CC129" t="inlineStr">
        <is>
          <t>medium</t>
        </is>
      </c>
      <c r="CD129" t="inlineStr">
        <is>
          <t>unknown</t>
        </is>
      </c>
      <c r="CE129" t="inlineStr">
        <is>
          <t>N</t>
        </is>
      </c>
      <c r="CF129" t="inlineStr"/>
      <c r="CG129" t="inlineStr"/>
      <c r="CH129" t="inlineStr">
        <is>
          <t>unknown</t>
        </is>
      </c>
      <c r="CI129" t="inlineStr"/>
      <c r="CJ129" t="inlineStr">
        <is>
          <t>unknown</t>
        </is>
      </c>
      <c r="CK129" t="inlineStr">
        <is>
          <t>N</t>
        </is>
      </c>
      <c r="CL129" t="inlineStr">
        <is>
          <t>Built In workplace type: Hybrid Workplace; typical time on-site: Flexible (box) but policy text: 2 to 3 days in person (lower figure used); recent job tags: 1 Remote, 2 Hybrid</t>
        </is>
      </c>
      <c r="CM129" t="inlineStr">
        <is>
          <t>https://www.builtinnyc.com/company/hex/offices</t>
        </is>
      </c>
      <c r="CN129" t="inlineStr">
        <is>
          <t>2026-10-24</t>
        </is>
      </c>
      <c r="CO129" t="n">
        <v>28</v>
      </c>
      <c r="CP129" t="inlineStr">
        <is>
          <t>may be under 30;central estimate under 30</t>
        </is>
      </c>
      <c r="CQ129" t="inlineStr">
        <is>
          <t>160 (Built In) and 232 (Revelio Labs) staff (whole-company count) x 5% to 100% of them in the New York office (HQ outside New York; share assumed) x 67% (Partnership for NYC, firms under 500) in on a weekday = 5 to 155, central 28; low confidence; estimate until intake replaces it.</t>
        </is>
      </c>
      <c r="CR129" t="inlineStr">
        <is>
          <t>estimate until intake replaces it</t>
        </is>
      </c>
      <c r="CS129" t="n">
        <v>0.39</v>
      </c>
      <c r="CT129" t="n">
        <v>34.9</v>
      </c>
      <c r="CU129" t="n">
        <v>9.9</v>
      </c>
      <c r="CV129" t="n">
        <v>15</v>
      </c>
      <c r="CW129" t="n">
        <v>5</v>
      </c>
      <c r="CX129" t="n">
        <v>5</v>
      </c>
      <c r="CY129" t="n">
        <v>0</v>
      </c>
      <c r="CZ129" t="n">
        <v>0</v>
      </c>
      <c r="DA129" t="inlineStr"/>
      <c r="DB129" t="inlineStr"/>
      <c r="DC129" t="inlineStr"/>
      <c r="DD129" t="inlineStr"/>
      <c r="DE129" t="inlineStr"/>
      <c r="DF129" t="inlineStr">
        <is>
          <t>none</t>
        </is>
      </c>
      <c r="DG129" t="inlineStr">
        <is>
          <t>candidate</t>
        </is>
      </c>
      <c r="DH129" t="inlineStr"/>
      <c r="DI129" t="inlineStr"/>
      <c r="DJ129" t="inlineStr"/>
      <c r="DK129" t="inlineStr">
        <is>
          <t>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is>
      </c>
      <c r="DL129" t="inlineStr"/>
      <c r="DM129" t="inlineStr"/>
      <c r="DN129" t="inlineStr"/>
      <c r="DO129" t="inlineStr"/>
      <c r="DP129" t="inlineStr"/>
      <c r="DQ129" t="inlineStr"/>
      <c r="DR129" t="inlineStr"/>
      <c r="DS129" t="inlineStr">
        <is>
          <t>none</t>
        </is>
      </c>
      <c r="DT129" t="inlineStr"/>
      <c r="DU129" t="inlineStr"/>
      <c r="DV129" t="inlineStr"/>
      <c r="DW129" t="inlineStr"/>
      <c r="DX129" t="inlineStr">
        <is>
          <t>N</t>
        </is>
      </c>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f>IF(ISNUMBER(MATCH(U129,{"queued","contacted","replied","call_booked","call_done","yes_in_principle","materials_sent"},0)),"Y","N")</f>
        <v/>
      </c>
      <c r="ES129">
        <f>IF(COUNTIFS($AP$2:$AP$1000,AP129,$ER$2:$ER$1000,"Y")+COUNTIFS($AP$2:$AP$1000,AP129,$T$2:$T$1000,"Y")&gt;0,"Y","N")</f>
        <v/>
      </c>
      <c r="ET129">
        <f>IF(AND(U129="new",T129="N",AT129="Y",AS129="",ES129="N"),"Y","N")</f>
        <v/>
      </c>
      <c r="EU129">
        <f>IF(ET129&lt;&gt;"Y","N",IF(COUNTIFS($AP$2:$AP$1000,AP129,$ET$2:$ET$1000,"Y",$J$2:$J$1000,"&gt;"&amp;J129)+COUNTIFS($AP$2:$AP$1000,AP129,$ET$2:$ET$1000,"Y",$J$2:$J$1000,J129,$EW$2:$EW$1000,"&lt;"&amp;EW129)=0,"Y","N"))</f>
        <v/>
      </c>
      <c r="EV129">
        <f>IF(Y129="","N",IF(Y129&lt;=10,"Y","N"))</f>
        <v/>
      </c>
      <c r="EW129">
        <f>ROW()-1</f>
        <v/>
      </c>
    </row>
    <row r="130">
      <c r="A130" t="inlineStr">
        <is>
          <t>AO-C-002</t>
        </is>
      </c>
      <c r="B130" t="inlineStr">
        <is>
          <t>Casa Komos Brand Group</t>
        </is>
      </c>
      <c r="C130" t="inlineStr"/>
      <c r="D130" t="inlineStr"/>
      <c r="E130" t="inlineStr"/>
      <c r="F130" t="inlineStr"/>
      <c r="G130" t="inlineStr"/>
      <c r="H130" t="inlineStr">
        <is>
          <t>none</t>
        </is>
      </c>
      <c r="I130" t="inlineStr">
        <is>
          <t>linkedin</t>
        </is>
      </c>
      <c r="J130" t="n">
        <v>34</v>
      </c>
      <c r="K130" t="inlineStr">
        <is>
          <t>Tuesday headcount unknown (no sourced count), company size unknown, no attendance signal, occupied at a medium-confidence address; contacts not researched yet (below the top 50).</t>
        </is>
      </c>
      <c r="L130" t="inlineStr">
        <is>
          <t>unknown</t>
        </is>
      </c>
      <c r="M130" t="inlineStr"/>
      <c r="N130" t="inlineStr"/>
      <c r="O130" t="inlineStr"/>
      <c r="P130" t="inlineStr"/>
      <c r="Q130" t="inlineStr"/>
      <c r="R130" t="inlineStr">
        <is>
          <t>N</t>
        </is>
      </c>
      <c r="S130" t="inlineStr">
        <is>
          <t>unknown</t>
        </is>
      </c>
      <c r="T130" t="inlineStr">
        <is>
          <t>N</t>
        </is>
      </c>
      <c r="U130" t="inlineStr">
        <is>
          <t>new</t>
        </is>
      </c>
      <c r="V130" t="inlineStr">
        <is>
          <t>https://commercialobserver.com/2026/01/perplexity-lease-841-broadway-union-square/</t>
        </is>
      </c>
      <c r="W130" t="inlineStr">
        <is>
          <t>2026-10-23</t>
        </is>
      </c>
      <c r="X130" t="inlineStr">
        <is>
          <t>office</t>
        </is>
      </c>
      <c r="Y130" t="inlineStr"/>
      <c r="Z130" t="n">
        <v>129</v>
      </c>
      <c r="AA130" t="inlineStr">
        <is>
          <t>N</t>
        </is>
      </c>
      <c r="AB130" t="inlineStr"/>
      <c r="AC130" t="inlineStr"/>
      <c r="AD130" t="inlineStr">
        <is>
          <t>none</t>
        </is>
      </c>
      <c r="AE130" t="inlineStr"/>
      <c r="AF130" t="inlineStr"/>
      <c r="AG130" t="inlineStr"/>
      <c r="AH130" t="inlineStr">
        <is>
          <t>none</t>
        </is>
      </c>
      <c r="AI130" t="inlineStr">
        <is>
          <t>853 Broadway</t>
        </is>
      </c>
      <c r="AJ130" t="inlineStr">
        <is>
          <t>2; part of 9</t>
        </is>
      </c>
      <c r="AK130" t="inlineStr">
        <is>
          <t>occupied</t>
        </is>
      </c>
      <c r="AL130" t="inlineStr">
        <is>
          <t>unknown</t>
        </is>
      </c>
      <c r="AM130" t="inlineStr">
        <is>
          <t>unknown</t>
        </is>
      </c>
      <c r="AN130" t="inlineStr">
        <is>
          <t>none</t>
        </is>
      </c>
      <c r="AO130" t="inlineStr">
        <is>
          <t>unknown</t>
        </is>
      </c>
      <c r="AP130" t="inlineStr">
        <is>
          <t>AO-C-002</t>
        </is>
      </c>
      <c r="AQ130" t="inlineStr">
        <is>
          <t>N</t>
        </is>
      </c>
      <c r="AR130" t="inlineStr"/>
      <c r="AS130" t="inlineStr"/>
      <c r="AT130" t="inlineStr">
        <is>
          <t>N</t>
        </is>
      </c>
      <c r="AU130" t="inlineStr">
        <is>
          <t>no contact named on an opened page</t>
        </is>
      </c>
      <c r="AV130" t="inlineStr"/>
      <c r="AW130" t="inlineStr">
        <is>
          <t>N</t>
        </is>
      </c>
      <c r="AX130" t="inlineStr">
        <is>
          <t>pass</t>
        </is>
      </c>
      <c r="AY130" t="inlineStr">
        <is>
          <t>passes all hard gates</t>
        </is>
      </c>
      <c r="AZ130" t="inlineStr">
        <is>
          <t>company</t>
        </is>
      </c>
      <c r="BA130" t="inlineStr">
        <is>
          <t>B-C-002</t>
        </is>
      </c>
      <c r="BB130" t="inlineStr">
        <is>
          <t>unknown</t>
        </is>
      </c>
      <c r="BC130" t="inlineStr">
        <is>
          <t>consumer beverage brand (tequila)</t>
        </is>
      </c>
      <c r="BD130" t="inlineStr">
        <is>
          <t>unknown</t>
        </is>
      </c>
      <c r="BE130" t="inlineStr"/>
      <c r="BF130" t="inlineStr">
        <is>
          <t>unknown</t>
        </is>
      </c>
      <c r="BG130" t="inlineStr">
        <is>
          <t>unknown</t>
        </is>
      </c>
      <c r="BH130" t="inlineStr">
        <is>
          <t>no-count</t>
        </is>
      </c>
      <c r="BI130" t="inlineStr"/>
      <c r="BJ130" t="inlineStr"/>
      <c r="BK130" t="inlineStr">
        <is>
          <t>unknown</t>
        </is>
      </c>
      <c r="BL130" t="inlineStr">
        <is>
          <t>unknown</t>
        </is>
      </c>
      <c r="BM130" t="inlineStr">
        <is>
          <t>unknown</t>
        </is>
      </c>
      <c r="BN130" t="inlineStr">
        <is>
          <t>unknown</t>
        </is>
      </c>
      <c r="BO130" t="inlineStr">
        <is>
          <t>unknown</t>
        </is>
      </c>
      <c r="BP130" t="n">
        <v>10003</v>
      </c>
      <c r="BQ130" t="n">
        <v>40.734626</v>
      </c>
      <c r="BR130" t="n">
        <v>-73.9911</v>
      </c>
      <c r="BS130" t="inlineStr">
        <is>
          <t>Y</t>
        </is>
      </c>
      <c r="BT130" t="n">
        <v>0</v>
      </c>
      <c r="BU130" t="inlineStr">
        <is>
          <t>B-B-001</t>
        </is>
      </c>
      <c r="BV130" t="inlineStr">
        <is>
          <t>853 Broadway (Union Building)</t>
        </is>
      </c>
      <c r="BW130" t="inlineStr">
        <is>
          <t>https://commercialobserver.com/2026/01/perplexity-lease-841-broadway-union-square/</t>
        </is>
      </c>
      <c r="BX130" t="inlineStr">
        <is>
          <t>2026-01-27</t>
        </is>
      </c>
      <c r="BY130" t="inlineStr">
        <is>
          <t>leasing-press</t>
        </is>
      </c>
      <c r="BZ130" t="inlineStr">
        <is>
          <t>https://commercialobserver.com/2024/02/tequila-brand-casa-komos-moving-offices-to-10k-sf-at-853-broadway/</t>
        </is>
      </c>
      <c r="CA130" t="inlineStr">
        <is>
          <t>2024-02</t>
        </is>
      </c>
      <c r="CB130" t="inlineStr"/>
      <c r="CC130" t="inlineStr">
        <is>
          <t>medium</t>
        </is>
      </c>
      <c r="CD130" t="inlineStr"/>
      <c r="CE130" t="inlineStr">
        <is>
          <t>N</t>
        </is>
      </c>
      <c r="CF130" t="inlineStr"/>
      <c r="CG130" t="inlineStr"/>
      <c r="CH130" t="inlineStr">
        <is>
          <t>security desk</t>
        </is>
      </c>
      <c r="CI130" t="inlineStr">
        <is>
          <t>https://853broadway.sharplaunch.com/</t>
        </is>
      </c>
      <c r="CJ130" t="inlineStr">
        <is>
          <t>unknown</t>
        </is>
      </c>
      <c r="CK130" t="inlineStr">
        <is>
          <t>N</t>
        </is>
      </c>
      <c r="CL130" t="inlineStr">
        <is>
          <t>unknown</t>
        </is>
      </c>
      <c r="CM130" t="inlineStr"/>
      <c r="CN130" t="inlineStr"/>
      <c r="CO130" t="inlineStr">
        <is>
          <t>unknown</t>
        </is>
      </c>
      <c r="CP130" t="inlineStr"/>
      <c r="CQ130" t="inlineStr">
        <is>
          <t>No sourced headcount, so no Tuesday estimate; ask the Tuesday count at intake.</t>
        </is>
      </c>
      <c r="CR130" t="inlineStr">
        <is>
          <t>estimate until intake replaces it</t>
        </is>
      </c>
      <c r="CS130" t="inlineStr">
        <is>
          <t>unknown</t>
        </is>
      </c>
      <c r="CT130" t="n">
        <v>34</v>
      </c>
      <c r="CU130" t="n">
        <v>7</v>
      </c>
      <c r="CV130" t="n">
        <v>8</v>
      </c>
      <c r="CW130" t="n">
        <v>6</v>
      </c>
      <c r="CX130" t="n">
        <v>13</v>
      </c>
      <c r="CY130" t="n">
        <v>0</v>
      </c>
      <c r="CZ130" t="n">
        <v>0</v>
      </c>
      <c r="DA130" t="inlineStr"/>
      <c r="DB130" t="inlineStr"/>
      <c r="DC130" t="inlineStr"/>
      <c r="DD130" t="inlineStr"/>
      <c r="DE130" t="inlineStr"/>
      <c r="DF130" t="inlineStr">
        <is>
          <t>none</t>
        </is>
      </c>
      <c r="DG130" t="inlineStr">
        <is>
          <t>candidate</t>
        </is>
      </c>
      <c r="DH130" t="inlineStr"/>
      <c r="DI130" t="inlineStr"/>
      <c r="DJ130" t="inlineStr">
        <is>
          <t>10,300 sf</t>
        </is>
      </c>
      <c r="DK130" t="inlineStr">
        <is>
          <t>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is>
      </c>
      <c r="DL130" t="inlineStr"/>
      <c r="DM130" t="inlineStr"/>
      <c r="DN130" t="inlineStr"/>
      <c r="DO130" t="inlineStr"/>
      <c r="DP130" t="inlineStr"/>
      <c r="DQ130" t="inlineStr"/>
      <c r="DR130" t="inlineStr"/>
      <c r="DS130" t="inlineStr">
        <is>
          <t>none</t>
        </is>
      </c>
      <c r="DT130" t="inlineStr"/>
      <c r="DU130" t="inlineStr"/>
      <c r="DV130" t="inlineStr"/>
      <c r="DW130" t="inlineStr"/>
      <c r="DX130" t="inlineStr">
        <is>
          <t>N</t>
        </is>
      </c>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f>IF(ISNUMBER(MATCH(U130,{"queued","contacted","replied","call_booked","call_done","yes_in_principle","materials_sent"},0)),"Y","N")</f>
        <v/>
      </c>
      <c r="ES130">
        <f>IF(COUNTIFS($AP$2:$AP$1000,AP130,$ER$2:$ER$1000,"Y")+COUNTIFS($AP$2:$AP$1000,AP130,$T$2:$T$1000,"Y")&gt;0,"Y","N")</f>
        <v/>
      </c>
      <c r="ET130">
        <f>IF(AND(U130="new",T130="N",AT130="Y",AS130="",ES130="N"),"Y","N")</f>
        <v/>
      </c>
      <c r="EU130">
        <f>IF(ET130&lt;&gt;"Y","N",IF(COUNTIFS($AP$2:$AP$1000,AP130,$ET$2:$ET$1000,"Y",$J$2:$J$1000,"&gt;"&amp;J130)+COUNTIFS($AP$2:$AP$1000,AP130,$ET$2:$ET$1000,"Y",$J$2:$J$1000,J130,$EW$2:$EW$1000,"&lt;"&amp;EW130)=0,"Y","N"))</f>
        <v/>
      </c>
      <c r="EV130">
        <f>IF(Y130="","N",IF(Y130&lt;=10,"Y","N"))</f>
        <v/>
      </c>
      <c r="EW130">
        <f>ROW()-1</f>
        <v/>
      </c>
    </row>
    <row r="131">
      <c r="A131" t="inlineStr">
        <is>
          <t>AO-C-154</t>
        </is>
      </c>
      <c r="B131" t="inlineStr">
        <is>
          <t>Christian Louboutin</t>
        </is>
      </c>
      <c r="C131" t="inlineStr"/>
      <c r="D131" t="inlineStr"/>
      <c r="E131" t="inlineStr"/>
      <c r="F131" t="inlineStr"/>
      <c r="G131" t="inlineStr"/>
      <c r="H131" t="inlineStr">
        <is>
          <t>none</t>
        </is>
      </c>
      <c r="I131" t="inlineStr">
        <is>
          <t>linkedin</t>
        </is>
      </c>
      <c r="J131" t="n">
        <v>34</v>
      </c>
      <c r="K131" t="inlineStr">
        <is>
          <t>Tuesday headcount unknown (no sourced count), company size unknown, no attendance signal, occupied at a medium-confidence address; contacts not researched yet (below the top 50).</t>
        </is>
      </c>
      <c r="L131" t="inlineStr">
        <is>
          <t>unknown</t>
        </is>
      </c>
      <c r="M131" t="inlineStr"/>
      <c r="N131" t="inlineStr"/>
      <c r="O131" t="inlineStr"/>
      <c r="P131" t="inlineStr"/>
      <c r="Q131" t="inlineStr"/>
      <c r="R131" t="inlineStr">
        <is>
          <t>N</t>
        </is>
      </c>
      <c r="S131" t="inlineStr">
        <is>
          <t>unknown</t>
        </is>
      </c>
      <c r="T131" t="inlineStr">
        <is>
          <t>N</t>
        </is>
      </c>
      <c r="U131" t="inlineStr">
        <is>
          <t>new</t>
        </is>
      </c>
      <c r="V131" t="inlineStr">
        <is>
          <t>https://commercialobserver.com/2026/03/thor-equities-buys-1165-broadway/</t>
        </is>
      </c>
      <c r="W131" t="inlineStr">
        <is>
          <t>2026-10-23</t>
        </is>
      </c>
      <c r="X131" t="inlineStr">
        <is>
          <t>office</t>
        </is>
      </c>
      <c r="Y131" t="inlineStr"/>
      <c r="Z131" t="n">
        <v>130</v>
      </c>
      <c r="AA131" t="inlineStr">
        <is>
          <t>N</t>
        </is>
      </c>
      <c r="AB131" t="inlineStr"/>
      <c r="AC131" t="inlineStr"/>
      <c r="AD131" t="inlineStr">
        <is>
          <t>none</t>
        </is>
      </c>
      <c r="AE131" t="inlineStr"/>
      <c r="AF131" t="inlineStr"/>
      <c r="AG131" t="inlineStr"/>
      <c r="AH131" t="inlineStr">
        <is>
          <t>none</t>
        </is>
      </c>
      <c r="AI131" t="inlineStr">
        <is>
          <t>1165 Broadway</t>
        </is>
      </c>
      <c r="AJ131" t="inlineStr">
        <is>
          <t>unknown</t>
        </is>
      </c>
      <c r="AK131" t="inlineStr">
        <is>
          <t>occupied</t>
        </is>
      </c>
      <c r="AL131" t="inlineStr">
        <is>
          <t>unknown</t>
        </is>
      </c>
      <c r="AM131" t="inlineStr">
        <is>
          <t>unknown</t>
        </is>
      </c>
      <c r="AN131" t="inlineStr">
        <is>
          <t>none</t>
        </is>
      </c>
      <c r="AO131" t="inlineStr">
        <is>
          <t>unknown</t>
        </is>
      </c>
      <c r="AP131" t="inlineStr">
        <is>
          <t>AO-C-154</t>
        </is>
      </c>
      <c r="AQ131" t="inlineStr">
        <is>
          <t>N</t>
        </is>
      </c>
      <c r="AR131" t="inlineStr"/>
      <c r="AS131" t="inlineStr"/>
      <c r="AT131" t="inlineStr">
        <is>
          <t>N</t>
        </is>
      </c>
      <c r="AU131" t="inlineStr">
        <is>
          <t>no contact named on an opened page</t>
        </is>
      </c>
      <c r="AV131" t="inlineStr"/>
      <c r="AW131" t="inlineStr">
        <is>
          <t>N</t>
        </is>
      </c>
      <c r="AX131" t="inlineStr">
        <is>
          <t>pass</t>
        </is>
      </c>
      <c r="AY131" t="inlineStr">
        <is>
          <t>passes all hard gates</t>
        </is>
      </c>
      <c r="AZ131" t="inlineStr">
        <is>
          <t>company</t>
        </is>
      </c>
      <c r="BA131" t="inlineStr">
        <is>
          <t>B-C-154</t>
        </is>
      </c>
      <c r="BB131" t="inlineStr">
        <is>
          <t>https://us.christianlouboutin.com</t>
        </is>
      </c>
      <c r="BC131" t="inlineStr">
        <is>
          <t>luxury footwear brand (office)</t>
        </is>
      </c>
      <c r="BD131" t="inlineStr">
        <is>
          <t>unknown</t>
        </is>
      </c>
      <c r="BE131" t="inlineStr"/>
      <c r="BF131" t="inlineStr">
        <is>
          <t>unknown</t>
        </is>
      </c>
      <c r="BG131" t="inlineStr">
        <is>
          <t>unknown</t>
        </is>
      </c>
      <c r="BH131" t="inlineStr">
        <is>
          <t>no-count</t>
        </is>
      </c>
      <c r="BI131" t="inlineStr"/>
      <c r="BJ131" t="inlineStr"/>
      <c r="BK131" t="inlineStr">
        <is>
          <t>unknown</t>
        </is>
      </c>
      <c r="BL131" t="inlineStr">
        <is>
          <t>unknown</t>
        </is>
      </c>
      <c r="BM131" t="inlineStr">
        <is>
          <t>unknown</t>
        </is>
      </c>
      <c r="BN131" t="inlineStr">
        <is>
          <t>unknown</t>
        </is>
      </c>
      <c r="BO131" t="inlineStr">
        <is>
          <t>unknown</t>
        </is>
      </c>
      <c r="BP131" t="n">
        <v>10001</v>
      </c>
      <c r="BQ131" t="n">
        <v>40.744899</v>
      </c>
      <c r="BR131" t="n">
        <v>-73.989082</v>
      </c>
      <c r="BS131" t="inlineStr">
        <is>
          <t>Y</t>
        </is>
      </c>
      <c r="BT131" t="n">
        <v>0</v>
      </c>
      <c r="BU131" t="inlineStr">
        <is>
          <t>B-B-071</t>
        </is>
      </c>
      <c r="BV131" t="inlineStr">
        <is>
          <t>1165 Broadway (Thor Equities, bought 2026)</t>
        </is>
      </c>
      <c r="BW131" t="inlineStr">
        <is>
          <t>https://commercialobserver.com/2026/03/thor-equities-buys-1165-broadway/</t>
        </is>
      </c>
      <c r="BX131" t="inlineStr">
        <is>
          <t>2026-03-25</t>
        </is>
      </c>
      <c r="BY131" t="inlineStr">
        <is>
          <t>leasing-press</t>
        </is>
      </c>
      <c r="BZ131" t="inlineStr"/>
      <c r="CA131" t="inlineStr"/>
      <c r="CB131" t="inlineStr"/>
      <c r="CC131" t="inlineStr">
        <is>
          <t>medium</t>
        </is>
      </c>
      <c r="CD131" t="inlineStr"/>
      <c r="CE131" t="inlineStr">
        <is>
          <t>N</t>
        </is>
      </c>
      <c r="CF131" t="inlineStr"/>
      <c r="CG131" t="inlineStr"/>
      <c r="CH131" t="inlineStr">
        <is>
          <t>unknown</t>
        </is>
      </c>
      <c r="CI131" t="inlineStr"/>
      <c r="CJ131" t="inlineStr">
        <is>
          <t>unknown</t>
        </is>
      </c>
      <c r="CK131" t="inlineStr">
        <is>
          <t>N</t>
        </is>
      </c>
      <c r="CL131" t="inlineStr">
        <is>
          <t>unknown</t>
        </is>
      </c>
      <c r="CM131" t="inlineStr"/>
      <c r="CN131" t="inlineStr"/>
      <c r="CO131" t="inlineStr">
        <is>
          <t>unknown</t>
        </is>
      </c>
      <c r="CP131" t="inlineStr"/>
      <c r="CQ131" t="inlineStr">
        <is>
          <t>No sourced headcount, so no Tuesday estimate; ask the Tuesday count at intake.</t>
        </is>
      </c>
      <c r="CR131" t="inlineStr">
        <is>
          <t>estimate until intake replaces it</t>
        </is>
      </c>
      <c r="CS131" t="inlineStr">
        <is>
          <t>unknown</t>
        </is>
      </c>
      <c r="CT131" t="n">
        <v>34</v>
      </c>
      <c r="CU131" t="n">
        <v>7</v>
      </c>
      <c r="CV131" t="n">
        <v>8</v>
      </c>
      <c r="CW131" t="n">
        <v>6</v>
      </c>
      <c r="CX131" t="n">
        <v>13</v>
      </c>
      <c r="CY131" t="n">
        <v>0</v>
      </c>
      <c r="CZ131" t="n">
        <v>0</v>
      </c>
      <c r="DA131" t="inlineStr"/>
      <c r="DB131" t="inlineStr"/>
      <c r="DC131" t="inlineStr"/>
      <c r="DD131" t="inlineStr"/>
      <c r="DE131" t="inlineStr"/>
      <c r="DF131" t="inlineStr">
        <is>
          <t>none</t>
        </is>
      </c>
      <c r="DG131" t="inlineStr">
        <is>
          <t>candidate</t>
        </is>
      </c>
      <c r="DH131" t="inlineStr"/>
      <c r="DI131" t="inlineStr"/>
      <c r="DJ131" t="inlineStr">
        <is>
          <t>58,000 sf</t>
        </is>
      </c>
      <c r="DK131" t="inlineStr">
        <is>
          <t>CO names it a current tenant of the 58,000 SF office and retail building at Broadway and 27th St. Use (office or showroom) and headcount not sourced.</t>
        </is>
      </c>
      <c r="DL131" t="inlineStr"/>
      <c r="DM131" t="inlineStr"/>
      <c r="DN131" t="inlineStr"/>
      <c r="DO131" t="inlineStr"/>
      <c r="DP131" t="inlineStr"/>
      <c r="DQ131" t="inlineStr"/>
      <c r="DR131" t="inlineStr"/>
      <c r="DS131" t="inlineStr">
        <is>
          <t>none</t>
        </is>
      </c>
      <c r="DT131" t="inlineStr"/>
      <c r="DU131" t="inlineStr"/>
      <c r="DV131" t="inlineStr"/>
      <c r="DW131" t="inlineStr"/>
      <c r="DX131" t="inlineStr">
        <is>
          <t>N</t>
        </is>
      </c>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f>IF(ISNUMBER(MATCH(U131,{"queued","contacted","replied","call_booked","call_done","yes_in_principle","materials_sent"},0)),"Y","N")</f>
        <v/>
      </c>
      <c r="ES131">
        <f>IF(COUNTIFS($AP$2:$AP$1000,AP131,$ER$2:$ER$1000,"Y")+COUNTIFS($AP$2:$AP$1000,AP131,$T$2:$T$1000,"Y")&gt;0,"Y","N")</f>
        <v/>
      </c>
      <c r="ET131">
        <f>IF(AND(U131="new",T131="N",AT131="Y",AS131="",ES131="N"),"Y","N")</f>
        <v/>
      </c>
      <c r="EU131">
        <f>IF(ET131&lt;&gt;"Y","N",IF(COUNTIFS($AP$2:$AP$1000,AP131,$ET$2:$ET$1000,"Y",$J$2:$J$1000,"&gt;"&amp;J131)+COUNTIFS($AP$2:$AP$1000,AP131,$ET$2:$ET$1000,"Y",$J$2:$J$1000,J131,$EW$2:$EW$1000,"&lt;"&amp;EW131)=0,"Y","N"))</f>
        <v/>
      </c>
      <c r="EV131">
        <f>IF(Y131="","N",IF(Y131&lt;=10,"Y","N"))</f>
        <v/>
      </c>
      <c r="EW131">
        <f>ROW()-1</f>
        <v/>
      </c>
    </row>
    <row r="132">
      <c r="A132" t="inlineStr">
        <is>
          <t>AO-W-001</t>
        </is>
      </c>
      <c r="B132" t="inlineStr">
        <is>
          <t>Civic Hall, Union Square (Zero Irving)</t>
        </is>
      </c>
      <c r="C132" t="inlineStr"/>
      <c r="D132" t="inlineStr"/>
      <c r="E132" t="inlineStr"/>
      <c r="F132" t="inlineStr"/>
      <c r="G132" t="inlineStr"/>
      <c r="H132" t="inlineStr">
        <is>
          <t>none</t>
        </is>
      </c>
      <c r="I132" t="inlineStr">
        <is>
          <t>linkedin</t>
        </is>
      </c>
      <c r="J132" t="n">
        <v>34</v>
      </c>
      <c r="K132" t="inlineStr">
        <is>
          <t>Tuesday headcount unknown (no sourced count), coworking operator site (one office if it controls the pantry), no attendance signal, open at a medium-confidence address; contacts not researched yet (below the top 50).</t>
        </is>
      </c>
      <c r="L132" t="inlineStr">
        <is>
          <t>unknown</t>
        </is>
      </c>
      <c r="M132" t="inlineStr"/>
      <c r="N132" t="inlineStr"/>
      <c r="O132" t="inlineStr"/>
      <c r="P132" t="inlineStr"/>
      <c r="Q132" t="inlineStr"/>
      <c r="R132" t="inlineStr">
        <is>
          <t>N</t>
        </is>
      </c>
      <c r="S132" t="inlineStr">
        <is>
          <t>unknown</t>
        </is>
      </c>
      <c r="T132" t="inlineStr">
        <is>
          <t>N</t>
        </is>
      </c>
      <c r="U132" t="inlineStr">
        <is>
          <t>new</t>
        </is>
      </c>
      <c r="V132" t="inlineStr">
        <is>
          <t>https://civichall.org/contact-us/</t>
        </is>
      </c>
      <c r="W132" t="inlineStr">
        <is>
          <t>2026-10-23</t>
        </is>
      </c>
      <c r="X132" t="inlineStr">
        <is>
          <t>office</t>
        </is>
      </c>
      <c r="Y132" t="inlineStr"/>
      <c r="Z132" t="n">
        <v>131</v>
      </c>
      <c r="AA132" t="inlineStr">
        <is>
          <t>N</t>
        </is>
      </c>
      <c r="AB132" t="inlineStr"/>
      <c r="AC132" t="inlineStr"/>
      <c r="AD132" t="inlineStr">
        <is>
          <t>none</t>
        </is>
      </c>
      <c r="AE132" t="inlineStr"/>
      <c r="AF132" t="inlineStr"/>
      <c r="AG132" t="inlineStr"/>
      <c r="AH132" t="inlineStr">
        <is>
          <t>none</t>
        </is>
      </c>
      <c r="AI132" t="inlineStr">
        <is>
          <t>124 East 14th Street, New York, NY 10003</t>
        </is>
      </c>
      <c r="AJ132" t="inlineStr">
        <is>
          <t>unknown</t>
        </is>
      </c>
      <c r="AK132" t="inlineStr">
        <is>
          <t>open</t>
        </is>
      </c>
      <c r="AL132" t="inlineStr">
        <is>
          <t>unknown</t>
        </is>
      </c>
      <c r="AM132" t="inlineStr">
        <is>
          <t>unknown</t>
        </is>
      </c>
      <c r="AN132" t="inlineStr">
        <is>
          <t>none</t>
        </is>
      </c>
      <c r="AO132" t="inlineStr">
        <is>
          <t>unknown</t>
        </is>
      </c>
      <c r="AP132" t="inlineStr">
        <is>
          <t>AO-W-001</t>
        </is>
      </c>
      <c r="AQ132" t="inlineStr">
        <is>
          <t>N</t>
        </is>
      </c>
      <c r="AR132" t="inlineStr"/>
      <c r="AS132" t="inlineStr"/>
      <c r="AT132" t="inlineStr">
        <is>
          <t>N</t>
        </is>
      </c>
      <c r="AU132" t="inlineStr">
        <is>
          <t>no contact named on an opened page</t>
        </is>
      </c>
      <c r="AV132" t="inlineStr"/>
      <c r="AW132" t="inlineStr">
        <is>
          <t>N</t>
        </is>
      </c>
      <c r="AX132" t="inlineStr">
        <is>
          <t>pass</t>
        </is>
      </c>
      <c r="AY132" t="inlineStr">
        <is>
          <t>passes all hard gates</t>
        </is>
      </c>
      <c r="AZ132" t="inlineStr">
        <is>
          <t>coworking-operator</t>
        </is>
      </c>
      <c r="BA132" t="inlineStr">
        <is>
          <t>B-W-001</t>
        </is>
      </c>
      <c r="BB132" t="inlineStr">
        <is>
          <t>https://civichall.org</t>
        </is>
      </c>
      <c r="BC132" t="inlineStr">
        <is>
          <t>coworking operator</t>
        </is>
      </c>
      <c r="BD132" t="inlineStr">
        <is>
          <t>unknown</t>
        </is>
      </c>
      <c r="BE132" t="inlineStr"/>
      <c r="BF132" t="inlineStr">
        <is>
          <t>unknown</t>
        </is>
      </c>
      <c r="BG132" t="inlineStr">
        <is>
          <t>unknown</t>
        </is>
      </c>
      <c r="BH132" t="inlineStr"/>
      <c r="BI132" t="inlineStr"/>
      <c r="BJ132" t="inlineStr"/>
      <c r="BK132" t="inlineStr">
        <is>
          <t>unknown</t>
        </is>
      </c>
      <c r="BL132" t="inlineStr">
        <is>
          <t>n/a (operator site)</t>
        </is>
      </c>
      <c r="BM132" t="inlineStr">
        <is>
          <t>unknown</t>
        </is>
      </c>
      <c r="BN132" t="inlineStr">
        <is>
          <t>Civic Hall</t>
        </is>
      </c>
      <c r="BO132" t="inlineStr"/>
      <c r="BP132" t="n">
        <v>10003</v>
      </c>
      <c r="BQ132" t="n">
        <v>40.733674</v>
      </c>
      <c r="BR132" t="n">
        <v>-73.988766</v>
      </c>
      <c r="BS132" t="inlineStr">
        <is>
          <t>Y</t>
        </is>
      </c>
      <c r="BT132" t="n">
        <v>0</v>
      </c>
      <c r="BU132" t="inlineStr">
        <is>
          <t>B-B-002</t>
        </is>
      </c>
      <c r="BV132" t="inlineStr">
        <is>
          <t>Zero Irving</t>
        </is>
      </c>
      <c r="BW132" t="inlineStr">
        <is>
          <t>https://civichall.org/contact-us/</t>
        </is>
      </c>
      <c r="BX132" t="inlineStr">
        <is>
          <t>2026-10-23</t>
        </is>
      </c>
      <c r="BY132" t="inlineStr">
        <is>
          <t>operator-site</t>
        </is>
      </c>
      <c r="BZ132" t="inlineStr"/>
      <c r="CA132" t="inlineStr"/>
      <c r="CB132" t="inlineStr"/>
      <c r="CC132" t="inlineStr">
        <is>
          <t>medium</t>
        </is>
      </c>
      <c r="CD132" t="inlineStr"/>
      <c r="CE132" t="inlineStr">
        <is>
          <t>N</t>
        </is>
      </c>
      <c r="CF132" t="inlineStr">
        <is>
          <t>B-W-001</t>
        </is>
      </c>
      <c r="CG132" t="inlineStr">
        <is>
          <t>operator</t>
        </is>
      </c>
      <c r="CH132" t="inlineStr">
        <is>
          <t>unknown</t>
        </is>
      </c>
      <c r="CI132" t="inlineStr"/>
      <c r="CJ132" t="inlineStr">
        <is>
          <t>unknown</t>
        </is>
      </c>
      <c r="CK132" t="inlineStr">
        <is>
          <t>N</t>
        </is>
      </c>
      <c r="CL132" t="inlineStr">
        <is>
          <t>unknown</t>
        </is>
      </c>
      <c r="CM132" t="inlineStr"/>
      <c r="CN132" t="inlineStr"/>
      <c r="CO132" t="inlineStr">
        <is>
          <t>unknown</t>
        </is>
      </c>
      <c r="CP132" t="inlineStr"/>
      <c r="CQ132" t="inlineStr">
        <is>
          <t>Coworking site: member headcount not sourced; treat as one office if the operator controls the pantry and ask the Tuesday count at intake.</t>
        </is>
      </c>
      <c r="CR132" t="inlineStr">
        <is>
          <t>estimate until intake replaces it</t>
        </is>
      </c>
      <c r="CS132" t="inlineStr">
        <is>
          <t>unknown</t>
        </is>
      </c>
      <c r="CT132" t="n">
        <v>34</v>
      </c>
      <c r="CU132" t="n">
        <v>7</v>
      </c>
      <c r="CV132" t="n">
        <v>8</v>
      </c>
      <c r="CW132" t="n">
        <v>6</v>
      </c>
      <c r="CX132" t="n">
        <v>13</v>
      </c>
      <c r="CY132" t="n">
        <v>0</v>
      </c>
      <c r="CZ132" t="n">
        <v>0</v>
      </c>
      <c r="DA132" t="inlineStr"/>
      <c r="DB132" t="inlineStr"/>
      <c r="DC132" t="inlineStr"/>
      <c r="DD132" t="inlineStr"/>
      <c r="DE132" t="inlineStr"/>
      <c r="DF132" t="inlineStr">
        <is>
          <t>none</t>
        </is>
      </c>
      <c r="DG132" t="inlineStr">
        <is>
          <t>coworking-operator</t>
        </is>
      </c>
      <c r="DH132" t="inlineStr"/>
      <c r="DI132" t="inlineStr"/>
      <c r="DJ132" t="inlineStr"/>
      <c r="DK132" t="inlineStr">
        <is>
          <t>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is>
      </c>
      <c r="DL132" t="inlineStr"/>
      <c r="DM132" t="inlineStr"/>
      <c r="DN132" t="inlineStr"/>
      <c r="DO132" t="inlineStr"/>
      <c r="DP132" t="inlineStr"/>
      <c r="DQ132" t="inlineStr"/>
      <c r="DR132" t="inlineStr"/>
      <c r="DS132" t="inlineStr">
        <is>
          <t>none</t>
        </is>
      </c>
      <c r="DT132" t="inlineStr"/>
      <c r="DU132" t="inlineStr"/>
      <c r="DV132" t="inlineStr"/>
      <c r="DW132" t="inlineStr"/>
      <c r="DX132" t="inlineStr">
        <is>
          <t>N</t>
        </is>
      </c>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f>IF(ISNUMBER(MATCH(U132,{"queued","contacted","replied","call_booked","call_done","yes_in_principle","materials_sent"},0)),"Y","N")</f>
        <v/>
      </c>
      <c r="ES132">
        <f>IF(COUNTIFS($AP$2:$AP$1000,AP132,$ER$2:$ER$1000,"Y")+COUNTIFS($AP$2:$AP$1000,AP132,$T$2:$T$1000,"Y")&gt;0,"Y","N")</f>
        <v/>
      </c>
      <c r="ET132">
        <f>IF(AND(U132="new",T132="N",AT132="Y",AS132="",ES132="N"),"Y","N")</f>
        <v/>
      </c>
      <c r="EU132">
        <f>IF(ET132&lt;&gt;"Y","N",IF(COUNTIFS($AP$2:$AP$1000,AP132,$ET$2:$ET$1000,"Y",$J$2:$J$1000,"&gt;"&amp;J132)+COUNTIFS($AP$2:$AP$1000,AP132,$ET$2:$ET$1000,"Y",$J$2:$J$1000,J132,$EW$2:$EW$1000,"&lt;"&amp;EW132)=0,"Y","N"))</f>
        <v/>
      </c>
      <c r="EV132">
        <f>IF(Y132="","N",IF(Y132&lt;=10,"Y","N"))</f>
        <v/>
      </c>
      <c r="EW132">
        <f>ROW()-1</f>
        <v/>
      </c>
    </row>
    <row r="133">
      <c r="A133" t="inlineStr">
        <is>
          <t>AO-C-077</t>
        </is>
      </c>
      <c r="B133" t="inlineStr">
        <is>
          <t>Cobalt Service Partners</t>
        </is>
      </c>
      <c r="C133" t="inlineStr"/>
      <c r="D133" t="inlineStr"/>
      <c r="E133" t="inlineStr"/>
      <c r="F133" t="inlineStr"/>
      <c r="G133" t="inlineStr"/>
      <c r="H133" t="inlineStr">
        <is>
          <t>none</t>
        </is>
      </c>
      <c r="I133" t="inlineStr">
        <is>
          <t>linkedin</t>
        </is>
      </c>
      <c r="J133" t="n">
        <v>34</v>
      </c>
      <c r="K133" t="inlineStr">
        <is>
          <t>Tuesday headcount unknown (no sourced count), company size unknown, no attendance signal, occupied at a medium-confidence address; contacts not researched yet (below the top 50).</t>
        </is>
      </c>
      <c r="L133" t="inlineStr">
        <is>
          <t>unknown</t>
        </is>
      </c>
      <c r="M133" t="inlineStr"/>
      <c r="N133" t="inlineStr"/>
      <c r="O133" t="inlineStr"/>
      <c r="P133" t="inlineStr"/>
      <c r="Q133" t="inlineStr"/>
      <c r="R133" t="inlineStr">
        <is>
          <t>N</t>
        </is>
      </c>
      <c r="S133" t="inlineStr">
        <is>
          <t>unknown</t>
        </is>
      </c>
      <c r="T133" t="inlineStr">
        <is>
          <t>N</t>
        </is>
      </c>
      <c r="U133" t="inlineStr">
        <is>
          <t>new</t>
        </is>
      </c>
      <c r="V133" t="inlineStr">
        <is>
          <t>https://commercialobserver.com/2025/02/cobalt-service-partners-lease-40-west-17th-street/</t>
        </is>
      </c>
      <c r="W133" t="inlineStr">
        <is>
          <t>2026-10-23</t>
        </is>
      </c>
      <c r="X133" t="inlineStr">
        <is>
          <t>office</t>
        </is>
      </c>
      <c r="Y133" t="inlineStr"/>
      <c r="Z133" t="n">
        <v>132</v>
      </c>
      <c r="AA133" t="inlineStr">
        <is>
          <t>N</t>
        </is>
      </c>
      <c r="AB133" t="inlineStr"/>
      <c r="AC133" t="inlineStr"/>
      <c r="AD133" t="inlineStr">
        <is>
          <t>none</t>
        </is>
      </c>
      <c r="AE133" t="inlineStr"/>
      <c r="AF133" t="inlineStr"/>
      <c r="AG133" t="inlineStr"/>
      <c r="AH133" t="inlineStr">
        <is>
          <t>none</t>
        </is>
      </c>
      <c r="AI133" t="inlineStr">
        <is>
          <t>53 West 21st Street</t>
        </is>
      </c>
      <c r="AJ133" t="inlineStr">
        <is>
          <t>unknown</t>
        </is>
      </c>
      <c r="AK133" t="inlineStr">
        <is>
          <t>occupied</t>
        </is>
      </c>
      <c r="AL133" t="inlineStr">
        <is>
          <t>unknown</t>
        </is>
      </c>
      <c r="AM133" t="inlineStr">
        <is>
          <t>unknown</t>
        </is>
      </c>
      <c r="AN133" t="inlineStr">
        <is>
          <t>none</t>
        </is>
      </c>
      <c r="AO133" t="inlineStr">
        <is>
          <t>unknown</t>
        </is>
      </c>
      <c r="AP133" t="inlineStr">
        <is>
          <t>AO-C-077</t>
        </is>
      </c>
      <c r="AQ133" t="inlineStr">
        <is>
          <t>N</t>
        </is>
      </c>
      <c r="AR133" t="inlineStr"/>
      <c r="AS133" t="inlineStr"/>
      <c r="AT133" t="inlineStr">
        <is>
          <t>N</t>
        </is>
      </c>
      <c r="AU133" t="inlineStr">
        <is>
          <t>no contact named on an opened page</t>
        </is>
      </c>
      <c r="AV133" t="inlineStr"/>
      <c r="AW133" t="inlineStr">
        <is>
          <t>N</t>
        </is>
      </c>
      <c r="AX133" t="inlineStr">
        <is>
          <t>pass</t>
        </is>
      </c>
      <c r="AY133" t="inlineStr">
        <is>
          <t>passes all hard gates</t>
        </is>
      </c>
      <c r="AZ133" t="inlineStr">
        <is>
          <t>company</t>
        </is>
      </c>
      <c r="BA133" t="inlineStr">
        <is>
          <t>B-C-077</t>
        </is>
      </c>
      <c r="BB133" t="inlineStr">
        <is>
          <t>https://www.cobaltsp.com</t>
        </is>
      </c>
      <c r="BC133" t="inlineStr">
        <is>
          <t>private equity (industrial services)</t>
        </is>
      </c>
      <c r="BD133" t="inlineStr">
        <is>
          <t>unknown</t>
        </is>
      </c>
      <c r="BE133" t="inlineStr"/>
      <c r="BF133" t="inlineStr">
        <is>
          <t>unknown</t>
        </is>
      </c>
      <c r="BG133" t="inlineStr">
        <is>
          <t>unknown</t>
        </is>
      </c>
      <c r="BH133" t="inlineStr">
        <is>
          <t>no-count</t>
        </is>
      </c>
      <c r="BI133" t="inlineStr"/>
      <c r="BJ133" t="inlineStr"/>
      <c r="BK133" t="inlineStr">
        <is>
          <t>unknown</t>
        </is>
      </c>
      <c r="BL133" t="inlineStr">
        <is>
          <t>unknown</t>
        </is>
      </c>
      <c r="BM133" t="inlineStr">
        <is>
          <t>unknown</t>
        </is>
      </c>
      <c r="BN133" t="inlineStr">
        <is>
          <t>unknown</t>
        </is>
      </c>
      <c r="BO133" t="inlineStr">
        <is>
          <t>unknown</t>
        </is>
      </c>
      <c r="BP133" t="n">
        <v>10010</v>
      </c>
      <c r="BQ133" t="n">
        <v>40.741548</v>
      </c>
      <c r="BR133" t="n">
        <v>-73.99300700000001</v>
      </c>
      <c r="BS133" t="inlineStr">
        <is>
          <t>Y</t>
        </is>
      </c>
      <c r="BT133" t="n">
        <v>0</v>
      </c>
      <c r="BU133" t="inlineStr">
        <is>
          <t>B-B-036</t>
        </is>
      </c>
      <c r="BV133" t="inlineStr">
        <is>
          <t>53-55 West 21st Street (Moinian Group)</t>
        </is>
      </c>
      <c r="BW133" t="inlineStr">
        <is>
          <t>https://commercialobserver.com/2025/02/cobalt-service-partners-lease-40-west-17th-street/</t>
        </is>
      </c>
      <c r="BX133" t="inlineStr">
        <is>
          <t>2025-02-06</t>
        </is>
      </c>
      <c r="BY133" t="inlineStr">
        <is>
          <t>leasing-press</t>
        </is>
      </c>
      <c r="BZ133" t="inlineStr">
        <is>
          <t>https://commercialobserver.com/2025/05/instant-lease-moinian-53-55-west-21st-street/</t>
        </is>
      </c>
      <c r="CA133" t="inlineStr">
        <is>
          <t>2025-05-14</t>
        </is>
      </c>
      <c r="CB133" t="inlineStr"/>
      <c r="CC133" t="inlineStr">
        <is>
          <t>medium</t>
        </is>
      </c>
      <c r="CD133" t="inlineStr"/>
      <c r="CE133" t="inlineStr">
        <is>
          <t>N</t>
        </is>
      </c>
      <c r="CF133" t="inlineStr"/>
      <c r="CG133" t="inlineStr"/>
      <c r="CH133" t="inlineStr">
        <is>
          <t>unknown</t>
        </is>
      </c>
      <c r="CI133" t="inlineStr"/>
      <c r="CJ133" t="inlineStr">
        <is>
          <t>unknown</t>
        </is>
      </c>
      <c r="CK133" t="inlineStr">
        <is>
          <t>N</t>
        </is>
      </c>
      <c r="CL133" t="inlineStr">
        <is>
          <t>unknown</t>
        </is>
      </c>
      <c r="CM133" t="inlineStr"/>
      <c r="CN133" t="inlineStr"/>
      <c r="CO133" t="inlineStr">
        <is>
          <t>unknown</t>
        </is>
      </c>
      <c r="CP133" t="inlineStr"/>
      <c r="CQ133" t="inlineStr">
        <is>
          <t>No sourced headcount, so no Tuesday estimate; ask the Tuesday count at intake.</t>
        </is>
      </c>
      <c r="CR133" t="inlineStr">
        <is>
          <t>estimate until intake replaces it</t>
        </is>
      </c>
      <c r="CS133" t="inlineStr">
        <is>
          <t>unknown</t>
        </is>
      </c>
      <c r="CT133" t="n">
        <v>34</v>
      </c>
      <c r="CU133" t="n">
        <v>7</v>
      </c>
      <c r="CV133" t="n">
        <v>8</v>
      </c>
      <c r="CW133" t="n">
        <v>6</v>
      </c>
      <c r="CX133" t="n">
        <v>13</v>
      </c>
      <c r="CY133" t="n">
        <v>0</v>
      </c>
      <c r="CZ133" t="n">
        <v>0</v>
      </c>
      <c r="DA133" t="inlineStr"/>
      <c r="DB133" t="inlineStr"/>
      <c r="DC133" t="inlineStr"/>
      <c r="DD133" t="inlineStr"/>
      <c r="DE133" t="inlineStr"/>
      <c r="DF133" t="inlineStr">
        <is>
          <t>none</t>
        </is>
      </c>
      <c r="DG133" t="inlineStr">
        <is>
          <t>candidate</t>
        </is>
      </c>
      <c r="DH133" t="inlineStr"/>
      <c r="DI133" t="inlineStr"/>
      <c r="DJ133" t="inlineStr">
        <is>
          <t>5,000 sf;1,500 sf</t>
        </is>
      </c>
      <c r="DK133" t="inlineStr">
        <is>
          <t>Five-year, 5,000 sf lease, relocating from 1,500 sf at 40 W 17th St. A later CO article (same publisher) lists it as a current tenant. Company site shows no address. Headcount not sourced; founder to confirm at intake.</t>
        </is>
      </c>
      <c r="DL133" t="inlineStr"/>
      <c r="DM133" t="inlineStr"/>
      <c r="DN133" t="inlineStr"/>
      <c r="DO133" t="inlineStr"/>
      <c r="DP133" t="inlineStr"/>
      <c r="DQ133" t="inlineStr"/>
      <c r="DR133" t="inlineStr"/>
      <c r="DS133" t="inlineStr">
        <is>
          <t>none</t>
        </is>
      </c>
      <c r="DT133" t="inlineStr"/>
      <c r="DU133" t="inlineStr"/>
      <c r="DV133" t="inlineStr"/>
      <c r="DW133" t="inlineStr"/>
      <c r="DX133" t="inlineStr">
        <is>
          <t>N</t>
        </is>
      </c>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f>IF(ISNUMBER(MATCH(U133,{"queued","contacted","replied","call_booked","call_done","yes_in_principle","materials_sent"},0)),"Y","N")</f>
        <v/>
      </c>
      <c r="ES133">
        <f>IF(COUNTIFS($AP$2:$AP$1000,AP133,$ER$2:$ER$1000,"Y")+COUNTIFS($AP$2:$AP$1000,AP133,$T$2:$T$1000,"Y")&gt;0,"Y","N")</f>
        <v/>
      </c>
      <c r="ET133">
        <f>IF(AND(U133="new",T133="N",AT133="Y",AS133="",ES133="N"),"Y","N")</f>
        <v/>
      </c>
      <c r="EU133">
        <f>IF(ET133&lt;&gt;"Y","N",IF(COUNTIFS($AP$2:$AP$1000,AP133,$ET$2:$ET$1000,"Y",$J$2:$J$1000,"&gt;"&amp;J133)+COUNTIFS($AP$2:$AP$1000,AP133,$ET$2:$ET$1000,"Y",$J$2:$J$1000,J133,$EW$2:$EW$1000,"&lt;"&amp;EW133)=0,"Y","N"))</f>
        <v/>
      </c>
      <c r="EV133">
        <f>IF(Y133="","N",IF(Y133&lt;=10,"Y","N"))</f>
        <v/>
      </c>
      <c r="EW133">
        <f>ROW()-1</f>
        <v/>
      </c>
    </row>
    <row r="134">
      <c r="A134" t="inlineStr">
        <is>
          <t>AO-C-022</t>
        </is>
      </c>
      <c r="B134" t="inlineStr">
        <is>
          <t>Delos Capital</t>
        </is>
      </c>
      <c r="C134" t="inlineStr"/>
      <c r="D134" t="inlineStr"/>
      <c r="E134" t="inlineStr"/>
      <c r="F134" t="inlineStr"/>
      <c r="G134" t="inlineStr"/>
      <c r="H134" t="inlineStr">
        <is>
          <t>none</t>
        </is>
      </c>
      <c r="I134" t="inlineStr">
        <is>
          <t>linkedin</t>
        </is>
      </c>
      <c r="J134" t="n">
        <v>34</v>
      </c>
      <c r="K134" t="inlineStr">
        <is>
          <t>Tuesday headcount unknown (no sourced count), company size unknown, no attendance signal, occupied at a medium-confidence address; contacts not researched yet (below the top 50).</t>
        </is>
      </c>
      <c r="L134" t="inlineStr">
        <is>
          <t>unknown</t>
        </is>
      </c>
      <c r="M134" t="inlineStr"/>
      <c r="N134" t="inlineStr"/>
      <c r="O134" t="inlineStr"/>
      <c r="P134" t="inlineStr"/>
      <c r="Q134" t="inlineStr"/>
      <c r="R134" t="inlineStr">
        <is>
          <t>N</t>
        </is>
      </c>
      <c r="S134" t="inlineStr">
        <is>
          <t>unknown</t>
        </is>
      </c>
      <c r="T134" t="inlineStr">
        <is>
          <t>N</t>
        </is>
      </c>
      <c r="U134" t="inlineStr">
        <is>
          <t>new</t>
        </is>
      </c>
      <c r="V134" t="inlineStr">
        <is>
          <t>https://commercialobserver.com/2026/10/eagle-ai-lease-office-120-fifth-avenue/</t>
        </is>
      </c>
      <c r="W134" t="inlineStr">
        <is>
          <t>2026-10-23</t>
        </is>
      </c>
      <c r="X134" t="inlineStr">
        <is>
          <t>office</t>
        </is>
      </c>
      <c r="Y134" t="inlineStr"/>
      <c r="Z134" t="n">
        <v>133</v>
      </c>
      <c r="AA134" t="inlineStr">
        <is>
          <t>N</t>
        </is>
      </c>
      <c r="AB134" t="inlineStr"/>
      <c r="AC134" t="inlineStr"/>
      <c r="AD134" t="inlineStr">
        <is>
          <t>none</t>
        </is>
      </c>
      <c r="AE134" t="inlineStr"/>
      <c r="AF134" t="inlineStr"/>
      <c r="AG134" t="inlineStr"/>
      <c r="AH134" t="inlineStr">
        <is>
          <t>none</t>
        </is>
      </c>
      <c r="AI134" t="inlineStr">
        <is>
          <t>120 Fifth Avenue</t>
        </is>
      </c>
      <c r="AJ134" t="inlineStr">
        <is>
          <t>unknown</t>
        </is>
      </c>
      <c r="AK134" t="inlineStr">
        <is>
          <t>occupied</t>
        </is>
      </c>
      <c r="AL134" t="inlineStr">
        <is>
          <t>unknown</t>
        </is>
      </c>
      <c r="AM134" t="inlineStr">
        <is>
          <t>unknown</t>
        </is>
      </c>
      <c r="AN134" t="inlineStr">
        <is>
          <t>none</t>
        </is>
      </c>
      <c r="AO134" t="inlineStr">
        <is>
          <t>unknown</t>
        </is>
      </c>
      <c r="AP134" t="inlineStr">
        <is>
          <t>AO-C-022</t>
        </is>
      </c>
      <c r="AQ134" t="inlineStr">
        <is>
          <t>N</t>
        </is>
      </c>
      <c r="AR134" t="inlineStr"/>
      <c r="AS134" t="inlineStr"/>
      <c r="AT134" t="inlineStr">
        <is>
          <t>N</t>
        </is>
      </c>
      <c r="AU134" t="inlineStr">
        <is>
          <t>no contact named on an opened page</t>
        </is>
      </c>
      <c r="AV134" t="inlineStr"/>
      <c r="AW134" t="inlineStr">
        <is>
          <t>N</t>
        </is>
      </c>
      <c r="AX134" t="inlineStr">
        <is>
          <t>pass</t>
        </is>
      </c>
      <c r="AY134" t="inlineStr">
        <is>
          <t>passes all hard gates</t>
        </is>
      </c>
      <c r="AZ134" t="inlineStr">
        <is>
          <t>company</t>
        </is>
      </c>
      <c r="BA134" t="inlineStr">
        <is>
          <t>B-C-022</t>
        </is>
      </c>
      <c r="BB134" t="inlineStr">
        <is>
          <t>unknown</t>
        </is>
      </c>
      <c r="BC134" t="inlineStr">
        <is>
          <t>private investment</t>
        </is>
      </c>
      <c r="BD134" t="inlineStr">
        <is>
          <t>unknown</t>
        </is>
      </c>
      <c r="BE134" t="inlineStr"/>
      <c r="BF134" t="inlineStr">
        <is>
          <t>unknown</t>
        </is>
      </c>
      <c r="BG134" t="inlineStr">
        <is>
          <t>unknown</t>
        </is>
      </c>
      <c r="BH134" t="inlineStr">
        <is>
          <t>no-count</t>
        </is>
      </c>
      <c r="BI134" t="inlineStr"/>
      <c r="BJ134" t="inlineStr"/>
      <c r="BK134" t="inlineStr">
        <is>
          <t>unknown</t>
        </is>
      </c>
      <c r="BL134" t="inlineStr">
        <is>
          <t>unknown</t>
        </is>
      </c>
      <c r="BM134" t="inlineStr">
        <is>
          <t>unknown</t>
        </is>
      </c>
      <c r="BN134" t="inlineStr">
        <is>
          <t>unknown</t>
        </is>
      </c>
      <c r="BO134" t="inlineStr">
        <is>
          <t>unknown</t>
        </is>
      </c>
      <c r="BP134" t="n">
        <v>10011</v>
      </c>
      <c r="BQ134" t="n">
        <v>40.738186</v>
      </c>
      <c r="BR134" t="n">
        <v>-73.992429</v>
      </c>
      <c r="BS134" t="inlineStr">
        <is>
          <t>Y</t>
        </is>
      </c>
      <c r="BT134" t="n">
        <v>0</v>
      </c>
      <c r="BU134" t="inlineStr">
        <is>
          <t>B-B-010</t>
        </is>
      </c>
      <c r="BV134" t="inlineStr">
        <is>
          <t>120 Fifth Avenue</t>
        </is>
      </c>
      <c r="BW134" t="inlineStr">
        <is>
          <t>https://commercialobserver.com/2026/10/eagle-ai-lease-office-120-fifth-avenue/</t>
        </is>
      </c>
      <c r="BX134" t="inlineStr">
        <is>
          <t>2026-10-19</t>
        </is>
      </c>
      <c r="BY134" t="inlineStr">
        <is>
          <t>leasing-press</t>
        </is>
      </c>
      <c r="BZ134" t="inlineStr"/>
      <c r="CA134" t="inlineStr"/>
      <c r="CB134" t="inlineStr"/>
      <c r="CC134" t="inlineStr">
        <is>
          <t>medium</t>
        </is>
      </c>
      <c r="CD134" t="inlineStr"/>
      <c r="CE134" t="inlineStr">
        <is>
          <t>N</t>
        </is>
      </c>
      <c r="CF134" t="inlineStr"/>
      <c r="CG134" t="inlineStr"/>
      <c r="CH134" t="inlineStr">
        <is>
          <t>unknown</t>
        </is>
      </c>
      <c r="CI134" t="inlineStr"/>
      <c r="CJ134" t="inlineStr">
        <is>
          <t>unknown</t>
        </is>
      </c>
      <c r="CK134" t="inlineStr">
        <is>
          <t>N</t>
        </is>
      </c>
      <c r="CL134" t="inlineStr">
        <is>
          <t>unknown</t>
        </is>
      </c>
      <c r="CM134" t="inlineStr"/>
      <c r="CN134" t="inlineStr"/>
      <c r="CO134" t="inlineStr">
        <is>
          <t>unknown</t>
        </is>
      </c>
      <c r="CP134" t="inlineStr"/>
      <c r="CQ134" t="inlineStr">
        <is>
          <t>No sourced headcount, so no Tuesday estimate; ask the Tuesday count at intake.</t>
        </is>
      </c>
      <c r="CR134" t="inlineStr">
        <is>
          <t>estimate until intake replaces it</t>
        </is>
      </c>
      <c r="CS134" t="inlineStr">
        <is>
          <t>unknown</t>
        </is>
      </c>
      <c r="CT134" t="n">
        <v>34</v>
      </c>
      <c r="CU134" t="n">
        <v>7</v>
      </c>
      <c r="CV134" t="n">
        <v>8</v>
      </c>
      <c r="CW134" t="n">
        <v>6</v>
      </c>
      <c r="CX134" t="n">
        <v>13</v>
      </c>
      <c r="CY134" t="n">
        <v>0</v>
      </c>
      <c r="CZ134" t="n">
        <v>0</v>
      </c>
      <c r="DA134" t="inlineStr"/>
      <c r="DB134" t="inlineStr"/>
      <c r="DC134" t="inlineStr"/>
      <c r="DD134" t="inlineStr"/>
      <c r="DE134" t="inlineStr"/>
      <c r="DF134" t="inlineStr">
        <is>
          <t>none</t>
        </is>
      </c>
      <c r="DG134" t="inlineStr">
        <is>
          <t>candidate</t>
        </is>
      </c>
      <c r="DH134" t="inlineStr"/>
      <c r="DI134" t="inlineStr"/>
      <c r="DJ134" t="inlineStr"/>
      <c r="DK134" t="inlineStr">
        <is>
          <t>CO 2026-10-19 lists Delos Capital as an existing tenant. Headcount not sourced; founder to confirm at intake.</t>
        </is>
      </c>
      <c r="DL134" t="inlineStr"/>
      <c r="DM134" t="inlineStr"/>
      <c r="DN134" t="inlineStr"/>
      <c r="DO134" t="inlineStr"/>
      <c r="DP134" t="inlineStr"/>
      <c r="DQ134" t="inlineStr"/>
      <c r="DR134" t="inlineStr"/>
      <c r="DS134" t="inlineStr">
        <is>
          <t>none</t>
        </is>
      </c>
      <c r="DT134" t="inlineStr"/>
      <c r="DU134" t="inlineStr"/>
      <c r="DV134" t="inlineStr"/>
      <c r="DW134" t="inlineStr"/>
      <c r="DX134" t="inlineStr">
        <is>
          <t>N</t>
        </is>
      </c>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f>IF(ISNUMBER(MATCH(U134,{"queued","contacted","replied","call_booked","call_done","yes_in_principle","materials_sent"},0)),"Y","N")</f>
        <v/>
      </c>
      <c r="ES134">
        <f>IF(COUNTIFS($AP$2:$AP$1000,AP134,$ER$2:$ER$1000,"Y")+COUNTIFS($AP$2:$AP$1000,AP134,$T$2:$T$1000,"Y")&gt;0,"Y","N")</f>
        <v/>
      </c>
      <c r="ET134">
        <f>IF(AND(U134="new",T134="N",AT134="Y",AS134="",ES134="N"),"Y","N")</f>
        <v/>
      </c>
      <c r="EU134">
        <f>IF(ET134&lt;&gt;"Y","N",IF(COUNTIFS($AP$2:$AP$1000,AP134,$ET$2:$ET$1000,"Y",$J$2:$J$1000,"&gt;"&amp;J134)+COUNTIFS($AP$2:$AP$1000,AP134,$ET$2:$ET$1000,"Y",$J$2:$J$1000,J134,$EW$2:$EW$1000,"&lt;"&amp;EW134)=0,"Y","N"))</f>
        <v/>
      </c>
      <c r="EV134">
        <f>IF(Y134="","N",IF(Y134&lt;=10,"Y","N"))</f>
        <v/>
      </c>
      <c r="EW134">
        <f>ROW()-1</f>
        <v/>
      </c>
    </row>
    <row r="135">
      <c r="A135" t="inlineStr">
        <is>
          <t>AO-C-144</t>
        </is>
      </c>
      <c r="B135" t="inlineStr">
        <is>
          <t>EnVogue International</t>
        </is>
      </c>
      <c r="C135" t="inlineStr"/>
      <c r="D135" t="inlineStr"/>
      <c r="E135" t="inlineStr"/>
      <c r="F135" t="inlineStr"/>
      <c r="G135" t="inlineStr"/>
      <c r="H135" t="inlineStr">
        <is>
          <t>none</t>
        </is>
      </c>
      <c r="I135" t="inlineStr">
        <is>
          <t>linkedin</t>
        </is>
      </c>
      <c r="J135" t="n">
        <v>34</v>
      </c>
      <c r="K135" t="inlineStr">
        <is>
          <t>Tuesday headcount unknown (no sourced count), company size unknown, no attendance signal, occupied at a medium-confidence address; contacts not researched yet (below the top 50).</t>
        </is>
      </c>
      <c r="L135" t="inlineStr">
        <is>
          <t>unknown</t>
        </is>
      </c>
      <c r="M135" t="inlineStr"/>
      <c r="N135" t="inlineStr"/>
      <c r="O135" t="inlineStr"/>
      <c r="P135" t="inlineStr"/>
      <c r="Q135" t="inlineStr"/>
      <c r="R135" t="inlineStr">
        <is>
          <t>N</t>
        </is>
      </c>
      <c r="S135" t="inlineStr">
        <is>
          <t>unknown</t>
        </is>
      </c>
      <c r="T135" t="inlineStr">
        <is>
          <t>N</t>
        </is>
      </c>
      <c r="U135" t="inlineStr">
        <is>
          <t>new</t>
        </is>
      </c>
      <c r="V135" t="inlineStr">
        <is>
          <t>https://commercialobserver.com/2025/04/envogue-international-lease-230-fifth-avenue/</t>
        </is>
      </c>
      <c r="W135" t="inlineStr">
        <is>
          <t>2026-10-23</t>
        </is>
      </c>
      <c r="X135" t="inlineStr">
        <is>
          <t>office</t>
        </is>
      </c>
      <c r="Y135" t="inlineStr"/>
      <c r="Z135" t="n">
        <v>134</v>
      </c>
      <c r="AA135" t="inlineStr">
        <is>
          <t>N</t>
        </is>
      </c>
      <c r="AB135" t="inlineStr"/>
      <c r="AC135" t="inlineStr"/>
      <c r="AD135" t="inlineStr">
        <is>
          <t>none</t>
        </is>
      </c>
      <c r="AE135" t="inlineStr"/>
      <c r="AF135" t="inlineStr"/>
      <c r="AG135" t="inlineStr"/>
      <c r="AH135" t="inlineStr">
        <is>
          <t>none</t>
        </is>
      </c>
      <c r="AI135" t="inlineStr">
        <is>
          <t>230 Fifth Avenue</t>
        </is>
      </c>
      <c r="AJ135" t="inlineStr">
        <is>
          <t>unknown</t>
        </is>
      </c>
      <c r="AK135" t="inlineStr">
        <is>
          <t>occupied</t>
        </is>
      </c>
      <c r="AL135" t="inlineStr">
        <is>
          <t>unknown</t>
        </is>
      </c>
      <c r="AM135" t="inlineStr">
        <is>
          <t>unknown</t>
        </is>
      </c>
      <c r="AN135" t="inlineStr">
        <is>
          <t>none</t>
        </is>
      </c>
      <c r="AO135" t="inlineStr">
        <is>
          <t>unknown</t>
        </is>
      </c>
      <c r="AP135" t="inlineStr">
        <is>
          <t>AO-C-144</t>
        </is>
      </c>
      <c r="AQ135" t="inlineStr">
        <is>
          <t>N</t>
        </is>
      </c>
      <c r="AR135" t="inlineStr"/>
      <c r="AS135" t="inlineStr"/>
      <c r="AT135" t="inlineStr">
        <is>
          <t>N</t>
        </is>
      </c>
      <c r="AU135" t="inlineStr">
        <is>
          <t>no contact named on an opened page</t>
        </is>
      </c>
      <c r="AV135" t="inlineStr"/>
      <c r="AW135" t="inlineStr">
        <is>
          <t>N</t>
        </is>
      </c>
      <c r="AX135" t="inlineStr">
        <is>
          <t>pass</t>
        </is>
      </c>
      <c r="AY135" t="inlineStr">
        <is>
          <t>passes all hard gates</t>
        </is>
      </c>
      <c r="AZ135" t="inlineStr">
        <is>
          <t>company</t>
        </is>
      </c>
      <c r="BA135" t="inlineStr">
        <is>
          <t>B-C-144</t>
        </is>
      </c>
      <c r="BB135" t="inlineStr">
        <is>
          <t>unknown</t>
        </is>
      </c>
      <c r="BC135" t="inlineStr">
        <is>
          <t>home goods (office and showroom)</t>
        </is>
      </c>
      <c r="BD135" t="inlineStr">
        <is>
          <t>unknown</t>
        </is>
      </c>
      <c r="BE135" t="inlineStr"/>
      <c r="BF135" t="inlineStr">
        <is>
          <t>unknown</t>
        </is>
      </c>
      <c r="BG135" t="inlineStr">
        <is>
          <t>unknown</t>
        </is>
      </c>
      <c r="BH135" t="inlineStr">
        <is>
          <t>no-count</t>
        </is>
      </c>
      <c r="BI135" t="inlineStr"/>
      <c r="BJ135" t="inlineStr"/>
      <c r="BK135" t="inlineStr">
        <is>
          <t>unknown</t>
        </is>
      </c>
      <c r="BL135" t="inlineStr">
        <is>
          <t>unknown</t>
        </is>
      </c>
      <c r="BM135" t="inlineStr">
        <is>
          <t>unknown</t>
        </is>
      </c>
      <c r="BN135" t="inlineStr">
        <is>
          <t>unknown</t>
        </is>
      </c>
      <c r="BO135" t="inlineStr">
        <is>
          <t>unknown</t>
        </is>
      </c>
      <c r="BP135" t="n">
        <v>10001</v>
      </c>
      <c r="BQ135" t="n">
        <v>40.743942</v>
      </c>
      <c r="BR135" t="n">
        <v>-73.988072</v>
      </c>
      <c r="BS135" t="inlineStr">
        <is>
          <t>Y</t>
        </is>
      </c>
      <c r="BT135" t="n">
        <v>0</v>
      </c>
      <c r="BU135" t="inlineStr">
        <is>
          <t>B-B-067</t>
        </is>
      </c>
      <c r="BV135" t="inlineStr">
        <is>
          <t>230 Fifth Avenue (New York MarketCenter, GFP Real Estate)</t>
        </is>
      </c>
      <c r="BW135" t="inlineStr">
        <is>
          <t>https://commercialobserver.com/2025/04/envogue-international-lease-230-fifth-avenue/</t>
        </is>
      </c>
      <c r="BX135" t="inlineStr">
        <is>
          <t>2025-04-08</t>
        </is>
      </c>
      <c r="BY135" t="inlineStr">
        <is>
          <t>leasing-press</t>
        </is>
      </c>
      <c r="BZ135" t="inlineStr"/>
      <c r="CA135" t="inlineStr"/>
      <c r="CB135" t="inlineStr"/>
      <c r="CC135" t="inlineStr">
        <is>
          <t>medium</t>
        </is>
      </c>
      <c r="CD135" t="inlineStr"/>
      <c r="CE135" t="inlineStr">
        <is>
          <t>N</t>
        </is>
      </c>
      <c r="CF135" t="inlineStr"/>
      <c r="CG135" t="inlineStr"/>
      <c r="CH135" t="inlineStr">
        <is>
          <t>unknown</t>
        </is>
      </c>
      <c r="CI135" t="inlineStr"/>
      <c r="CJ135" t="inlineStr">
        <is>
          <t>unknown</t>
        </is>
      </c>
      <c r="CK135" t="inlineStr">
        <is>
          <t>N</t>
        </is>
      </c>
      <c r="CL135" t="inlineStr">
        <is>
          <t>unknown</t>
        </is>
      </c>
      <c r="CM135" t="inlineStr"/>
      <c r="CN135" t="inlineStr"/>
      <c r="CO135" t="inlineStr">
        <is>
          <t>unknown</t>
        </is>
      </c>
      <c r="CP135" t="inlineStr"/>
      <c r="CQ135" t="inlineStr">
        <is>
          <t>No sourced headcount, so no Tuesday estimate; ask the Tuesday count at intake.</t>
        </is>
      </c>
      <c r="CR135" t="inlineStr">
        <is>
          <t>estimate until intake replaces it</t>
        </is>
      </c>
      <c r="CS135" t="inlineStr">
        <is>
          <t>unknown</t>
        </is>
      </c>
      <c r="CT135" t="n">
        <v>34</v>
      </c>
      <c r="CU135" t="n">
        <v>7</v>
      </c>
      <c r="CV135" t="n">
        <v>8</v>
      </c>
      <c r="CW135" t="n">
        <v>6</v>
      </c>
      <c r="CX135" t="n">
        <v>13</v>
      </c>
      <c r="CY135" t="n">
        <v>0</v>
      </c>
      <c r="CZ135" t="n">
        <v>0</v>
      </c>
      <c r="DA135" t="inlineStr"/>
      <c r="DB135" t="inlineStr"/>
      <c r="DC135" t="inlineStr"/>
      <c r="DD135" t="inlineStr"/>
      <c r="DE135" t="inlineStr"/>
      <c r="DF135" t="inlineStr">
        <is>
          <t>none</t>
        </is>
      </c>
      <c r="DG135" t="inlineStr">
        <is>
          <t>candidate</t>
        </is>
      </c>
      <c r="DH135" t="inlineStr"/>
      <c r="DI135" t="inlineStr"/>
      <c r="DJ135" t="inlineStr">
        <is>
          <t>30,000 sf</t>
        </is>
      </c>
      <c r="DK135" t="inlineStr">
        <is>
          <t>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DL135" t="inlineStr"/>
      <c r="DM135" t="inlineStr"/>
      <c r="DN135" t="inlineStr"/>
      <c r="DO135" t="inlineStr"/>
      <c r="DP135" t="inlineStr"/>
      <c r="DQ135" t="inlineStr"/>
      <c r="DR135" t="inlineStr"/>
      <c r="DS135" t="inlineStr">
        <is>
          <t>none</t>
        </is>
      </c>
      <c r="DT135" t="inlineStr"/>
      <c r="DU135" t="inlineStr"/>
      <c r="DV135" t="inlineStr"/>
      <c r="DW135" t="inlineStr"/>
      <c r="DX135" t="inlineStr">
        <is>
          <t>N</t>
        </is>
      </c>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f>IF(ISNUMBER(MATCH(U135,{"queued","contacted","replied","call_booked","call_done","yes_in_principle","materials_sent"},0)),"Y","N")</f>
        <v/>
      </c>
      <c r="ES135">
        <f>IF(COUNTIFS($AP$2:$AP$1000,AP135,$ER$2:$ER$1000,"Y")+COUNTIFS($AP$2:$AP$1000,AP135,$T$2:$T$1000,"Y")&gt;0,"Y","N")</f>
        <v/>
      </c>
      <c r="ET135">
        <f>IF(AND(U135="new",T135="N",AT135="Y",AS135="",ES135="N"),"Y","N")</f>
        <v/>
      </c>
      <c r="EU135">
        <f>IF(ET135&lt;&gt;"Y","N",IF(COUNTIFS($AP$2:$AP$1000,AP135,$ET$2:$ET$1000,"Y",$J$2:$J$1000,"&gt;"&amp;J135)+COUNTIFS($AP$2:$AP$1000,AP135,$ET$2:$ET$1000,"Y",$J$2:$J$1000,J135,$EW$2:$EW$1000,"&lt;"&amp;EW135)=0,"Y","N"))</f>
        <v/>
      </c>
      <c r="EV135">
        <f>IF(Y135="","N",IF(Y135&lt;=10,"Y","N"))</f>
        <v/>
      </c>
      <c r="EW135">
        <f>ROW()-1</f>
        <v/>
      </c>
    </row>
    <row r="136">
      <c r="A136" t="inlineStr">
        <is>
          <t>AO-C-088</t>
        </is>
      </c>
      <c r="B136" t="inlineStr">
        <is>
          <t>Heard City</t>
        </is>
      </c>
      <c r="C136" t="inlineStr"/>
      <c r="D136" t="inlineStr"/>
      <c r="E136" t="inlineStr"/>
      <c r="F136" t="inlineStr"/>
      <c r="G136" t="inlineStr"/>
      <c r="H136" t="inlineStr">
        <is>
          <t>none</t>
        </is>
      </c>
      <c r="I136" t="inlineStr">
        <is>
          <t>linkedin</t>
        </is>
      </c>
      <c r="J136" t="n">
        <v>34</v>
      </c>
      <c r="K136" t="inlineStr">
        <is>
          <t>Tuesday headcount unknown (no sourced count), company size unknown, no attendance signal, occupied at a medium-confidence address; contacts not researched yet (below the top 50).</t>
        </is>
      </c>
      <c r="L136" t="inlineStr">
        <is>
          <t>unknown</t>
        </is>
      </c>
      <c r="M136" t="inlineStr"/>
      <c r="N136" t="inlineStr"/>
      <c r="O136" t="inlineStr"/>
      <c r="P136" t="inlineStr"/>
      <c r="Q136" t="inlineStr"/>
      <c r="R136" t="inlineStr">
        <is>
          <t>N</t>
        </is>
      </c>
      <c r="S136" t="inlineStr">
        <is>
          <t>unknown</t>
        </is>
      </c>
      <c r="T136" t="inlineStr">
        <is>
          <t>N</t>
        </is>
      </c>
      <c r="U136" t="inlineStr">
        <is>
          <t>new</t>
        </is>
      </c>
      <c r="V136" t="inlineStr">
        <is>
          <t>https://www.heardcity.com/contact</t>
        </is>
      </c>
      <c r="W136" t="inlineStr">
        <is>
          <t>2026-10-23</t>
        </is>
      </c>
      <c r="X136" t="inlineStr">
        <is>
          <t>office</t>
        </is>
      </c>
      <c r="Y136" t="inlineStr"/>
      <c r="Z136" t="n">
        <v>135</v>
      </c>
      <c r="AA136" t="inlineStr">
        <is>
          <t>N</t>
        </is>
      </c>
      <c r="AB136" t="inlineStr"/>
      <c r="AC136" t="inlineStr"/>
      <c r="AD136" t="inlineStr">
        <is>
          <t>none</t>
        </is>
      </c>
      <c r="AE136" t="inlineStr"/>
      <c r="AF136" t="inlineStr"/>
      <c r="AG136" t="inlineStr"/>
      <c r="AH136" t="inlineStr">
        <is>
          <t>none</t>
        </is>
      </c>
      <c r="AI136" t="inlineStr">
        <is>
          <t>16 West 22nd Street</t>
        </is>
      </c>
      <c r="AJ136" t="n">
        <v>5</v>
      </c>
      <c r="AK136" t="inlineStr">
        <is>
          <t>occupied</t>
        </is>
      </c>
      <c r="AL136" t="inlineStr">
        <is>
          <t>unknown</t>
        </is>
      </c>
      <c r="AM136" t="inlineStr">
        <is>
          <t>unknown</t>
        </is>
      </c>
      <c r="AN136" t="inlineStr">
        <is>
          <t>none</t>
        </is>
      </c>
      <c r="AO136" t="inlineStr">
        <is>
          <t>unknown</t>
        </is>
      </c>
      <c r="AP136" t="inlineStr">
        <is>
          <t>AO-C-088</t>
        </is>
      </c>
      <c r="AQ136" t="inlineStr">
        <is>
          <t>N</t>
        </is>
      </c>
      <c r="AR136" t="inlineStr"/>
      <c r="AS136" t="inlineStr"/>
      <c r="AT136" t="inlineStr">
        <is>
          <t>N</t>
        </is>
      </c>
      <c r="AU136" t="inlineStr">
        <is>
          <t>no contact named on an opened page</t>
        </is>
      </c>
      <c r="AV136" t="inlineStr"/>
      <c r="AW136" t="inlineStr">
        <is>
          <t>N</t>
        </is>
      </c>
      <c r="AX136" t="inlineStr">
        <is>
          <t>pass</t>
        </is>
      </c>
      <c r="AY136" t="inlineStr">
        <is>
          <t>passes all hard gates</t>
        </is>
      </c>
      <c r="AZ136" t="inlineStr">
        <is>
          <t>company</t>
        </is>
      </c>
      <c r="BA136" t="inlineStr">
        <is>
          <t>B-C-088</t>
        </is>
      </c>
      <c r="BB136" t="inlineStr">
        <is>
          <t>https://www.heardcity.com</t>
        </is>
      </c>
      <c r="BC136" t="inlineStr">
        <is>
          <t>audio post-production studio</t>
        </is>
      </c>
      <c r="BD136" t="inlineStr">
        <is>
          <t>unknown</t>
        </is>
      </c>
      <c r="BE136" t="inlineStr"/>
      <c r="BF136" t="inlineStr">
        <is>
          <t>unknown</t>
        </is>
      </c>
      <c r="BG136" t="inlineStr">
        <is>
          <t>unknown</t>
        </is>
      </c>
      <c r="BH136" t="inlineStr">
        <is>
          <t>no-count</t>
        </is>
      </c>
      <c r="BI136" t="inlineStr"/>
      <c r="BJ136" t="inlineStr"/>
      <c r="BK136" t="inlineStr">
        <is>
          <t>unknown</t>
        </is>
      </c>
      <c r="BL136" t="inlineStr">
        <is>
          <t>unknown</t>
        </is>
      </c>
      <c r="BM136" t="inlineStr">
        <is>
          <t>unknown</t>
        </is>
      </c>
      <c r="BN136" t="inlineStr">
        <is>
          <t>unknown</t>
        </is>
      </c>
      <c r="BO136" t="inlineStr">
        <is>
          <t>unknown</t>
        </is>
      </c>
      <c r="BP136" t="n">
        <v>10010</v>
      </c>
      <c r="BQ136" t="n">
        <v>40.74118</v>
      </c>
      <c r="BR136" t="n">
        <v>-73.99129000000001</v>
      </c>
      <c r="BS136" t="inlineStr">
        <is>
          <t>Y</t>
        </is>
      </c>
      <c r="BT136" t="n">
        <v>0</v>
      </c>
      <c r="BU136" t="inlineStr">
        <is>
          <t>B-B-041</t>
        </is>
      </c>
      <c r="BV136" t="inlineStr">
        <is>
          <t>16 West 22nd Street (Meysar Realty / GFP)</t>
        </is>
      </c>
      <c r="BW136" t="inlineStr">
        <is>
          <t>https://www.heardcity.com/contact</t>
        </is>
      </c>
      <c r="BX136" t="inlineStr">
        <is>
          <t>2026-10-23</t>
        </is>
      </c>
      <c r="BY136" t="inlineStr">
        <is>
          <t>company-site</t>
        </is>
      </c>
      <c r="BZ136" t="inlineStr">
        <is>
          <t>https://commercialobserver.com/2022/02/recording-studio-heard-city-re-ups-13k-sf-lease-in-flatiron-district/</t>
        </is>
      </c>
      <c r="CA136" t="inlineStr">
        <is>
          <t>2022-02-25</t>
        </is>
      </c>
      <c r="CB136" t="inlineStr"/>
      <c r="CC136" t="inlineStr">
        <is>
          <t>medium</t>
        </is>
      </c>
      <c r="CD136" t="inlineStr"/>
      <c r="CE136" t="inlineStr">
        <is>
          <t>N</t>
        </is>
      </c>
      <c r="CF136" t="inlineStr"/>
      <c r="CG136" t="inlineStr"/>
      <c r="CH136" t="inlineStr">
        <is>
          <t>unknown</t>
        </is>
      </c>
      <c r="CI136" t="inlineStr"/>
      <c r="CJ136" t="inlineStr">
        <is>
          <t>unknown</t>
        </is>
      </c>
      <c r="CK136" t="inlineStr">
        <is>
          <t>N</t>
        </is>
      </c>
      <c r="CL136" t="inlineStr">
        <is>
          <t>unknown</t>
        </is>
      </c>
      <c r="CM136" t="inlineStr"/>
      <c r="CN136" t="inlineStr"/>
      <c r="CO136" t="inlineStr">
        <is>
          <t>unknown</t>
        </is>
      </c>
      <c r="CP136" t="inlineStr"/>
      <c r="CQ136" t="inlineStr">
        <is>
          <t>No sourced headcount, so no Tuesday estimate; ask the Tuesday count at intake.</t>
        </is>
      </c>
      <c r="CR136" t="inlineStr">
        <is>
          <t>estimate until intake replaces it</t>
        </is>
      </c>
      <c r="CS136" t="inlineStr">
        <is>
          <t>unknown</t>
        </is>
      </c>
      <c r="CT136" t="n">
        <v>34</v>
      </c>
      <c r="CU136" t="n">
        <v>7</v>
      </c>
      <c r="CV136" t="n">
        <v>8</v>
      </c>
      <c r="CW136" t="n">
        <v>6</v>
      </c>
      <c r="CX136" t="n">
        <v>13</v>
      </c>
      <c r="CY136" t="n">
        <v>0</v>
      </c>
      <c r="CZ136" t="n">
        <v>0</v>
      </c>
      <c r="DA136" t="inlineStr"/>
      <c r="DB136" t="inlineStr"/>
      <c r="DC136" t="inlineStr"/>
      <c r="DD136" t="inlineStr"/>
      <c r="DE136" t="inlineStr"/>
      <c r="DF136" t="inlineStr">
        <is>
          <t>none</t>
        </is>
      </c>
      <c r="DG136" t="inlineStr">
        <is>
          <t>candidate</t>
        </is>
      </c>
      <c r="DH136" t="inlineStr"/>
      <c r="DI136" t="inlineStr"/>
      <c r="DJ136" t="inlineStr">
        <is>
          <t>13,000 sf</t>
        </is>
      </c>
      <c r="DK136" t="inlineStr">
        <is>
          <t>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DL136" t="inlineStr"/>
      <c r="DM136" t="inlineStr"/>
      <c r="DN136" t="inlineStr"/>
      <c r="DO136" t="inlineStr"/>
      <c r="DP136" t="inlineStr"/>
      <c r="DQ136" t="inlineStr"/>
      <c r="DR136" t="inlineStr"/>
      <c r="DS136" t="inlineStr">
        <is>
          <t>none</t>
        </is>
      </c>
      <c r="DT136" t="inlineStr"/>
      <c r="DU136" t="inlineStr"/>
      <c r="DV136" t="inlineStr"/>
      <c r="DW136" t="inlineStr"/>
      <c r="DX136" t="inlineStr">
        <is>
          <t>N</t>
        </is>
      </c>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f>IF(ISNUMBER(MATCH(U136,{"queued","contacted","replied","call_booked","call_done","yes_in_principle","materials_sent"},0)),"Y","N")</f>
        <v/>
      </c>
      <c r="ES136">
        <f>IF(COUNTIFS($AP$2:$AP$1000,AP136,$ER$2:$ER$1000,"Y")+COUNTIFS($AP$2:$AP$1000,AP136,$T$2:$T$1000,"Y")&gt;0,"Y","N")</f>
        <v/>
      </c>
      <c r="ET136">
        <f>IF(AND(U136="new",T136="N",AT136="Y",AS136="",ES136="N"),"Y","N")</f>
        <v/>
      </c>
      <c r="EU136">
        <f>IF(ET136&lt;&gt;"Y","N",IF(COUNTIFS($AP$2:$AP$1000,AP136,$ET$2:$ET$1000,"Y",$J$2:$J$1000,"&gt;"&amp;J136)+COUNTIFS($AP$2:$AP$1000,AP136,$ET$2:$ET$1000,"Y",$J$2:$J$1000,J136,$EW$2:$EW$1000,"&lt;"&amp;EW136)=0,"Y","N"))</f>
        <v/>
      </c>
      <c r="EV136">
        <f>IF(Y136="","N",IF(Y136&lt;=10,"Y","N"))</f>
        <v/>
      </c>
      <c r="EW136">
        <f>ROW()-1</f>
        <v/>
      </c>
    </row>
    <row r="137">
      <c r="A137" t="inlineStr">
        <is>
          <t>AO-C-131</t>
        </is>
      </c>
      <c r="B137" t="inlineStr">
        <is>
          <t>Holocene Advisors</t>
        </is>
      </c>
      <c r="C137" t="inlineStr"/>
      <c r="D137" t="inlineStr"/>
      <c r="E137" t="inlineStr"/>
      <c r="F137" t="inlineStr"/>
      <c r="G137" t="inlineStr"/>
      <c r="H137" t="inlineStr">
        <is>
          <t>none</t>
        </is>
      </c>
      <c r="I137" t="inlineStr">
        <is>
          <t>linkedin</t>
        </is>
      </c>
      <c r="J137" t="n">
        <v>34</v>
      </c>
      <c r="K137" t="inlineStr">
        <is>
          <t>Tuesday headcount unknown (no sourced count), company size unknown, no attendance signal, occupied at a medium-confidence address; contacts not researched yet (below the top 50).</t>
        </is>
      </c>
      <c r="L137" t="inlineStr">
        <is>
          <t>unknown</t>
        </is>
      </c>
      <c r="M137" t="inlineStr"/>
      <c r="N137" t="inlineStr"/>
      <c r="O137" t="inlineStr"/>
      <c r="P137" t="inlineStr"/>
      <c r="Q137" t="inlineStr"/>
      <c r="R137" t="inlineStr">
        <is>
          <t>N</t>
        </is>
      </c>
      <c r="S137" t="inlineStr">
        <is>
          <t>unknown</t>
        </is>
      </c>
      <c r="T137" t="inlineStr">
        <is>
          <t>N</t>
        </is>
      </c>
      <c r="U137" t="inlineStr">
        <is>
          <t>new</t>
        </is>
      </c>
      <c r="V137" t="inlineStr">
        <is>
          <t>https://commercialobserver.com/2025/10/lutron-electronics-office-lease-11-east-26th-street/</t>
        </is>
      </c>
      <c r="W137" t="inlineStr">
        <is>
          <t>2026-10-23</t>
        </is>
      </c>
      <c r="X137" t="inlineStr">
        <is>
          <t>office</t>
        </is>
      </c>
      <c r="Y137" t="inlineStr"/>
      <c r="Z137" t="n">
        <v>136</v>
      </c>
      <c r="AA137" t="inlineStr">
        <is>
          <t>N</t>
        </is>
      </c>
      <c r="AB137" t="inlineStr"/>
      <c r="AC137" t="inlineStr"/>
      <c r="AD137" t="inlineStr">
        <is>
          <t>none</t>
        </is>
      </c>
      <c r="AE137" t="inlineStr"/>
      <c r="AF137" t="inlineStr"/>
      <c r="AG137" t="inlineStr"/>
      <c r="AH137" t="inlineStr">
        <is>
          <t>none</t>
        </is>
      </c>
      <c r="AI137" t="inlineStr">
        <is>
          <t>11 East 26th Street</t>
        </is>
      </c>
      <c r="AJ137" t="inlineStr">
        <is>
          <t>unknown</t>
        </is>
      </c>
      <c r="AK137" t="inlineStr">
        <is>
          <t>occupied</t>
        </is>
      </c>
      <c r="AL137" t="inlineStr">
        <is>
          <t>unknown</t>
        </is>
      </c>
      <c r="AM137" t="inlineStr">
        <is>
          <t>unknown</t>
        </is>
      </c>
      <c r="AN137" t="inlineStr">
        <is>
          <t>none</t>
        </is>
      </c>
      <c r="AO137" t="inlineStr">
        <is>
          <t>unknown</t>
        </is>
      </c>
      <c r="AP137" t="inlineStr">
        <is>
          <t>AO-C-131</t>
        </is>
      </c>
      <c r="AQ137" t="inlineStr">
        <is>
          <t>N</t>
        </is>
      </c>
      <c r="AR137" t="inlineStr"/>
      <c r="AS137" t="inlineStr"/>
      <c r="AT137" t="inlineStr">
        <is>
          <t>N</t>
        </is>
      </c>
      <c r="AU137" t="inlineStr">
        <is>
          <t>no contact named on an opened page</t>
        </is>
      </c>
      <c r="AV137" t="inlineStr"/>
      <c r="AW137" t="inlineStr">
        <is>
          <t>N</t>
        </is>
      </c>
      <c r="AX137" t="inlineStr">
        <is>
          <t>pass</t>
        </is>
      </c>
      <c r="AY137" t="inlineStr">
        <is>
          <t>passes all hard gates</t>
        </is>
      </c>
      <c r="AZ137" t="inlineStr">
        <is>
          <t>company</t>
        </is>
      </c>
      <c r="BA137" t="inlineStr">
        <is>
          <t>B-C-131</t>
        </is>
      </c>
      <c r="BB137" t="inlineStr">
        <is>
          <t>https://www.holocene.com</t>
        </is>
      </c>
      <c r="BC137" t="inlineStr">
        <is>
          <t>investment management</t>
        </is>
      </c>
      <c r="BD137" t="inlineStr">
        <is>
          <t>unknown</t>
        </is>
      </c>
      <c r="BE137" t="inlineStr"/>
      <c r="BF137" t="inlineStr">
        <is>
          <t>unknown</t>
        </is>
      </c>
      <c r="BG137" t="inlineStr">
        <is>
          <t>unknown</t>
        </is>
      </c>
      <c r="BH137" t="inlineStr">
        <is>
          <t>no-count</t>
        </is>
      </c>
      <c r="BI137" t="inlineStr"/>
      <c r="BJ137" t="inlineStr"/>
      <c r="BK137" t="inlineStr">
        <is>
          <t>unknown</t>
        </is>
      </c>
      <c r="BL137" t="inlineStr">
        <is>
          <t>unknown</t>
        </is>
      </c>
      <c r="BM137" t="inlineStr">
        <is>
          <t>unknown</t>
        </is>
      </c>
      <c r="BN137" t="inlineStr">
        <is>
          <t>unknown</t>
        </is>
      </c>
      <c r="BO137" t="inlineStr">
        <is>
          <t>unknown</t>
        </is>
      </c>
      <c r="BP137" t="n">
        <v>10010</v>
      </c>
      <c r="BQ137" t="n">
        <v>40.743309</v>
      </c>
      <c r="BR137" t="n">
        <v>-73.987329</v>
      </c>
      <c r="BS137" t="inlineStr">
        <is>
          <t>Y</t>
        </is>
      </c>
      <c r="BT137" t="n">
        <v>0</v>
      </c>
      <c r="BU137" t="inlineStr">
        <is>
          <t>B-B-065</t>
        </is>
      </c>
      <c r="BV137" t="inlineStr">
        <is>
          <t>11 East 26th Street (Rockrose; joined to 15 East 26th Street)</t>
        </is>
      </c>
      <c r="BW137" t="inlineStr">
        <is>
          <t>https://commercialobserver.com/2025/10/lutron-electronics-office-lease-11-east-26th-street/</t>
        </is>
      </c>
      <c r="BX137" t="inlineStr">
        <is>
          <t>2025-10-22</t>
        </is>
      </c>
      <c r="BY137" t="inlineStr">
        <is>
          <t>leasing-press</t>
        </is>
      </c>
      <c r="BZ137" t="inlineStr">
        <is>
          <t>https://commercialobserver.com/2025/03/reckoner-capital-management-lease-11-east-26th-street/</t>
        </is>
      </c>
      <c r="CA137" t="inlineStr">
        <is>
          <t>2025-03-12</t>
        </is>
      </c>
      <c r="CB137" t="inlineStr"/>
      <c r="CC137" t="inlineStr">
        <is>
          <t>medium</t>
        </is>
      </c>
      <c r="CD137" t="inlineStr"/>
      <c r="CE137" t="inlineStr">
        <is>
          <t>N</t>
        </is>
      </c>
      <c r="CF137" t="inlineStr"/>
      <c r="CG137" t="inlineStr"/>
      <c r="CH137" t="inlineStr">
        <is>
          <t>unknown</t>
        </is>
      </c>
      <c r="CI137" t="inlineStr"/>
      <c r="CJ137" t="inlineStr">
        <is>
          <t>unknown</t>
        </is>
      </c>
      <c r="CK137" t="inlineStr">
        <is>
          <t>N</t>
        </is>
      </c>
      <c r="CL137" t="inlineStr">
        <is>
          <t>unknown</t>
        </is>
      </c>
      <c r="CM137" t="inlineStr"/>
      <c r="CN137" t="inlineStr"/>
      <c r="CO137" t="inlineStr">
        <is>
          <t>unknown</t>
        </is>
      </c>
      <c r="CP137" t="inlineStr"/>
      <c r="CQ137" t="inlineStr">
        <is>
          <t>No sourced headcount, so no Tuesday estimate; ask the Tuesday count at intake.</t>
        </is>
      </c>
      <c r="CR137" t="inlineStr">
        <is>
          <t>estimate until intake replaces it</t>
        </is>
      </c>
      <c r="CS137" t="inlineStr">
        <is>
          <t>unknown</t>
        </is>
      </c>
      <c r="CT137" t="n">
        <v>34</v>
      </c>
      <c r="CU137" t="n">
        <v>7</v>
      </c>
      <c r="CV137" t="n">
        <v>8</v>
      </c>
      <c r="CW137" t="n">
        <v>6</v>
      </c>
      <c r="CX137" t="n">
        <v>13</v>
      </c>
      <c r="CY137" t="n">
        <v>0</v>
      </c>
      <c r="CZ137" t="n">
        <v>0</v>
      </c>
      <c r="DA137" t="inlineStr"/>
      <c r="DB137" t="inlineStr"/>
      <c r="DC137" t="inlineStr"/>
      <c r="DD137" t="inlineStr"/>
      <c r="DE137" t="inlineStr"/>
      <c r="DF137" t="inlineStr">
        <is>
          <t>none</t>
        </is>
      </c>
      <c r="DG137" t="inlineStr">
        <is>
          <t>candidate</t>
        </is>
      </c>
      <c r="DH137" t="inlineStr"/>
      <c r="DI137" t="inlineStr"/>
      <c r="DJ137" t="inlineStr">
        <is>
          <t>31,000 sf</t>
        </is>
      </c>
      <c r="DK137" t="inlineStr">
        <is>
          <t>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137" t="inlineStr"/>
      <c r="DM137" t="inlineStr"/>
      <c r="DN137" t="inlineStr"/>
      <c r="DO137" t="inlineStr"/>
      <c r="DP137" t="inlineStr"/>
      <c r="DQ137" t="inlineStr"/>
      <c r="DR137" t="inlineStr"/>
      <c r="DS137" t="inlineStr">
        <is>
          <t>none</t>
        </is>
      </c>
      <c r="DT137" t="inlineStr"/>
      <c r="DU137" t="inlineStr"/>
      <c r="DV137" t="inlineStr"/>
      <c r="DW137" t="inlineStr"/>
      <c r="DX137" t="inlineStr">
        <is>
          <t>N</t>
        </is>
      </c>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f>IF(ISNUMBER(MATCH(U137,{"queued","contacted","replied","call_booked","call_done","yes_in_principle","materials_sent"},0)),"Y","N")</f>
        <v/>
      </c>
      <c r="ES137">
        <f>IF(COUNTIFS($AP$2:$AP$1000,AP137,$ER$2:$ER$1000,"Y")+COUNTIFS($AP$2:$AP$1000,AP137,$T$2:$T$1000,"Y")&gt;0,"Y","N")</f>
        <v/>
      </c>
      <c r="ET137">
        <f>IF(AND(U137="new",T137="N",AT137="Y",AS137="",ES137="N"),"Y","N")</f>
        <v/>
      </c>
      <c r="EU137">
        <f>IF(ET137&lt;&gt;"Y","N",IF(COUNTIFS($AP$2:$AP$1000,AP137,$ET$2:$ET$1000,"Y",$J$2:$J$1000,"&gt;"&amp;J137)+COUNTIFS($AP$2:$AP$1000,AP137,$ET$2:$ET$1000,"Y",$J$2:$J$1000,J137,$EW$2:$EW$1000,"&lt;"&amp;EW137)=0,"Y","N"))</f>
        <v/>
      </c>
      <c r="EV137">
        <f>IF(Y137="","N",IF(Y137&lt;=10,"Y","N"))</f>
        <v/>
      </c>
      <c r="EW137">
        <f>ROW()-1</f>
        <v/>
      </c>
    </row>
    <row r="138">
      <c r="A138" t="inlineStr">
        <is>
          <t>AO-C-121</t>
        </is>
      </c>
      <c r="B138" t="inlineStr">
        <is>
          <t>ICONIQ Capital</t>
        </is>
      </c>
      <c r="C138" t="inlineStr"/>
      <c r="D138" t="inlineStr"/>
      <c r="E138" t="inlineStr"/>
      <c r="F138" t="inlineStr"/>
      <c r="G138" t="inlineStr"/>
      <c r="H138" t="inlineStr">
        <is>
          <t>none</t>
        </is>
      </c>
      <c r="I138" t="inlineStr">
        <is>
          <t>linkedin</t>
        </is>
      </c>
      <c r="J138" t="n">
        <v>34</v>
      </c>
      <c r="K138" t="inlineStr">
        <is>
          <t>Tuesday headcount unknown (no sourced count), company size unknown, no attendance signal, occupied at a medium-confidence address; contacts not researched yet (below the top 50).</t>
        </is>
      </c>
      <c r="L138" t="inlineStr">
        <is>
          <t>unknown</t>
        </is>
      </c>
      <c r="M138" t="inlineStr"/>
      <c r="N138" t="inlineStr"/>
      <c r="O138" t="inlineStr"/>
      <c r="P138" t="inlineStr"/>
      <c r="Q138" t="inlineStr"/>
      <c r="R138" t="inlineStr">
        <is>
          <t>N</t>
        </is>
      </c>
      <c r="S138" t="inlineStr">
        <is>
          <t>unknown</t>
        </is>
      </c>
      <c r="T138" t="inlineStr">
        <is>
          <t>N</t>
        </is>
      </c>
      <c r="U138" t="inlineStr">
        <is>
          <t>new</t>
        </is>
      </c>
      <c r="V138" t="inlineStr">
        <is>
          <t>https://commercialobserver.com/2025/05/optiver-lease-360-park-avenue-south/</t>
        </is>
      </c>
      <c r="W138" t="inlineStr">
        <is>
          <t>2026-10-23</t>
        </is>
      </c>
      <c r="X138" t="inlineStr">
        <is>
          <t>office</t>
        </is>
      </c>
      <c r="Y138" t="inlineStr"/>
      <c r="Z138" t="n">
        <v>137</v>
      </c>
      <c r="AA138" t="inlineStr">
        <is>
          <t>N</t>
        </is>
      </c>
      <c r="AB138" t="inlineStr"/>
      <c r="AC138" t="inlineStr"/>
      <c r="AD138" t="inlineStr">
        <is>
          <t>none</t>
        </is>
      </c>
      <c r="AE138" t="inlineStr"/>
      <c r="AF138" t="inlineStr"/>
      <c r="AG138" t="inlineStr"/>
      <c r="AH138" t="inlineStr">
        <is>
          <t>none</t>
        </is>
      </c>
      <c r="AI138" t="inlineStr">
        <is>
          <t>360 Park Avenue South</t>
        </is>
      </c>
      <c r="AJ138" t="inlineStr">
        <is>
          <t>unknown</t>
        </is>
      </c>
      <c r="AK138" t="inlineStr">
        <is>
          <t>occupied</t>
        </is>
      </c>
      <c r="AL138" t="inlineStr">
        <is>
          <t>unknown</t>
        </is>
      </c>
      <c r="AM138" t="inlineStr">
        <is>
          <t>unknown</t>
        </is>
      </c>
      <c r="AN138" t="inlineStr">
        <is>
          <t>none</t>
        </is>
      </c>
      <c r="AO138" t="inlineStr">
        <is>
          <t>unknown</t>
        </is>
      </c>
      <c r="AP138" t="inlineStr">
        <is>
          <t>AO-C-121</t>
        </is>
      </c>
      <c r="AQ138" t="inlineStr">
        <is>
          <t>N</t>
        </is>
      </c>
      <c r="AR138" t="inlineStr"/>
      <c r="AS138" t="inlineStr"/>
      <c r="AT138" t="inlineStr">
        <is>
          <t>N</t>
        </is>
      </c>
      <c r="AU138" t="inlineStr">
        <is>
          <t>no contact named on an opened page</t>
        </is>
      </c>
      <c r="AV138" t="inlineStr"/>
      <c r="AW138" t="inlineStr">
        <is>
          <t>N</t>
        </is>
      </c>
      <c r="AX138" t="inlineStr">
        <is>
          <t>pass</t>
        </is>
      </c>
      <c r="AY138" t="inlineStr">
        <is>
          <t>passes all hard gates</t>
        </is>
      </c>
      <c r="AZ138" t="inlineStr">
        <is>
          <t>company</t>
        </is>
      </c>
      <c r="BA138" t="inlineStr">
        <is>
          <t>B-C-121</t>
        </is>
      </c>
      <c r="BB138" t="inlineStr">
        <is>
          <t>https://www.iconiq.com</t>
        </is>
      </c>
      <c r="BC138" t="inlineStr">
        <is>
          <t>wealth management and venture capital</t>
        </is>
      </c>
      <c r="BD138" t="inlineStr">
        <is>
          <t>unknown</t>
        </is>
      </c>
      <c r="BE138" t="inlineStr"/>
      <c r="BF138" t="inlineStr">
        <is>
          <t>unknown</t>
        </is>
      </c>
      <c r="BG138" t="inlineStr">
        <is>
          <t>unknown</t>
        </is>
      </c>
      <c r="BH138" t="inlineStr">
        <is>
          <t>no-count</t>
        </is>
      </c>
      <c r="BI138" t="inlineStr"/>
      <c r="BJ138" t="inlineStr"/>
      <c r="BK138" t="inlineStr">
        <is>
          <t>unknown</t>
        </is>
      </c>
      <c r="BL138" t="inlineStr">
        <is>
          <t>San Francisco</t>
        </is>
      </c>
      <c r="BM138" t="inlineStr">
        <is>
          <t>N</t>
        </is>
      </c>
      <c r="BN138" t="inlineStr">
        <is>
          <t>unknown</t>
        </is>
      </c>
      <c r="BO138" t="inlineStr">
        <is>
          <t>unknown</t>
        </is>
      </c>
      <c r="BP138" t="n">
        <v>10010</v>
      </c>
      <c r="BQ138" t="n">
        <v>40.741968</v>
      </c>
      <c r="BR138" t="n">
        <v>-73.985327</v>
      </c>
      <c r="BS138" t="inlineStr">
        <is>
          <t>Y</t>
        </is>
      </c>
      <c r="BT138" t="n">
        <v>0</v>
      </c>
      <c r="BU138" t="inlineStr">
        <is>
          <t>B-B-059</t>
        </is>
      </c>
      <c r="BV138" t="inlineStr">
        <is>
          <t>360 Park Avenue South (BXP)</t>
        </is>
      </c>
      <c r="BW138" t="inlineStr">
        <is>
          <t>https://commercialobserver.com/2025/05/optiver-lease-360-park-avenue-south/</t>
        </is>
      </c>
      <c r="BX138" t="inlineStr">
        <is>
          <t>2025-05-20</t>
        </is>
      </c>
      <c r="BY138" t="inlineStr">
        <is>
          <t>leasing-press</t>
        </is>
      </c>
      <c r="BZ138" t="inlineStr"/>
      <c r="CA138" t="inlineStr"/>
      <c r="CB138" t="inlineStr"/>
      <c r="CC138" t="inlineStr">
        <is>
          <t>medium</t>
        </is>
      </c>
      <c r="CD138" t="inlineStr"/>
      <c r="CE138" t="inlineStr">
        <is>
          <t>N</t>
        </is>
      </c>
      <c r="CF138" t="inlineStr"/>
      <c r="CG138" t="inlineStr"/>
      <c r="CH138" t="inlineStr">
        <is>
          <t>unknown</t>
        </is>
      </c>
      <c r="CI138" t="inlineStr"/>
      <c r="CJ138" t="inlineStr">
        <is>
          <t>unknown</t>
        </is>
      </c>
      <c r="CK138" t="inlineStr">
        <is>
          <t>N</t>
        </is>
      </c>
      <c r="CL138" t="inlineStr">
        <is>
          <t>unknown</t>
        </is>
      </c>
      <c r="CM138" t="inlineStr"/>
      <c r="CN138" t="inlineStr"/>
      <c r="CO138" t="inlineStr">
        <is>
          <t>unknown</t>
        </is>
      </c>
      <c r="CP138" t="inlineStr"/>
      <c r="CQ138" t="inlineStr">
        <is>
          <t>No sourced headcount, so no Tuesday estimate; ask the Tuesday count at intake.</t>
        </is>
      </c>
      <c r="CR138" t="inlineStr">
        <is>
          <t>estimate until intake replaces it</t>
        </is>
      </c>
      <c r="CS138" t="inlineStr">
        <is>
          <t>unknown</t>
        </is>
      </c>
      <c r="CT138" t="n">
        <v>34</v>
      </c>
      <c r="CU138" t="n">
        <v>7</v>
      </c>
      <c r="CV138" t="n">
        <v>8</v>
      </c>
      <c r="CW138" t="n">
        <v>6</v>
      </c>
      <c r="CX138" t="n">
        <v>13</v>
      </c>
      <c r="CY138" t="n">
        <v>0</v>
      </c>
      <c r="CZ138" t="n">
        <v>0</v>
      </c>
      <c r="DA138" t="inlineStr"/>
      <c r="DB138" t="inlineStr"/>
      <c r="DC138" t="inlineStr"/>
      <c r="DD138" t="inlineStr"/>
      <c r="DE138" t="inlineStr"/>
      <c r="DF138" t="inlineStr">
        <is>
          <t>none</t>
        </is>
      </c>
      <c r="DG138" t="inlineStr">
        <is>
          <t>candidate</t>
        </is>
      </c>
      <c r="DH138" t="inlineStr"/>
      <c r="DI138" t="inlineStr"/>
      <c r="DJ138" t="inlineStr"/>
      <c r="DK138" t="inlineStr">
        <is>
          <t>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is>
      </c>
      <c r="DL138" t="inlineStr"/>
      <c r="DM138" t="inlineStr"/>
      <c r="DN138" t="inlineStr"/>
      <c r="DO138" t="inlineStr"/>
      <c r="DP138" t="inlineStr"/>
      <c r="DQ138" t="inlineStr"/>
      <c r="DR138" t="inlineStr"/>
      <c r="DS138" t="inlineStr">
        <is>
          <t>none</t>
        </is>
      </c>
      <c r="DT138" t="inlineStr"/>
      <c r="DU138" t="inlineStr"/>
      <c r="DV138" t="inlineStr"/>
      <c r="DW138" t="inlineStr"/>
      <c r="DX138" t="inlineStr">
        <is>
          <t>N</t>
        </is>
      </c>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f>IF(ISNUMBER(MATCH(U138,{"queued","contacted","replied","call_booked","call_done","yes_in_principle","materials_sent"},0)),"Y","N")</f>
        <v/>
      </c>
      <c r="ES138">
        <f>IF(COUNTIFS($AP$2:$AP$1000,AP138,$ER$2:$ER$1000,"Y")+COUNTIFS($AP$2:$AP$1000,AP138,$T$2:$T$1000,"Y")&gt;0,"Y","N")</f>
        <v/>
      </c>
      <c r="ET138">
        <f>IF(AND(U138="new",T138="N",AT138="Y",AS138="",ES138="N"),"Y","N")</f>
        <v/>
      </c>
      <c r="EU138">
        <f>IF(ET138&lt;&gt;"Y","N",IF(COUNTIFS($AP$2:$AP$1000,AP138,$ET$2:$ET$1000,"Y",$J$2:$J$1000,"&gt;"&amp;J138)+COUNTIFS($AP$2:$AP$1000,AP138,$ET$2:$ET$1000,"Y",$J$2:$J$1000,J138,$EW$2:$EW$1000,"&lt;"&amp;EW138)=0,"Y","N"))</f>
        <v/>
      </c>
      <c r="EV138">
        <f>IF(Y138="","N",IF(Y138&lt;=10,"Y","N"))</f>
        <v/>
      </c>
      <c r="EW138">
        <f>ROW()-1</f>
        <v/>
      </c>
    </row>
    <row r="139">
      <c r="A139" t="inlineStr">
        <is>
          <t>AO-C-067</t>
        </is>
      </c>
      <c r="B139" t="inlineStr">
        <is>
          <t>ISAIA</t>
        </is>
      </c>
      <c r="C139" t="inlineStr"/>
      <c r="D139" t="inlineStr"/>
      <c r="E139" t="inlineStr"/>
      <c r="F139" t="inlineStr"/>
      <c r="G139" t="inlineStr"/>
      <c r="H139" t="inlineStr">
        <is>
          <t>none</t>
        </is>
      </c>
      <c r="I139" t="inlineStr">
        <is>
          <t>linkedin</t>
        </is>
      </c>
      <c r="J139" t="n">
        <v>34</v>
      </c>
      <c r="K139" t="inlineStr">
        <is>
          <t>Tuesday headcount unknown (no sourced count), company size unknown, no attendance signal, occupied at a medium-confidence address; contacts not researched yet (below the top 50).</t>
        </is>
      </c>
      <c r="L139" t="inlineStr">
        <is>
          <t>unknown</t>
        </is>
      </c>
      <c r="M139" t="inlineStr"/>
      <c r="N139" t="inlineStr"/>
      <c r="O139" t="inlineStr">
        <is>
          <t>New or renewed lease at 257 Park Avenue South reported 2026-07-21</t>
        </is>
      </c>
      <c r="P139" t="inlineStr">
        <is>
          <t>https://commercialobserver.com/2026/07/isaia-lease-feil-257-park-avenue-south/</t>
        </is>
      </c>
      <c r="Q139" t="inlineStr">
        <is>
          <t>2026-07-21</t>
        </is>
      </c>
      <c r="R139" t="inlineStr">
        <is>
          <t>N</t>
        </is>
      </c>
      <c r="S139" t="inlineStr">
        <is>
          <t>unknown</t>
        </is>
      </c>
      <c r="T139" t="inlineStr">
        <is>
          <t>N</t>
        </is>
      </c>
      <c r="U139" t="inlineStr">
        <is>
          <t>new</t>
        </is>
      </c>
      <c r="V139" t="inlineStr">
        <is>
          <t>https://commercialobserver.com/2026/07/isaia-lease-feil-257-park-avenue-south/</t>
        </is>
      </c>
      <c r="W139" t="inlineStr">
        <is>
          <t>2026-10-23</t>
        </is>
      </c>
      <c r="X139" t="inlineStr">
        <is>
          <t>office</t>
        </is>
      </c>
      <c r="Y139" t="inlineStr"/>
      <c r="Z139" t="n">
        <v>138</v>
      </c>
      <c r="AA139" t="inlineStr">
        <is>
          <t>N</t>
        </is>
      </c>
      <c r="AB139" t="inlineStr"/>
      <c r="AC139" t="inlineStr"/>
      <c r="AD139" t="inlineStr">
        <is>
          <t>none</t>
        </is>
      </c>
      <c r="AE139" t="inlineStr"/>
      <c r="AF139" t="inlineStr"/>
      <c r="AG139" t="inlineStr"/>
      <c r="AH139" t="inlineStr">
        <is>
          <t>none</t>
        </is>
      </c>
      <c r="AI139" t="inlineStr">
        <is>
          <t>257 Park Avenue South</t>
        </is>
      </c>
      <c r="AJ139" t="n">
        <v>10</v>
      </c>
      <c r="AK139" t="inlineStr">
        <is>
          <t>occupied</t>
        </is>
      </c>
      <c r="AL139" t="inlineStr">
        <is>
          <t>unknown</t>
        </is>
      </c>
      <c r="AM139" t="inlineStr">
        <is>
          <t>unknown</t>
        </is>
      </c>
      <c r="AN139" t="inlineStr">
        <is>
          <t>none</t>
        </is>
      </c>
      <c r="AO139" t="inlineStr">
        <is>
          <t>unknown</t>
        </is>
      </c>
      <c r="AP139" t="inlineStr">
        <is>
          <t>AO-C-067</t>
        </is>
      </c>
      <c r="AQ139" t="inlineStr">
        <is>
          <t>N</t>
        </is>
      </c>
      <c r="AR139" t="inlineStr"/>
      <c r="AS139" t="inlineStr"/>
      <c r="AT139" t="inlineStr">
        <is>
          <t>N</t>
        </is>
      </c>
      <c r="AU139" t="inlineStr">
        <is>
          <t>no contact named on an opened page</t>
        </is>
      </c>
      <c r="AV139" t="inlineStr"/>
      <c r="AW139" t="inlineStr">
        <is>
          <t>N</t>
        </is>
      </c>
      <c r="AX139" t="inlineStr">
        <is>
          <t>pass</t>
        </is>
      </c>
      <c r="AY139" t="inlineStr">
        <is>
          <t>passes all hard gates</t>
        </is>
      </c>
      <c r="AZ139" t="inlineStr">
        <is>
          <t>company</t>
        </is>
      </c>
      <c r="BA139" t="inlineStr">
        <is>
          <t>B-C-067</t>
        </is>
      </c>
      <c r="BB139" t="inlineStr">
        <is>
          <t>https://www.isaia.it</t>
        </is>
      </c>
      <c r="BC139" t="inlineStr">
        <is>
          <t>luxury menswear brand (U.S. showroom and office)</t>
        </is>
      </c>
      <c r="BD139" t="inlineStr">
        <is>
          <t>unknown</t>
        </is>
      </c>
      <c r="BE139" t="inlineStr"/>
      <c r="BF139" t="inlineStr">
        <is>
          <t>unknown</t>
        </is>
      </c>
      <c r="BG139" t="inlineStr">
        <is>
          <t>unknown</t>
        </is>
      </c>
      <c r="BH139" t="inlineStr">
        <is>
          <t>no-count</t>
        </is>
      </c>
      <c r="BI139" t="inlineStr"/>
      <c r="BJ139" t="inlineStr"/>
      <c r="BK139" t="inlineStr">
        <is>
          <t>unknown</t>
        </is>
      </c>
      <c r="BL139" t="inlineStr">
        <is>
          <t>unknown</t>
        </is>
      </c>
      <c r="BM139" t="inlineStr">
        <is>
          <t>unknown</t>
        </is>
      </c>
      <c r="BN139" t="inlineStr">
        <is>
          <t>unknown</t>
        </is>
      </c>
      <c r="BO139" t="inlineStr">
        <is>
          <t>unknown</t>
        </is>
      </c>
      <c r="BP139" t="n">
        <v>10010</v>
      </c>
      <c r="BQ139" t="n">
        <v>40.738577</v>
      </c>
      <c r="BR139" t="n">
        <v>-73.987151</v>
      </c>
      <c r="BS139" t="inlineStr">
        <is>
          <t>Y</t>
        </is>
      </c>
      <c r="BT139" t="n">
        <v>0</v>
      </c>
      <c r="BU139" t="inlineStr">
        <is>
          <t>B-B-032</t>
        </is>
      </c>
      <c r="BV139" t="inlineStr">
        <is>
          <t>Gramercy Park Building (Feil Organization)</t>
        </is>
      </c>
      <c r="BW139" t="inlineStr">
        <is>
          <t>https://commercialobserver.com/2026/07/isaia-lease-feil-257-park-avenue-south/</t>
        </is>
      </c>
      <c r="BX139" t="inlineStr">
        <is>
          <t>2026-07-21</t>
        </is>
      </c>
      <c r="BY139" t="inlineStr">
        <is>
          <t>leasing-press</t>
        </is>
      </c>
      <c r="BZ139" t="inlineStr"/>
      <c r="CA139" t="inlineStr"/>
      <c r="CB139" t="inlineStr"/>
      <c r="CC139" t="inlineStr">
        <is>
          <t>medium</t>
        </is>
      </c>
      <c r="CD139" t="inlineStr"/>
      <c r="CE139" t="inlineStr">
        <is>
          <t>N</t>
        </is>
      </c>
      <c r="CF139" t="inlineStr"/>
      <c r="CG139" t="inlineStr"/>
      <c r="CH139" t="inlineStr">
        <is>
          <t>unknown</t>
        </is>
      </c>
      <c r="CI139" t="inlineStr"/>
      <c r="CJ139" t="inlineStr">
        <is>
          <t>unknown</t>
        </is>
      </c>
      <c r="CK139" t="inlineStr">
        <is>
          <t>N</t>
        </is>
      </c>
      <c r="CL139" t="inlineStr">
        <is>
          <t>unknown</t>
        </is>
      </c>
      <c r="CM139" t="inlineStr"/>
      <c r="CN139" t="inlineStr"/>
      <c r="CO139" t="inlineStr">
        <is>
          <t>unknown</t>
        </is>
      </c>
      <c r="CP139" t="inlineStr"/>
      <c r="CQ139" t="inlineStr">
        <is>
          <t>No sourced headcount, so no Tuesday estimate; ask the Tuesday count at intake.</t>
        </is>
      </c>
      <c r="CR139" t="inlineStr">
        <is>
          <t>estimate until intake replaces it</t>
        </is>
      </c>
      <c r="CS139" t="inlineStr">
        <is>
          <t>unknown</t>
        </is>
      </c>
      <c r="CT139" t="n">
        <v>34</v>
      </c>
      <c r="CU139" t="n">
        <v>7</v>
      </c>
      <c r="CV139" t="n">
        <v>8</v>
      </c>
      <c r="CW139" t="n">
        <v>6</v>
      </c>
      <c r="CX139" t="n">
        <v>13</v>
      </c>
      <c r="CY139" t="n">
        <v>0</v>
      </c>
      <c r="CZ139" t="n">
        <v>0</v>
      </c>
      <c r="DA139" t="inlineStr"/>
      <c r="DB139" t="inlineStr"/>
      <c r="DC139" t="inlineStr"/>
      <c r="DD139" t="inlineStr"/>
      <c r="DE139" t="inlineStr"/>
      <c r="DF139" t="inlineStr">
        <is>
          <t>none</t>
        </is>
      </c>
      <c r="DG139" t="inlineStr">
        <is>
          <t>candidate</t>
        </is>
      </c>
      <c r="DH139" t="inlineStr"/>
      <c r="DI139" t="inlineStr"/>
      <c r="DJ139" t="inlineStr">
        <is>
          <t>13,000 sf</t>
        </is>
      </c>
      <c r="DK139" t="inlineStr">
        <is>
          <t>10-year renewal of 13,000 sf corporate showroom on the 10th floor. Mainly a showroom; onsite staff count unknown.</t>
        </is>
      </c>
      <c r="DL139" t="inlineStr"/>
      <c r="DM139" t="inlineStr"/>
      <c r="DN139" t="inlineStr"/>
      <c r="DO139" t="inlineStr"/>
      <c r="DP139" t="inlineStr"/>
      <c r="DQ139" t="inlineStr"/>
      <c r="DR139" t="inlineStr"/>
      <c r="DS139" t="inlineStr">
        <is>
          <t>none</t>
        </is>
      </c>
      <c r="DT139" t="inlineStr"/>
      <c r="DU139" t="inlineStr"/>
      <c r="DV139" t="inlineStr"/>
      <c r="DW139" t="inlineStr"/>
      <c r="DX139" t="inlineStr">
        <is>
          <t>N</t>
        </is>
      </c>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f>IF(ISNUMBER(MATCH(U139,{"queued","contacted","replied","call_booked","call_done","yes_in_principle","materials_sent"},0)),"Y","N")</f>
        <v/>
      </c>
      <c r="ES139">
        <f>IF(COUNTIFS($AP$2:$AP$1000,AP139,$ER$2:$ER$1000,"Y")+COUNTIFS($AP$2:$AP$1000,AP139,$T$2:$T$1000,"Y")&gt;0,"Y","N")</f>
        <v/>
      </c>
      <c r="ET139">
        <f>IF(AND(U139="new",T139="N",AT139="Y",AS139="",ES139="N"),"Y","N")</f>
        <v/>
      </c>
      <c r="EU139">
        <f>IF(ET139&lt;&gt;"Y","N",IF(COUNTIFS($AP$2:$AP$1000,AP139,$ET$2:$ET$1000,"Y",$J$2:$J$1000,"&gt;"&amp;J139)+COUNTIFS($AP$2:$AP$1000,AP139,$ET$2:$ET$1000,"Y",$J$2:$J$1000,J139,$EW$2:$EW$1000,"&lt;"&amp;EW139)=0,"Y","N"))</f>
        <v/>
      </c>
      <c r="EV139">
        <f>IF(Y139="","N",IF(Y139&lt;=10,"Y","N"))</f>
        <v/>
      </c>
      <c r="EW139">
        <f>ROW()-1</f>
        <v/>
      </c>
    </row>
    <row r="140">
      <c r="A140" t="inlineStr">
        <is>
          <t>AO-W-003</t>
        </is>
      </c>
      <c r="B140" t="inlineStr">
        <is>
          <t>Industrious Union Square on Broadway</t>
        </is>
      </c>
      <c r="C140" t="inlineStr"/>
      <c r="D140" t="inlineStr"/>
      <c r="E140" t="inlineStr"/>
      <c r="F140" t="inlineStr"/>
      <c r="G140" t="inlineStr"/>
      <c r="H140" t="inlineStr">
        <is>
          <t>none</t>
        </is>
      </c>
      <c r="I140" t="inlineStr">
        <is>
          <t>linkedin</t>
        </is>
      </c>
      <c r="J140" t="n">
        <v>34</v>
      </c>
      <c r="K140" t="inlineStr">
        <is>
          <t>Tuesday headcount unknown (no sourced count), coworking operator site (one office if it controls the pantry), no attendance signal, open at a medium-confidence address; contacts not researched yet (below the top 50).</t>
        </is>
      </c>
      <c r="L140" t="inlineStr">
        <is>
          <t>unknown</t>
        </is>
      </c>
      <c r="M140" t="inlineStr"/>
      <c r="N140" t="inlineStr"/>
      <c r="O140" t="inlineStr"/>
      <c r="P140" t="inlineStr"/>
      <c r="Q140" t="inlineStr"/>
      <c r="R140" t="inlineStr">
        <is>
          <t>N</t>
        </is>
      </c>
      <c r="S140" t="inlineStr">
        <is>
          <t>unknown</t>
        </is>
      </c>
      <c r="T140" t="inlineStr">
        <is>
          <t>N</t>
        </is>
      </c>
      <c r="U140" t="inlineStr">
        <is>
          <t>new</t>
        </is>
      </c>
      <c r="V140" t="inlineStr">
        <is>
          <t>https://www.industriousoffice.com/m/new-york-city</t>
        </is>
      </c>
      <c r="W140" t="inlineStr">
        <is>
          <t>2026-10-23</t>
        </is>
      </c>
      <c r="X140" t="inlineStr">
        <is>
          <t>office</t>
        </is>
      </c>
      <c r="Y140" t="inlineStr"/>
      <c r="Z140" t="n">
        <v>139</v>
      </c>
      <c r="AA140" t="inlineStr">
        <is>
          <t>N</t>
        </is>
      </c>
      <c r="AB140" t="inlineStr"/>
      <c r="AC140" t="inlineStr"/>
      <c r="AD140" t="inlineStr">
        <is>
          <t>none</t>
        </is>
      </c>
      <c r="AE140" t="inlineStr"/>
      <c r="AF140" t="inlineStr"/>
      <c r="AG140" t="inlineStr"/>
      <c r="AH140" t="inlineStr">
        <is>
          <t>none</t>
        </is>
      </c>
      <c r="AI140" t="inlineStr">
        <is>
          <t>860 Broadway, 6th Floor, New York, NY 10003</t>
        </is>
      </c>
      <c r="AJ140" t="inlineStr">
        <is>
          <t>6th Floor</t>
        </is>
      </c>
      <c r="AK140" t="inlineStr">
        <is>
          <t>open</t>
        </is>
      </c>
      <c r="AL140" t="inlineStr">
        <is>
          <t>unknown</t>
        </is>
      </c>
      <c r="AM140" t="inlineStr">
        <is>
          <t>unknown</t>
        </is>
      </c>
      <c r="AN140" t="inlineStr">
        <is>
          <t>none</t>
        </is>
      </c>
      <c r="AO140" t="inlineStr">
        <is>
          <t>unknown</t>
        </is>
      </c>
      <c r="AP140" t="inlineStr">
        <is>
          <t>grp-W003-W005-W007-W008-W014-W016-W027</t>
        </is>
      </c>
      <c r="AQ140" t="inlineStr">
        <is>
          <t>N</t>
        </is>
      </c>
      <c r="AR140" t="inlineStr"/>
      <c r="AS140" t="inlineStr"/>
      <c r="AT140" t="inlineStr">
        <is>
          <t>N</t>
        </is>
      </c>
      <c r="AU140" t="inlineStr">
        <is>
          <t>no contact named on an opened page</t>
        </is>
      </c>
      <c r="AV140" t="inlineStr"/>
      <c r="AW140" t="inlineStr">
        <is>
          <t>N</t>
        </is>
      </c>
      <c r="AX140" t="inlineStr">
        <is>
          <t>pass</t>
        </is>
      </c>
      <c r="AY140" t="inlineStr">
        <is>
          <t>passes all hard gates</t>
        </is>
      </c>
      <c r="AZ140" t="inlineStr">
        <is>
          <t>coworking-operator</t>
        </is>
      </c>
      <c r="BA140" t="inlineStr">
        <is>
          <t>B-W-003</t>
        </is>
      </c>
      <c r="BB140" t="inlineStr">
        <is>
          <t>https://www.industriousoffice.com</t>
        </is>
      </c>
      <c r="BC140" t="inlineStr">
        <is>
          <t>coworking operator</t>
        </is>
      </c>
      <c r="BD140" t="inlineStr">
        <is>
          <t>unknown</t>
        </is>
      </c>
      <c r="BE140" t="inlineStr"/>
      <c r="BF140" t="inlineStr">
        <is>
          <t>unknown</t>
        </is>
      </c>
      <c r="BG140" t="inlineStr">
        <is>
          <t>unknown</t>
        </is>
      </c>
      <c r="BH140" t="inlineStr"/>
      <c r="BI140" t="inlineStr"/>
      <c r="BJ140" t="inlineStr"/>
      <c r="BK140" t="inlineStr">
        <is>
          <t>unknown</t>
        </is>
      </c>
      <c r="BL140" t="inlineStr">
        <is>
          <t>n/a (operator site)</t>
        </is>
      </c>
      <c r="BM140" t="inlineStr">
        <is>
          <t>unknown</t>
        </is>
      </c>
      <c r="BN140" t="inlineStr">
        <is>
          <t>Industrious</t>
        </is>
      </c>
      <c r="BO140" t="inlineStr"/>
      <c r="BP140" t="n">
        <v>10003</v>
      </c>
      <c r="BQ140" t="n">
        <v>40.73716</v>
      </c>
      <c r="BR140" t="n">
        <v>-73.990073</v>
      </c>
      <c r="BS140" t="inlineStr">
        <is>
          <t>Y</t>
        </is>
      </c>
      <c r="BT140" t="n">
        <v>0</v>
      </c>
      <c r="BU140" t="inlineStr">
        <is>
          <t>B-B-011</t>
        </is>
      </c>
      <c r="BV140" t="inlineStr">
        <is>
          <t>860 Broadway</t>
        </is>
      </c>
      <c r="BW140" t="inlineStr">
        <is>
          <t>https://www.industriousoffice.com/m/new-york-city</t>
        </is>
      </c>
      <c r="BX140" t="inlineStr">
        <is>
          <t>2026-10-23</t>
        </is>
      </c>
      <c r="BY140" t="inlineStr">
        <is>
          <t>operator-site</t>
        </is>
      </c>
      <c r="BZ140" t="inlineStr">
        <is>
          <t>https://www.deskpass.com/us-en/ny/new-york-city</t>
        </is>
      </c>
      <c r="CA140" t="inlineStr"/>
      <c r="CB140" t="inlineStr"/>
      <c r="CC140" t="inlineStr">
        <is>
          <t>medium</t>
        </is>
      </c>
      <c r="CD140" t="inlineStr"/>
      <c r="CE140" t="inlineStr">
        <is>
          <t>N</t>
        </is>
      </c>
      <c r="CF140" t="inlineStr">
        <is>
          <t>B-W-003</t>
        </is>
      </c>
      <c r="CG140" t="inlineStr">
        <is>
          <t>operator</t>
        </is>
      </c>
      <c r="CH140" t="inlineStr">
        <is>
          <t>unknown</t>
        </is>
      </c>
      <c r="CI140" t="inlineStr"/>
      <c r="CJ140" t="inlineStr">
        <is>
          <t>unknown</t>
        </is>
      </c>
      <c r="CK140" t="inlineStr">
        <is>
          <t>N</t>
        </is>
      </c>
      <c r="CL140" t="inlineStr">
        <is>
          <t>unknown</t>
        </is>
      </c>
      <c r="CM140" t="inlineStr"/>
      <c r="CN140" t="inlineStr"/>
      <c r="CO140" t="inlineStr">
        <is>
          <t>unknown</t>
        </is>
      </c>
      <c r="CP140" t="inlineStr"/>
      <c r="CQ140" t="inlineStr">
        <is>
          <t>Coworking site: member headcount not sourced; treat as one office if the operator controls the pantry and ask the Tuesday count at intake.</t>
        </is>
      </c>
      <c r="CR140" t="inlineStr">
        <is>
          <t>estimate until intake replaces it</t>
        </is>
      </c>
      <c r="CS140" t="inlineStr">
        <is>
          <t>unknown</t>
        </is>
      </c>
      <c r="CT140" t="n">
        <v>34</v>
      </c>
      <c r="CU140" t="n">
        <v>7</v>
      </c>
      <c r="CV140" t="n">
        <v>8</v>
      </c>
      <c r="CW140" t="n">
        <v>6</v>
      </c>
      <c r="CX140" t="n">
        <v>13</v>
      </c>
      <c r="CY140" t="n">
        <v>0</v>
      </c>
      <c r="CZ140" t="n">
        <v>0</v>
      </c>
      <c r="DA140" t="inlineStr"/>
      <c r="DB140" t="inlineStr"/>
      <c r="DC140" t="inlineStr"/>
      <c r="DD140" t="inlineStr"/>
      <c r="DE140" t="inlineStr"/>
      <c r="DF140" t="inlineStr">
        <is>
          <t>none</t>
        </is>
      </c>
      <c r="DG140" t="inlineStr">
        <is>
          <t>coworking-operator</t>
        </is>
      </c>
      <c r="DH140" t="inlineStr"/>
      <c r="DI140" t="inlineStr"/>
      <c r="DJ140" t="inlineStr"/>
      <c r="DK140" t="inlineStr">
        <is>
          <t>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is>
      </c>
      <c r="DL140" t="inlineStr"/>
      <c r="DM140" t="inlineStr"/>
      <c r="DN140" t="inlineStr"/>
      <c r="DO140" t="inlineStr"/>
      <c r="DP140" t="inlineStr"/>
      <c r="DQ140" t="inlineStr"/>
      <c r="DR140" t="inlineStr"/>
      <c r="DS140" t="inlineStr">
        <is>
          <t>none</t>
        </is>
      </c>
      <c r="DT140" t="inlineStr"/>
      <c r="DU140" t="inlineStr"/>
      <c r="DV140" t="inlineStr"/>
      <c r="DW140" t="inlineStr"/>
      <c r="DX140" t="inlineStr">
        <is>
          <t>N</t>
        </is>
      </c>
      <c r="DY140" t="inlineStr"/>
      <c r="DZ140" t="inlineStr">
        <is>
          <t>parent 'industrious' shared with AO-W-007, AO-W-016, AO-W-008, AO-W-014, AO-W-005, AO-W-027</t>
        </is>
      </c>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f>IF(ISNUMBER(MATCH(U140,{"queued","contacted","replied","call_booked","call_done","yes_in_principle","materials_sent"},0)),"Y","N")</f>
        <v/>
      </c>
      <c r="ES140">
        <f>IF(COUNTIFS($AP$2:$AP$1000,AP140,$ER$2:$ER$1000,"Y")+COUNTIFS($AP$2:$AP$1000,AP140,$T$2:$T$1000,"Y")&gt;0,"Y","N")</f>
        <v/>
      </c>
      <c r="ET140">
        <f>IF(AND(U140="new",T140="N",AT140="Y",AS140="",ES140="N"),"Y","N")</f>
        <v/>
      </c>
      <c r="EU140">
        <f>IF(ET140&lt;&gt;"Y","N",IF(COUNTIFS($AP$2:$AP$1000,AP140,$ET$2:$ET$1000,"Y",$J$2:$J$1000,"&gt;"&amp;J140)+COUNTIFS($AP$2:$AP$1000,AP140,$ET$2:$ET$1000,"Y",$J$2:$J$1000,J140,$EW$2:$EW$1000,"&lt;"&amp;EW140)=0,"Y","N"))</f>
        <v/>
      </c>
      <c r="EV140">
        <f>IF(Y140="","N",IF(Y140&lt;=10,"Y","N"))</f>
        <v/>
      </c>
      <c r="EW140">
        <f>ROW()-1</f>
        <v/>
      </c>
    </row>
    <row r="141">
      <c r="A141" t="inlineStr">
        <is>
          <t>AO-C-161</t>
        </is>
      </c>
      <c r="B141" t="inlineStr">
        <is>
          <t>Institute for Integrative Nutrition</t>
        </is>
      </c>
      <c r="C141" t="inlineStr"/>
      <c r="D141" t="inlineStr"/>
      <c r="E141" t="inlineStr"/>
      <c r="F141" t="inlineStr"/>
      <c r="G141" t="inlineStr"/>
      <c r="H141" t="inlineStr">
        <is>
          <t>none</t>
        </is>
      </c>
      <c r="I141" t="inlineStr">
        <is>
          <t>linkedin</t>
        </is>
      </c>
      <c r="J141" t="n">
        <v>34</v>
      </c>
      <c r="K141" t="inlineStr">
        <is>
          <t>Tuesday headcount unknown (no sourced count), company size unknown, no attendance signal, occupied at a medium-confidence address; contacts not researched yet (below the top 50).</t>
        </is>
      </c>
      <c r="L141" t="inlineStr">
        <is>
          <t>unknown</t>
        </is>
      </c>
      <c r="M141" t="inlineStr"/>
      <c r="N141" t="inlineStr"/>
      <c r="O141" t="inlineStr"/>
      <c r="P141" t="inlineStr"/>
      <c r="Q141" t="inlineStr"/>
      <c r="R141" t="inlineStr">
        <is>
          <t>N</t>
        </is>
      </c>
      <c r="S141" t="inlineStr">
        <is>
          <t>unknown</t>
        </is>
      </c>
      <c r="T141" t="inlineStr">
        <is>
          <t>N</t>
        </is>
      </c>
      <c r="U141" t="inlineStr">
        <is>
          <t>new</t>
        </is>
      </c>
      <c r="V141" t="inlineStr">
        <is>
          <t>https://commercialobserver.com/2025/03/institute-of-integrative-nutrition-moinian-group-245-fifth-avenue/</t>
        </is>
      </c>
      <c r="W141" t="inlineStr">
        <is>
          <t>2026-10-23</t>
        </is>
      </c>
      <c r="X141" t="inlineStr">
        <is>
          <t>office</t>
        </is>
      </c>
      <c r="Y141" t="inlineStr"/>
      <c r="Z141" t="n">
        <v>140</v>
      </c>
      <c r="AA141" t="inlineStr">
        <is>
          <t>N</t>
        </is>
      </c>
      <c r="AB141" t="inlineStr"/>
      <c r="AC141" t="inlineStr"/>
      <c r="AD141" t="inlineStr">
        <is>
          <t>none</t>
        </is>
      </c>
      <c r="AE141" t="inlineStr"/>
      <c r="AF141" t="inlineStr"/>
      <c r="AG141" t="inlineStr"/>
      <c r="AH141" t="inlineStr">
        <is>
          <t>none</t>
        </is>
      </c>
      <c r="AI141" t="inlineStr">
        <is>
          <t>245 Fifth Avenue</t>
        </is>
      </c>
      <c r="AJ141" t="n">
        <v>7</v>
      </c>
      <c r="AK141" t="inlineStr">
        <is>
          <t>occupied</t>
        </is>
      </c>
      <c r="AL141" t="inlineStr">
        <is>
          <t>unknown</t>
        </is>
      </c>
      <c r="AM141" t="inlineStr">
        <is>
          <t>unknown</t>
        </is>
      </c>
      <c r="AN141" t="inlineStr">
        <is>
          <t>none</t>
        </is>
      </c>
      <c r="AO141" t="inlineStr">
        <is>
          <t>unknown</t>
        </is>
      </c>
      <c r="AP141" t="inlineStr">
        <is>
          <t>AO-C-161</t>
        </is>
      </c>
      <c r="AQ141" t="inlineStr">
        <is>
          <t>N</t>
        </is>
      </c>
      <c r="AR141" t="inlineStr"/>
      <c r="AS141" t="inlineStr"/>
      <c r="AT141" t="inlineStr">
        <is>
          <t>N</t>
        </is>
      </c>
      <c r="AU141" t="inlineStr">
        <is>
          <t>no contact named on an opened page</t>
        </is>
      </c>
      <c r="AV141" t="inlineStr"/>
      <c r="AW141" t="inlineStr">
        <is>
          <t>N</t>
        </is>
      </c>
      <c r="AX141" t="inlineStr">
        <is>
          <t>pass</t>
        </is>
      </c>
      <c r="AY141" t="inlineStr">
        <is>
          <t>passes all hard gates</t>
        </is>
      </c>
      <c r="AZ141" t="inlineStr">
        <is>
          <t>company</t>
        </is>
      </c>
      <c r="BA141" t="inlineStr">
        <is>
          <t>B-C-161</t>
        </is>
      </c>
      <c r="BB141" t="inlineStr">
        <is>
          <t>unknown</t>
        </is>
      </c>
      <c r="BC141" t="inlineStr">
        <is>
          <t>online education (health coaching)</t>
        </is>
      </c>
      <c r="BD141" t="inlineStr">
        <is>
          <t>unknown</t>
        </is>
      </c>
      <c r="BE141" t="inlineStr"/>
      <c r="BF141" t="inlineStr">
        <is>
          <t>unknown</t>
        </is>
      </c>
      <c r="BG141" t="inlineStr">
        <is>
          <t>unknown</t>
        </is>
      </c>
      <c r="BH141" t="inlineStr">
        <is>
          <t>no-count</t>
        </is>
      </c>
      <c r="BI141" t="inlineStr"/>
      <c r="BJ141" t="inlineStr"/>
      <c r="BK141" t="inlineStr">
        <is>
          <t>unknown</t>
        </is>
      </c>
      <c r="BL141" t="inlineStr">
        <is>
          <t>unknown</t>
        </is>
      </c>
      <c r="BM141" t="inlineStr">
        <is>
          <t>unknown</t>
        </is>
      </c>
      <c r="BN141" t="inlineStr">
        <is>
          <t>unknown</t>
        </is>
      </c>
      <c r="BO141" t="inlineStr">
        <is>
          <t>unknown</t>
        </is>
      </c>
      <c r="BP141" t="n">
        <v>10016</v>
      </c>
      <c r="BQ141" t="n">
        <v>40.74441</v>
      </c>
      <c r="BR141" t="n">
        <v>-73.987275</v>
      </c>
      <c r="BS141" t="inlineStr">
        <is>
          <t>Y</t>
        </is>
      </c>
      <c r="BT141" t="n">
        <v>0</v>
      </c>
      <c r="BU141" t="inlineStr">
        <is>
          <t>B-B-074</t>
        </is>
      </c>
      <c r="BV141" t="inlineStr">
        <is>
          <t>245 Fifth Avenue (Moinian Group)</t>
        </is>
      </c>
      <c r="BW141" t="inlineStr">
        <is>
          <t>https://commercialobserver.com/2025/03/institute-of-integrative-nutrition-moinian-group-245-fifth-avenue/</t>
        </is>
      </c>
      <c r="BX141" t="inlineStr">
        <is>
          <t>2025-03-03</t>
        </is>
      </c>
      <c r="BY141" t="inlineStr">
        <is>
          <t>leasing-press</t>
        </is>
      </c>
      <c r="BZ141" t="inlineStr"/>
      <c r="CA141" t="inlineStr"/>
      <c r="CB141" t="inlineStr"/>
      <c r="CC141" t="inlineStr">
        <is>
          <t>medium</t>
        </is>
      </c>
      <c r="CD141" t="inlineStr"/>
      <c r="CE141" t="inlineStr">
        <is>
          <t>N</t>
        </is>
      </c>
      <c r="CF141" t="inlineStr"/>
      <c r="CG141" t="inlineStr"/>
      <c r="CH141" t="inlineStr">
        <is>
          <t>security desk</t>
        </is>
      </c>
      <c r="CI141" t="inlineStr">
        <is>
          <t>https://www.metro-manhattan.com/buildings/245-fifth-avenue-office-space-for-lease/</t>
        </is>
      </c>
      <c r="CJ141" t="inlineStr">
        <is>
          <t>unknown</t>
        </is>
      </c>
      <c r="CK141" t="inlineStr">
        <is>
          <t>N</t>
        </is>
      </c>
      <c r="CL141" t="inlineStr">
        <is>
          <t>unknown</t>
        </is>
      </c>
      <c r="CM141" t="inlineStr"/>
      <c r="CN141" t="inlineStr"/>
      <c r="CO141" t="inlineStr">
        <is>
          <t>unknown</t>
        </is>
      </c>
      <c r="CP141" t="inlineStr"/>
      <c r="CQ141" t="inlineStr">
        <is>
          <t>No sourced headcount, so no Tuesday estimate; ask the Tuesday count at intake.</t>
        </is>
      </c>
      <c r="CR141" t="inlineStr">
        <is>
          <t>estimate until intake replaces it</t>
        </is>
      </c>
      <c r="CS141" t="inlineStr">
        <is>
          <t>unknown</t>
        </is>
      </c>
      <c r="CT141" t="n">
        <v>34</v>
      </c>
      <c r="CU141" t="n">
        <v>7</v>
      </c>
      <c r="CV141" t="n">
        <v>8</v>
      </c>
      <c r="CW141" t="n">
        <v>6</v>
      </c>
      <c r="CX141" t="n">
        <v>13</v>
      </c>
      <c r="CY141" t="n">
        <v>0</v>
      </c>
      <c r="CZ141" t="n">
        <v>0</v>
      </c>
      <c r="DA141" t="inlineStr"/>
      <c r="DB141" t="inlineStr"/>
      <c r="DC141" t="inlineStr"/>
      <c r="DD141" t="inlineStr"/>
      <c r="DE141" t="inlineStr"/>
      <c r="DF141" t="inlineStr">
        <is>
          <t>none</t>
        </is>
      </c>
      <c r="DG141" t="inlineStr">
        <is>
          <t>candidate</t>
        </is>
      </c>
      <c r="DH141" t="inlineStr"/>
      <c r="DI141" t="inlineStr"/>
      <c r="DJ141" t="inlineStr">
        <is>
          <t>14,000 sf</t>
        </is>
      </c>
      <c r="DK141" t="inlineStr">
        <is>
          <t>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is>
      </c>
      <c r="DL141" t="inlineStr"/>
      <c r="DM141" t="inlineStr"/>
      <c r="DN141" t="inlineStr"/>
      <c r="DO141" t="inlineStr"/>
      <c r="DP141" t="inlineStr"/>
      <c r="DQ141" t="inlineStr"/>
      <c r="DR141" t="inlineStr"/>
      <c r="DS141" t="inlineStr">
        <is>
          <t>none</t>
        </is>
      </c>
      <c r="DT141" t="inlineStr"/>
      <c r="DU141" t="inlineStr"/>
      <c r="DV141" t="inlineStr"/>
      <c r="DW141" t="inlineStr"/>
      <c r="DX141" t="inlineStr">
        <is>
          <t>N</t>
        </is>
      </c>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f>IF(ISNUMBER(MATCH(U141,{"queued","contacted","replied","call_booked","call_done","yes_in_principle","materials_sent"},0)),"Y","N")</f>
        <v/>
      </c>
      <c r="ES141">
        <f>IF(COUNTIFS($AP$2:$AP$1000,AP141,$ER$2:$ER$1000,"Y")+COUNTIFS($AP$2:$AP$1000,AP141,$T$2:$T$1000,"Y")&gt;0,"Y","N")</f>
        <v/>
      </c>
      <c r="ET141">
        <f>IF(AND(U141="new",T141="N",AT141="Y",AS141="",ES141="N"),"Y","N")</f>
        <v/>
      </c>
      <c r="EU141">
        <f>IF(ET141&lt;&gt;"Y","N",IF(COUNTIFS($AP$2:$AP$1000,AP141,$ET$2:$ET$1000,"Y",$J$2:$J$1000,"&gt;"&amp;J141)+COUNTIFS($AP$2:$AP$1000,AP141,$ET$2:$ET$1000,"Y",$J$2:$J$1000,J141,$EW$2:$EW$1000,"&lt;"&amp;EW141)=0,"Y","N"))</f>
        <v/>
      </c>
      <c r="EV141">
        <f>IF(Y141="","N",IF(Y141&lt;=10,"Y","N"))</f>
        <v/>
      </c>
      <c r="EW141">
        <f>ROW()-1</f>
        <v/>
      </c>
    </row>
    <row r="142">
      <c r="A142" t="inlineStr">
        <is>
          <t>AO-C-100</t>
        </is>
      </c>
      <c r="B142" t="inlineStr">
        <is>
          <t>LaForce</t>
        </is>
      </c>
      <c r="C142" t="inlineStr"/>
      <c r="D142" t="inlineStr"/>
      <c r="E142" t="inlineStr"/>
      <c r="F142" t="inlineStr"/>
      <c r="G142" t="inlineStr"/>
      <c r="H142" t="inlineStr">
        <is>
          <t>none</t>
        </is>
      </c>
      <c r="I142" t="inlineStr">
        <is>
          <t>linkedin</t>
        </is>
      </c>
      <c r="J142" t="n">
        <v>34</v>
      </c>
      <c r="K142" t="inlineStr">
        <is>
          <t>Tuesday headcount unknown (no sourced count), company size unknown, no attendance signal, occupied at a medium-confidence address; contacts not researched yet (below the top 50).</t>
        </is>
      </c>
      <c r="L142" t="inlineStr">
        <is>
          <t>unknown</t>
        </is>
      </c>
      <c r="M142" t="inlineStr"/>
      <c r="N142" t="inlineStr"/>
      <c r="O142" t="inlineStr"/>
      <c r="P142" t="inlineStr"/>
      <c r="Q142" t="inlineStr"/>
      <c r="R142" t="inlineStr">
        <is>
          <t>N</t>
        </is>
      </c>
      <c r="S142" t="inlineStr">
        <is>
          <t>unknown</t>
        </is>
      </c>
      <c r="T142" t="inlineStr">
        <is>
          <t>N</t>
        </is>
      </c>
      <c r="U142" t="inlineStr">
        <is>
          <t>new</t>
        </is>
      </c>
      <c r="V142" t="inlineStr">
        <is>
          <t>https://commercialobserver.com/2025/10/huge-lease-adams-53-west-23rd-street/</t>
        </is>
      </c>
      <c r="W142" t="inlineStr">
        <is>
          <t>2026-10-23</t>
        </is>
      </c>
      <c r="X142" t="inlineStr">
        <is>
          <t>office</t>
        </is>
      </c>
      <c r="Y142" t="inlineStr"/>
      <c r="Z142" t="n">
        <v>141</v>
      </c>
      <c r="AA142" t="inlineStr">
        <is>
          <t>N</t>
        </is>
      </c>
      <c r="AB142" t="inlineStr"/>
      <c r="AC142" t="inlineStr"/>
      <c r="AD142" t="inlineStr">
        <is>
          <t>none</t>
        </is>
      </c>
      <c r="AE142" t="inlineStr"/>
      <c r="AF142" t="inlineStr"/>
      <c r="AG142" t="inlineStr"/>
      <c r="AH142" t="inlineStr">
        <is>
          <t>none</t>
        </is>
      </c>
      <c r="AI142" t="inlineStr">
        <is>
          <t>53 West 23rd Street</t>
        </is>
      </c>
      <c r="AJ142" t="inlineStr">
        <is>
          <t>unknown</t>
        </is>
      </c>
      <c r="AK142" t="inlineStr">
        <is>
          <t>occupied</t>
        </is>
      </c>
      <c r="AL142" t="inlineStr">
        <is>
          <t>unknown</t>
        </is>
      </c>
      <c r="AM142" t="inlineStr">
        <is>
          <t>unknown</t>
        </is>
      </c>
      <c r="AN142" t="inlineStr">
        <is>
          <t>none</t>
        </is>
      </c>
      <c r="AO142" t="inlineStr">
        <is>
          <t>unknown</t>
        </is>
      </c>
      <c r="AP142" t="inlineStr">
        <is>
          <t>AO-C-100</t>
        </is>
      </c>
      <c r="AQ142" t="inlineStr">
        <is>
          <t>N</t>
        </is>
      </c>
      <c r="AR142" t="inlineStr"/>
      <c r="AS142" t="inlineStr"/>
      <c r="AT142" t="inlineStr">
        <is>
          <t>N</t>
        </is>
      </c>
      <c r="AU142" t="inlineStr">
        <is>
          <t>no contact named on an opened page</t>
        </is>
      </c>
      <c r="AV142" t="inlineStr"/>
      <c r="AW142" t="inlineStr">
        <is>
          <t>N</t>
        </is>
      </c>
      <c r="AX142" t="inlineStr">
        <is>
          <t>pass</t>
        </is>
      </c>
      <c r="AY142" t="inlineStr">
        <is>
          <t>passes all hard gates</t>
        </is>
      </c>
      <c r="AZ142" t="inlineStr">
        <is>
          <t>company</t>
        </is>
      </c>
      <c r="BA142" t="inlineStr">
        <is>
          <t>B-C-100</t>
        </is>
      </c>
      <c r="BB142" t="inlineStr">
        <is>
          <t>https://www.laforce.com/</t>
        </is>
      </c>
      <c r="BC142" t="inlineStr">
        <is>
          <t>Public relations / communications agency</t>
        </is>
      </c>
      <c r="BD142" t="inlineStr">
        <is>
          <t>unknown</t>
        </is>
      </c>
      <c r="BE142" t="inlineStr"/>
      <c r="BF142" t="inlineStr">
        <is>
          <t>unknown</t>
        </is>
      </c>
      <c r="BG142" t="inlineStr">
        <is>
          <t>unknown</t>
        </is>
      </c>
      <c r="BH142" t="inlineStr">
        <is>
          <t>no-count</t>
        </is>
      </c>
      <c r="BI142" t="inlineStr"/>
      <c r="BJ142" t="inlineStr"/>
      <c r="BK142" t="inlineStr">
        <is>
          <t>unknown</t>
        </is>
      </c>
      <c r="BL142" t="inlineStr">
        <is>
          <t>unknown</t>
        </is>
      </c>
      <c r="BM142" t="inlineStr">
        <is>
          <t>unknown</t>
        </is>
      </c>
      <c r="BN142" t="inlineStr">
        <is>
          <t>unknown</t>
        </is>
      </c>
      <c r="BO142" t="inlineStr">
        <is>
          <t>unknown</t>
        </is>
      </c>
      <c r="BP142" t="n">
        <v>10010</v>
      </c>
      <c r="BQ142" t="n">
        <v>40.742654</v>
      </c>
      <c r="BR142" t="n">
        <v>-73.991559</v>
      </c>
      <c r="BS142" t="inlineStr">
        <is>
          <t>Y</t>
        </is>
      </c>
      <c r="BT142" t="n">
        <v>0</v>
      </c>
      <c r="BU142" t="inlineStr">
        <is>
          <t>B-B-050</t>
        </is>
      </c>
      <c r="BV142" t="inlineStr">
        <is>
          <t>49-53 West 23rd Street (Adams &amp; Company)</t>
        </is>
      </c>
      <c r="BW142" t="inlineStr">
        <is>
          <t>https://commercialobserver.com/2025/10/huge-lease-adams-53-west-23rd-street/</t>
        </is>
      </c>
      <c r="BX142" t="inlineStr">
        <is>
          <t>2025-10-02</t>
        </is>
      </c>
      <c r="BY142" t="inlineStr">
        <is>
          <t>leasing-press</t>
        </is>
      </c>
      <c r="BZ142" t="inlineStr"/>
      <c r="CA142" t="inlineStr"/>
      <c r="CB142" t="inlineStr"/>
      <c r="CC142" t="inlineStr">
        <is>
          <t>medium</t>
        </is>
      </c>
      <c r="CD142" t="inlineStr"/>
      <c r="CE142" t="inlineStr">
        <is>
          <t>N</t>
        </is>
      </c>
      <c r="CF142" t="inlineStr"/>
      <c r="CG142" t="inlineStr"/>
      <c r="CH142" t="inlineStr">
        <is>
          <t>security desk</t>
        </is>
      </c>
      <c r="CI142" t="inlineStr">
        <is>
          <t>https://www.adamsre.com/collections/madison-square-park/products/53-west-23rd</t>
        </is>
      </c>
      <c r="CJ142" t="inlineStr">
        <is>
          <t>unknown</t>
        </is>
      </c>
      <c r="CK142" t="inlineStr">
        <is>
          <t>N</t>
        </is>
      </c>
      <c r="CL142" t="inlineStr">
        <is>
          <t>unknown</t>
        </is>
      </c>
      <c r="CM142" t="inlineStr"/>
      <c r="CN142" t="inlineStr"/>
      <c r="CO142" t="inlineStr">
        <is>
          <t>unknown</t>
        </is>
      </c>
      <c r="CP142" t="inlineStr"/>
      <c r="CQ142" t="inlineStr">
        <is>
          <t>No sourced headcount, so no Tuesday estimate; ask the Tuesday count at intake.</t>
        </is>
      </c>
      <c r="CR142" t="inlineStr">
        <is>
          <t>estimate until intake replaces it</t>
        </is>
      </c>
      <c r="CS142" t="inlineStr">
        <is>
          <t>unknown</t>
        </is>
      </c>
      <c r="CT142" t="n">
        <v>34</v>
      </c>
      <c r="CU142" t="n">
        <v>7</v>
      </c>
      <c r="CV142" t="n">
        <v>8</v>
      </c>
      <c r="CW142" t="n">
        <v>6</v>
      </c>
      <c r="CX142" t="n">
        <v>13</v>
      </c>
      <c r="CY142" t="n">
        <v>0</v>
      </c>
      <c r="CZ142" t="n">
        <v>0</v>
      </c>
      <c r="DA142" t="inlineStr"/>
      <c r="DB142" t="inlineStr"/>
      <c r="DC142" t="inlineStr"/>
      <c r="DD142" t="inlineStr"/>
      <c r="DE142" t="inlineStr"/>
      <c r="DF142" t="inlineStr">
        <is>
          <t>none</t>
        </is>
      </c>
      <c r="DG142" t="inlineStr">
        <is>
          <t>candidate</t>
        </is>
      </c>
      <c r="DH142" t="inlineStr"/>
      <c r="DI142" t="inlineStr"/>
      <c r="DJ142" t="inlineStr"/>
      <c r="DK142" t="inlineStr">
        <is>
          <t>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DL142" t="inlineStr"/>
      <c r="DM142" t="inlineStr"/>
      <c r="DN142" t="inlineStr"/>
      <c r="DO142" t="inlineStr"/>
      <c r="DP142" t="inlineStr"/>
      <c r="DQ142" t="inlineStr"/>
      <c r="DR142" t="inlineStr"/>
      <c r="DS142" t="inlineStr">
        <is>
          <t>none</t>
        </is>
      </c>
      <c r="DT142" t="inlineStr"/>
      <c r="DU142" t="inlineStr"/>
      <c r="DV142" t="inlineStr"/>
      <c r="DW142" t="inlineStr"/>
      <c r="DX142" t="inlineStr">
        <is>
          <t>N</t>
        </is>
      </c>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f>IF(ISNUMBER(MATCH(U142,{"queued","contacted","replied","call_booked","call_done","yes_in_principle","materials_sent"},0)),"Y","N")</f>
        <v/>
      </c>
      <c r="ES142">
        <f>IF(COUNTIFS($AP$2:$AP$1000,AP142,$ER$2:$ER$1000,"Y")+COUNTIFS($AP$2:$AP$1000,AP142,$T$2:$T$1000,"Y")&gt;0,"Y","N")</f>
        <v/>
      </c>
      <c r="ET142">
        <f>IF(AND(U142="new",T142="N",AT142="Y",AS142="",ES142="N"),"Y","N")</f>
        <v/>
      </c>
      <c r="EU142">
        <f>IF(ET142&lt;&gt;"Y","N",IF(COUNTIFS($AP$2:$AP$1000,AP142,$ET$2:$ET$1000,"Y",$J$2:$J$1000,"&gt;"&amp;J142)+COUNTIFS($AP$2:$AP$1000,AP142,$ET$2:$ET$1000,"Y",$J$2:$J$1000,J142,$EW$2:$EW$1000,"&lt;"&amp;EW142)=0,"Y","N"))</f>
        <v/>
      </c>
      <c r="EV142">
        <f>IF(Y142="","N",IF(Y142&lt;=10,"Y","N"))</f>
        <v/>
      </c>
      <c r="EW142">
        <f>ROW()-1</f>
        <v/>
      </c>
    </row>
    <row r="143">
      <c r="A143" t="inlineStr">
        <is>
          <t>AO-C-045</t>
        </is>
      </c>
      <c r="B143" t="inlineStr">
        <is>
          <t>LoveShackFancy</t>
        </is>
      </c>
      <c r="C143" t="inlineStr"/>
      <c r="D143" t="inlineStr"/>
      <c r="E143" t="inlineStr"/>
      <c r="F143" t="inlineStr"/>
      <c r="G143" t="inlineStr"/>
      <c r="H143" t="inlineStr">
        <is>
          <t>none</t>
        </is>
      </c>
      <c r="I143" t="inlineStr">
        <is>
          <t>linkedin</t>
        </is>
      </c>
      <c r="J143" t="n">
        <v>34</v>
      </c>
      <c r="K143" t="inlineStr">
        <is>
          <t>Tuesday headcount unknown (no sourced count), company size unknown, no attendance signal, occupied at a medium-confidence address; contacts not researched yet (below the top 50).</t>
        </is>
      </c>
      <c r="L143" t="inlineStr">
        <is>
          <t>unknown</t>
        </is>
      </c>
      <c r="M143" t="inlineStr"/>
      <c r="N143" t="inlineStr"/>
      <c r="O143" t="inlineStr"/>
      <c r="P143" t="inlineStr"/>
      <c r="Q143" t="inlineStr"/>
      <c r="R143" t="inlineStr">
        <is>
          <t>N</t>
        </is>
      </c>
      <c r="S143" t="inlineStr">
        <is>
          <t>unknown</t>
        </is>
      </c>
      <c r="T143" t="inlineStr">
        <is>
          <t>N</t>
        </is>
      </c>
      <c r="U143" t="inlineStr">
        <is>
          <t>new</t>
        </is>
      </c>
      <c r="V143" t="inlineStr">
        <is>
          <t>https://commercialobserver.com/2025/04/radar-labs-lease-111-fifth-avenue/</t>
        </is>
      </c>
      <c r="W143" t="inlineStr">
        <is>
          <t>2026-10-23</t>
        </is>
      </c>
      <c r="X143" t="inlineStr">
        <is>
          <t>office</t>
        </is>
      </c>
      <c r="Y143" t="inlineStr"/>
      <c r="Z143" t="n">
        <v>142</v>
      </c>
      <c r="AA143" t="inlineStr">
        <is>
          <t>N</t>
        </is>
      </c>
      <c r="AB143" t="inlineStr"/>
      <c r="AC143" t="inlineStr"/>
      <c r="AD143" t="inlineStr">
        <is>
          <t>none</t>
        </is>
      </c>
      <c r="AE143" t="inlineStr"/>
      <c r="AF143" t="inlineStr"/>
      <c r="AG143" t="inlineStr"/>
      <c r="AH143" t="inlineStr">
        <is>
          <t>none</t>
        </is>
      </c>
      <c r="AI143" t="inlineStr">
        <is>
          <t>111 Fifth Avenue</t>
        </is>
      </c>
      <c r="AJ143" t="n">
        <v>8</v>
      </c>
      <c r="AK143" t="inlineStr">
        <is>
          <t>occupied</t>
        </is>
      </c>
      <c r="AL143" t="inlineStr">
        <is>
          <t>unknown</t>
        </is>
      </c>
      <c r="AM143" t="inlineStr">
        <is>
          <t>unknown</t>
        </is>
      </c>
      <c r="AN143" t="inlineStr">
        <is>
          <t>none</t>
        </is>
      </c>
      <c r="AO143" t="inlineStr">
        <is>
          <t>unknown</t>
        </is>
      </c>
      <c r="AP143" t="inlineStr">
        <is>
          <t>AO-C-045</t>
        </is>
      </c>
      <c r="AQ143" t="inlineStr">
        <is>
          <t>N</t>
        </is>
      </c>
      <c r="AR143" t="inlineStr"/>
      <c r="AS143" t="inlineStr"/>
      <c r="AT143" t="inlineStr">
        <is>
          <t>N</t>
        </is>
      </c>
      <c r="AU143" t="inlineStr">
        <is>
          <t>no contact named on an opened page</t>
        </is>
      </c>
      <c r="AV143" t="inlineStr"/>
      <c r="AW143" t="inlineStr">
        <is>
          <t>N</t>
        </is>
      </c>
      <c r="AX143" t="inlineStr">
        <is>
          <t>pass</t>
        </is>
      </c>
      <c r="AY143" t="inlineStr">
        <is>
          <t>passes all hard gates</t>
        </is>
      </c>
      <c r="AZ143" t="inlineStr">
        <is>
          <t>company</t>
        </is>
      </c>
      <c r="BA143" t="inlineStr">
        <is>
          <t>B-C-045</t>
        </is>
      </c>
      <c r="BB143" t="inlineStr">
        <is>
          <t>https://www.loveshackfancy.com</t>
        </is>
      </c>
      <c r="BC143" t="inlineStr">
        <is>
          <t>fashion brand</t>
        </is>
      </c>
      <c r="BD143" t="inlineStr">
        <is>
          <t>unknown</t>
        </is>
      </c>
      <c r="BE143" t="inlineStr"/>
      <c r="BF143" t="inlineStr">
        <is>
          <t>unknown</t>
        </is>
      </c>
      <c r="BG143" t="inlineStr">
        <is>
          <t>unknown</t>
        </is>
      </c>
      <c r="BH143" t="inlineStr">
        <is>
          <t>no-count</t>
        </is>
      </c>
      <c r="BI143" t="inlineStr"/>
      <c r="BJ143" t="inlineStr"/>
      <c r="BK143" t="inlineStr">
        <is>
          <t>unknown</t>
        </is>
      </c>
      <c r="BL143" t="inlineStr">
        <is>
          <t>unknown</t>
        </is>
      </c>
      <c r="BM143" t="inlineStr">
        <is>
          <t>unknown</t>
        </is>
      </c>
      <c r="BN143" t="inlineStr">
        <is>
          <t>unknown</t>
        </is>
      </c>
      <c r="BO143" t="inlineStr">
        <is>
          <t>unknown</t>
        </is>
      </c>
      <c r="BP143" t="n">
        <v>10003</v>
      </c>
      <c r="BQ143" t="n">
        <v>40.73865</v>
      </c>
      <c r="BR143" t="n">
        <v>-73.991471</v>
      </c>
      <c r="BS143" t="inlineStr">
        <is>
          <t>Y</t>
        </is>
      </c>
      <c r="BT143" t="n">
        <v>0</v>
      </c>
      <c r="BU143" t="inlineStr">
        <is>
          <t>B-B-018</t>
        </is>
      </c>
      <c r="BV143" t="inlineStr">
        <is>
          <t>111 Fifth Avenue (Winter Organization)</t>
        </is>
      </c>
      <c r="BW143" t="inlineStr">
        <is>
          <t>https://commercialobserver.com/2025/04/radar-labs-lease-111-fifth-avenue/</t>
        </is>
      </c>
      <c r="BX143" t="inlineStr">
        <is>
          <t>2025-04-17</t>
        </is>
      </c>
      <c r="BY143" t="inlineStr">
        <is>
          <t>leasing-press</t>
        </is>
      </c>
      <c r="BZ143" t="inlineStr"/>
      <c r="CA143" t="inlineStr"/>
      <c r="CB143" t="inlineStr"/>
      <c r="CC143" t="inlineStr">
        <is>
          <t>medium</t>
        </is>
      </c>
      <c r="CD143" t="inlineStr"/>
      <c r="CE143" t="inlineStr">
        <is>
          <t>N</t>
        </is>
      </c>
      <c r="CF143" t="inlineStr"/>
      <c r="CG143" t="inlineStr"/>
      <c r="CH143" t="inlineStr">
        <is>
          <t>unknown</t>
        </is>
      </c>
      <c r="CI143" t="inlineStr"/>
      <c r="CJ143" t="inlineStr">
        <is>
          <t>unknown</t>
        </is>
      </c>
      <c r="CK143" t="inlineStr">
        <is>
          <t>N</t>
        </is>
      </c>
      <c r="CL143" t="inlineStr">
        <is>
          <t>unknown</t>
        </is>
      </c>
      <c r="CM143" t="inlineStr"/>
      <c r="CN143" t="inlineStr"/>
      <c r="CO143" t="inlineStr">
        <is>
          <t>unknown</t>
        </is>
      </c>
      <c r="CP143" t="inlineStr"/>
      <c r="CQ143" t="inlineStr">
        <is>
          <t>No sourced headcount, so no Tuesday estimate; ask the Tuesday count at intake.</t>
        </is>
      </c>
      <c r="CR143" t="inlineStr">
        <is>
          <t>estimate until intake replaces it</t>
        </is>
      </c>
      <c r="CS143" t="inlineStr">
        <is>
          <t>unknown</t>
        </is>
      </c>
      <c r="CT143" t="n">
        <v>34</v>
      </c>
      <c r="CU143" t="n">
        <v>7</v>
      </c>
      <c r="CV143" t="n">
        <v>8</v>
      </c>
      <c r="CW143" t="n">
        <v>6</v>
      </c>
      <c r="CX143" t="n">
        <v>13</v>
      </c>
      <c r="CY143" t="n">
        <v>0</v>
      </c>
      <c r="CZ143" t="n">
        <v>0</v>
      </c>
      <c r="DA143" t="inlineStr"/>
      <c r="DB143" t="inlineStr"/>
      <c r="DC143" t="inlineStr"/>
      <c r="DD143" t="inlineStr"/>
      <c r="DE143" t="inlineStr"/>
      <c r="DF143" t="inlineStr">
        <is>
          <t>none</t>
        </is>
      </c>
      <c r="DG143" t="inlineStr">
        <is>
          <t>candidate</t>
        </is>
      </c>
      <c r="DH143" t="inlineStr"/>
      <c r="DI143" t="inlineStr"/>
      <c r="DJ143" t="inlineStr">
        <is>
          <t>20,000 sf</t>
        </is>
      </c>
      <c r="DK143" t="inlineStr">
        <is>
          <t>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is>
      </c>
      <c r="DL143" t="inlineStr"/>
      <c r="DM143" t="inlineStr"/>
      <c r="DN143" t="inlineStr"/>
      <c r="DO143" t="inlineStr"/>
      <c r="DP143" t="inlineStr"/>
      <c r="DQ143" t="inlineStr"/>
      <c r="DR143" t="inlineStr"/>
      <c r="DS143" t="inlineStr">
        <is>
          <t>none</t>
        </is>
      </c>
      <c r="DT143" t="inlineStr"/>
      <c r="DU143" t="inlineStr"/>
      <c r="DV143" t="inlineStr"/>
      <c r="DW143" t="inlineStr"/>
      <c r="DX143" t="inlineStr">
        <is>
          <t>N</t>
        </is>
      </c>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f>IF(ISNUMBER(MATCH(U143,{"queued","contacted","replied","call_booked","call_done","yes_in_principle","materials_sent"},0)),"Y","N")</f>
        <v/>
      </c>
      <c r="ES143">
        <f>IF(COUNTIFS($AP$2:$AP$1000,AP143,$ER$2:$ER$1000,"Y")+COUNTIFS($AP$2:$AP$1000,AP143,$T$2:$T$1000,"Y")&gt;0,"Y","N")</f>
        <v/>
      </c>
      <c r="ET143">
        <f>IF(AND(U143="new",T143="N",AT143="Y",AS143="",ES143="N"),"Y","N")</f>
        <v/>
      </c>
      <c r="EU143">
        <f>IF(ET143&lt;&gt;"Y","N",IF(COUNTIFS($AP$2:$AP$1000,AP143,$ET$2:$ET$1000,"Y",$J$2:$J$1000,"&gt;"&amp;J143)+COUNTIFS($AP$2:$AP$1000,AP143,$ET$2:$ET$1000,"Y",$J$2:$J$1000,J143,$EW$2:$EW$1000,"&lt;"&amp;EW143)=0,"Y","N"))</f>
        <v/>
      </c>
      <c r="EV143">
        <f>IF(Y143="","N",IF(Y143&lt;=10,"Y","N"))</f>
        <v/>
      </c>
      <c r="EW143">
        <f>ROW()-1</f>
        <v/>
      </c>
    </row>
    <row r="144">
      <c r="A144" t="inlineStr">
        <is>
          <t>AO-W-021</t>
        </is>
      </c>
      <c r="B144" t="inlineStr">
        <is>
          <t>Luminary</t>
        </is>
      </c>
      <c r="C144" t="inlineStr"/>
      <c r="D144" t="inlineStr"/>
      <c r="E144" t="inlineStr"/>
      <c r="F144" t="inlineStr"/>
      <c r="G144" t="inlineStr"/>
      <c r="H144" t="inlineStr">
        <is>
          <t>none</t>
        </is>
      </c>
      <c r="I144" t="inlineStr">
        <is>
          <t>linkedin</t>
        </is>
      </c>
      <c r="J144" t="n">
        <v>34</v>
      </c>
      <c r="K144" t="inlineStr">
        <is>
          <t>Tuesday headcount unknown (no sourced count), coworking operator site (one office if it controls the pantry), no attendance signal, open at a medium-confidence address; contacts not researched yet (below the top 50).</t>
        </is>
      </c>
      <c r="L144" t="inlineStr">
        <is>
          <t>unknown</t>
        </is>
      </c>
      <c r="M144" t="inlineStr"/>
      <c r="N144" t="inlineStr"/>
      <c r="O144" t="inlineStr"/>
      <c r="P144" t="inlineStr"/>
      <c r="Q144" t="inlineStr"/>
      <c r="R144" t="inlineStr">
        <is>
          <t>N</t>
        </is>
      </c>
      <c r="S144" t="inlineStr">
        <is>
          <t>unknown</t>
        </is>
      </c>
      <c r="T144" t="inlineStr">
        <is>
          <t>N</t>
        </is>
      </c>
      <c r="U144" t="inlineStr">
        <is>
          <t>new</t>
        </is>
      </c>
      <c r="V144" t="inlineStr">
        <is>
          <t>https://www.weareluminary.com/home</t>
        </is>
      </c>
      <c r="W144" t="inlineStr">
        <is>
          <t>2026-10-23</t>
        </is>
      </c>
      <c r="X144" t="inlineStr">
        <is>
          <t>office</t>
        </is>
      </c>
      <c r="Y144" t="inlineStr"/>
      <c r="Z144" t="n">
        <v>143</v>
      </c>
      <c r="AA144" t="inlineStr">
        <is>
          <t>N</t>
        </is>
      </c>
      <c r="AB144" t="inlineStr"/>
      <c r="AC144" t="inlineStr"/>
      <c r="AD144" t="inlineStr">
        <is>
          <t>none</t>
        </is>
      </c>
      <c r="AE144" t="inlineStr"/>
      <c r="AF144" t="inlineStr"/>
      <c r="AG144" t="inlineStr"/>
      <c r="AH144" t="inlineStr">
        <is>
          <t>none</t>
        </is>
      </c>
      <c r="AI144" t="inlineStr">
        <is>
          <t>1204 Broadway, 4th Floor, New York, NY 10001</t>
        </is>
      </c>
      <c r="AJ144" t="inlineStr">
        <is>
          <t>4th Floor</t>
        </is>
      </c>
      <c r="AK144" t="inlineStr">
        <is>
          <t>open</t>
        </is>
      </c>
      <c r="AL144" t="inlineStr">
        <is>
          <t>unknown</t>
        </is>
      </c>
      <c r="AM144" t="inlineStr">
        <is>
          <t>unknown</t>
        </is>
      </c>
      <c r="AN144" t="inlineStr">
        <is>
          <t>none</t>
        </is>
      </c>
      <c r="AO144" t="inlineStr">
        <is>
          <t>unknown</t>
        </is>
      </c>
      <c r="AP144" t="inlineStr">
        <is>
          <t>AO-W-021</t>
        </is>
      </c>
      <c r="AQ144" t="inlineStr">
        <is>
          <t>N</t>
        </is>
      </c>
      <c r="AR144" t="inlineStr"/>
      <c r="AS144" t="inlineStr"/>
      <c r="AT144" t="inlineStr">
        <is>
          <t>N</t>
        </is>
      </c>
      <c r="AU144" t="inlineStr">
        <is>
          <t>no contact named on an opened page</t>
        </is>
      </c>
      <c r="AV144" t="inlineStr"/>
      <c r="AW144" t="inlineStr">
        <is>
          <t>N</t>
        </is>
      </c>
      <c r="AX144" t="inlineStr">
        <is>
          <t>pass</t>
        </is>
      </c>
      <c r="AY144" t="inlineStr">
        <is>
          <t>passes all hard gates</t>
        </is>
      </c>
      <c r="AZ144" t="inlineStr">
        <is>
          <t>coworking-operator</t>
        </is>
      </c>
      <c r="BA144" t="inlineStr">
        <is>
          <t>B-W-021</t>
        </is>
      </c>
      <c r="BB144" t="inlineStr">
        <is>
          <t>https://www.weareluminary.com</t>
        </is>
      </c>
      <c r="BC144" t="inlineStr">
        <is>
          <t>coworking operator</t>
        </is>
      </c>
      <c r="BD144" t="inlineStr">
        <is>
          <t>unknown</t>
        </is>
      </c>
      <c r="BE144" t="inlineStr"/>
      <c r="BF144" t="inlineStr">
        <is>
          <t>unknown</t>
        </is>
      </c>
      <c r="BG144" t="inlineStr">
        <is>
          <t>unknown</t>
        </is>
      </c>
      <c r="BH144" t="inlineStr"/>
      <c r="BI144" t="inlineStr"/>
      <c r="BJ144" t="inlineStr"/>
      <c r="BK144" t="inlineStr">
        <is>
          <t>unknown</t>
        </is>
      </c>
      <c r="BL144" t="inlineStr">
        <is>
          <t>n/a (operator site)</t>
        </is>
      </c>
      <c r="BM144" t="inlineStr">
        <is>
          <t>unknown</t>
        </is>
      </c>
      <c r="BN144" t="inlineStr">
        <is>
          <t>Luminary</t>
        </is>
      </c>
      <c r="BO144" t="inlineStr"/>
      <c r="BP144" t="n">
        <v>10001</v>
      </c>
      <c r="BQ144" t="n">
        <v>40.746321</v>
      </c>
      <c r="BR144" t="n">
        <v>-73.988259</v>
      </c>
      <c r="BS144" t="inlineStr">
        <is>
          <t>Y</t>
        </is>
      </c>
      <c r="BT144" t="n">
        <v>0</v>
      </c>
      <c r="BU144" t="inlineStr"/>
      <c r="BV144" t="inlineStr">
        <is>
          <t>unknown</t>
        </is>
      </c>
      <c r="BW144" t="inlineStr">
        <is>
          <t>https://www.weareluminary.com/home</t>
        </is>
      </c>
      <c r="BX144" t="inlineStr">
        <is>
          <t>2026-10-23</t>
        </is>
      </c>
      <c r="BY144" t="inlineStr">
        <is>
          <t>operator-site</t>
        </is>
      </c>
      <c r="BZ144" t="inlineStr">
        <is>
          <t>https://api.deskpass.com/api/spaces/luminary</t>
        </is>
      </c>
      <c r="CA144" t="inlineStr"/>
      <c r="CB144" t="inlineStr"/>
      <c r="CC144" t="inlineStr">
        <is>
          <t>medium</t>
        </is>
      </c>
      <c r="CD144" t="inlineStr"/>
      <c r="CE144" t="inlineStr">
        <is>
          <t>N</t>
        </is>
      </c>
      <c r="CF144" t="inlineStr">
        <is>
          <t>B-W-021</t>
        </is>
      </c>
      <c r="CG144" t="inlineStr">
        <is>
          <t>operator</t>
        </is>
      </c>
      <c r="CH144" t="inlineStr">
        <is>
          <t>unknown</t>
        </is>
      </c>
      <c r="CI144" t="inlineStr"/>
      <c r="CJ144" t="inlineStr">
        <is>
          <t>unknown</t>
        </is>
      </c>
      <c r="CK144" t="inlineStr">
        <is>
          <t>N</t>
        </is>
      </c>
      <c r="CL144" t="inlineStr">
        <is>
          <t>unknown</t>
        </is>
      </c>
      <c r="CM144" t="inlineStr"/>
      <c r="CN144" t="inlineStr"/>
      <c r="CO144" t="inlineStr">
        <is>
          <t>unknown</t>
        </is>
      </c>
      <c r="CP144" t="inlineStr"/>
      <c r="CQ144" t="inlineStr">
        <is>
          <t>Coworking site: member headcount not sourced; treat as one office if the operator controls the pantry and ask the Tuesday count at intake.</t>
        </is>
      </c>
      <c r="CR144" t="inlineStr">
        <is>
          <t>estimate until intake replaces it</t>
        </is>
      </c>
      <c r="CS144" t="inlineStr">
        <is>
          <t>unknown</t>
        </is>
      </c>
      <c r="CT144" t="n">
        <v>34</v>
      </c>
      <c r="CU144" t="n">
        <v>7</v>
      </c>
      <c r="CV144" t="n">
        <v>8</v>
      </c>
      <c r="CW144" t="n">
        <v>6</v>
      </c>
      <c r="CX144" t="n">
        <v>13</v>
      </c>
      <c r="CY144" t="n">
        <v>0</v>
      </c>
      <c r="CZ144" t="n">
        <v>0</v>
      </c>
      <c r="DA144" t="inlineStr"/>
      <c r="DB144" t="inlineStr"/>
      <c r="DC144" t="inlineStr"/>
      <c r="DD144" t="inlineStr"/>
      <c r="DE144" t="inlineStr"/>
      <c r="DF144" t="inlineStr">
        <is>
          <t>none</t>
        </is>
      </c>
      <c r="DG144" t="inlineStr">
        <is>
          <t>coworking-operator</t>
        </is>
      </c>
      <c r="DH144" t="inlineStr"/>
      <c r="DI144" t="inlineStr"/>
      <c r="DJ144" t="inlineStr"/>
      <c r="DK144" t="inlineStr">
        <is>
          <t>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is>
      </c>
      <c r="DL144" t="inlineStr"/>
      <c r="DM144" t="inlineStr"/>
      <c r="DN144" t="inlineStr"/>
      <c r="DO144" t="inlineStr"/>
      <c r="DP144" t="inlineStr"/>
      <c r="DQ144" t="inlineStr"/>
      <c r="DR144" t="inlineStr"/>
      <c r="DS144" t="inlineStr">
        <is>
          <t>none</t>
        </is>
      </c>
      <c r="DT144" t="inlineStr"/>
      <c r="DU144" t="inlineStr"/>
      <c r="DV144" t="inlineStr"/>
      <c r="DW144" t="inlineStr"/>
      <c r="DX144" t="inlineStr">
        <is>
          <t>N</t>
        </is>
      </c>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f>IF(ISNUMBER(MATCH(U144,{"queued","contacted","replied","call_booked","call_done","yes_in_principle","materials_sent"},0)),"Y","N")</f>
        <v/>
      </c>
      <c r="ES144">
        <f>IF(COUNTIFS($AP$2:$AP$1000,AP144,$ER$2:$ER$1000,"Y")+COUNTIFS($AP$2:$AP$1000,AP144,$T$2:$T$1000,"Y")&gt;0,"Y","N")</f>
        <v/>
      </c>
      <c r="ET144">
        <f>IF(AND(U144="new",T144="N",AT144="Y",AS144="",ES144="N"),"Y","N")</f>
        <v/>
      </c>
      <c r="EU144">
        <f>IF(ET144&lt;&gt;"Y","N",IF(COUNTIFS($AP$2:$AP$1000,AP144,$ET$2:$ET$1000,"Y",$J$2:$J$1000,"&gt;"&amp;J144)+COUNTIFS($AP$2:$AP$1000,AP144,$ET$2:$ET$1000,"Y",$J$2:$J$1000,J144,$EW$2:$EW$1000,"&lt;"&amp;EW144)=0,"Y","N"))</f>
        <v/>
      </c>
      <c r="EV144">
        <f>IF(Y144="","N",IF(Y144&lt;=10,"Y","N"))</f>
        <v/>
      </c>
      <c r="EW144">
        <f>ROW()-1</f>
        <v/>
      </c>
    </row>
    <row r="145">
      <c r="A145" t="inlineStr">
        <is>
          <t>AO-C-104</t>
        </is>
      </c>
      <c r="B145" t="inlineStr">
        <is>
          <t>Madison Square Park Conservancy</t>
        </is>
      </c>
      <c r="C145" t="inlineStr"/>
      <c r="D145" t="inlineStr"/>
      <c r="E145" t="inlineStr"/>
      <c r="F145" t="inlineStr"/>
      <c r="G145" t="inlineStr"/>
      <c r="H145" t="inlineStr">
        <is>
          <t>none</t>
        </is>
      </c>
      <c r="I145" t="inlineStr">
        <is>
          <t>linkedin</t>
        </is>
      </c>
      <c r="J145" t="n">
        <v>34</v>
      </c>
      <c r="K145" t="inlineStr">
        <is>
          <t>Tuesday headcount unknown (no sourced count), company size unknown, no attendance signal, occupied at a medium-confidence address; contacts not researched yet (below the top 50).</t>
        </is>
      </c>
      <c r="L145" t="inlineStr">
        <is>
          <t>unknown</t>
        </is>
      </c>
      <c r="M145" t="inlineStr"/>
      <c r="N145" t="inlineStr"/>
      <c r="O145" t="inlineStr"/>
      <c r="P145" t="inlineStr"/>
      <c r="Q145" t="inlineStr"/>
      <c r="R145" t="inlineStr">
        <is>
          <t>N</t>
        </is>
      </c>
      <c r="S145" t="inlineStr">
        <is>
          <t>unknown</t>
        </is>
      </c>
      <c r="T145" t="inlineStr">
        <is>
          <t>N</t>
        </is>
      </c>
      <c r="U145" t="inlineStr">
        <is>
          <t>new</t>
        </is>
      </c>
      <c r="V145" t="inlineStr">
        <is>
          <t>https://madisonsquarepark.org/park/contact/</t>
        </is>
      </c>
      <c r="W145" t="inlineStr">
        <is>
          <t>2026-10-23</t>
        </is>
      </c>
      <c r="X145" t="inlineStr">
        <is>
          <t>office</t>
        </is>
      </c>
      <c r="Y145" t="inlineStr"/>
      <c r="Z145" t="n">
        <v>144</v>
      </c>
      <c r="AA145" t="inlineStr">
        <is>
          <t>N</t>
        </is>
      </c>
      <c r="AB145" t="inlineStr"/>
      <c r="AC145" t="inlineStr"/>
      <c r="AD145" t="inlineStr">
        <is>
          <t>none</t>
        </is>
      </c>
      <c r="AE145" t="inlineStr"/>
      <c r="AF145" t="inlineStr"/>
      <c r="AG145" t="inlineStr"/>
      <c r="AH145" t="inlineStr">
        <is>
          <t>none</t>
        </is>
      </c>
      <c r="AI145" t="inlineStr">
        <is>
          <t>11 Madison Avenue</t>
        </is>
      </c>
      <c r="AJ145" t="n">
        <v>15</v>
      </c>
      <c r="AK145" t="inlineStr">
        <is>
          <t>occupied</t>
        </is>
      </c>
      <c r="AL145" t="inlineStr">
        <is>
          <t>unknown</t>
        </is>
      </c>
      <c r="AM145" t="inlineStr">
        <is>
          <t>unknown</t>
        </is>
      </c>
      <c r="AN145" t="inlineStr">
        <is>
          <t>none</t>
        </is>
      </c>
      <c r="AO145" t="inlineStr">
        <is>
          <t>unknown</t>
        </is>
      </c>
      <c r="AP145" t="inlineStr">
        <is>
          <t>AO-C-104</t>
        </is>
      </c>
      <c r="AQ145" t="inlineStr">
        <is>
          <t>N</t>
        </is>
      </c>
      <c r="AR145" t="inlineStr"/>
      <c r="AS145" t="inlineStr"/>
      <c r="AT145" t="inlineStr">
        <is>
          <t>N</t>
        </is>
      </c>
      <c r="AU145" t="inlineStr">
        <is>
          <t>no contact named on an opened page</t>
        </is>
      </c>
      <c r="AV145" t="inlineStr"/>
      <c r="AW145" t="inlineStr">
        <is>
          <t>N</t>
        </is>
      </c>
      <c r="AX145" t="inlineStr">
        <is>
          <t>pass</t>
        </is>
      </c>
      <c r="AY145" t="inlineStr">
        <is>
          <t>passes all hard gates</t>
        </is>
      </c>
      <c r="AZ145" t="inlineStr">
        <is>
          <t>company</t>
        </is>
      </c>
      <c r="BA145" t="inlineStr">
        <is>
          <t>B-C-104</t>
        </is>
      </c>
      <c r="BB145" t="inlineStr">
        <is>
          <t>https://madisonsquarepark.org/</t>
        </is>
      </c>
      <c r="BC145" t="inlineStr">
        <is>
          <t>Nonprofit (public park conservancy)</t>
        </is>
      </c>
      <c r="BD145" t="inlineStr">
        <is>
          <t>unknown</t>
        </is>
      </c>
      <c r="BE145" t="inlineStr"/>
      <c r="BF145" t="inlineStr">
        <is>
          <t>unknown</t>
        </is>
      </c>
      <c r="BG145" t="inlineStr">
        <is>
          <t>unknown</t>
        </is>
      </c>
      <c r="BH145" t="inlineStr">
        <is>
          <t>no-count</t>
        </is>
      </c>
      <c r="BI145" t="inlineStr"/>
      <c r="BJ145" t="inlineStr"/>
      <c r="BK145" t="inlineStr">
        <is>
          <t>unknown</t>
        </is>
      </c>
      <c r="BL145" t="inlineStr">
        <is>
          <t>unknown</t>
        </is>
      </c>
      <c r="BM145" t="inlineStr">
        <is>
          <t>unknown</t>
        </is>
      </c>
      <c r="BN145" t="inlineStr">
        <is>
          <t>unknown</t>
        </is>
      </c>
      <c r="BO145" t="inlineStr">
        <is>
          <t>unknown</t>
        </is>
      </c>
      <c r="BP145" t="n">
        <v>10010</v>
      </c>
      <c r="BQ145" t="n">
        <v>40.741761</v>
      </c>
      <c r="BR145" t="n">
        <v>-73.987033</v>
      </c>
      <c r="BS145" t="inlineStr">
        <is>
          <t>Y</t>
        </is>
      </c>
      <c r="BT145" t="n">
        <v>0</v>
      </c>
      <c r="BU145" t="inlineStr">
        <is>
          <t>B-B-052</t>
        </is>
      </c>
      <c r="BV145" t="inlineStr">
        <is>
          <t>11 Madison Avenue (SL Green); Sony Music uses 25 Madison Ave entrance</t>
        </is>
      </c>
      <c r="BW145" t="inlineStr">
        <is>
          <t>https://madisonsquarepark.org/park/contact/</t>
        </is>
      </c>
      <c r="BX145" t="inlineStr">
        <is>
          <t>2026-10-24</t>
        </is>
      </c>
      <c r="BY145" t="inlineStr">
        <is>
          <t>company-site</t>
        </is>
      </c>
      <c r="BZ145" t="inlineStr"/>
      <c r="CA145" t="inlineStr"/>
      <c r="CB145" t="inlineStr"/>
      <c r="CC145" t="inlineStr">
        <is>
          <t>medium</t>
        </is>
      </c>
      <c r="CD145" t="inlineStr"/>
      <c r="CE145" t="inlineStr">
        <is>
          <t>N</t>
        </is>
      </c>
      <c r="CF145" t="inlineStr"/>
      <c r="CG145" t="inlineStr"/>
      <c r="CH145" t="inlineStr">
        <is>
          <t>loading dock</t>
        </is>
      </c>
      <c r="CI145" t="inlineStr">
        <is>
          <t>https://en.wikipedia.org/wiki/11_Madison_Avenue</t>
        </is>
      </c>
      <c r="CJ145" t="inlineStr">
        <is>
          <t>unknown</t>
        </is>
      </c>
      <c r="CK145" t="inlineStr">
        <is>
          <t>N</t>
        </is>
      </c>
      <c r="CL145" t="inlineStr">
        <is>
          <t>unknown</t>
        </is>
      </c>
      <c r="CM145" t="inlineStr"/>
      <c r="CN145" t="inlineStr"/>
      <c r="CO145" t="inlineStr">
        <is>
          <t>unknown</t>
        </is>
      </c>
      <c r="CP145" t="inlineStr"/>
      <c r="CQ145" t="inlineStr">
        <is>
          <t>No sourced headcount, so no Tuesday estimate; ask the Tuesday count at intake.</t>
        </is>
      </c>
      <c r="CR145" t="inlineStr">
        <is>
          <t>estimate until intake replaces it</t>
        </is>
      </c>
      <c r="CS145" t="inlineStr">
        <is>
          <t>unknown</t>
        </is>
      </c>
      <c r="CT145" t="n">
        <v>34</v>
      </c>
      <c r="CU145" t="n">
        <v>7</v>
      </c>
      <c r="CV145" t="n">
        <v>8</v>
      </c>
      <c r="CW145" t="n">
        <v>6</v>
      </c>
      <c r="CX145" t="n">
        <v>13</v>
      </c>
      <c r="CY145" t="n">
        <v>0</v>
      </c>
      <c r="CZ145" t="n">
        <v>0</v>
      </c>
      <c r="DA145" t="inlineStr"/>
      <c r="DB145" t="inlineStr"/>
      <c r="DC145" t="inlineStr"/>
      <c r="DD145" t="inlineStr"/>
      <c r="DE145" t="inlineStr"/>
      <c r="DF145" t="inlineStr">
        <is>
          <t>none</t>
        </is>
      </c>
      <c r="DG145" t="inlineStr">
        <is>
          <t>candidate</t>
        </is>
      </c>
      <c r="DH145" t="inlineStr"/>
      <c r="DI145" t="inlineStr"/>
      <c r="DJ145" t="inlineStr"/>
      <c r="DK145" t="inlineStr">
        <is>
          <t>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L145" t="inlineStr"/>
      <c r="DM145" t="inlineStr"/>
      <c r="DN145" t="inlineStr"/>
      <c r="DO145" t="inlineStr"/>
      <c r="DP145" t="inlineStr"/>
      <c r="DQ145" t="inlineStr"/>
      <c r="DR145" t="inlineStr"/>
      <c r="DS145" t="inlineStr">
        <is>
          <t>none</t>
        </is>
      </c>
      <c r="DT145" t="inlineStr"/>
      <c r="DU145" t="inlineStr"/>
      <c r="DV145" t="inlineStr"/>
      <c r="DW145" t="inlineStr"/>
      <c r="DX145" t="inlineStr">
        <is>
          <t>N</t>
        </is>
      </c>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f>IF(ISNUMBER(MATCH(U145,{"queued","contacted","replied","call_booked","call_done","yes_in_principle","materials_sent"},0)),"Y","N")</f>
        <v/>
      </c>
      <c r="ES145">
        <f>IF(COUNTIFS($AP$2:$AP$1000,AP145,$ER$2:$ER$1000,"Y")+COUNTIFS($AP$2:$AP$1000,AP145,$T$2:$T$1000,"Y")&gt;0,"Y","N")</f>
        <v/>
      </c>
      <c r="ET145">
        <f>IF(AND(U145="new",T145="N",AT145="Y",AS145="",ES145="N"),"Y","N")</f>
        <v/>
      </c>
      <c r="EU145">
        <f>IF(ET145&lt;&gt;"Y","N",IF(COUNTIFS($AP$2:$AP$1000,AP145,$ET$2:$ET$1000,"Y",$J$2:$J$1000,"&gt;"&amp;J145)+COUNTIFS($AP$2:$AP$1000,AP145,$ET$2:$ET$1000,"Y",$J$2:$J$1000,J145,$EW$2:$EW$1000,"&lt;"&amp;EW145)=0,"Y","N"))</f>
        <v/>
      </c>
      <c r="EV145">
        <f>IF(Y145="","N",IF(Y145&lt;=10,"Y","N"))</f>
        <v/>
      </c>
      <c r="EW145">
        <f>ROW()-1</f>
        <v/>
      </c>
    </row>
    <row r="146">
      <c r="A146" t="inlineStr">
        <is>
          <t>AO-C-107</t>
        </is>
      </c>
      <c r="B146" t="inlineStr">
        <is>
          <t>MediaCo Holding (HOT 97, WBLS)</t>
        </is>
      </c>
      <c r="C146" t="inlineStr"/>
      <c r="D146" t="inlineStr"/>
      <c r="E146" t="inlineStr"/>
      <c r="F146" t="inlineStr"/>
      <c r="G146" t="inlineStr"/>
      <c r="H146" t="inlineStr">
        <is>
          <t>none</t>
        </is>
      </c>
      <c r="I146" t="inlineStr">
        <is>
          <t>linkedin</t>
        </is>
      </c>
      <c r="J146" t="n">
        <v>34</v>
      </c>
      <c r="K146" t="inlineStr">
        <is>
          <t>Tuesday headcount unknown (no sourced count), company size unknown, no attendance signal, occupied at a medium-confidence address; contacts not researched yet (below the top 50).</t>
        </is>
      </c>
      <c r="L146" t="inlineStr">
        <is>
          <t>unknown</t>
        </is>
      </c>
      <c r="M146" t="inlineStr"/>
      <c r="N146" t="inlineStr"/>
      <c r="O146" t="inlineStr"/>
      <c r="P146" t="inlineStr"/>
      <c r="Q146" t="inlineStr"/>
      <c r="R146" t="inlineStr">
        <is>
          <t>N</t>
        </is>
      </c>
      <c r="S146" t="inlineStr">
        <is>
          <t>unknown</t>
        </is>
      </c>
      <c r="T146" t="inlineStr">
        <is>
          <t>N</t>
        </is>
      </c>
      <c r="U146" t="inlineStr">
        <is>
          <t>new</t>
        </is>
      </c>
      <c r="V146" t="inlineStr">
        <is>
          <t>https://commercialobserver.com/2026/08/sapien-ai-lease-kaufman-organization-48-west-25th-street/</t>
        </is>
      </c>
      <c r="W146" t="inlineStr">
        <is>
          <t>2026-10-23</t>
        </is>
      </c>
      <c r="X146" t="inlineStr">
        <is>
          <t>office</t>
        </is>
      </c>
      <c r="Y146" t="inlineStr"/>
      <c r="Z146" t="n">
        <v>145</v>
      </c>
      <c r="AA146" t="inlineStr">
        <is>
          <t>N</t>
        </is>
      </c>
      <c r="AB146" t="inlineStr"/>
      <c r="AC146" t="inlineStr"/>
      <c r="AD146" t="inlineStr">
        <is>
          <t>none</t>
        </is>
      </c>
      <c r="AE146" t="inlineStr"/>
      <c r="AF146" t="inlineStr"/>
      <c r="AG146" t="inlineStr"/>
      <c r="AH146" t="inlineStr">
        <is>
          <t>none</t>
        </is>
      </c>
      <c r="AI146" t="inlineStr">
        <is>
          <t>48 West 25th Street</t>
        </is>
      </c>
      <c r="AJ146" t="inlineStr">
        <is>
          <t>unknown</t>
        </is>
      </c>
      <c r="AK146" t="inlineStr">
        <is>
          <t>occupied</t>
        </is>
      </c>
      <c r="AL146" t="inlineStr">
        <is>
          <t>unknown</t>
        </is>
      </c>
      <c r="AM146" t="inlineStr">
        <is>
          <t>unknown</t>
        </is>
      </c>
      <c r="AN146" t="inlineStr">
        <is>
          <t>none</t>
        </is>
      </c>
      <c r="AO146" t="inlineStr">
        <is>
          <t>unknown</t>
        </is>
      </c>
      <c r="AP146" t="inlineStr">
        <is>
          <t>AO-C-107</t>
        </is>
      </c>
      <c r="AQ146" t="inlineStr">
        <is>
          <t>N</t>
        </is>
      </c>
      <c r="AR146" t="inlineStr"/>
      <c r="AS146" t="inlineStr"/>
      <c r="AT146" t="inlineStr">
        <is>
          <t>N</t>
        </is>
      </c>
      <c r="AU146" t="inlineStr">
        <is>
          <t>no contact named on an opened page</t>
        </is>
      </c>
      <c r="AV146" t="inlineStr"/>
      <c r="AW146" t="inlineStr">
        <is>
          <t>N</t>
        </is>
      </c>
      <c r="AX146" t="inlineStr">
        <is>
          <t>pass</t>
        </is>
      </c>
      <c r="AY146" t="inlineStr">
        <is>
          <t>passes all hard gates</t>
        </is>
      </c>
      <c r="AZ146" t="inlineStr">
        <is>
          <t>company</t>
        </is>
      </c>
      <c r="BA146" t="inlineStr">
        <is>
          <t>B-C-107</t>
        </is>
      </c>
      <c r="BB146" t="inlineStr">
        <is>
          <t>https://www.mediacoholding.com/</t>
        </is>
      </c>
      <c r="BC146" t="inlineStr">
        <is>
          <t>Media (radio and digital)</t>
        </is>
      </c>
      <c r="BD146" t="inlineStr">
        <is>
          <t>unknown</t>
        </is>
      </c>
      <c r="BE146" t="inlineStr"/>
      <c r="BF146" t="inlineStr">
        <is>
          <t>unknown</t>
        </is>
      </c>
      <c r="BG146" t="inlineStr">
        <is>
          <t>unknown</t>
        </is>
      </c>
      <c r="BH146" t="inlineStr">
        <is>
          <t>no-count</t>
        </is>
      </c>
      <c r="BI146" t="inlineStr"/>
      <c r="BJ146" t="inlineStr"/>
      <c r="BK146" t="inlineStr">
        <is>
          <t>unknown</t>
        </is>
      </c>
      <c r="BL146" t="inlineStr">
        <is>
          <t>unknown</t>
        </is>
      </c>
      <c r="BM146" t="inlineStr">
        <is>
          <t>unknown</t>
        </is>
      </c>
      <c r="BN146" t="inlineStr">
        <is>
          <t>unknown</t>
        </is>
      </c>
      <c r="BO146" t="inlineStr">
        <is>
          <t>unknown</t>
        </is>
      </c>
      <c r="BP146" t="n">
        <v>10010</v>
      </c>
      <c r="BQ146" t="n">
        <v>40.743751</v>
      </c>
      <c r="BR146" t="n">
        <v>-73.99137399999999</v>
      </c>
      <c r="BS146" t="inlineStr">
        <is>
          <t>Y</t>
        </is>
      </c>
      <c r="BT146" t="n">
        <v>0</v>
      </c>
      <c r="BU146" t="inlineStr">
        <is>
          <t>B-B-054</t>
        </is>
      </c>
      <c r="BV146" t="inlineStr">
        <is>
          <t>48 West 25th Street (Kaufman Organization; part of former Savanna 'Madison Square Collection')</t>
        </is>
      </c>
      <c r="BW146" t="inlineStr">
        <is>
          <t>https://commercialobserver.com/2026/08/sapien-ai-lease-kaufman-organization-48-west-25th-street/</t>
        </is>
      </c>
      <c r="BX146" t="inlineStr">
        <is>
          <t>2026-08-03</t>
        </is>
      </c>
      <c r="BY146" t="inlineStr">
        <is>
          <t>leasing-press</t>
        </is>
      </c>
      <c r="BZ146" t="inlineStr"/>
      <c r="CA146" t="inlineStr"/>
      <c r="CB146" t="inlineStr"/>
      <c r="CC146" t="inlineStr">
        <is>
          <t>medium</t>
        </is>
      </c>
      <c r="CD146" t="inlineStr"/>
      <c r="CE146" t="inlineStr">
        <is>
          <t>N</t>
        </is>
      </c>
      <c r="CF146" t="inlineStr"/>
      <c r="CG146" t="inlineStr"/>
      <c r="CH146" t="inlineStr">
        <is>
          <t>unknown</t>
        </is>
      </c>
      <c r="CI146" t="inlineStr"/>
      <c r="CJ146" t="inlineStr">
        <is>
          <t>unknown</t>
        </is>
      </c>
      <c r="CK146" t="inlineStr">
        <is>
          <t>N</t>
        </is>
      </c>
      <c r="CL146" t="inlineStr">
        <is>
          <t>unknown</t>
        </is>
      </c>
      <c r="CM146" t="inlineStr"/>
      <c r="CN146" t="inlineStr"/>
      <c r="CO146" t="inlineStr">
        <is>
          <t>unknown</t>
        </is>
      </c>
      <c r="CP146" t="inlineStr"/>
      <c r="CQ146" t="inlineStr">
        <is>
          <t>No sourced headcount, so no Tuesday estimate; ask the Tuesday count at intake.</t>
        </is>
      </c>
      <c r="CR146" t="inlineStr">
        <is>
          <t>estimate until intake replaces it</t>
        </is>
      </c>
      <c r="CS146" t="inlineStr">
        <is>
          <t>unknown</t>
        </is>
      </c>
      <c r="CT146" t="n">
        <v>34</v>
      </c>
      <c r="CU146" t="n">
        <v>7</v>
      </c>
      <c r="CV146" t="n">
        <v>8</v>
      </c>
      <c r="CW146" t="n">
        <v>6</v>
      </c>
      <c r="CX146" t="n">
        <v>13</v>
      </c>
      <c r="CY146" t="n">
        <v>0</v>
      </c>
      <c r="CZ146" t="n">
        <v>0</v>
      </c>
      <c r="DA146" t="inlineStr"/>
      <c r="DB146" t="inlineStr"/>
      <c r="DC146" t="inlineStr"/>
      <c r="DD146" t="inlineStr"/>
      <c r="DE146" t="inlineStr"/>
      <c r="DF146" t="inlineStr">
        <is>
          <t>none</t>
        </is>
      </c>
      <c r="DG146" t="inlineStr">
        <is>
          <t>candidate</t>
        </is>
      </c>
      <c r="DH146" t="inlineStr"/>
      <c r="DI146" t="inlineStr"/>
      <c r="DJ146" t="inlineStr">
        <is>
          <t>25,000 sf</t>
        </is>
      </c>
      <c r="DK146" t="inlineStr">
        <is>
          <t>CO Aug 2026: MediaCo Holding, parent of HOT 97 and WBLS, signed a 16-year, 25,000 sf lease at 48 W 25th St in 2023 (one of the most recent tenants before the Kaufman purchase). CO Jan 2023 headline (seen on CO tag page) reported the relocation. Headcount not found in an opened source.</t>
        </is>
      </c>
      <c r="DL146" t="inlineStr"/>
      <c r="DM146" t="inlineStr"/>
      <c r="DN146" t="inlineStr"/>
      <c r="DO146" t="inlineStr"/>
      <c r="DP146" t="inlineStr"/>
      <c r="DQ146" t="inlineStr"/>
      <c r="DR146" t="inlineStr"/>
      <c r="DS146" t="inlineStr">
        <is>
          <t>none</t>
        </is>
      </c>
      <c r="DT146" t="inlineStr"/>
      <c r="DU146" t="inlineStr"/>
      <c r="DV146" t="inlineStr"/>
      <c r="DW146" t="inlineStr"/>
      <c r="DX146" t="inlineStr">
        <is>
          <t>N</t>
        </is>
      </c>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f>IF(ISNUMBER(MATCH(U146,{"queued","contacted","replied","call_booked","call_done","yes_in_principle","materials_sent"},0)),"Y","N")</f>
        <v/>
      </c>
      <c r="ES146">
        <f>IF(COUNTIFS($AP$2:$AP$1000,AP146,$ER$2:$ER$1000,"Y")+COUNTIFS($AP$2:$AP$1000,AP146,$T$2:$T$1000,"Y")&gt;0,"Y","N")</f>
        <v/>
      </c>
      <c r="ET146">
        <f>IF(AND(U146="new",T146="N",AT146="Y",AS146="",ES146="N"),"Y","N")</f>
        <v/>
      </c>
      <c r="EU146">
        <f>IF(ET146&lt;&gt;"Y","N",IF(COUNTIFS($AP$2:$AP$1000,AP146,$ET$2:$ET$1000,"Y",$J$2:$J$1000,"&gt;"&amp;J146)+COUNTIFS($AP$2:$AP$1000,AP146,$ET$2:$ET$1000,"Y",$J$2:$J$1000,J146,$EW$2:$EW$1000,"&lt;"&amp;EW146)=0,"Y","N"))</f>
        <v/>
      </c>
      <c r="EV146">
        <f>IF(Y146="","N",IF(Y146&lt;=10,"Y","N"))</f>
        <v/>
      </c>
      <c r="EW146">
        <f>ROW()-1</f>
        <v/>
      </c>
    </row>
    <row r="147">
      <c r="A147" t="inlineStr">
        <is>
          <t>AO-C-132</t>
        </is>
      </c>
      <c r="B147" t="inlineStr">
        <is>
          <t>Mega 97.9 (radio station)</t>
        </is>
      </c>
      <c r="C147" t="inlineStr"/>
      <c r="D147" t="inlineStr"/>
      <c r="E147" t="inlineStr"/>
      <c r="F147" t="inlineStr"/>
      <c r="G147" t="inlineStr"/>
      <c r="H147" t="inlineStr">
        <is>
          <t>none</t>
        </is>
      </c>
      <c r="I147" t="inlineStr">
        <is>
          <t>linkedin</t>
        </is>
      </c>
      <c r="J147" t="n">
        <v>34</v>
      </c>
      <c r="K147" t="inlineStr">
        <is>
          <t>Tuesday headcount unknown (no sourced count), company size unknown, no attendance signal, occupied at a medium-confidence address; contacts not researched yet (below the top 50).</t>
        </is>
      </c>
      <c r="L147" t="inlineStr">
        <is>
          <t>unknown</t>
        </is>
      </c>
      <c r="M147" t="inlineStr"/>
      <c r="N147" t="inlineStr"/>
      <c r="O147" t="inlineStr"/>
      <c r="P147" t="inlineStr"/>
      <c r="Q147" t="inlineStr"/>
      <c r="R147" t="inlineStr">
        <is>
          <t>N</t>
        </is>
      </c>
      <c r="S147" t="inlineStr">
        <is>
          <t>unknown</t>
        </is>
      </c>
      <c r="T147" t="inlineStr">
        <is>
          <t>N</t>
        </is>
      </c>
      <c r="U147" t="inlineStr">
        <is>
          <t>new</t>
        </is>
      </c>
      <c r="V147" t="inlineStr">
        <is>
          <t>https://commercialobserver.com/2025/09/activate-consulting-doubles-its-nomad-footprint/</t>
        </is>
      </c>
      <c r="W147" t="inlineStr">
        <is>
          <t>2026-10-23</t>
        </is>
      </c>
      <c r="X147" t="inlineStr">
        <is>
          <t>office</t>
        </is>
      </c>
      <c r="Y147" t="inlineStr"/>
      <c r="Z147" t="n">
        <v>146</v>
      </c>
      <c r="AA147" t="inlineStr">
        <is>
          <t>N</t>
        </is>
      </c>
      <c r="AB147" t="inlineStr"/>
      <c r="AC147" t="inlineStr"/>
      <c r="AD147" t="inlineStr">
        <is>
          <t>none</t>
        </is>
      </c>
      <c r="AE147" t="inlineStr"/>
      <c r="AF147" t="inlineStr"/>
      <c r="AG147" t="inlineStr"/>
      <c r="AH147" t="inlineStr">
        <is>
          <t>none</t>
        </is>
      </c>
      <c r="AI147" t="inlineStr">
        <is>
          <t>11 East 26th Street</t>
        </is>
      </c>
      <c r="AJ147" t="inlineStr">
        <is>
          <t>unknown</t>
        </is>
      </c>
      <c r="AK147" t="inlineStr">
        <is>
          <t>occupied</t>
        </is>
      </c>
      <c r="AL147" t="inlineStr">
        <is>
          <t>unknown</t>
        </is>
      </c>
      <c r="AM147" t="inlineStr">
        <is>
          <t>unknown</t>
        </is>
      </c>
      <c r="AN147" t="inlineStr">
        <is>
          <t>none</t>
        </is>
      </c>
      <c r="AO147" t="inlineStr">
        <is>
          <t>unknown</t>
        </is>
      </c>
      <c r="AP147" t="inlineStr">
        <is>
          <t>AO-C-132</t>
        </is>
      </c>
      <c r="AQ147" t="inlineStr">
        <is>
          <t>N</t>
        </is>
      </c>
      <c r="AR147" t="inlineStr"/>
      <c r="AS147" t="inlineStr"/>
      <c r="AT147" t="inlineStr">
        <is>
          <t>N</t>
        </is>
      </c>
      <c r="AU147" t="inlineStr">
        <is>
          <t>no contact named on an opened page</t>
        </is>
      </c>
      <c r="AV147" t="inlineStr"/>
      <c r="AW147" t="inlineStr">
        <is>
          <t>N</t>
        </is>
      </c>
      <c r="AX147" t="inlineStr">
        <is>
          <t>pass</t>
        </is>
      </c>
      <c r="AY147" t="inlineStr">
        <is>
          <t>passes all hard gates</t>
        </is>
      </c>
      <c r="AZ147" t="inlineStr">
        <is>
          <t>company</t>
        </is>
      </c>
      <c r="BA147" t="inlineStr">
        <is>
          <t>B-C-132</t>
        </is>
      </c>
      <c r="BB147" t="inlineStr">
        <is>
          <t>unknown</t>
        </is>
      </c>
      <c r="BC147" t="inlineStr">
        <is>
          <t>media (radio)</t>
        </is>
      </c>
      <c r="BD147" t="inlineStr">
        <is>
          <t>unknown</t>
        </is>
      </c>
      <c r="BE147" t="inlineStr"/>
      <c r="BF147" t="inlineStr">
        <is>
          <t>unknown</t>
        </is>
      </c>
      <c r="BG147" t="inlineStr">
        <is>
          <t>unknown</t>
        </is>
      </c>
      <c r="BH147" t="inlineStr">
        <is>
          <t>no-count</t>
        </is>
      </c>
      <c r="BI147" t="inlineStr"/>
      <c r="BJ147" t="inlineStr"/>
      <c r="BK147" t="inlineStr">
        <is>
          <t>unknown</t>
        </is>
      </c>
      <c r="BL147" t="inlineStr">
        <is>
          <t>unknown</t>
        </is>
      </c>
      <c r="BM147" t="inlineStr">
        <is>
          <t>unknown</t>
        </is>
      </c>
      <c r="BN147" t="inlineStr">
        <is>
          <t>unknown</t>
        </is>
      </c>
      <c r="BO147" t="inlineStr">
        <is>
          <t>unknown</t>
        </is>
      </c>
      <c r="BP147" t="n">
        <v>10010</v>
      </c>
      <c r="BQ147" t="n">
        <v>40.743309</v>
      </c>
      <c r="BR147" t="n">
        <v>-73.987329</v>
      </c>
      <c r="BS147" t="inlineStr">
        <is>
          <t>Y</t>
        </is>
      </c>
      <c r="BT147" t="n">
        <v>0</v>
      </c>
      <c r="BU147" t="inlineStr">
        <is>
          <t>B-B-065</t>
        </is>
      </c>
      <c r="BV147" t="inlineStr">
        <is>
          <t>11 East 26th Street (Rockrose; joined to 15 East 26th Street)</t>
        </is>
      </c>
      <c r="BW147" t="inlineStr">
        <is>
          <t>https://commercialobserver.com/2025/09/activate-consulting-doubles-its-nomad-footprint/</t>
        </is>
      </c>
      <c r="BX147" t="inlineStr">
        <is>
          <t>2025-09-30</t>
        </is>
      </c>
      <c r="BY147" t="inlineStr">
        <is>
          <t>leasing-press</t>
        </is>
      </c>
      <c r="BZ147" t="inlineStr"/>
      <c r="CA147" t="inlineStr"/>
      <c r="CB147" t="inlineStr"/>
      <c r="CC147" t="inlineStr">
        <is>
          <t>medium</t>
        </is>
      </c>
      <c r="CD147" t="inlineStr"/>
      <c r="CE147" t="inlineStr">
        <is>
          <t>N</t>
        </is>
      </c>
      <c r="CF147" t="inlineStr"/>
      <c r="CG147" t="inlineStr"/>
      <c r="CH147" t="inlineStr">
        <is>
          <t>unknown</t>
        </is>
      </c>
      <c r="CI147" t="inlineStr"/>
      <c r="CJ147" t="inlineStr">
        <is>
          <t>unknown</t>
        </is>
      </c>
      <c r="CK147" t="inlineStr">
        <is>
          <t>N</t>
        </is>
      </c>
      <c r="CL147" t="inlineStr">
        <is>
          <t>unknown</t>
        </is>
      </c>
      <c r="CM147" t="inlineStr"/>
      <c r="CN147" t="inlineStr"/>
      <c r="CO147" t="inlineStr">
        <is>
          <t>unknown</t>
        </is>
      </c>
      <c r="CP147" t="inlineStr"/>
      <c r="CQ147" t="inlineStr">
        <is>
          <t>No sourced headcount, so no Tuesday estimate; ask the Tuesday count at intake.</t>
        </is>
      </c>
      <c r="CR147" t="inlineStr">
        <is>
          <t>estimate until intake replaces it</t>
        </is>
      </c>
      <c r="CS147" t="inlineStr">
        <is>
          <t>unknown</t>
        </is>
      </c>
      <c r="CT147" t="n">
        <v>34</v>
      </c>
      <c r="CU147" t="n">
        <v>7</v>
      </c>
      <c r="CV147" t="n">
        <v>8</v>
      </c>
      <c r="CW147" t="n">
        <v>6</v>
      </c>
      <c r="CX147" t="n">
        <v>13</v>
      </c>
      <c r="CY147" t="n">
        <v>0</v>
      </c>
      <c r="CZ147" t="n">
        <v>0</v>
      </c>
      <c r="DA147" t="inlineStr"/>
      <c r="DB147" t="inlineStr"/>
      <c r="DC147" t="inlineStr"/>
      <c r="DD147" t="inlineStr"/>
      <c r="DE147" t="inlineStr"/>
      <c r="DF147" t="inlineStr">
        <is>
          <t>none</t>
        </is>
      </c>
      <c r="DG147" t="inlineStr">
        <is>
          <t>candidate</t>
        </is>
      </c>
      <c r="DH147" t="inlineStr"/>
      <c r="DI147" t="inlineStr"/>
      <c r="DJ147" t="inlineStr"/>
      <c r="DK147" t="inlineStr">
        <is>
          <t>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147" t="inlineStr"/>
      <c r="DM147" t="inlineStr"/>
      <c r="DN147" t="inlineStr"/>
      <c r="DO147" t="inlineStr"/>
      <c r="DP147" t="inlineStr"/>
      <c r="DQ147" t="inlineStr"/>
      <c r="DR147" t="inlineStr"/>
      <c r="DS147" t="inlineStr">
        <is>
          <t>none</t>
        </is>
      </c>
      <c r="DT147" t="inlineStr"/>
      <c r="DU147" t="inlineStr"/>
      <c r="DV147" t="inlineStr"/>
      <c r="DW147" t="inlineStr"/>
      <c r="DX147" t="inlineStr">
        <is>
          <t>N</t>
        </is>
      </c>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f>IF(ISNUMBER(MATCH(U147,{"queued","contacted","replied","call_booked","call_done","yes_in_principle","materials_sent"},0)),"Y","N")</f>
        <v/>
      </c>
      <c r="ES147">
        <f>IF(COUNTIFS($AP$2:$AP$1000,AP147,$ER$2:$ER$1000,"Y")+COUNTIFS($AP$2:$AP$1000,AP147,$T$2:$T$1000,"Y")&gt;0,"Y","N")</f>
        <v/>
      </c>
      <c r="ET147">
        <f>IF(AND(U147="new",T147="N",AT147="Y",AS147="",ES147="N"),"Y","N")</f>
        <v/>
      </c>
      <c r="EU147">
        <f>IF(ET147&lt;&gt;"Y","N",IF(COUNTIFS($AP$2:$AP$1000,AP147,$ET$2:$ET$1000,"Y",$J$2:$J$1000,"&gt;"&amp;J147)+COUNTIFS($AP$2:$AP$1000,AP147,$ET$2:$ET$1000,"Y",$J$2:$J$1000,J147,$EW$2:$EW$1000,"&lt;"&amp;EW147)=0,"Y","N"))</f>
        <v/>
      </c>
      <c r="EV147">
        <f>IF(Y147="","N",IF(Y147&lt;=10,"Y","N"))</f>
        <v/>
      </c>
      <c r="EW147">
        <f>ROW()-1</f>
        <v/>
      </c>
    </row>
    <row r="148">
      <c r="A148" t="inlineStr">
        <is>
          <t>AO-W-023</t>
        </is>
      </c>
      <c r="B148" t="inlineStr">
        <is>
          <t>Nomadworks 1216 Broadway</t>
        </is>
      </c>
      <c r="C148" t="inlineStr"/>
      <c r="D148" t="inlineStr"/>
      <c r="E148" t="inlineStr"/>
      <c r="F148" t="inlineStr"/>
      <c r="G148" t="inlineStr"/>
      <c r="H148" t="inlineStr">
        <is>
          <t>none</t>
        </is>
      </c>
      <c r="I148" t="inlineStr">
        <is>
          <t>linkedin</t>
        </is>
      </c>
      <c r="J148" t="n">
        <v>34</v>
      </c>
      <c r="K148" t="inlineStr">
        <is>
          <t>Tuesday headcount unknown (no sourced count), coworking operator site (one office if it controls the pantry), no attendance signal, open at a medium-confidence address; contacts not researched yet (below the top 50).</t>
        </is>
      </c>
      <c r="L148" t="inlineStr">
        <is>
          <t>unknown</t>
        </is>
      </c>
      <c r="M148" t="inlineStr"/>
      <c r="N148" t="inlineStr"/>
      <c r="O148" t="inlineStr"/>
      <c r="P148" t="inlineStr"/>
      <c r="Q148" t="inlineStr"/>
      <c r="R148" t="inlineStr">
        <is>
          <t>N</t>
        </is>
      </c>
      <c r="S148" t="inlineStr">
        <is>
          <t>unknown</t>
        </is>
      </c>
      <c r="T148" t="inlineStr">
        <is>
          <t>N</t>
        </is>
      </c>
      <c r="U148" t="inlineStr">
        <is>
          <t>new</t>
        </is>
      </c>
      <c r="V148" t="inlineStr">
        <is>
          <t>https://nomadworks.com/</t>
        </is>
      </c>
      <c r="W148" t="inlineStr">
        <is>
          <t>2026-10-23</t>
        </is>
      </c>
      <c r="X148" t="inlineStr">
        <is>
          <t>office</t>
        </is>
      </c>
      <c r="Y148" t="inlineStr"/>
      <c r="Z148" t="n">
        <v>147</v>
      </c>
      <c r="AA148" t="inlineStr">
        <is>
          <t>N</t>
        </is>
      </c>
      <c r="AB148" t="inlineStr"/>
      <c r="AC148" t="inlineStr"/>
      <c r="AD148" t="inlineStr">
        <is>
          <t>none</t>
        </is>
      </c>
      <c r="AE148" t="inlineStr"/>
      <c r="AF148" t="inlineStr"/>
      <c r="AG148" t="inlineStr"/>
      <c r="AH148" t="inlineStr">
        <is>
          <t>none</t>
        </is>
      </c>
      <c r="AI148" t="inlineStr">
        <is>
          <t>1216 Broadway, Floor 2, New York, NY 10001</t>
        </is>
      </c>
      <c r="AJ148" t="inlineStr">
        <is>
          <t>Floor 2</t>
        </is>
      </c>
      <c r="AK148" t="inlineStr">
        <is>
          <t>open</t>
        </is>
      </c>
      <c r="AL148" t="inlineStr">
        <is>
          <t>unknown</t>
        </is>
      </c>
      <c r="AM148" t="inlineStr">
        <is>
          <t>unknown</t>
        </is>
      </c>
      <c r="AN148" t="inlineStr">
        <is>
          <t>none</t>
        </is>
      </c>
      <c r="AO148" t="inlineStr">
        <is>
          <t>unknown</t>
        </is>
      </c>
      <c r="AP148" t="inlineStr">
        <is>
          <t>AO-W-023</t>
        </is>
      </c>
      <c r="AQ148" t="inlineStr">
        <is>
          <t>N</t>
        </is>
      </c>
      <c r="AR148" t="inlineStr"/>
      <c r="AS148" t="inlineStr"/>
      <c r="AT148" t="inlineStr">
        <is>
          <t>N</t>
        </is>
      </c>
      <c r="AU148" t="inlineStr">
        <is>
          <t>no contact named on an opened page</t>
        </is>
      </c>
      <c r="AV148" t="inlineStr"/>
      <c r="AW148" t="inlineStr">
        <is>
          <t>N</t>
        </is>
      </c>
      <c r="AX148" t="inlineStr">
        <is>
          <t>pass</t>
        </is>
      </c>
      <c r="AY148" t="inlineStr">
        <is>
          <t>passes all hard gates</t>
        </is>
      </c>
      <c r="AZ148" t="inlineStr">
        <is>
          <t>coworking-operator</t>
        </is>
      </c>
      <c r="BA148" t="inlineStr">
        <is>
          <t>B-W-023</t>
        </is>
      </c>
      <c r="BB148" t="inlineStr">
        <is>
          <t>https://nomadworks.com</t>
        </is>
      </c>
      <c r="BC148" t="inlineStr">
        <is>
          <t>coworking operator</t>
        </is>
      </c>
      <c r="BD148" t="inlineStr">
        <is>
          <t>unknown</t>
        </is>
      </c>
      <c r="BE148" t="inlineStr"/>
      <c r="BF148" t="inlineStr">
        <is>
          <t>unknown</t>
        </is>
      </c>
      <c r="BG148" t="inlineStr">
        <is>
          <t>unknown</t>
        </is>
      </c>
      <c r="BH148" t="inlineStr"/>
      <c r="BI148" t="inlineStr"/>
      <c r="BJ148" t="inlineStr"/>
      <c r="BK148" t="inlineStr">
        <is>
          <t>unknown</t>
        </is>
      </c>
      <c r="BL148" t="inlineStr">
        <is>
          <t>n/a (operator site)</t>
        </is>
      </c>
      <c r="BM148" t="inlineStr">
        <is>
          <t>unknown</t>
        </is>
      </c>
      <c r="BN148" t="inlineStr">
        <is>
          <t>Nomadworks</t>
        </is>
      </c>
      <c r="BO148" t="inlineStr"/>
      <c r="BP148" t="n">
        <v>10001</v>
      </c>
      <c r="BQ148" t="n">
        <v>40.746574</v>
      </c>
      <c r="BR148" t="n">
        <v>-73.98833</v>
      </c>
      <c r="BS148" t="inlineStr">
        <is>
          <t>Y</t>
        </is>
      </c>
      <c r="BT148" t="n">
        <v>0</v>
      </c>
      <c r="BU148" t="inlineStr"/>
      <c r="BV148" t="inlineStr">
        <is>
          <t>unknown</t>
        </is>
      </c>
      <c r="BW148" t="inlineStr">
        <is>
          <t>https://nomadworks.com/</t>
        </is>
      </c>
      <c r="BX148" t="inlineStr">
        <is>
          <t>2026-10-23</t>
        </is>
      </c>
      <c r="BY148" t="inlineStr">
        <is>
          <t>operator-site</t>
        </is>
      </c>
      <c r="BZ148" t="inlineStr">
        <is>
          <t>https://api.deskpass.com/api/spaces/nomadworks</t>
        </is>
      </c>
      <c r="CA148" t="inlineStr"/>
      <c r="CB148" t="inlineStr"/>
      <c r="CC148" t="inlineStr">
        <is>
          <t>medium</t>
        </is>
      </c>
      <c r="CD148" t="inlineStr"/>
      <c r="CE148" t="inlineStr">
        <is>
          <t>N</t>
        </is>
      </c>
      <c r="CF148" t="inlineStr">
        <is>
          <t>B-W-023</t>
        </is>
      </c>
      <c r="CG148" t="inlineStr">
        <is>
          <t>operator</t>
        </is>
      </c>
      <c r="CH148" t="inlineStr">
        <is>
          <t>unknown</t>
        </is>
      </c>
      <c r="CI148" t="inlineStr"/>
      <c r="CJ148" t="inlineStr">
        <is>
          <t>unknown</t>
        </is>
      </c>
      <c r="CK148" t="inlineStr">
        <is>
          <t>N</t>
        </is>
      </c>
      <c r="CL148" t="inlineStr">
        <is>
          <t>unknown</t>
        </is>
      </c>
      <c r="CM148" t="inlineStr"/>
      <c r="CN148" t="inlineStr"/>
      <c r="CO148" t="inlineStr">
        <is>
          <t>unknown</t>
        </is>
      </c>
      <c r="CP148" t="inlineStr"/>
      <c r="CQ148" t="inlineStr">
        <is>
          <t>Coworking site: member headcount not sourced; treat as one office if the operator controls the pantry and ask the Tuesday count at intake.</t>
        </is>
      </c>
      <c r="CR148" t="inlineStr">
        <is>
          <t>estimate until intake replaces it</t>
        </is>
      </c>
      <c r="CS148" t="inlineStr">
        <is>
          <t>unknown</t>
        </is>
      </c>
      <c r="CT148" t="n">
        <v>34</v>
      </c>
      <c r="CU148" t="n">
        <v>7</v>
      </c>
      <c r="CV148" t="n">
        <v>8</v>
      </c>
      <c r="CW148" t="n">
        <v>6</v>
      </c>
      <c r="CX148" t="n">
        <v>13</v>
      </c>
      <c r="CY148" t="n">
        <v>0</v>
      </c>
      <c r="CZ148" t="n">
        <v>0</v>
      </c>
      <c r="DA148" t="inlineStr"/>
      <c r="DB148" t="inlineStr"/>
      <c r="DC148" t="inlineStr"/>
      <c r="DD148" t="inlineStr"/>
      <c r="DE148" t="inlineStr"/>
      <c r="DF148" t="inlineStr">
        <is>
          <t>none</t>
        </is>
      </c>
      <c r="DG148" t="inlineStr">
        <is>
          <t>coworking-operator</t>
        </is>
      </c>
      <c r="DH148" t="inlineStr"/>
      <c r="DI148" t="inlineStr"/>
      <c r="DJ148" t="inlineStr"/>
      <c r="DK148" t="inlineStr">
        <is>
          <t>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is>
      </c>
      <c r="DL148" t="inlineStr"/>
      <c r="DM148" t="inlineStr"/>
      <c r="DN148" t="inlineStr"/>
      <c r="DO148" t="inlineStr"/>
      <c r="DP148" t="inlineStr"/>
      <c r="DQ148" t="inlineStr"/>
      <c r="DR148" t="inlineStr"/>
      <c r="DS148" t="inlineStr">
        <is>
          <t>none</t>
        </is>
      </c>
      <c r="DT148" t="inlineStr"/>
      <c r="DU148" t="inlineStr"/>
      <c r="DV148" t="inlineStr"/>
      <c r="DW148" t="inlineStr"/>
      <c r="DX148" t="inlineStr">
        <is>
          <t>N</t>
        </is>
      </c>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f>IF(ISNUMBER(MATCH(U148,{"queued","contacted","replied","call_booked","call_done","yes_in_principle","materials_sent"},0)),"Y","N")</f>
        <v/>
      </c>
      <c r="ES148">
        <f>IF(COUNTIFS($AP$2:$AP$1000,AP148,$ER$2:$ER$1000,"Y")+COUNTIFS($AP$2:$AP$1000,AP148,$T$2:$T$1000,"Y")&gt;0,"Y","N")</f>
        <v/>
      </c>
      <c r="ET148">
        <f>IF(AND(U148="new",T148="N",AT148="Y",AS148="",ES148="N"),"Y","N")</f>
        <v/>
      </c>
      <c r="EU148">
        <f>IF(ET148&lt;&gt;"Y","N",IF(COUNTIFS($AP$2:$AP$1000,AP148,$ET$2:$ET$1000,"Y",$J$2:$J$1000,"&gt;"&amp;J148)+COUNTIFS($AP$2:$AP$1000,AP148,$ET$2:$ET$1000,"Y",$J$2:$J$1000,J148,$EW$2:$EW$1000,"&lt;"&amp;EW148)=0,"Y","N"))</f>
        <v/>
      </c>
      <c r="EV148">
        <f>IF(Y148="","N",IF(Y148&lt;=10,"Y","N"))</f>
        <v/>
      </c>
      <c r="EW148">
        <f>ROW()-1</f>
        <v/>
      </c>
    </row>
    <row r="149">
      <c r="A149" t="inlineStr">
        <is>
          <t>AO-W-022</t>
        </is>
      </c>
      <c r="B149" t="inlineStr">
        <is>
          <t>Sage Workspace</t>
        </is>
      </c>
      <c r="C149" t="inlineStr"/>
      <c r="D149" t="inlineStr"/>
      <c r="E149" t="inlineStr"/>
      <c r="F149" t="inlineStr"/>
      <c r="G149" t="inlineStr"/>
      <c r="H149" t="inlineStr">
        <is>
          <t>none</t>
        </is>
      </c>
      <c r="I149" t="inlineStr">
        <is>
          <t>linkedin</t>
        </is>
      </c>
      <c r="J149" t="n">
        <v>34</v>
      </c>
      <c r="K149" t="inlineStr">
        <is>
          <t>Tuesday headcount unknown (no sourced count), coworking operator site (one office if it controls the pantry), no attendance signal, open at a medium-confidence address; contacts not researched yet (below the top 50).</t>
        </is>
      </c>
      <c r="L149" t="inlineStr">
        <is>
          <t>unknown</t>
        </is>
      </c>
      <c r="M149" t="inlineStr"/>
      <c r="N149" t="inlineStr"/>
      <c r="O149" t="inlineStr"/>
      <c r="P149" t="inlineStr"/>
      <c r="Q149" t="inlineStr"/>
      <c r="R149" t="inlineStr">
        <is>
          <t>N</t>
        </is>
      </c>
      <c r="S149" t="inlineStr">
        <is>
          <t>unknown</t>
        </is>
      </c>
      <c r="T149" t="inlineStr">
        <is>
          <t>N</t>
        </is>
      </c>
      <c r="U149" t="inlineStr">
        <is>
          <t>new</t>
        </is>
      </c>
      <c r="V149" t="inlineStr">
        <is>
          <t>https://www.sageworkspace.com/</t>
        </is>
      </c>
      <c r="W149" t="inlineStr">
        <is>
          <t>2026-10-23</t>
        </is>
      </c>
      <c r="X149" t="inlineStr">
        <is>
          <t>office</t>
        </is>
      </c>
      <c r="Y149" t="inlineStr"/>
      <c r="Z149" t="n">
        <v>148</v>
      </c>
      <c r="AA149" t="inlineStr">
        <is>
          <t>N</t>
        </is>
      </c>
      <c r="AB149" t="inlineStr"/>
      <c r="AC149" t="inlineStr"/>
      <c r="AD149" t="inlineStr">
        <is>
          <t>none</t>
        </is>
      </c>
      <c r="AE149" t="inlineStr"/>
      <c r="AF149" t="inlineStr"/>
      <c r="AG149" t="inlineStr"/>
      <c r="AH149" t="inlineStr">
        <is>
          <t>none</t>
        </is>
      </c>
      <c r="AI149" t="inlineStr">
        <is>
          <t>276 Fifth Avenue, Suite 704, New York, NY 10001</t>
        </is>
      </c>
      <c r="AJ149" t="inlineStr">
        <is>
          <t>Suite 704</t>
        </is>
      </c>
      <c r="AK149" t="inlineStr">
        <is>
          <t>open</t>
        </is>
      </c>
      <c r="AL149" t="inlineStr">
        <is>
          <t>unknown</t>
        </is>
      </c>
      <c r="AM149" t="inlineStr">
        <is>
          <t>unknown</t>
        </is>
      </c>
      <c r="AN149" t="inlineStr">
        <is>
          <t>none</t>
        </is>
      </c>
      <c r="AO149" t="inlineStr">
        <is>
          <t>unknown</t>
        </is>
      </c>
      <c r="AP149" t="inlineStr">
        <is>
          <t>AO-W-022</t>
        </is>
      </c>
      <c r="AQ149" t="inlineStr">
        <is>
          <t>N</t>
        </is>
      </c>
      <c r="AR149" t="inlineStr"/>
      <c r="AS149" t="inlineStr"/>
      <c r="AT149" t="inlineStr">
        <is>
          <t>N</t>
        </is>
      </c>
      <c r="AU149" t="inlineStr">
        <is>
          <t>no contact named on an opened page</t>
        </is>
      </c>
      <c r="AV149" t="inlineStr"/>
      <c r="AW149" t="inlineStr">
        <is>
          <t>N</t>
        </is>
      </c>
      <c r="AX149" t="inlineStr">
        <is>
          <t>pass</t>
        </is>
      </c>
      <c r="AY149" t="inlineStr">
        <is>
          <t>passes all hard gates</t>
        </is>
      </c>
      <c r="AZ149" t="inlineStr">
        <is>
          <t>coworking-operator</t>
        </is>
      </c>
      <c r="BA149" t="inlineStr">
        <is>
          <t>B-W-022</t>
        </is>
      </c>
      <c r="BB149" t="inlineStr">
        <is>
          <t>https://www.sageworkspace.com</t>
        </is>
      </c>
      <c r="BC149" t="inlineStr">
        <is>
          <t>coworking operator</t>
        </is>
      </c>
      <c r="BD149" t="inlineStr">
        <is>
          <t>unknown</t>
        </is>
      </c>
      <c r="BE149" t="inlineStr"/>
      <c r="BF149" t="inlineStr">
        <is>
          <t>unknown</t>
        </is>
      </c>
      <c r="BG149" t="inlineStr">
        <is>
          <t>unknown</t>
        </is>
      </c>
      <c r="BH149" t="inlineStr"/>
      <c r="BI149" t="inlineStr"/>
      <c r="BJ149" t="inlineStr"/>
      <c r="BK149" t="inlineStr">
        <is>
          <t>unknown</t>
        </is>
      </c>
      <c r="BL149" t="inlineStr">
        <is>
          <t>n/a (operator site)</t>
        </is>
      </c>
      <c r="BM149" t="inlineStr">
        <is>
          <t>unknown</t>
        </is>
      </c>
      <c r="BN149" t="inlineStr">
        <is>
          <t>SaGE Workspace</t>
        </is>
      </c>
      <c r="BO149" t="inlineStr"/>
      <c r="BP149" t="n">
        <v>10001</v>
      </c>
      <c r="BQ149" t="n">
        <v>40.745792</v>
      </c>
      <c r="BR149" t="n">
        <v>-73.986723</v>
      </c>
      <c r="BS149" t="inlineStr">
        <is>
          <t>Y</t>
        </is>
      </c>
      <c r="BT149" t="n">
        <v>0</v>
      </c>
      <c r="BU149" t="inlineStr"/>
      <c r="BV149" t="inlineStr">
        <is>
          <t>unknown</t>
        </is>
      </c>
      <c r="BW149" t="inlineStr">
        <is>
          <t>https://www.sageworkspace.com/</t>
        </is>
      </c>
      <c r="BX149" t="inlineStr">
        <is>
          <t>2026-10-23</t>
        </is>
      </c>
      <c r="BY149" t="inlineStr">
        <is>
          <t>operator-site</t>
        </is>
      </c>
      <c r="BZ149" t="inlineStr">
        <is>
          <t>https://api.deskpass.com/api/spaces/sage-workspace</t>
        </is>
      </c>
      <c r="CA149" t="inlineStr"/>
      <c r="CB149" t="inlineStr"/>
      <c r="CC149" t="inlineStr">
        <is>
          <t>medium</t>
        </is>
      </c>
      <c r="CD149" t="inlineStr"/>
      <c r="CE149" t="inlineStr">
        <is>
          <t>N</t>
        </is>
      </c>
      <c r="CF149" t="inlineStr">
        <is>
          <t>B-W-022</t>
        </is>
      </c>
      <c r="CG149" t="inlineStr">
        <is>
          <t>operator</t>
        </is>
      </c>
      <c r="CH149" t="inlineStr">
        <is>
          <t>unknown</t>
        </is>
      </c>
      <c r="CI149" t="inlineStr"/>
      <c r="CJ149" t="inlineStr">
        <is>
          <t>unknown</t>
        </is>
      </c>
      <c r="CK149" t="inlineStr">
        <is>
          <t>N</t>
        </is>
      </c>
      <c r="CL149" t="inlineStr">
        <is>
          <t>unknown</t>
        </is>
      </c>
      <c r="CM149" t="inlineStr"/>
      <c r="CN149" t="inlineStr"/>
      <c r="CO149" t="inlineStr">
        <is>
          <t>unknown</t>
        </is>
      </c>
      <c r="CP149" t="inlineStr"/>
      <c r="CQ149" t="inlineStr">
        <is>
          <t>Coworking site: member headcount not sourced; treat as one office if the operator controls the pantry and ask the Tuesday count at intake.</t>
        </is>
      </c>
      <c r="CR149" t="inlineStr">
        <is>
          <t>estimate until intake replaces it</t>
        </is>
      </c>
      <c r="CS149" t="inlineStr">
        <is>
          <t>unknown</t>
        </is>
      </c>
      <c r="CT149" t="n">
        <v>34</v>
      </c>
      <c r="CU149" t="n">
        <v>7</v>
      </c>
      <c r="CV149" t="n">
        <v>8</v>
      </c>
      <c r="CW149" t="n">
        <v>6</v>
      </c>
      <c r="CX149" t="n">
        <v>13</v>
      </c>
      <c r="CY149" t="n">
        <v>0</v>
      </c>
      <c r="CZ149" t="n">
        <v>0</v>
      </c>
      <c r="DA149" t="inlineStr"/>
      <c r="DB149" t="inlineStr"/>
      <c r="DC149" t="inlineStr"/>
      <c r="DD149" t="inlineStr"/>
      <c r="DE149" t="inlineStr"/>
      <c r="DF149" t="inlineStr">
        <is>
          <t>none</t>
        </is>
      </c>
      <c r="DG149" t="inlineStr">
        <is>
          <t>coworking-operator</t>
        </is>
      </c>
      <c r="DH149" t="inlineStr"/>
      <c r="DI149" t="inlineStr"/>
      <c r="DJ149" t="inlineStr"/>
      <c r="DK149" t="inlineStr">
        <is>
          <t>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is>
      </c>
      <c r="DL149" t="inlineStr"/>
      <c r="DM149" t="inlineStr"/>
      <c r="DN149" t="inlineStr"/>
      <c r="DO149" t="inlineStr"/>
      <c r="DP149" t="inlineStr"/>
      <c r="DQ149" t="inlineStr"/>
      <c r="DR149" t="inlineStr"/>
      <c r="DS149" t="inlineStr">
        <is>
          <t>none</t>
        </is>
      </c>
      <c r="DT149" t="inlineStr"/>
      <c r="DU149" t="inlineStr"/>
      <c r="DV149" t="inlineStr"/>
      <c r="DW149" t="inlineStr"/>
      <c r="DX149" t="inlineStr">
        <is>
          <t>N</t>
        </is>
      </c>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f>IF(ISNUMBER(MATCH(U149,{"queued","contacted","replied","call_booked","call_done","yes_in_principle","materials_sent"},0)),"Y","N")</f>
        <v/>
      </c>
      <c r="ES149">
        <f>IF(COUNTIFS($AP$2:$AP$1000,AP149,$ER$2:$ER$1000,"Y")+COUNTIFS($AP$2:$AP$1000,AP149,$T$2:$T$1000,"Y")&gt;0,"Y","N")</f>
        <v/>
      </c>
      <c r="ET149">
        <f>IF(AND(U149="new",T149="N",AT149="Y",AS149="",ES149="N"),"Y","N")</f>
        <v/>
      </c>
      <c r="EU149">
        <f>IF(ET149&lt;&gt;"Y","N",IF(COUNTIFS($AP$2:$AP$1000,AP149,$ET$2:$ET$1000,"Y",$J$2:$J$1000,"&gt;"&amp;J149)+COUNTIFS($AP$2:$AP$1000,AP149,$ET$2:$ET$1000,"Y",$J$2:$J$1000,J149,$EW$2:$EW$1000,"&lt;"&amp;EW149)=0,"Y","N"))</f>
        <v/>
      </c>
      <c r="EV149">
        <f>IF(Y149="","N",IF(Y149&lt;=10,"Y","N"))</f>
        <v/>
      </c>
      <c r="EW149">
        <f>ROW()-1</f>
        <v/>
      </c>
    </row>
    <row r="150">
      <c r="A150" t="inlineStr">
        <is>
          <t>AO-W-011</t>
        </is>
      </c>
      <c r="B150" t="inlineStr">
        <is>
          <t>Select Office Suites Flatiron</t>
        </is>
      </c>
      <c r="C150" t="inlineStr"/>
      <c r="D150" t="inlineStr"/>
      <c r="E150" t="inlineStr"/>
      <c r="F150" t="inlineStr"/>
      <c r="G150" t="inlineStr"/>
      <c r="H150" t="inlineStr">
        <is>
          <t>none</t>
        </is>
      </c>
      <c r="I150" t="inlineStr">
        <is>
          <t>linkedin</t>
        </is>
      </c>
      <c r="J150" t="n">
        <v>34</v>
      </c>
      <c r="K150" t="inlineStr">
        <is>
          <t>Tuesday headcount unknown (no sourced count), coworking operator site (one office if it controls the pantry), no attendance signal, open at a medium-confidence address; contacts not researched yet (below the top 50).</t>
        </is>
      </c>
      <c r="L150" t="inlineStr">
        <is>
          <t>unknown</t>
        </is>
      </c>
      <c r="M150" t="inlineStr"/>
      <c r="N150" t="inlineStr"/>
      <c r="O150" t="inlineStr"/>
      <c r="P150" t="inlineStr"/>
      <c r="Q150" t="inlineStr"/>
      <c r="R150" t="inlineStr">
        <is>
          <t>N</t>
        </is>
      </c>
      <c r="S150" t="inlineStr">
        <is>
          <t>unknown</t>
        </is>
      </c>
      <c r="T150" t="inlineStr">
        <is>
          <t>N</t>
        </is>
      </c>
      <c r="U150" t="inlineStr">
        <is>
          <t>new</t>
        </is>
      </c>
      <c r="V150" t="inlineStr">
        <is>
          <t>https://www.selectofficesuites.com/office-space-for-rent-flatiron-district-new-york-city/</t>
        </is>
      </c>
      <c r="W150" t="inlineStr">
        <is>
          <t>2026-10-23</t>
        </is>
      </c>
      <c r="X150" t="inlineStr">
        <is>
          <t>office</t>
        </is>
      </c>
      <c r="Y150" t="inlineStr"/>
      <c r="Z150" t="n">
        <v>149</v>
      </c>
      <c r="AA150" t="inlineStr">
        <is>
          <t>N</t>
        </is>
      </c>
      <c r="AB150" t="inlineStr"/>
      <c r="AC150" t="inlineStr"/>
      <c r="AD150" t="inlineStr">
        <is>
          <t>none</t>
        </is>
      </c>
      <c r="AE150" t="inlineStr"/>
      <c r="AF150" t="inlineStr"/>
      <c r="AG150" t="inlineStr"/>
      <c r="AH150" t="inlineStr">
        <is>
          <t>none</t>
        </is>
      </c>
      <c r="AI150" t="inlineStr">
        <is>
          <t>1115 Broadway (16 Madison Square West), Floors 9-12, New York, NY 10010</t>
        </is>
      </c>
      <c r="AJ150" t="inlineStr">
        <is>
          <t>Floors 9-12</t>
        </is>
      </c>
      <c r="AK150" t="inlineStr">
        <is>
          <t>open</t>
        </is>
      </c>
      <c r="AL150" t="inlineStr">
        <is>
          <t>unknown</t>
        </is>
      </c>
      <c r="AM150" t="inlineStr">
        <is>
          <t>unknown</t>
        </is>
      </c>
      <c r="AN150" t="inlineStr">
        <is>
          <t>none</t>
        </is>
      </c>
      <c r="AO150" t="inlineStr">
        <is>
          <t>unknown</t>
        </is>
      </c>
      <c r="AP150" t="inlineStr">
        <is>
          <t>AO-W-011</t>
        </is>
      </c>
      <c r="AQ150" t="inlineStr">
        <is>
          <t>N</t>
        </is>
      </c>
      <c r="AR150" t="inlineStr"/>
      <c r="AS150" t="inlineStr"/>
      <c r="AT150" t="inlineStr">
        <is>
          <t>N</t>
        </is>
      </c>
      <c r="AU150" t="inlineStr">
        <is>
          <t>no contact named on an opened page</t>
        </is>
      </c>
      <c r="AV150" t="inlineStr"/>
      <c r="AW150" t="inlineStr">
        <is>
          <t>N</t>
        </is>
      </c>
      <c r="AX150" t="inlineStr">
        <is>
          <t>pass</t>
        </is>
      </c>
      <c r="AY150" t="inlineStr">
        <is>
          <t>passes all hard gates</t>
        </is>
      </c>
      <c r="AZ150" t="inlineStr">
        <is>
          <t>coworking-operator</t>
        </is>
      </c>
      <c r="BA150" t="inlineStr">
        <is>
          <t>B-W-011</t>
        </is>
      </c>
      <c r="BB150" t="inlineStr">
        <is>
          <t>https://www.selectofficesuites.com</t>
        </is>
      </c>
      <c r="BC150" t="inlineStr">
        <is>
          <t>coworking operator</t>
        </is>
      </c>
      <c r="BD150" t="inlineStr">
        <is>
          <t>unknown</t>
        </is>
      </c>
      <c r="BE150" t="inlineStr"/>
      <c r="BF150" t="inlineStr">
        <is>
          <t>unknown</t>
        </is>
      </c>
      <c r="BG150" t="inlineStr">
        <is>
          <t>unknown</t>
        </is>
      </c>
      <c r="BH150" t="inlineStr"/>
      <c r="BI150" t="inlineStr"/>
      <c r="BJ150" t="inlineStr"/>
      <c r="BK150" t="inlineStr">
        <is>
          <t>unknown</t>
        </is>
      </c>
      <c r="BL150" t="inlineStr">
        <is>
          <t>n/a (operator site)</t>
        </is>
      </c>
      <c r="BM150" t="inlineStr">
        <is>
          <t>unknown</t>
        </is>
      </c>
      <c r="BN150" t="inlineStr">
        <is>
          <t>Select Office Suites</t>
        </is>
      </c>
      <c r="BO150" t="inlineStr"/>
      <c r="BP150" t="n">
        <v>10010</v>
      </c>
      <c r="BQ150" t="n">
        <v>40.74293</v>
      </c>
      <c r="BR150" t="n">
        <v>-73.989315</v>
      </c>
      <c r="BS150" t="inlineStr">
        <is>
          <t>Y</t>
        </is>
      </c>
      <c r="BT150" t="n">
        <v>0</v>
      </c>
      <c r="BU150" t="inlineStr">
        <is>
          <t>B-B-056</t>
        </is>
      </c>
      <c r="BV150" t="inlineStr">
        <is>
          <t>16 Madison Square West / 1115 Broadway (Adams &amp; Company)</t>
        </is>
      </c>
      <c r="BW150" t="inlineStr">
        <is>
          <t>https://www.selectofficesuites.com/office-space-for-rent-flatiron-district-new-york-city/</t>
        </is>
      </c>
      <c r="BX150" t="inlineStr">
        <is>
          <t>2026-10-23</t>
        </is>
      </c>
      <c r="BY150" t="inlineStr">
        <is>
          <t>operator-site</t>
        </is>
      </c>
      <c r="BZ150" t="inlineStr">
        <is>
          <t>https://liquidspace.com/US/NY/new-york/select-office-suites-flatiron</t>
        </is>
      </c>
      <c r="CA150" t="inlineStr"/>
      <c r="CB150" t="inlineStr"/>
      <c r="CC150" t="inlineStr">
        <is>
          <t>medium</t>
        </is>
      </c>
      <c r="CD150" t="inlineStr"/>
      <c r="CE150" t="inlineStr">
        <is>
          <t>N</t>
        </is>
      </c>
      <c r="CF150" t="inlineStr">
        <is>
          <t>B-W-011</t>
        </is>
      </c>
      <c r="CG150" t="inlineStr">
        <is>
          <t>operator</t>
        </is>
      </c>
      <c r="CH150" t="inlineStr">
        <is>
          <t>security desk</t>
        </is>
      </c>
      <c r="CI150" t="inlineStr">
        <is>
          <t>https://www.adamsre.com/collections/madison-square-park/products/16-madison-square-west</t>
        </is>
      </c>
      <c r="CJ150" t="inlineStr">
        <is>
          <t>unknown</t>
        </is>
      </c>
      <c r="CK150" t="inlineStr">
        <is>
          <t>N</t>
        </is>
      </c>
      <c r="CL150" t="inlineStr">
        <is>
          <t>unknown</t>
        </is>
      </c>
      <c r="CM150" t="inlineStr"/>
      <c r="CN150" t="inlineStr"/>
      <c r="CO150" t="inlineStr">
        <is>
          <t>unknown</t>
        </is>
      </c>
      <c r="CP150" t="inlineStr"/>
      <c r="CQ150" t="inlineStr">
        <is>
          <t>Coworking site: member headcount not sourced; treat as one office if the operator controls the pantry and ask the Tuesday count at intake.</t>
        </is>
      </c>
      <c r="CR150" t="inlineStr">
        <is>
          <t>estimate until intake replaces it</t>
        </is>
      </c>
      <c r="CS150" t="inlineStr">
        <is>
          <t>unknown</t>
        </is>
      </c>
      <c r="CT150" t="n">
        <v>34</v>
      </c>
      <c r="CU150" t="n">
        <v>7</v>
      </c>
      <c r="CV150" t="n">
        <v>8</v>
      </c>
      <c r="CW150" t="n">
        <v>6</v>
      </c>
      <c r="CX150" t="n">
        <v>13</v>
      </c>
      <c r="CY150" t="n">
        <v>0</v>
      </c>
      <c r="CZ150" t="n">
        <v>0</v>
      </c>
      <c r="DA150" t="inlineStr"/>
      <c r="DB150" t="inlineStr"/>
      <c r="DC150" t="inlineStr"/>
      <c r="DD150" t="inlineStr"/>
      <c r="DE150" t="inlineStr"/>
      <c r="DF150" t="inlineStr">
        <is>
          <t>none</t>
        </is>
      </c>
      <c r="DG150" t="inlineStr">
        <is>
          <t>coworking-operator</t>
        </is>
      </c>
      <c r="DH150" t="inlineStr"/>
      <c r="DI150" t="inlineStr"/>
      <c r="DJ150" t="inlineStr"/>
      <c r="DK150" t="inlineStr">
        <is>
          <t>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is>
      </c>
      <c r="DL150" t="inlineStr"/>
      <c r="DM150" t="inlineStr"/>
      <c r="DN150" t="inlineStr"/>
      <c r="DO150" t="inlineStr"/>
      <c r="DP150" t="inlineStr"/>
      <c r="DQ150" t="inlineStr"/>
      <c r="DR150" t="inlineStr"/>
      <c r="DS150" t="inlineStr">
        <is>
          <t>none</t>
        </is>
      </c>
      <c r="DT150" t="inlineStr"/>
      <c r="DU150" t="inlineStr"/>
      <c r="DV150" t="inlineStr"/>
      <c r="DW150" t="inlineStr"/>
      <c r="DX150" t="inlineStr">
        <is>
          <t>N</t>
        </is>
      </c>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f>IF(ISNUMBER(MATCH(U150,{"queued","contacted","replied","call_booked","call_done","yes_in_principle","materials_sent"},0)),"Y","N")</f>
        <v/>
      </c>
      <c r="ES150">
        <f>IF(COUNTIFS($AP$2:$AP$1000,AP150,$ER$2:$ER$1000,"Y")+COUNTIFS($AP$2:$AP$1000,AP150,$T$2:$T$1000,"Y")&gt;0,"Y","N")</f>
        <v/>
      </c>
      <c r="ET150">
        <f>IF(AND(U150="new",T150="N",AT150="Y",AS150="",ES150="N"),"Y","N")</f>
        <v/>
      </c>
      <c r="EU150">
        <f>IF(ET150&lt;&gt;"Y","N",IF(COUNTIFS($AP$2:$AP$1000,AP150,$ET$2:$ET$1000,"Y",$J$2:$J$1000,"&gt;"&amp;J150)+COUNTIFS($AP$2:$AP$1000,AP150,$ET$2:$ET$1000,"Y",$J$2:$J$1000,J150,$EW$2:$EW$1000,"&lt;"&amp;EW150)=0,"Y","N"))</f>
        <v/>
      </c>
      <c r="EV150">
        <f>IF(Y150="","N",IF(Y150&lt;=10,"Y","N"))</f>
        <v/>
      </c>
      <c r="EW150">
        <f>ROW()-1</f>
        <v/>
      </c>
    </row>
    <row r="151">
      <c r="A151" t="inlineStr">
        <is>
          <t>AO-C-039</t>
        </is>
      </c>
      <c r="B151" t="inlineStr">
        <is>
          <t>Stone Source</t>
        </is>
      </c>
      <c r="C151" t="inlineStr"/>
      <c r="D151" t="inlineStr"/>
      <c r="E151" t="inlineStr"/>
      <c r="F151" t="inlineStr"/>
      <c r="G151" t="inlineStr"/>
      <c r="H151" t="inlineStr">
        <is>
          <t>none</t>
        </is>
      </c>
      <c r="I151" t="inlineStr">
        <is>
          <t>linkedin</t>
        </is>
      </c>
      <c r="J151" t="n">
        <v>34</v>
      </c>
      <c r="K151" t="inlineStr">
        <is>
          <t>Tuesday headcount unknown (no sourced count), company size unknown, no attendance signal, occupied at a medium-confidence address; contacts not researched yet (below the top 50).</t>
        </is>
      </c>
      <c r="L151" t="inlineStr">
        <is>
          <t>unknown</t>
        </is>
      </c>
      <c r="M151" t="inlineStr"/>
      <c r="N151" t="inlineStr"/>
      <c r="O151" t="inlineStr"/>
      <c r="P151" t="inlineStr"/>
      <c r="Q151" t="inlineStr"/>
      <c r="R151" t="inlineStr">
        <is>
          <t>N</t>
        </is>
      </c>
      <c r="S151" t="inlineStr">
        <is>
          <t>unknown</t>
        </is>
      </c>
      <c r="T151" t="inlineStr">
        <is>
          <t>N</t>
        </is>
      </c>
      <c r="U151" t="inlineStr">
        <is>
          <t>new</t>
        </is>
      </c>
      <c r="V151" t="inlineStr">
        <is>
          <t>https://www.sec.gov/Archives/edgar/data/1013454/000153949726000704/n5676_x5-424h.htm</t>
        </is>
      </c>
      <c r="W151" t="inlineStr">
        <is>
          <t>2026-10-23</t>
        </is>
      </c>
      <c r="X151" t="inlineStr">
        <is>
          <t>office</t>
        </is>
      </c>
      <c r="Y151" t="inlineStr"/>
      <c r="Z151" t="n">
        <v>150</v>
      </c>
      <c r="AA151" t="inlineStr">
        <is>
          <t>N</t>
        </is>
      </c>
      <c r="AB151" t="inlineStr"/>
      <c r="AC151" t="inlineStr"/>
      <c r="AD151" t="inlineStr">
        <is>
          <t>none</t>
        </is>
      </c>
      <c r="AE151" t="inlineStr"/>
      <c r="AF151" t="inlineStr"/>
      <c r="AG151" t="inlineStr"/>
      <c r="AH151" t="inlineStr">
        <is>
          <t>none</t>
        </is>
      </c>
      <c r="AI151" t="inlineStr">
        <is>
          <t>215 Park Avenue South</t>
        </is>
      </c>
      <c r="AJ151" t="inlineStr">
        <is>
          <t>unknown</t>
        </is>
      </c>
      <c r="AK151" t="inlineStr">
        <is>
          <t>occupied</t>
        </is>
      </c>
      <c r="AL151" t="inlineStr">
        <is>
          <t>unknown</t>
        </is>
      </c>
      <c r="AM151" t="inlineStr">
        <is>
          <t>unknown</t>
        </is>
      </c>
      <c r="AN151" t="inlineStr">
        <is>
          <t>none</t>
        </is>
      </c>
      <c r="AO151" t="inlineStr">
        <is>
          <t>unknown</t>
        </is>
      </c>
      <c r="AP151" t="inlineStr">
        <is>
          <t>AO-C-039</t>
        </is>
      </c>
      <c r="AQ151" t="inlineStr">
        <is>
          <t>N</t>
        </is>
      </c>
      <c r="AR151" t="inlineStr"/>
      <c r="AS151" t="inlineStr"/>
      <c r="AT151" t="inlineStr">
        <is>
          <t>N</t>
        </is>
      </c>
      <c r="AU151" t="inlineStr">
        <is>
          <t>no contact named on an opened page</t>
        </is>
      </c>
      <c r="AV151" t="inlineStr"/>
      <c r="AW151" t="inlineStr">
        <is>
          <t>N</t>
        </is>
      </c>
      <c r="AX151" t="inlineStr">
        <is>
          <t>pass</t>
        </is>
      </c>
      <c r="AY151" t="inlineStr">
        <is>
          <t>passes all hard gates</t>
        </is>
      </c>
      <c r="AZ151" t="inlineStr">
        <is>
          <t>company</t>
        </is>
      </c>
      <c r="BA151" t="inlineStr">
        <is>
          <t>B-C-039</t>
        </is>
      </c>
      <c r="BB151" t="inlineStr">
        <is>
          <t>unknown</t>
        </is>
      </c>
      <c r="BC151" t="inlineStr">
        <is>
          <t>architectural stone and tile supplier</t>
        </is>
      </c>
      <c r="BD151" t="inlineStr">
        <is>
          <t>unknown</t>
        </is>
      </c>
      <c r="BE151" t="inlineStr"/>
      <c r="BF151" t="inlineStr">
        <is>
          <t>unknown</t>
        </is>
      </c>
      <c r="BG151" t="inlineStr">
        <is>
          <t>unknown</t>
        </is>
      </c>
      <c r="BH151" t="inlineStr">
        <is>
          <t>no-count</t>
        </is>
      </c>
      <c r="BI151" t="inlineStr"/>
      <c r="BJ151" t="inlineStr"/>
      <c r="BK151" t="inlineStr">
        <is>
          <t>unknown</t>
        </is>
      </c>
      <c r="BL151" t="inlineStr">
        <is>
          <t>unknown</t>
        </is>
      </c>
      <c r="BM151" t="inlineStr">
        <is>
          <t>unknown</t>
        </is>
      </c>
      <c r="BN151" t="inlineStr">
        <is>
          <t>unknown</t>
        </is>
      </c>
      <c r="BO151" t="inlineStr">
        <is>
          <t>unknown</t>
        </is>
      </c>
      <c r="BP151" t="n">
        <v>10003</v>
      </c>
      <c r="BQ151" t="n">
        <v>40.73686</v>
      </c>
      <c r="BR151" t="n">
        <v>-73.988546</v>
      </c>
      <c r="BS151" t="inlineStr">
        <is>
          <t>Y</t>
        </is>
      </c>
      <c r="BT151" t="n">
        <v>0</v>
      </c>
      <c r="BU151" t="inlineStr">
        <is>
          <t>B-B-016</t>
        </is>
      </c>
      <c r="BV151" t="inlineStr">
        <is>
          <t>215 Park Avenue South (SL Green managed)</t>
        </is>
      </c>
      <c r="BW151" t="inlineStr">
        <is>
          <t>https://www.sec.gov/Archives/edgar/data/1013454/000153949726000704/n5676_x5-424h.htm</t>
        </is>
      </c>
      <c r="BX151" t="inlineStr">
        <is>
          <t>2026-02</t>
        </is>
      </c>
      <c r="BY151" t="inlineStr">
        <is>
          <t>other</t>
        </is>
      </c>
      <c r="BZ151" t="inlineStr"/>
      <c r="CA151" t="inlineStr"/>
      <c r="CB151" t="inlineStr">
        <is>
          <t>cites a sec.gov filing: agents do not open it (EDGAR demands a contact email); the founder may open it in a browser</t>
        </is>
      </c>
      <c r="CC151" t="inlineStr">
        <is>
          <t>medium</t>
        </is>
      </c>
      <c r="CD151" t="inlineStr"/>
      <c r="CE151" t="inlineStr">
        <is>
          <t>N</t>
        </is>
      </c>
      <c r="CF151" t="inlineStr"/>
      <c r="CG151" t="inlineStr"/>
      <c r="CH151" t="inlineStr">
        <is>
          <t>security desk</t>
        </is>
      </c>
      <c r="CI151" t="inlineStr">
        <is>
          <t>https://www.metro-manhattan.com/buildings/215-park-avenue-south/</t>
        </is>
      </c>
      <c r="CJ151" t="inlineStr">
        <is>
          <t>unknown</t>
        </is>
      </c>
      <c r="CK151" t="inlineStr">
        <is>
          <t>N</t>
        </is>
      </c>
      <c r="CL151" t="inlineStr">
        <is>
          <t>unknown</t>
        </is>
      </c>
      <c r="CM151" t="inlineStr"/>
      <c r="CN151" t="inlineStr"/>
      <c r="CO151" t="inlineStr">
        <is>
          <t>unknown</t>
        </is>
      </c>
      <c r="CP151" t="inlineStr"/>
      <c r="CQ151" t="inlineStr">
        <is>
          <t>No sourced headcount, so no Tuesday estimate; ask the Tuesday count at intake.</t>
        </is>
      </c>
      <c r="CR151" t="inlineStr">
        <is>
          <t>estimate until intake replaces it</t>
        </is>
      </c>
      <c r="CS151" t="inlineStr">
        <is>
          <t>unknown</t>
        </is>
      </c>
      <c r="CT151" t="n">
        <v>34</v>
      </c>
      <c r="CU151" t="n">
        <v>7</v>
      </c>
      <c r="CV151" t="n">
        <v>8</v>
      </c>
      <c r="CW151" t="n">
        <v>6</v>
      </c>
      <c r="CX151" t="n">
        <v>13</v>
      </c>
      <c r="CY151" t="n">
        <v>0</v>
      </c>
      <c r="CZ151" t="n">
        <v>0</v>
      </c>
      <c r="DA151" t="inlineStr"/>
      <c r="DB151" t="inlineStr"/>
      <c r="DC151" t="inlineStr"/>
      <c r="DD151" t="inlineStr"/>
      <c r="DE151" t="inlineStr"/>
      <c r="DF151" t="inlineStr">
        <is>
          <t>none</t>
        </is>
      </c>
      <c r="DG151" t="inlineStr">
        <is>
          <t>candidate</t>
        </is>
      </c>
      <c r="DH151" t="inlineStr"/>
      <c r="DI151" t="inlineStr"/>
      <c r="DJ151" t="inlineStr">
        <is>
          <t>19,092 sf</t>
        </is>
      </c>
      <c r="DK151" t="inlineStr">
        <is>
          <t>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L151" t="inlineStr"/>
      <c r="DM151" t="inlineStr"/>
      <c r="DN151" t="inlineStr"/>
      <c r="DO151" t="inlineStr"/>
      <c r="DP151" t="inlineStr"/>
      <c r="DQ151" t="inlineStr"/>
      <c r="DR151" t="inlineStr"/>
      <c r="DS151" t="inlineStr">
        <is>
          <t>none</t>
        </is>
      </c>
      <c r="DT151" t="inlineStr"/>
      <c r="DU151" t="inlineStr"/>
      <c r="DV151" t="inlineStr"/>
      <c r="DW151" t="inlineStr"/>
      <c r="DX151" t="inlineStr">
        <is>
          <t>N</t>
        </is>
      </c>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f>IF(ISNUMBER(MATCH(U151,{"queued","contacted","replied","call_booked","call_done","yes_in_principle","materials_sent"},0)),"Y","N")</f>
        <v/>
      </c>
      <c r="ES151">
        <f>IF(COUNTIFS($AP$2:$AP$1000,AP151,$ER$2:$ER$1000,"Y")+COUNTIFS($AP$2:$AP$1000,AP151,$T$2:$T$1000,"Y")&gt;0,"Y","N")</f>
        <v/>
      </c>
      <c r="ET151">
        <f>IF(AND(U151="new",T151="N",AT151="Y",AS151="",ES151="N"),"Y","N")</f>
        <v/>
      </c>
      <c r="EU151">
        <f>IF(ET151&lt;&gt;"Y","N",IF(COUNTIFS($AP$2:$AP$1000,AP151,$ET$2:$ET$1000,"Y",$J$2:$J$1000,"&gt;"&amp;J151)+COUNTIFS($AP$2:$AP$1000,AP151,$ET$2:$ET$1000,"Y",$J$2:$J$1000,J151,$EW$2:$EW$1000,"&lt;"&amp;EW151)=0,"Y","N"))</f>
        <v/>
      </c>
      <c r="EV151">
        <f>IF(Y151="","N",IF(Y151&lt;=10,"Y","N"))</f>
        <v/>
      </c>
      <c r="EW151">
        <f>ROW()-1</f>
        <v/>
      </c>
    </row>
    <row r="152">
      <c r="A152" t="inlineStr">
        <is>
          <t>AO-C-087</t>
        </is>
      </c>
      <c r="B152" t="inlineStr">
        <is>
          <t>The Information</t>
        </is>
      </c>
      <c r="C152" t="inlineStr"/>
      <c r="D152" t="inlineStr"/>
      <c r="E152" t="inlineStr"/>
      <c r="F152" t="inlineStr"/>
      <c r="G152" t="inlineStr"/>
      <c r="H152" t="inlineStr">
        <is>
          <t>none</t>
        </is>
      </c>
      <c r="I152" t="inlineStr">
        <is>
          <t>linkedin</t>
        </is>
      </c>
      <c r="J152" t="n">
        <v>34</v>
      </c>
      <c r="K152" t="inlineStr">
        <is>
          <t>Tuesday headcount unknown (no sourced count), company size unknown, no attendance signal, occupied at a medium-confidence address; contacts not researched yet (below the top 50).</t>
        </is>
      </c>
      <c r="L152" t="inlineStr">
        <is>
          <t>unknown</t>
        </is>
      </c>
      <c r="M152" t="inlineStr"/>
      <c r="N152" t="inlineStr"/>
      <c r="O152" t="inlineStr"/>
      <c r="P152" t="inlineStr"/>
      <c r="Q152" t="inlineStr"/>
      <c r="R152" t="inlineStr">
        <is>
          <t>N</t>
        </is>
      </c>
      <c r="S152" t="inlineStr">
        <is>
          <t>unknown</t>
        </is>
      </c>
      <c r="T152" t="inlineStr">
        <is>
          <t>N</t>
        </is>
      </c>
      <c r="U152" t="inlineStr">
        <is>
          <t>new</t>
        </is>
      </c>
      <c r="V152" t="inlineStr">
        <is>
          <t>https://www.theinformation.com/about</t>
        </is>
      </c>
      <c r="W152" t="inlineStr">
        <is>
          <t>2026-10-23</t>
        </is>
      </c>
      <c r="X152" t="inlineStr">
        <is>
          <t>office</t>
        </is>
      </c>
      <c r="Y152" t="inlineStr"/>
      <c r="Z152" t="n">
        <v>151</v>
      </c>
      <c r="AA152" t="inlineStr">
        <is>
          <t>N</t>
        </is>
      </c>
      <c r="AB152" t="inlineStr"/>
      <c r="AC152" t="inlineStr"/>
      <c r="AD152" t="inlineStr">
        <is>
          <t>none</t>
        </is>
      </c>
      <c r="AE152" t="inlineStr"/>
      <c r="AF152" t="inlineStr"/>
      <c r="AG152" t="inlineStr"/>
      <c r="AH152" t="inlineStr">
        <is>
          <t>none</t>
        </is>
      </c>
      <c r="AI152" t="inlineStr">
        <is>
          <t>20 West 22nd Street</t>
        </is>
      </c>
      <c r="AJ152" t="inlineStr">
        <is>
          <t>10 (Suite 1006)</t>
        </is>
      </c>
      <c r="AK152" t="inlineStr">
        <is>
          <t>occupied</t>
        </is>
      </c>
      <c r="AL152" t="inlineStr">
        <is>
          <t>unknown</t>
        </is>
      </c>
      <c r="AM152" t="inlineStr">
        <is>
          <t>unknown</t>
        </is>
      </c>
      <c r="AN152" t="inlineStr">
        <is>
          <t>none</t>
        </is>
      </c>
      <c r="AO152" t="inlineStr">
        <is>
          <t>unknown</t>
        </is>
      </c>
      <c r="AP152" t="inlineStr">
        <is>
          <t>AO-C-087</t>
        </is>
      </c>
      <c r="AQ152" t="inlineStr">
        <is>
          <t>N</t>
        </is>
      </c>
      <c r="AR152" t="inlineStr"/>
      <c r="AS152" t="inlineStr"/>
      <c r="AT152" t="inlineStr">
        <is>
          <t>N</t>
        </is>
      </c>
      <c r="AU152" t="inlineStr">
        <is>
          <t>no contact named on an opened page</t>
        </is>
      </c>
      <c r="AV152" t="inlineStr"/>
      <c r="AW152" t="inlineStr">
        <is>
          <t>N</t>
        </is>
      </c>
      <c r="AX152" t="inlineStr">
        <is>
          <t>pass</t>
        </is>
      </c>
      <c r="AY152" t="inlineStr">
        <is>
          <t>passes all hard gates</t>
        </is>
      </c>
      <c r="AZ152" t="inlineStr">
        <is>
          <t>company</t>
        </is>
      </c>
      <c r="BA152" t="inlineStr">
        <is>
          <t>B-C-087</t>
        </is>
      </c>
      <c r="BB152" t="inlineStr">
        <is>
          <t>https://www.theinformation.com</t>
        </is>
      </c>
      <c r="BC152" t="inlineStr">
        <is>
          <t>digital media (tech news)</t>
        </is>
      </c>
      <c r="BD152" t="inlineStr">
        <is>
          <t>unknown</t>
        </is>
      </c>
      <c r="BE152" t="inlineStr"/>
      <c r="BF152" t="inlineStr">
        <is>
          <t>unknown</t>
        </is>
      </c>
      <c r="BG152" t="inlineStr">
        <is>
          <t>unknown</t>
        </is>
      </c>
      <c r="BH152" t="inlineStr">
        <is>
          <t>no-count</t>
        </is>
      </c>
      <c r="BI152" t="inlineStr"/>
      <c r="BJ152" t="inlineStr"/>
      <c r="BK152" t="inlineStr">
        <is>
          <t>unknown</t>
        </is>
      </c>
      <c r="BL152" t="inlineStr">
        <is>
          <t>San Francisco</t>
        </is>
      </c>
      <c r="BM152" t="inlineStr">
        <is>
          <t>N</t>
        </is>
      </c>
      <c r="BN152" t="inlineStr">
        <is>
          <t>unknown</t>
        </is>
      </c>
      <c r="BO152" t="inlineStr">
        <is>
          <t>unknown</t>
        </is>
      </c>
      <c r="BP152" t="n">
        <v>10010</v>
      </c>
      <c r="BQ152" t="n">
        <v>40.74129</v>
      </c>
      <c r="BR152" t="n">
        <v>-73.991589</v>
      </c>
      <c r="BS152" t="inlineStr">
        <is>
          <t>Y</t>
        </is>
      </c>
      <c r="BT152" t="n">
        <v>0</v>
      </c>
      <c r="BU152" t="inlineStr">
        <is>
          <t>B-B-040</t>
        </is>
      </c>
      <c r="BV152" t="inlineStr">
        <is>
          <t>20 West 22nd Street (ABS Partners, managing agent)</t>
        </is>
      </c>
      <c r="BW152" t="inlineStr">
        <is>
          <t>https://www.theinformation.com/about</t>
        </is>
      </c>
      <c r="BX152" t="inlineStr">
        <is>
          <t>2026-10-23</t>
        </is>
      </c>
      <c r="BY152" t="inlineStr">
        <is>
          <t>company-site</t>
        </is>
      </c>
      <c r="BZ152" t="inlineStr">
        <is>
          <t>https://commercialobserver.com/2022/06/the-information-20-west-22nd-street/</t>
        </is>
      </c>
      <c r="CA152" t="inlineStr">
        <is>
          <t>2022-06-15</t>
        </is>
      </c>
      <c r="CB152" t="inlineStr"/>
      <c r="CC152" t="inlineStr">
        <is>
          <t>medium</t>
        </is>
      </c>
      <c r="CD152" t="inlineStr"/>
      <c r="CE152" t="inlineStr">
        <is>
          <t>N</t>
        </is>
      </c>
      <c r="CF152" t="inlineStr"/>
      <c r="CG152" t="inlineStr"/>
      <c r="CH152" t="inlineStr">
        <is>
          <t>security desk</t>
        </is>
      </c>
      <c r="CI152" t="inlineStr">
        <is>
          <t>https://commercialobserver.com/2022/06/the-information-20-west-22nd-street/</t>
        </is>
      </c>
      <c r="CJ152" t="inlineStr">
        <is>
          <t>unknown</t>
        </is>
      </c>
      <c r="CK152" t="inlineStr">
        <is>
          <t>N</t>
        </is>
      </c>
      <c r="CL152" t="inlineStr">
        <is>
          <t>unknown</t>
        </is>
      </c>
      <c r="CM152" t="inlineStr"/>
      <c r="CN152" t="inlineStr"/>
      <c r="CO152" t="inlineStr">
        <is>
          <t>unknown</t>
        </is>
      </c>
      <c r="CP152" t="inlineStr"/>
      <c r="CQ152" t="inlineStr">
        <is>
          <t>No sourced headcount, so no Tuesday estimate; ask the Tuesday count at intake.</t>
        </is>
      </c>
      <c r="CR152" t="inlineStr">
        <is>
          <t>estimate until intake replaces it</t>
        </is>
      </c>
      <c r="CS152" t="inlineStr">
        <is>
          <t>unknown</t>
        </is>
      </c>
      <c r="CT152" t="n">
        <v>34</v>
      </c>
      <c r="CU152" t="n">
        <v>7</v>
      </c>
      <c r="CV152" t="n">
        <v>8</v>
      </c>
      <c r="CW152" t="n">
        <v>6</v>
      </c>
      <c r="CX152" t="n">
        <v>13</v>
      </c>
      <c r="CY152" t="n">
        <v>0</v>
      </c>
      <c r="CZ152" t="n">
        <v>0</v>
      </c>
      <c r="DA152" t="inlineStr"/>
      <c r="DB152" t="inlineStr"/>
      <c r="DC152" t="inlineStr"/>
      <c r="DD152" t="inlineStr"/>
      <c r="DE152" t="inlineStr"/>
      <c r="DF152" t="inlineStr">
        <is>
          <t>none</t>
        </is>
      </c>
      <c r="DG152" t="inlineStr">
        <is>
          <t>candidate</t>
        </is>
      </c>
      <c r="DH152" t="inlineStr"/>
      <c r="DI152" t="inlineStr"/>
      <c r="DJ152" t="inlineStr">
        <is>
          <t>5,830 sf</t>
        </is>
      </c>
      <c r="DK152" t="inlineStr">
        <is>
          <t>About page lists the East Coast Bureau at 20 West 22nd Street, Suite 1006. CO 2022: 5,830 sf on part of the 10th floor. San Francisco HQ; NYC bureau headcount not sourced.</t>
        </is>
      </c>
      <c r="DL152" t="inlineStr"/>
      <c r="DM152" t="inlineStr"/>
      <c r="DN152" t="inlineStr"/>
      <c r="DO152" t="inlineStr"/>
      <c r="DP152" t="inlineStr"/>
      <c r="DQ152" t="inlineStr"/>
      <c r="DR152" t="inlineStr"/>
      <c r="DS152" t="inlineStr">
        <is>
          <t>none</t>
        </is>
      </c>
      <c r="DT152" t="inlineStr"/>
      <c r="DU152" t="inlineStr"/>
      <c r="DV152" t="inlineStr"/>
      <c r="DW152" t="inlineStr"/>
      <c r="DX152" t="inlineStr">
        <is>
          <t>N</t>
        </is>
      </c>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f>IF(ISNUMBER(MATCH(U152,{"queued","contacted","replied","call_booked","call_done","yes_in_principle","materials_sent"},0)),"Y","N")</f>
        <v/>
      </c>
      <c r="ES152">
        <f>IF(COUNTIFS($AP$2:$AP$1000,AP152,$ER$2:$ER$1000,"Y")+COUNTIFS($AP$2:$AP$1000,AP152,$T$2:$T$1000,"Y")&gt;0,"Y","N")</f>
        <v/>
      </c>
      <c r="ET152">
        <f>IF(AND(U152="new",T152="N",AT152="Y",AS152="",ES152="N"),"Y","N")</f>
        <v/>
      </c>
      <c r="EU152">
        <f>IF(ET152&lt;&gt;"Y","N",IF(COUNTIFS($AP$2:$AP$1000,AP152,$ET$2:$ET$1000,"Y",$J$2:$J$1000,"&gt;"&amp;J152)+COUNTIFS($AP$2:$AP$1000,AP152,$ET$2:$ET$1000,"Y",$J$2:$J$1000,J152,$EW$2:$EW$1000,"&lt;"&amp;EW152)=0,"Y","N"))</f>
        <v/>
      </c>
      <c r="EV152">
        <f>IF(Y152="","N",IF(Y152&lt;=10,"Y","N"))</f>
        <v/>
      </c>
      <c r="EW152">
        <f>ROW()-1</f>
        <v/>
      </c>
    </row>
    <row r="153">
      <c r="A153" t="inlineStr">
        <is>
          <t>AO-W-015</t>
        </is>
      </c>
      <c r="B153" t="inlineStr">
        <is>
          <t>The Yard: Flatiron South</t>
        </is>
      </c>
      <c r="C153" t="inlineStr"/>
      <c r="D153" t="inlineStr"/>
      <c r="E153" t="inlineStr"/>
      <c r="F153" t="inlineStr"/>
      <c r="G153" t="inlineStr"/>
      <c r="H153" t="inlineStr">
        <is>
          <t>none</t>
        </is>
      </c>
      <c r="I153" t="inlineStr">
        <is>
          <t>linkedin</t>
        </is>
      </c>
      <c r="J153" t="n">
        <v>34</v>
      </c>
      <c r="K153" t="inlineStr">
        <is>
          <t>Tuesday headcount unknown (no sourced count), coworking operator site (one office if it controls the pantry), no attendance signal, open at a medium-confidence address; contacts not researched yet (below the top 50).</t>
        </is>
      </c>
      <c r="L153" t="inlineStr">
        <is>
          <t>unknown</t>
        </is>
      </c>
      <c r="M153" t="inlineStr"/>
      <c r="N153" t="inlineStr"/>
      <c r="O153" t="inlineStr"/>
      <c r="P153" t="inlineStr"/>
      <c r="Q153" t="inlineStr"/>
      <c r="R153" t="inlineStr">
        <is>
          <t>N</t>
        </is>
      </c>
      <c r="S153" t="inlineStr">
        <is>
          <t>unknown</t>
        </is>
      </c>
      <c r="T153" t="inlineStr">
        <is>
          <t>N</t>
        </is>
      </c>
      <c r="U153" t="inlineStr">
        <is>
          <t>new</t>
        </is>
      </c>
      <c r="V153" t="inlineStr">
        <is>
          <t>https://theyard.com/the-yard-new-york-city/</t>
        </is>
      </c>
      <c r="W153" t="inlineStr">
        <is>
          <t>2026-10-23</t>
        </is>
      </c>
      <c r="X153" t="inlineStr">
        <is>
          <t>office</t>
        </is>
      </c>
      <c r="Y153" t="inlineStr"/>
      <c r="Z153" t="n">
        <v>152</v>
      </c>
      <c r="AA153" t="inlineStr">
        <is>
          <t>N</t>
        </is>
      </c>
      <c r="AB153" t="inlineStr"/>
      <c r="AC153" t="inlineStr"/>
      <c r="AD153" t="inlineStr">
        <is>
          <t>none</t>
        </is>
      </c>
      <c r="AE153" t="inlineStr"/>
      <c r="AF153" t="inlineStr"/>
      <c r="AG153" t="inlineStr"/>
      <c r="AH153" t="inlineStr">
        <is>
          <t>none</t>
        </is>
      </c>
      <c r="AI153" t="inlineStr">
        <is>
          <t>234 Fifth Avenue, 2nd Floor, New York, NY 10001</t>
        </is>
      </c>
      <c r="AJ153" t="inlineStr">
        <is>
          <t>2nd Floor</t>
        </is>
      </c>
      <c r="AK153" t="inlineStr">
        <is>
          <t>open</t>
        </is>
      </c>
      <c r="AL153" t="inlineStr">
        <is>
          <t>unknown</t>
        </is>
      </c>
      <c r="AM153" t="inlineStr">
        <is>
          <t>unknown</t>
        </is>
      </c>
      <c r="AN153" t="inlineStr">
        <is>
          <t>none</t>
        </is>
      </c>
      <c r="AO153" t="inlineStr">
        <is>
          <t>unknown</t>
        </is>
      </c>
      <c r="AP153" t="inlineStr">
        <is>
          <t>AO-W-015</t>
        </is>
      </c>
      <c r="AQ153" t="inlineStr">
        <is>
          <t>N</t>
        </is>
      </c>
      <c r="AR153" t="inlineStr"/>
      <c r="AS153" t="inlineStr"/>
      <c r="AT153" t="inlineStr">
        <is>
          <t>N</t>
        </is>
      </c>
      <c r="AU153" t="inlineStr">
        <is>
          <t>no contact named on an opened page</t>
        </is>
      </c>
      <c r="AV153" t="inlineStr"/>
      <c r="AW153" t="inlineStr">
        <is>
          <t>N</t>
        </is>
      </c>
      <c r="AX153" t="inlineStr">
        <is>
          <t>pass</t>
        </is>
      </c>
      <c r="AY153" t="inlineStr">
        <is>
          <t>passes all hard gates</t>
        </is>
      </c>
      <c r="AZ153" t="inlineStr">
        <is>
          <t>coworking-operator</t>
        </is>
      </c>
      <c r="BA153" t="inlineStr">
        <is>
          <t>B-W-015</t>
        </is>
      </c>
      <c r="BB153" t="inlineStr">
        <is>
          <t>https://theyard.com</t>
        </is>
      </c>
      <c r="BC153" t="inlineStr">
        <is>
          <t>coworking operator</t>
        </is>
      </c>
      <c r="BD153" t="inlineStr">
        <is>
          <t>unknown</t>
        </is>
      </c>
      <c r="BE153" t="inlineStr"/>
      <c r="BF153" t="inlineStr">
        <is>
          <t>unknown</t>
        </is>
      </c>
      <c r="BG153" t="inlineStr">
        <is>
          <t>unknown</t>
        </is>
      </c>
      <c r="BH153" t="inlineStr"/>
      <c r="BI153" t="inlineStr"/>
      <c r="BJ153" t="inlineStr"/>
      <c r="BK153" t="inlineStr">
        <is>
          <t>unknown</t>
        </is>
      </c>
      <c r="BL153" t="inlineStr">
        <is>
          <t>n/a (operator site)</t>
        </is>
      </c>
      <c r="BM153" t="inlineStr">
        <is>
          <t>unknown</t>
        </is>
      </c>
      <c r="BN153" t="inlineStr">
        <is>
          <t>The Yard</t>
        </is>
      </c>
      <c r="BO153" t="inlineStr"/>
      <c r="BP153" t="n">
        <v>10001</v>
      </c>
      <c r="BQ153" t="n">
        <v>40.744243</v>
      </c>
      <c r="BR153" t="n">
        <v>-73.987853</v>
      </c>
      <c r="BS153" t="inlineStr">
        <is>
          <t>Y</t>
        </is>
      </c>
      <c r="BT153" t="n">
        <v>0</v>
      </c>
      <c r="BU153" t="inlineStr"/>
      <c r="BV153" t="inlineStr">
        <is>
          <t>unknown</t>
        </is>
      </c>
      <c r="BW153" t="inlineStr">
        <is>
          <t>https://theyard.com/the-yard-new-york-city/</t>
        </is>
      </c>
      <c r="BX153" t="inlineStr">
        <is>
          <t>2026-10-23</t>
        </is>
      </c>
      <c r="BY153" t="inlineStr">
        <is>
          <t>operator-site</t>
        </is>
      </c>
      <c r="BZ153" t="inlineStr">
        <is>
          <t>https://www.deskpass.com/us-en/ny/new-york-city/coworking-space/nomad</t>
        </is>
      </c>
      <c r="CA153" t="inlineStr"/>
      <c r="CB153" t="inlineStr"/>
      <c r="CC153" t="inlineStr">
        <is>
          <t>medium</t>
        </is>
      </c>
      <c r="CD153" t="inlineStr"/>
      <c r="CE153" t="inlineStr">
        <is>
          <t>N</t>
        </is>
      </c>
      <c r="CF153" t="inlineStr">
        <is>
          <t>B-W-015</t>
        </is>
      </c>
      <c r="CG153" t="inlineStr">
        <is>
          <t>operator</t>
        </is>
      </c>
      <c r="CH153" t="inlineStr">
        <is>
          <t>unknown</t>
        </is>
      </c>
      <c r="CI153" t="inlineStr"/>
      <c r="CJ153" t="inlineStr">
        <is>
          <t>unknown</t>
        </is>
      </c>
      <c r="CK153" t="inlineStr">
        <is>
          <t>N</t>
        </is>
      </c>
      <c r="CL153" t="inlineStr">
        <is>
          <t>unknown</t>
        </is>
      </c>
      <c r="CM153" t="inlineStr"/>
      <c r="CN153" t="inlineStr"/>
      <c r="CO153" t="inlineStr">
        <is>
          <t>unknown</t>
        </is>
      </c>
      <c r="CP153" t="inlineStr"/>
      <c r="CQ153" t="inlineStr">
        <is>
          <t>Coworking site: member headcount not sourced; treat as one office if the operator controls the pantry and ask the Tuesday count at intake.</t>
        </is>
      </c>
      <c r="CR153" t="inlineStr">
        <is>
          <t>estimate until intake replaces it</t>
        </is>
      </c>
      <c r="CS153" t="inlineStr">
        <is>
          <t>unknown</t>
        </is>
      </c>
      <c r="CT153" t="n">
        <v>34</v>
      </c>
      <c r="CU153" t="n">
        <v>7</v>
      </c>
      <c r="CV153" t="n">
        <v>8</v>
      </c>
      <c r="CW153" t="n">
        <v>6</v>
      </c>
      <c r="CX153" t="n">
        <v>13</v>
      </c>
      <c r="CY153" t="n">
        <v>0</v>
      </c>
      <c r="CZ153" t="n">
        <v>0</v>
      </c>
      <c r="DA153" t="inlineStr"/>
      <c r="DB153" t="inlineStr"/>
      <c r="DC153" t="inlineStr"/>
      <c r="DD153" t="inlineStr"/>
      <c r="DE153" t="inlineStr"/>
      <c r="DF153" t="inlineStr">
        <is>
          <t>none</t>
        </is>
      </c>
      <c r="DG153" t="inlineStr">
        <is>
          <t>coworking-operator</t>
        </is>
      </c>
      <c r="DH153" t="inlineStr"/>
      <c r="DI153" t="inlineStr"/>
      <c r="DJ153" t="inlineStr"/>
      <c r="DK153" t="inlineStr">
        <is>
          <t>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is>
      </c>
      <c r="DL153" t="inlineStr"/>
      <c r="DM153" t="inlineStr"/>
      <c r="DN153" t="inlineStr"/>
      <c r="DO153" t="inlineStr"/>
      <c r="DP153" t="inlineStr"/>
      <c r="DQ153" t="inlineStr"/>
      <c r="DR153" t="inlineStr"/>
      <c r="DS153" t="inlineStr">
        <is>
          <t>none</t>
        </is>
      </c>
      <c r="DT153" t="inlineStr"/>
      <c r="DU153" t="inlineStr"/>
      <c r="DV153" t="inlineStr"/>
      <c r="DW153" t="inlineStr"/>
      <c r="DX153" t="inlineStr">
        <is>
          <t>N</t>
        </is>
      </c>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f>IF(ISNUMBER(MATCH(U153,{"queued","contacted","replied","call_booked","call_done","yes_in_principle","materials_sent"},0)),"Y","N")</f>
        <v/>
      </c>
      <c r="ES153">
        <f>IF(COUNTIFS($AP$2:$AP$1000,AP153,$ER$2:$ER$1000,"Y")+COUNTIFS($AP$2:$AP$1000,AP153,$T$2:$T$1000,"Y")&gt;0,"Y","N")</f>
        <v/>
      </c>
      <c r="ET153">
        <f>IF(AND(U153="new",T153="N",AT153="Y",AS153="",ES153="N"),"Y","N")</f>
        <v/>
      </c>
      <c r="EU153">
        <f>IF(ET153&lt;&gt;"Y","N",IF(COUNTIFS($AP$2:$AP$1000,AP153,$ET$2:$ET$1000,"Y",$J$2:$J$1000,"&gt;"&amp;J153)+COUNTIFS($AP$2:$AP$1000,AP153,$ET$2:$ET$1000,"Y",$J$2:$J$1000,J153,$EW$2:$EW$1000,"&lt;"&amp;EW153)=0,"Y","N"))</f>
        <v/>
      </c>
      <c r="EV153">
        <f>IF(Y153="","N",IF(Y153&lt;=10,"Y","N"))</f>
        <v/>
      </c>
      <c r="EW153">
        <f>ROW()-1</f>
        <v/>
      </c>
    </row>
    <row r="154">
      <c r="A154" t="inlineStr">
        <is>
          <t>AO-C-080</t>
        </is>
      </c>
      <c r="B154" t="inlineStr">
        <is>
          <t>Varley</t>
        </is>
      </c>
      <c r="C154" t="inlineStr"/>
      <c r="D154" t="inlineStr"/>
      <c r="E154" t="inlineStr"/>
      <c r="F154" t="inlineStr"/>
      <c r="G154" t="inlineStr"/>
      <c r="H154" t="inlineStr">
        <is>
          <t>none</t>
        </is>
      </c>
      <c r="I154" t="inlineStr">
        <is>
          <t>linkedin</t>
        </is>
      </c>
      <c r="J154" t="n">
        <v>34</v>
      </c>
      <c r="K154" t="inlineStr">
        <is>
          <t>Tuesday headcount unknown (no sourced count), company size unknown, no attendance signal, occupied at a medium-confidence address; contacts not researched yet (below the top 50).</t>
        </is>
      </c>
      <c r="L154" t="inlineStr">
        <is>
          <t>unknown</t>
        </is>
      </c>
      <c r="M154" t="inlineStr"/>
      <c r="N154" t="inlineStr"/>
      <c r="O154" t="inlineStr"/>
      <c r="P154" t="inlineStr"/>
      <c r="Q154" t="inlineStr"/>
      <c r="R154" t="inlineStr">
        <is>
          <t>N</t>
        </is>
      </c>
      <c r="S154" t="inlineStr">
        <is>
          <t>unknown</t>
        </is>
      </c>
      <c r="T154" t="inlineStr">
        <is>
          <t>N</t>
        </is>
      </c>
      <c r="U154" t="inlineStr">
        <is>
          <t>new</t>
        </is>
      </c>
      <c r="V154" t="inlineStr">
        <is>
          <t>https://commercialobserver.com/2025/04/vitesse-psp-lease-155-fifth-avenue/</t>
        </is>
      </c>
      <c r="W154" t="inlineStr">
        <is>
          <t>2026-10-23</t>
        </is>
      </c>
      <c r="X154" t="inlineStr">
        <is>
          <t>office</t>
        </is>
      </c>
      <c r="Y154" t="inlineStr"/>
      <c r="Z154" t="n">
        <v>153</v>
      </c>
      <c r="AA154" t="inlineStr">
        <is>
          <t>N</t>
        </is>
      </c>
      <c r="AB154" t="inlineStr"/>
      <c r="AC154" t="inlineStr"/>
      <c r="AD154" t="inlineStr">
        <is>
          <t>none</t>
        </is>
      </c>
      <c r="AE154" t="inlineStr"/>
      <c r="AF154" t="inlineStr"/>
      <c r="AG154" t="inlineStr"/>
      <c r="AH154" t="inlineStr">
        <is>
          <t>none</t>
        </is>
      </c>
      <c r="AI154" t="inlineStr">
        <is>
          <t>155 Fifth Avenue</t>
        </is>
      </c>
      <c r="AJ154" t="inlineStr">
        <is>
          <t>unknown</t>
        </is>
      </c>
      <c r="AK154" t="inlineStr">
        <is>
          <t>occupied</t>
        </is>
      </c>
      <c r="AL154" t="inlineStr">
        <is>
          <t>unknown</t>
        </is>
      </c>
      <c r="AM154" t="inlineStr">
        <is>
          <t>unknown</t>
        </is>
      </c>
      <c r="AN154" t="inlineStr">
        <is>
          <t>none</t>
        </is>
      </c>
      <c r="AO154" t="inlineStr">
        <is>
          <t>unknown</t>
        </is>
      </c>
      <c r="AP154" t="inlineStr">
        <is>
          <t>AO-C-080</t>
        </is>
      </c>
      <c r="AQ154" t="inlineStr">
        <is>
          <t>N</t>
        </is>
      </c>
      <c r="AR154" t="inlineStr"/>
      <c r="AS154" t="inlineStr"/>
      <c r="AT154" t="inlineStr">
        <is>
          <t>N</t>
        </is>
      </c>
      <c r="AU154" t="inlineStr">
        <is>
          <t>no contact named on an opened page</t>
        </is>
      </c>
      <c r="AV154" t="inlineStr"/>
      <c r="AW154" t="inlineStr">
        <is>
          <t>N</t>
        </is>
      </c>
      <c r="AX154" t="inlineStr">
        <is>
          <t>pass</t>
        </is>
      </c>
      <c r="AY154" t="inlineStr">
        <is>
          <t>passes all hard gates</t>
        </is>
      </c>
      <c r="AZ154" t="inlineStr">
        <is>
          <t>company</t>
        </is>
      </c>
      <c r="BA154" t="inlineStr">
        <is>
          <t>B-C-080</t>
        </is>
      </c>
      <c r="BB154" t="inlineStr">
        <is>
          <t>https://www.varley.com</t>
        </is>
      </c>
      <c r="BC154" t="inlineStr">
        <is>
          <t>fashion brand (offices)</t>
        </is>
      </c>
      <c r="BD154" t="inlineStr">
        <is>
          <t>unknown</t>
        </is>
      </c>
      <c r="BE154" t="inlineStr"/>
      <c r="BF154" t="inlineStr">
        <is>
          <t>unknown</t>
        </is>
      </c>
      <c r="BG154" t="inlineStr">
        <is>
          <t>unknown</t>
        </is>
      </c>
      <c r="BH154" t="inlineStr">
        <is>
          <t>no-count</t>
        </is>
      </c>
      <c r="BI154" t="inlineStr"/>
      <c r="BJ154" t="inlineStr"/>
      <c r="BK154" t="inlineStr">
        <is>
          <t>unknown</t>
        </is>
      </c>
      <c r="BL154" t="inlineStr">
        <is>
          <t>unknown</t>
        </is>
      </c>
      <c r="BM154" t="inlineStr">
        <is>
          <t>unknown</t>
        </is>
      </c>
      <c r="BN154" t="inlineStr">
        <is>
          <t>unknown</t>
        </is>
      </c>
      <c r="BO154" t="inlineStr">
        <is>
          <t>unknown</t>
        </is>
      </c>
      <c r="BP154" t="n">
        <v>10010</v>
      </c>
      <c r="BQ154" t="n">
        <v>40.740438</v>
      </c>
      <c r="BR154" t="n">
        <v>-73.99003399999999</v>
      </c>
      <c r="BS154" t="inlineStr">
        <is>
          <t>Y</t>
        </is>
      </c>
      <c r="BT154" t="n">
        <v>0</v>
      </c>
      <c r="BU154" t="inlineStr">
        <is>
          <t>B-B-037</t>
        </is>
      </c>
      <c r="BV154" t="inlineStr">
        <is>
          <t>Scribner Building</t>
        </is>
      </c>
      <c r="BW154" t="inlineStr">
        <is>
          <t>https://commercialobserver.com/2025/04/vitesse-psp-lease-155-fifth-avenue/</t>
        </is>
      </c>
      <c r="BX154" t="inlineStr">
        <is>
          <t>2025-04-25</t>
        </is>
      </c>
      <c r="BY154" t="inlineStr">
        <is>
          <t>leasing-press</t>
        </is>
      </c>
      <c r="BZ154" t="inlineStr"/>
      <c r="CA154" t="inlineStr"/>
      <c r="CB154" t="inlineStr"/>
      <c r="CC154" t="inlineStr">
        <is>
          <t>medium</t>
        </is>
      </c>
      <c r="CD154" t="inlineStr"/>
      <c r="CE154" t="inlineStr">
        <is>
          <t>N</t>
        </is>
      </c>
      <c r="CF154" t="inlineStr"/>
      <c r="CG154" t="inlineStr"/>
      <c r="CH154" t="inlineStr">
        <is>
          <t>unknown</t>
        </is>
      </c>
      <c r="CI154" t="inlineStr"/>
      <c r="CJ154" t="inlineStr">
        <is>
          <t>unknown</t>
        </is>
      </c>
      <c r="CK154" t="inlineStr">
        <is>
          <t>N</t>
        </is>
      </c>
      <c r="CL154" t="inlineStr">
        <is>
          <t>unknown</t>
        </is>
      </c>
      <c r="CM154" t="inlineStr"/>
      <c r="CN154" t="inlineStr"/>
      <c r="CO154" t="inlineStr">
        <is>
          <t>unknown</t>
        </is>
      </c>
      <c r="CP154" t="inlineStr"/>
      <c r="CQ154" t="inlineStr">
        <is>
          <t>No sourced headcount, so no Tuesday estimate; ask the Tuesday count at intake.</t>
        </is>
      </c>
      <c r="CR154" t="inlineStr">
        <is>
          <t>estimate until intake replaces it</t>
        </is>
      </c>
      <c r="CS154" t="inlineStr">
        <is>
          <t>unknown</t>
        </is>
      </c>
      <c r="CT154" t="n">
        <v>34</v>
      </c>
      <c r="CU154" t="n">
        <v>7</v>
      </c>
      <c r="CV154" t="n">
        <v>8</v>
      </c>
      <c r="CW154" t="n">
        <v>6</v>
      </c>
      <c r="CX154" t="n">
        <v>13</v>
      </c>
      <c r="CY154" t="n">
        <v>0</v>
      </c>
      <c r="CZ154" t="n">
        <v>0</v>
      </c>
      <c r="DA154" t="inlineStr"/>
      <c r="DB154" t="inlineStr"/>
      <c r="DC154" t="inlineStr"/>
      <c r="DD154" t="inlineStr"/>
      <c r="DE154" t="inlineStr"/>
      <c r="DF154" t="inlineStr">
        <is>
          <t>none</t>
        </is>
      </c>
      <c r="DG154" t="inlineStr">
        <is>
          <t>candidate</t>
        </is>
      </c>
      <c r="DH154" t="inlineStr"/>
      <c r="DI154" t="inlineStr"/>
      <c r="DJ154" t="inlineStr"/>
      <c r="DK154" t="inlineStr">
        <is>
          <t>CO lists 'the offices of fashion retailer Varley' as the only other tenant at 155 Fifth. Contact page opened shows no address.</t>
        </is>
      </c>
      <c r="DL154" t="inlineStr"/>
      <c r="DM154" t="inlineStr"/>
      <c r="DN154" t="inlineStr"/>
      <c r="DO154" t="inlineStr"/>
      <c r="DP154" t="inlineStr"/>
      <c r="DQ154" t="inlineStr"/>
      <c r="DR154" t="inlineStr"/>
      <c r="DS154" t="inlineStr">
        <is>
          <t>none</t>
        </is>
      </c>
      <c r="DT154" t="inlineStr"/>
      <c r="DU154" t="inlineStr"/>
      <c r="DV154" t="inlineStr"/>
      <c r="DW154" t="inlineStr"/>
      <c r="DX154" t="inlineStr">
        <is>
          <t>N</t>
        </is>
      </c>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f>IF(ISNUMBER(MATCH(U154,{"queued","contacted","replied","call_booked","call_done","yes_in_principle","materials_sent"},0)),"Y","N")</f>
        <v/>
      </c>
      <c r="ES154">
        <f>IF(COUNTIFS($AP$2:$AP$1000,AP154,$ER$2:$ER$1000,"Y")+COUNTIFS($AP$2:$AP$1000,AP154,$T$2:$T$1000,"Y")&gt;0,"Y","N")</f>
        <v/>
      </c>
      <c r="ET154">
        <f>IF(AND(U154="new",T154="N",AT154="Y",AS154="",ES154="N"),"Y","N")</f>
        <v/>
      </c>
      <c r="EU154">
        <f>IF(ET154&lt;&gt;"Y","N",IF(COUNTIFS($AP$2:$AP$1000,AP154,$ET$2:$ET$1000,"Y",$J$2:$J$1000,"&gt;"&amp;J154)+COUNTIFS($AP$2:$AP$1000,AP154,$ET$2:$ET$1000,"Y",$J$2:$J$1000,J154,$EW$2:$EW$1000,"&lt;"&amp;EW154)=0,"Y","N"))</f>
        <v/>
      </c>
      <c r="EV154">
        <f>IF(Y154="","N",IF(Y154&lt;=10,"Y","N"))</f>
        <v/>
      </c>
      <c r="EW154">
        <f>ROW()-1</f>
        <v/>
      </c>
    </row>
    <row r="155">
      <c r="A155" t="inlineStr">
        <is>
          <t>AO-C-026</t>
        </is>
      </c>
      <c r="B155" t="inlineStr">
        <is>
          <t>Walleye Financial</t>
        </is>
      </c>
      <c r="C155" t="inlineStr"/>
      <c r="D155" t="inlineStr"/>
      <c r="E155" t="inlineStr"/>
      <c r="F155" t="inlineStr"/>
      <c r="G155" t="inlineStr"/>
      <c r="H155" t="inlineStr">
        <is>
          <t>none</t>
        </is>
      </c>
      <c r="I155" t="inlineStr">
        <is>
          <t>linkedin</t>
        </is>
      </c>
      <c r="J155" t="n">
        <v>34</v>
      </c>
      <c r="K155" t="inlineStr">
        <is>
          <t>Tuesday headcount unknown (no sourced count), company size unknown, no attendance signal, occupied at a medium-confidence address; contacts not researched yet (below the top 50).</t>
        </is>
      </c>
      <c r="L155" t="inlineStr">
        <is>
          <t>unknown</t>
        </is>
      </c>
      <c r="M155" t="inlineStr"/>
      <c r="N155" t="inlineStr"/>
      <c r="O155" t="inlineStr"/>
      <c r="P155" t="inlineStr"/>
      <c r="Q155" t="inlineStr"/>
      <c r="R155" t="inlineStr">
        <is>
          <t>N</t>
        </is>
      </c>
      <c r="S155" t="inlineStr">
        <is>
          <t>unknown</t>
        </is>
      </c>
      <c r="T155" t="inlineStr">
        <is>
          <t>N</t>
        </is>
      </c>
      <c r="U155" t="inlineStr">
        <is>
          <t>new</t>
        </is>
      </c>
      <c r="V155" t="inlineStr">
        <is>
          <t>https://commercialobserver.com/2026/10/eagle-ai-lease-office-120-fifth-avenue/</t>
        </is>
      </c>
      <c r="W155" t="inlineStr">
        <is>
          <t>2026-10-23</t>
        </is>
      </c>
      <c r="X155" t="inlineStr">
        <is>
          <t>office</t>
        </is>
      </c>
      <c r="Y155" t="inlineStr"/>
      <c r="Z155" t="n">
        <v>154</v>
      </c>
      <c r="AA155" t="inlineStr">
        <is>
          <t>N</t>
        </is>
      </c>
      <c r="AB155" t="inlineStr"/>
      <c r="AC155" t="inlineStr"/>
      <c r="AD155" t="inlineStr">
        <is>
          <t>none</t>
        </is>
      </c>
      <c r="AE155" t="inlineStr"/>
      <c r="AF155" t="inlineStr"/>
      <c r="AG155" t="inlineStr"/>
      <c r="AH155" t="inlineStr">
        <is>
          <t>none</t>
        </is>
      </c>
      <c r="AI155" t="inlineStr">
        <is>
          <t>120 Fifth Avenue</t>
        </is>
      </c>
      <c r="AJ155" t="inlineStr">
        <is>
          <t>unknown</t>
        </is>
      </c>
      <c r="AK155" t="inlineStr">
        <is>
          <t>occupied</t>
        </is>
      </c>
      <c r="AL155" t="inlineStr">
        <is>
          <t>unknown</t>
        </is>
      </c>
      <c r="AM155" t="inlineStr">
        <is>
          <t>unknown</t>
        </is>
      </c>
      <c r="AN155" t="inlineStr">
        <is>
          <t>none</t>
        </is>
      </c>
      <c r="AO155" t="inlineStr">
        <is>
          <t>unknown</t>
        </is>
      </c>
      <c r="AP155" t="inlineStr">
        <is>
          <t>AO-C-026</t>
        </is>
      </c>
      <c r="AQ155" t="inlineStr">
        <is>
          <t>N</t>
        </is>
      </c>
      <c r="AR155" t="inlineStr"/>
      <c r="AS155" t="inlineStr"/>
      <c r="AT155" t="inlineStr">
        <is>
          <t>N</t>
        </is>
      </c>
      <c r="AU155" t="inlineStr">
        <is>
          <t>no contact named on an opened page</t>
        </is>
      </c>
      <c r="AV155" t="inlineStr"/>
      <c r="AW155" t="inlineStr">
        <is>
          <t>N</t>
        </is>
      </c>
      <c r="AX155" t="inlineStr">
        <is>
          <t>pass</t>
        </is>
      </c>
      <c r="AY155" t="inlineStr">
        <is>
          <t>passes all hard gates</t>
        </is>
      </c>
      <c r="AZ155" t="inlineStr">
        <is>
          <t>company</t>
        </is>
      </c>
      <c r="BA155" t="inlineStr">
        <is>
          <t>B-C-026</t>
        </is>
      </c>
      <c r="BB155" t="inlineStr">
        <is>
          <t>unknown</t>
        </is>
      </c>
      <c r="BC155" t="inlineStr">
        <is>
          <t>investment firm</t>
        </is>
      </c>
      <c r="BD155" t="inlineStr">
        <is>
          <t>unknown</t>
        </is>
      </c>
      <c r="BE155" t="inlineStr"/>
      <c r="BF155" t="inlineStr">
        <is>
          <t>unknown</t>
        </is>
      </c>
      <c r="BG155" t="inlineStr">
        <is>
          <t>unknown</t>
        </is>
      </c>
      <c r="BH155" t="inlineStr">
        <is>
          <t>no-count</t>
        </is>
      </c>
      <c r="BI155" t="inlineStr"/>
      <c r="BJ155" t="inlineStr"/>
      <c r="BK155" t="inlineStr">
        <is>
          <t>unknown</t>
        </is>
      </c>
      <c r="BL155" t="inlineStr">
        <is>
          <t>unknown</t>
        </is>
      </c>
      <c r="BM155" t="inlineStr">
        <is>
          <t>unknown</t>
        </is>
      </c>
      <c r="BN155" t="inlineStr">
        <is>
          <t>unknown</t>
        </is>
      </c>
      <c r="BO155" t="inlineStr">
        <is>
          <t>unknown</t>
        </is>
      </c>
      <c r="BP155" t="n">
        <v>10011</v>
      </c>
      <c r="BQ155" t="n">
        <v>40.738186</v>
      </c>
      <c r="BR155" t="n">
        <v>-73.992429</v>
      </c>
      <c r="BS155" t="inlineStr">
        <is>
          <t>Y</t>
        </is>
      </c>
      <c r="BT155" t="n">
        <v>0</v>
      </c>
      <c r="BU155" t="inlineStr">
        <is>
          <t>B-B-010</t>
        </is>
      </c>
      <c r="BV155" t="inlineStr">
        <is>
          <t>120 Fifth Avenue</t>
        </is>
      </c>
      <c r="BW155" t="inlineStr">
        <is>
          <t>https://commercialobserver.com/2026/10/eagle-ai-lease-office-120-fifth-avenue/</t>
        </is>
      </c>
      <c r="BX155" t="inlineStr">
        <is>
          <t>2026-10-19</t>
        </is>
      </c>
      <c r="BY155" t="inlineStr">
        <is>
          <t>leasing-press</t>
        </is>
      </c>
      <c r="BZ155" t="inlineStr"/>
      <c r="CA155" t="inlineStr"/>
      <c r="CB155" t="inlineStr"/>
      <c r="CC155" t="inlineStr">
        <is>
          <t>medium</t>
        </is>
      </c>
      <c r="CD155" t="inlineStr"/>
      <c r="CE155" t="inlineStr">
        <is>
          <t>N</t>
        </is>
      </c>
      <c r="CF155" t="inlineStr"/>
      <c r="CG155" t="inlineStr"/>
      <c r="CH155" t="inlineStr">
        <is>
          <t>unknown</t>
        </is>
      </c>
      <c r="CI155" t="inlineStr"/>
      <c r="CJ155" t="inlineStr">
        <is>
          <t>unknown</t>
        </is>
      </c>
      <c r="CK155" t="inlineStr">
        <is>
          <t>N</t>
        </is>
      </c>
      <c r="CL155" t="inlineStr">
        <is>
          <t>unknown</t>
        </is>
      </c>
      <c r="CM155" t="inlineStr"/>
      <c r="CN155" t="inlineStr"/>
      <c r="CO155" t="inlineStr">
        <is>
          <t>unknown</t>
        </is>
      </c>
      <c r="CP155" t="inlineStr"/>
      <c r="CQ155" t="inlineStr">
        <is>
          <t>No sourced headcount, so no Tuesday estimate; ask the Tuesday count at intake.</t>
        </is>
      </c>
      <c r="CR155" t="inlineStr">
        <is>
          <t>estimate until intake replaces it</t>
        </is>
      </c>
      <c r="CS155" t="inlineStr">
        <is>
          <t>unknown</t>
        </is>
      </c>
      <c r="CT155" t="n">
        <v>34</v>
      </c>
      <c r="CU155" t="n">
        <v>7</v>
      </c>
      <c r="CV155" t="n">
        <v>8</v>
      </c>
      <c r="CW155" t="n">
        <v>6</v>
      </c>
      <c r="CX155" t="n">
        <v>13</v>
      </c>
      <c r="CY155" t="n">
        <v>0</v>
      </c>
      <c r="CZ155" t="n">
        <v>0</v>
      </c>
      <c r="DA155" t="inlineStr"/>
      <c r="DB155" t="inlineStr"/>
      <c r="DC155" t="inlineStr"/>
      <c r="DD155" t="inlineStr"/>
      <c r="DE155" t="inlineStr"/>
      <c r="DF155" t="inlineStr">
        <is>
          <t>none</t>
        </is>
      </c>
      <c r="DG155" t="inlineStr">
        <is>
          <t>candidate</t>
        </is>
      </c>
      <c r="DH155" t="inlineStr"/>
      <c r="DI155" t="inlineStr"/>
      <c r="DJ155" t="inlineStr"/>
      <c r="DK155" t="inlineStr">
        <is>
          <t>Named 'investment firm Walleye Financial' in CO 2026-10-19. Not confirmed whether this is the same firm as Walleye Capital (Built In: 181 employees, HQ Plymouth MN); headcount left unknown.</t>
        </is>
      </c>
      <c r="DL155" t="inlineStr"/>
      <c r="DM155" t="inlineStr"/>
      <c r="DN155" t="inlineStr"/>
      <c r="DO155" t="inlineStr"/>
      <c r="DP155" t="inlineStr"/>
      <c r="DQ155" t="inlineStr"/>
      <c r="DR155" t="inlineStr"/>
      <c r="DS155" t="inlineStr">
        <is>
          <t>none</t>
        </is>
      </c>
      <c r="DT155" t="inlineStr"/>
      <c r="DU155" t="inlineStr"/>
      <c r="DV155" t="inlineStr"/>
      <c r="DW155" t="inlineStr"/>
      <c r="DX155" t="inlineStr">
        <is>
          <t>N</t>
        </is>
      </c>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f>IF(ISNUMBER(MATCH(U155,{"queued","contacted","replied","call_booked","call_done","yes_in_principle","materials_sent"},0)),"Y","N")</f>
        <v/>
      </c>
      <c r="ES155">
        <f>IF(COUNTIFS($AP$2:$AP$1000,AP155,$ER$2:$ER$1000,"Y")+COUNTIFS($AP$2:$AP$1000,AP155,$T$2:$T$1000,"Y")&gt;0,"Y","N")</f>
        <v/>
      </c>
      <c r="ET155">
        <f>IF(AND(U155="new",T155="N",AT155="Y",AS155="",ES155="N"),"Y","N")</f>
        <v/>
      </c>
      <c r="EU155">
        <f>IF(ET155&lt;&gt;"Y","N",IF(COUNTIFS($AP$2:$AP$1000,AP155,$ET$2:$ET$1000,"Y",$J$2:$J$1000,"&gt;"&amp;J155)+COUNTIFS($AP$2:$AP$1000,AP155,$ET$2:$ET$1000,"Y",$J$2:$J$1000,J155,$EW$2:$EW$1000,"&lt;"&amp;EW155)=0,"Y","N"))</f>
        <v/>
      </c>
      <c r="EV155">
        <f>IF(Y155="","N",IF(Y155&lt;=10,"Y","N"))</f>
        <v/>
      </c>
      <c r="EW155">
        <f>ROW()-1</f>
        <v/>
      </c>
    </row>
    <row r="156">
      <c r="A156" t="inlineStr">
        <is>
          <t>AO-W-004</t>
        </is>
      </c>
      <c r="B156" t="inlineStr">
        <is>
          <t>WeWork 18 West 18th Street</t>
        </is>
      </c>
      <c r="C156" t="inlineStr"/>
      <c r="D156" t="inlineStr"/>
      <c r="E156" t="inlineStr"/>
      <c r="F156" t="inlineStr"/>
      <c r="G156" t="inlineStr"/>
      <c r="H156" t="inlineStr">
        <is>
          <t>none</t>
        </is>
      </c>
      <c r="I156" t="inlineStr">
        <is>
          <t>linkedin</t>
        </is>
      </c>
      <c r="J156" t="n">
        <v>34</v>
      </c>
      <c r="K156" t="inlineStr">
        <is>
          <t>Tuesday headcount unknown (no sourced count), coworking operator site (one office if it controls the pantry), no attendance signal, open at a medium-confidence address; contacts not researched yet (below the top 50).</t>
        </is>
      </c>
      <c r="L156" t="inlineStr">
        <is>
          <t>unknown</t>
        </is>
      </c>
      <c r="M156" t="inlineStr"/>
      <c r="N156" t="inlineStr"/>
      <c r="O156" t="inlineStr"/>
      <c r="P156" t="inlineStr"/>
      <c r="Q156" t="inlineStr"/>
      <c r="R156" t="inlineStr">
        <is>
          <t>N</t>
        </is>
      </c>
      <c r="S156" t="inlineStr">
        <is>
          <t>unknown</t>
        </is>
      </c>
      <c r="T156" t="inlineStr">
        <is>
          <t>N</t>
        </is>
      </c>
      <c r="U156" t="inlineStr">
        <is>
          <t>new</t>
        </is>
      </c>
      <c r="V156" t="inlineStr">
        <is>
          <t>https://www.wework.com/buildings/18-west-18th-street--new-york-city--NY</t>
        </is>
      </c>
      <c r="W156" t="inlineStr">
        <is>
          <t>2026-10-23</t>
        </is>
      </c>
      <c r="X156" t="inlineStr">
        <is>
          <t>office</t>
        </is>
      </c>
      <c r="Y156" t="inlineStr"/>
      <c r="Z156" t="n">
        <v>155</v>
      </c>
      <c r="AA156" t="inlineStr">
        <is>
          <t>N</t>
        </is>
      </c>
      <c r="AB156" t="inlineStr"/>
      <c r="AC156" t="inlineStr"/>
      <c r="AD156" t="inlineStr">
        <is>
          <t>none</t>
        </is>
      </c>
      <c r="AE156" t="inlineStr"/>
      <c r="AF156" t="inlineStr"/>
      <c r="AG156" t="inlineStr"/>
      <c r="AH156" t="inlineStr">
        <is>
          <t>none</t>
        </is>
      </c>
      <c r="AI156" t="inlineStr">
        <is>
          <t>18 West 18th Street, New York, NY 10011</t>
        </is>
      </c>
      <c r="AJ156" t="inlineStr">
        <is>
          <t>unknown</t>
        </is>
      </c>
      <c r="AK156" t="inlineStr">
        <is>
          <t>open</t>
        </is>
      </c>
      <c r="AL156" t="inlineStr">
        <is>
          <t>unknown</t>
        </is>
      </c>
      <c r="AM156" t="inlineStr">
        <is>
          <t>unknown</t>
        </is>
      </c>
      <c r="AN156" t="inlineStr">
        <is>
          <t>none</t>
        </is>
      </c>
      <c r="AO156" t="inlineStr">
        <is>
          <t>unknown</t>
        </is>
      </c>
      <c r="AP156" t="inlineStr">
        <is>
          <t>grp-W004-W018-W020-W024-W026-W029</t>
        </is>
      </c>
      <c r="AQ156" t="inlineStr">
        <is>
          <t>N</t>
        </is>
      </c>
      <c r="AR156" t="inlineStr"/>
      <c r="AS156" t="inlineStr"/>
      <c r="AT156" t="inlineStr">
        <is>
          <t>N</t>
        </is>
      </c>
      <c r="AU156" t="inlineStr">
        <is>
          <t>no contact named on an opened page</t>
        </is>
      </c>
      <c r="AV156" t="inlineStr"/>
      <c r="AW156" t="inlineStr">
        <is>
          <t>N</t>
        </is>
      </c>
      <c r="AX156" t="inlineStr">
        <is>
          <t>pass</t>
        </is>
      </c>
      <c r="AY156" t="inlineStr">
        <is>
          <t>passes all hard gates</t>
        </is>
      </c>
      <c r="AZ156" t="inlineStr">
        <is>
          <t>coworking-operator</t>
        </is>
      </c>
      <c r="BA156" t="inlineStr">
        <is>
          <t>B-W-004</t>
        </is>
      </c>
      <c r="BB156" t="inlineStr">
        <is>
          <t>https://www.wework.com</t>
        </is>
      </c>
      <c r="BC156" t="inlineStr">
        <is>
          <t>coworking operator</t>
        </is>
      </c>
      <c r="BD156" t="inlineStr">
        <is>
          <t>unknown</t>
        </is>
      </c>
      <c r="BE156" t="inlineStr"/>
      <c r="BF156" t="inlineStr">
        <is>
          <t>unknown</t>
        </is>
      </c>
      <c r="BG156" t="inlineStr">
        <is>
          <t>unknown</t>
        </is>
      </c>
      <c r="BH156" t="inlineStr"/>
      <c r="BI156" t="inlineStr"/>
      <c r="BJ156" t="inlineStr"/>
      <c r="BK156" t="inlineStr">
        <is>
          <t>unknown</t>
        </is>
      </c>
      <c r="BL156" t="inlineStr">
        <is>
          <t>n/a (operator site)</t>
        </is>
      </c>
      <c r="BM156" t="inlineStr">
        <is>
          <t>unknown</t>
        </is>
      </c>
      <c r="BN156" t="inlineStr">
        <is>
          <t>WeWork</t>
        </is>
      </c>
      <c r="BO156" t="inlineStr"/>
      <c r="BP156" t="n">
        <v>10011</v>
      </c>
      <c r="BQ156" t="n">
        <v>40.738939</v>
      </c>
      <c r="BR156" t="n">
        <v>-73.993331</v>
      </c>
      <c r="BS156" t="inlineStr">
        <is>
          <t>Y</t>
        </is>
      </c>
      <c r="BT156" t="n">
        <v>0</v>
      </c>
      <c r="BU156" t="inlineStr">
        <is>
          <t>B-B-014</t>
        </is>
      </c>
      <c r="BV156" t="inlineStr">
        <is>
          <t>18 West 18th Street</t>
        </is>
      </c>
      <c r="BW156" t="inlineStr">
        <is>
          <t>https://www.wework.com/buildings/18-west-18th-street--new-york-city--NY</t>
        </is>
      </c>
      <c r="BX156" t="inlineStr">
        <is>
          <t>2026-10-23</t>
        </is>
      </c>
      <c r="BY156" t="inlineStr">
        <is>
          <t>operator-site</t>
        </is>
      </c>
      <c r="BZ156" t="inlineStr"/>
      <c r="CA156" t="inlineStr"/>
      <c r="CB156" t="inlineStr"/>
      <c r="CC156" t="inlineStr">
        <is>
          <t>medium</t>
        </is>
      </c>
      <c r="CD156" t="inlineStr"/>
      <c r="CE156" t="inlineStr">
        <is>
          <t>N</t>
        </is>
      </c>
      <c r="CF156" t="inlineStr">
        <is>
          <t>B-W-004</t>
        </is>
      </c>
      <c r="CG156" t="inlineStr">
        <is>
          <t>operator</t>
        </is>
      </c>
      <c r="CH156" t="inlineStr">
        <is>
          <t>unknown</t>
        </is>
      </c>
      <c r="CI156" t="inlineStr"/>
      <c r="CJ156" t="inlineStr">
        <is>
          <t>unknown</t>
        </is>
      </c>
      <c r="CK156" t="inlineStr">
        <is>
          <t>N</t>
        </is>
      </c>
      <c r="CL156" t="inlineStr">
        <is>
          <t>unknown</t>
        </is>
      </c>
      <c r="CM156" t="inlineStr"/>
      <c r="CN156" t="inlineStr"/>
      <c r="CO156" t="inlineStr">
        <is>
          <t>unknown</t>
        </is>
      </c>
      <c r="CP156" t="inlineStr"/>
      <c r="CQ156" t="inlineStr">
        <is>
          <t>Coworking site: member headcount not sourced; treat as one office if the operator controls the pantry and ask the Tuesday count at intake.</t>
        </is>
      </c>
      <c r="CR156" t="inlineStr">
        <is>
          <t>estimate until intake replaces it</t>
        </is>
      </c>
      <c r="CS156" t="inlineStr">
        <is>
          <t>unknown</t>
        </is>
      </c>
      <c r="CT156" t="n">
        <v>34</v>
      </c>
      <c r="CU156" t="n">
        <v>7</v>
      </c>
      <c r="CV156" t="n">
        <v>8</v>
      </c>
      <c r="CW156" t="n">
        <v>6</v>
      </c>
      <c r="CX156" t="n">
        <v>13</v>
      </c>
      <c r="CY156" t="n">
        <v>0</v>
      </c>
      <c r="CZ156" t="n">
        <v>0</v>
      </c>
      <c r="DA156" t="inlineStr"/>
      <c r="DB156" t="inlineStr"/>
      <c r="DC156" t="inlineStr"/>
      <c r="DD156" t="inlineStr"/>
      <c r="DE156" t="inlineStr"/>
      <c r="DF156" t="inlineStr">
        <is>
          <t>none</t>
        </is>
      </c>
      <c r="DG156" t="inlineStr">
        <is>
          <t>coworking-operator</t>
        </is>
      </c>
      <c r="DH156" t="inlineStr"/>
      <c r="DI156" t="inlineStr"/>
      <c r="DJ156" t="inlineStr"/>
      <c r="DK156" t="inlineStr">
        <is>
          <t>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is>
      </c>
      <c r="DL156" t="inlineStr"/>
      <c r="DM156" t="inlineStr"/>
      <c r="DN156" t="inlineStr"/>
      <c r="DO156" t="inlineStr"/>
      <c r="DP156" t="inlineStr"/>
      <c r="DQ156" t="inlineStr"/>
      <c r="DR156" t="inlineStr"/>
      <c r="DS156" t="inlineStr">
        <is>
          <t>none</t>
        </is>
      </c>
      <c r="DT156" t="inlineStr"/>
      <c r="DU156" t="inlineStr"/>
      <c r="DV156" t="inlineStr"/>
      <c r="DW156" t="inlineStr"/>
      <c r="DX156" t="inlineStr">
        <is>
          <t>N</t>
        </is>
      </c>
      <c r="DY156" t="inlineStr"/>
      <c r="DZ156" t="inlineStr">
        <is>
          <t>parent 'wework' shared with AO-W-024, AO-W-018, AO-W-029, AO-W-026, AO-W-020</t>
        </is>
      </c>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f>IF(ISNUMBER(MATCH(U156,{"queued","contacted","replied","call_booked","call_done","yes_in_principle","materials_sent"},0)),"Y","N")</f>
        <v/>
      </c>
      <c r="ES156">
        <f>IF(COUNTIFS($AP$2:$AP$1000,AP156,$ER$2:$ER$1000,"Y")+COUNTIFS($AP$2:$AP$1000,AP156,$T$2:$T$1000,"Y")&gt;0,"Y","N")</f>
        <v/>
      </c>
      <c r="ET156">
        <f>IF(AND(U156="new",T156="N",AT156="Y",AS156="",ES156="N"),"Y","N")</f>
        <v/>
      </c>
      <c r="EU156">
        <f>IF(ET156&lt;&gt;"Y","N",IF(COUNTIFS($AP$2:$AP$1000,AP156,$ET$2:$ET$1000,"Y",$J$2:$J$1000,"&gt;"&amp;J156)+COUNTIFS($AP$2:$AP$1000,AP156,$ET$2:$ET$1000,"Y",$J$2:$J$1000,J156,$EW$2:$EW$1000,"&lt;"&amp;EW156)=0,"Y","N"))</f>
        <v/>
      </c>
      <c r="EV156">
        <f>IF(Y156="","N",IF(Y156&lt;=10,"Y","N"))</f>
        <v/>
      </c>
      <c r="EW156">
        <f>ROW()-1</f>
        <v/>
      </c>
    </row>
    <row r="157">
      <c r="A157" t="inlineStr">
        <is>
          <t>AO-W-024</t>
        </is>
      </c>
      <c r="B157" t="inlineStr">
        <is>
          <t>WeWork 450 Park Ave S</t>
        </is>
      </c>
      <c r="C157" t="inlineStr"/>
      <c r="D157" t="inlineStr"/>
      <c r="E157" t="inlineStr"/>
      <c r="F157" t="inlineStr"/>
      <c r="G157" t="inlineStr"/>
      <c r="H157" t="inlineStr">
        <is>
          <t>none</t>
        </is>
      </c>
      <c r="I157" t="inlineStr">
        <is>
          <t>linkedin</t>
        </is>
      </c>
      <c r="J157" t="n">
        <v>34</v>
      </c>
      <c r="K157" t="inlineStr">
        <is>
          <t>Tuesday headcount unknown (no sourced count), coworking operator site (one office if it controls the pantry), no attendance signal, open at a medium-confidence address; contacts not researched yet (below the top 50).</t>
        </is>
      </c>
      <c r="L157" t="inlineStr">
        <is>
          <t>unknown</t>
        </is>
      </c>
      <c r="M157" t="inlineStr"/>
      <c r="N157" t="inlineStr"/>
      <c r="O157" t="inlineStr"/>
      <c r="P157" t="inlineStr"/>
      <c r="Q157" t="inlineStr"/>
      <c r="R157" t="inlineStr">
        <is>
          <t>N</t>
        </is>
      </c>
      <c r="S157" t="inlineStr">
        <is>
          <t>unknown</t>
        </is>
      </c>
      <c r="T157" t="inlineStr">
        <is>
          <t>N</t>
        </is>
      </c>
      <c r="U157" t="inlineStr">
        <is>
          <t>new</t>
        </is>
      </c>
      <c r="V157" t="inlineStr">
        <is>
          <t>https://www.wework.com/buildings/450-park-ave-s--new-york-city--NY</t>
        </is>
      </c>
      <c r="W157" t="inlineStr">
        <is>
          <t>2026-10-23</t>
        </is>
      </c>
      <c r="X157" t="inlineStr">
        <is>
          <t>office</t>
        </is>
      </c>
      <c r="Y157" t="inlineStr"/>
      <c r="Z157" t="n">
        <v>156</v>
      </c>
      <c r="AA157" t="inlineStr">
        <is>
          <t>N</t>
        </is>
      </c>
      <c r="AB157" t="inlineStr"/>
      <c r="AC157" t="inlineStr"/>
      <c r="AD157" t="inlineStr">
        <is>
          <t>none</t>
        </is>
      </c>
      <c r="AE157" t="inlineStr"/>
      <c r="AF157" t="inlineStr"/>
      <c r="AG157" t="inlineStr"/>
      <c r="AH157" t="inlineStr">
        <is>
          <t>none</t>
        </is>
      </c>
      <c r="AI157" t="inlineStr">
        <is>
          <t>450 Park Avenue South, New York, NY 10016</t>
        </is>
      </c>
      <c r="AJ157" t="inlineStr">
        <is>
          <t>unknown</t>
        </is>
      </c>
      <c r="AK157" t="inlineStr">
        <is>
          <t>open</t>
        </is>
      </c>
      <c r="AL157" t="inlineStr">
        <is>
          <t>unknown</t>
        </is>
      </c>
      <c r="AM157" t="inlineStr">
        <is>
          <t>unknown</t>
        </is>
      </c>
      <c r="AN157" t="inlineStr">
        <is>
          <t>none</t>
        </is>
      </c>
      <c r="AO157" t="inlineStr">
        <is>
          <t>unknown</t>
        </is>
      </c>
      <c r="AP157" t="inlineStr">
        <is>
          <t>grp-W004-W018-W020-W024-W026-W029</t>
        </is>
      </c>
      <c r="AQ157" t="inlineStr">
        <is>
          <t>N</t>
        </is>
      </c>
      <c r="AR157" t="inlineStr"/>
      <c r="AS157" t="inlineStr"/>
      <c r="AT157" t="inlineStr">
        <is>
          <t>N</t>
        </is>
      </c>
      <c r="AU157" t="inlineStr">
        <is>
          <t>no contact named on an opened page</t>
        </is>
      </c>
      <c r="AV157" t="inlineStr"/>
      <c r="AW157" t="inlineStr">
        <is>
          <t>N</t>
        </is>
      </c>
      <c r="AX157" t="inlineStr">
        <is>
          <t>pass</t>
        </is>
      </c>
      <c r="AY157" t="inlineStr">
        <is>
          <t>passes all hard gates</t>
        </is>
      </c>
      <c r="AZ157" t="inlineStr">
        <is>
          <t>coworking-operator</t>
        </is>
      </c>
      <c r="BA157" t="inlineStr">
        <is>
          <t>B-W-024</t>
        </is>
      </c>
      <c r="BB157" t="inlineStr">
        <is>
          <t>https://www.wework.com</t>
        </is>
      </c>
      <c r="BC157" t="inlineStr">
        <is>
          <t>coworking operator</t>
        </is>
      </c>
      <c r="BD157" t="inlineStr">
        <is>
          <t>unknown</t>
        </is>
      </c>
      <c r="BE157" t="inlineStr"/>
      <c r="BF157" t="inlineStr">
        <is>
          <t>unknown</t>
        </is>
      </c>
      <c r="BG157" t="inlineStr">
        <is>
          <t>unknown</t>
        </is>
      </c>
      <c r="BH157" t="inlineStr"/>
      <c r="BI157" t="inlineStr"/>
      <c r="BJ157" t="inlineStr"/>
      <c r="BK157" t="inlineStr">
        <is>
          <t>unknown</t>
        </is>
      </c>
      <c r="BL157" t="inlineStr">
        <is>
          <t>n/a (operator site)</t>
        </is>
      </c>
      <c r="BM157" t="inlineStr">
        <is>
          <t>unknown</t>
        </is>
      </c>
      <c r="BN157" t="inlineStr">
        <is>
          <t>WeWork</t>
        </is>
      </c>
      <c r="BO157" t="inlineStr"/>
      <c r="BP157" t="n">
        <v>10016</v>
      </c>
      <c r="BQ157" t="n">
        <v>40.744997</v>
      </c>
      <c r="BR157" t="n">
        <v>-73.983237</v>
      </c>
      <c r="BS157" t="inlineStr">
        <is>
          <t>Y</t>
        </is>
      </c>
      <c r="BT157" t="n">
        <v>0</v>
      </c>
      <c r="BU157" t="inlineStr">
        <is>
          <t>B-B-081</t>
        </is>
      </c>
      <c r="BV157" t="inlineStr">
        <is>
          <t>450 Park Avenue South</t>
        </is>
      </c>
      <c r="BW157" t="inlineStr">
        <is>
          <t>https://www.wework.com/buildings/450-park-ave-s--new-york-city--NY</t>
        </is>
      </c>
      <c r="BX157" t="inlineStr">
        <is>
          <t>2026-10-23</t>
        </is>
      </c>
      <c r="BY157" t="inlineStr">
        <is>
          <t>operator-site</t>
        </is>
      </c>
      <c r="BZ157" t="inlineStr"/>
      <c r="CA157" t="inlineStr"/>
      <c r="CB157" t="inlineStr"/>
      <c r="CC157" t="inlineStr">
        <is>
          <t>medium</t>
        </is>
      </c>
      <c r="CD157" t="inlineStr"/>
      <c r="CE157" t="inlineStr">
        <is>
          <t>N</t>
        </is>
      </c>
      <c r="CF157" t="inlineStr">
        <is>
          <t>B-W-024</t>
        </is>
      </c>
      <c r="CG157" t="inlineStr">
        <is>
          <t>operator</t>
        </is>
      </c>
      <c r="CH157" t="inlineStr">
        <is>
          <t>unknown</t>
        </is>
      </c>
      <c r="CI157" t="inlineStr"/>
      <c r="CJ157" t="inlineStr">
        <is>
          <t>unknown</t>
        </is>
      </c>
      <c r="CK157" t="inlineStr">
        <is>
          <t>N</t>
        </is>
      </c>
      <c r="CL157" t="inlineStr">
        <is>
          <t>unknown</t>
        </is>
      </c>
      <c r="CM157" t="inlineStr"/>
      <c r="CN157" t="inlineStr"/>
      <c r="CO157" t="inlineStr">
        <is>
          <t>unknown</t>
        </is>
      </c>
      <c r="CP157" t="inlineStr"/>
      <c r="CQ157" t="inlineStr">
        <is>
          <t>Coworking site: member headcount not sourced; treat as one office if the operator controls the pantry and ask the Tuesday count at intake.</t>
        </is>
      </c>
      <c r="CR157" t="inlineStr">
        <is>
          <t>estimate until intake replaces it</t>
        </is>
      </c>
      <c r="CS157" t="inlineStr">
        <is>
          <t>unknown</t>
        </is>
      </c>
      <c r="CT157" t="n">
        <v>34</v>
      </c>
      <c r="CU157" t="n">
        <v>7</v>
      </c>
      <c r="CV157" t="n">
        <v>8</v>
      </c>
      <c r="CW157" t="n">
        <v>6</v>
      </c>
      <c r="CX157" t="n">
        <v>13</v>
      </c>
      <c r="CY157" t="n">
        <v>0</v>
      </c>
      <c r="CZ157" t="n">
        <v>0</v>
      </c>
      <c r="DA157" t="inlineStr"/>
      <c r="DB157" t="inlineStr"/>
      <c r="DC157" t="inlineStr"/>
      <c r="DD157" t="inlineStr"/>
      <c r="DE157" t="inlineStr"/>
      <c r="DF157" t="inlineStr">
        <is>
          <t>none</t>
        </is>
      </c>
      <c r="DG157" t="inlineStr">
        <is>
          <t>coworking-operator</t>
        </is>
      </c>
      <c r="DH157" t="inlineStr"/>
      <c r="DI157" t="inlineStr"/>
      <c r="DJ157" t="inlineStr"/>
      <c r="DK157" t="inlineStr">
        <is>
          <t>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is>
      </c>
      <c r="DL157" t="inlineStr"/>
      <c r="DM157" t="inlineStr"/>
      <c r="DN157" t="inlineStr"/>
      <c r="DO157" t="inlineStr"/>
      <c r="DP157" t="inlineStr"/>
      <c r="DQ157" t="inlineStr"/>
      <c r="DR157" t="inlineStr"/>
      <c r="DS157" t="inlineStr">
        <is>
          <t>none</t>
        </is>
      </c>
      <c r="DT157" t="inlineStr"/>
      <c r="DU157" t="inlineStr"/>
      <c r="DV157" t="inlineStr"/>
      <c r="DW157" t="inlineStr"/>
      <c r="DX157" t="inlineStr">
        <is>
          <t>N</t>
        </is>
      </c>
      <c r="DY157" t="inlineStr"/>
      <c r="DZ157" t="inlineStr">
        <is>
          <t>parent 'wework' shared with AO-W-004, AO-W-018, AO-W-029, AO-W-026, AO-W-020</t>
        </is>
      </c>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f>IF(ISNUMBER(MATCH(U157,{"queued","contacted","replied","call_booked","call_done","yes_in_principle","materials_sent"},0)),"Y","N")</f>
        <v/>
      </c>
      <c r="ES157">
        <f>IF(COUNTIFS($AP$2:$AP$1000,AP157,$ER$2:$ER$1000,"Y")+COUNTIFS($AP$2:$AP$1000,AP157,$T$2:$T$1000,"Y")&gt;0,"Y","N")</f>
        <v/>
      </c>
      <c r="ET157">
        <f>IF(AND(U157="new",T157="N",AT157="Y",AS157="",ES157="N"),"Y","N")</f>
        <v/>
      </c>
      <c r="EU157">
        <f>IF(ET157&lt;&gt;"Y","N",IF(COUNTIFS($AP$2:$AP$1000,AP157,$ET$2:$ET$1000,"Y",$J$2:$J$1000,"&gt;"&amp;J157)+COUNTIFS($AP$2:$AP$1000,AP157,$ET$2:$ET$1000,"Y",$J$2:$J$1000,J157,$EW$2:$EW$1000,"&lt;"&amp;EW157)=0,"Y","N"))</f>
        <v/>
      </c>
      <c r="EV157">
        <f>IF(Y157="","N",IF(Y157&lt;=10,"Y","N"))</f>
        <v/>
      </c>
      <c r="EW157">
        <f>ROW()-1</f>
        <v/>
      </c>
    </row>
    <row r="158">
      <c r="A158" t="inlineStr">
        <is>
          <t>AO-C-064</t>
        </is>
      </c>
      <c r="B158" t="inlineStr">
        <is>
          <t>William Grant &amp; Sons</t>
        </is>
      </c>
      <c r="C158" t="inlineStr"/>
      <c r="D158" t="inlineStr"/>
      <c r="E158" t="inlineStr"/>
      <c r="F158" t="inlineStr"/>
      <c r="G158" t="inlineStr"/>
      <c r="H158" t="inlineStr">
        <is>
          <t>none</t>
        </is>
      </c>
      <c r="I158" t="inlineStr">
        <is>
          <t>linkedin</t>
        </is>
      </c>
      <c r="J158" t="n">
        <v>34</v>
      </c>
      <c r="K158" t="inlineStr">
        <is>
          <t>Tuesday headcount unknown (no sourced count), company size unknown, no attendance signal, occupied at a medium-confidence address; contacts not researched yet (below the top 50).</t>
        </is>
      </c>
      <c r="L158" t="inlineStr">
        <is>
          <t>unknown</t>
        </is>
      </c>
      <c r="M158" t="inlineStr"/>
      <c r="N158" t="inlineStr"/>
      <c r="O158" t="inlineStr"/>
      <c r="P158" t="inlineStr"/>
      <c r="Q158" t="inlineStr"/>
      <c r="R158" t="inlineStr">
        <is>
          <t>N</t>
        </is>
      </c>
      <c r="S158" t="inlineStr">
        <is>
          <t>unknown</t>
        </is>
      </c>
      <c r="T158" t="inlineStr">
        <is>
          <t>N</t>
        </is>
      </c>
      <c r="U158" t="inlineStr">
        <is>
          <t>new</t>
        </is>
      </c>
      <c r="V158" t="inlineStr">
        <is>
          <t>https://commercialobserver.com/2024/12/william-grant-sons-lease-902-broadway/</t>
        </is>
      </c>
      <c r="W158" t="inlineStr">
        <is>
          <t>2026-10-23</t>
        </is>
      </c>
      <c r="X158" t="inlineStr">
        <is>
          <t>office</t>
        </is>
      </c>
      <c r="Y158" t="inlineStr"/>
      <c r="Z158" t="n">
        <v>157</v>
      </c>
      <c r="AA158" t="inlineStr">
        <is>
          <t>N</t>
        </is>
      </c>
      <c r="AB158" t="inlineStr"/>
      <c r="AC158" t="inlineStr"/>
      <c r="AD158" t="inlineStr">
        <is>
          <t>none</t>
        </is>
      </c>
      <c r="AE158" t="inlineStr"/>
      <c r="AF158" t="inlineStr"/>
      <c r="AG158" t="inlineStr"/>
      <c r="AH158" t="inlineStr">
        <is>
          <t>none</t>
        </is>
      </c>
      <c r="AI158" t="inlineStr">
        <is>
          <t>902 Broadway</t>
        </is>
      </c>
      <c r="AJ158" t="inlineStr">
        <is>
          <t>2-3</t>
        </is>
      </c>
      <c r="AK158" t="inlineStr">
        <is>
          <t>occupied</t>
        </is>
      </c>
      <c r="AL158" t="inlineStr">
        <is>
          <t>unknown</t>
        </is>
      </c>
      <c r="AM158" t="inlineStr">
        <is>
          <t>unknown</t>
        </is>
      </c>
      <c r="AN158" t="inlineStr">
        <is>
          <t>none</t>
        </is>
      </c>
      <c r="AO158" t="inlineStr">
        <is>
          <t>unknown</t>
        </is>
      </c>
      <c r="AP158" t="inlineStr">
        <is>
          <t>AO-C-064</t>
        </is>
      </c>
      <c r="AQ158" t="inlineStr">
        <is>
          <t>N</t>
        </is>
      </c>
      <c r="AR158" t="inlineStr"/>
      <c r="AS158" t="inlineStr"/>
      <c r="AT158" t="inlineStr">
        <is>
          <t>N</t>
        </is>
      </c>
      <c r="AU158" t="inlineStr">
        <is>
          <t>no contact named on an opened page</t>
        </is>
      </c>
      <c r="AV158" t="inlineStr"/>
      <c r="AW158" t="inlineStr">
        <is>
          <t>N</t>
        </is>
      </c>
      <c r="AX158" t="inlineStr">
        <is>
          <t>pass</t>
        </is>
      </c>
      <c r="AY158" t="inlineStr">
        <is>
          <t>passes all hard gates</t>
        </is>
      </c>
      <c r="AZ158" t="inlineStr">
        <is>
          <t>company</t>
        </is>
      </c>
      <c r="BA158" t="inlineStr">
        <is>
          <t>B-C-064</t>
        </is>
      </c>
      <c r="BB158" t="inlineStr">
        <is>
          <t>https://www.williamgrant.com</t>
        </is>
      </c>
      <c r="BC158" t="inlineStr">
        <is>
          <t>spirits company (U.S. office)</t>
        </is>
      </c>
      <c r="BD158" t="inlineStr">
        <is>
          <t>unknown</t>
        </is>
      </c>
      <c r="BE158" t="inlineStr"/>
      <c r="BF158" t="inlineStr">
        <is>
          <t>unknown</t>
        </is>
      </c>
      <c r="BG158" t="inlineStr">
        <is>
          <t>unknown</t>
        </is>
      </c>
      <c r="BH158" t="inlineStr">
        <is>
          <t>no-count</t>
        </is>
      </c>
      <c r="BI158" t="inlineStr"/>
      <c r="BJ158" t="inlineStr"/>
      <c r="BK158" t="inlineStr">
        <is>
          <t>unknown</t>
        </is>
      </c>
      <c r="BL158" t="inlineStr">
        <is>
          <t>unknown</t>
        </is>
      </c>
      <c r="BM158" t="inlineStr">
        <is>
          <t>unknown</t>
        </is>
      </c>
      <c r="BN158" t="inlineStr">
        <is>
          <t>unknown</t>
        </is>
      </c>
      <c r="BO158" t="inlineStr">
        <is>
          <t>unknown</t>
        </is>
      </c>
      <c r="BP158" t="n">
        <v>10010</v>
      </c>
      <c r="BQ158" t="n">
        <v>40.739363</v>
      </c>
      <c r="BR158" t="n">
        <v>-73.98953400000001</v>
      </c>
      <c r="BS158" t="inlineStr">
        <is>
          <t>Y</t>
        </is>
      </c>
      <c r="BT158" t="n">
        <v>0</v>
      </c>
      <c r="BU158" t="inlineStr">
        <is>
          <t>B-B-031</t>
        </is>
      </c>
      <c r="BV158" t="inlineStr">
        <is>
          <t>902 Broadway (Rosen family / Koeppel Rosen)</t>
        </is>
      </c>
      <c r="BW158" t="inlineStr">
        <is>
          <t>https://commercialobserver.com/2024/12/william-grant-sons-lease-902-broadway/</t>
        </is>
      </c>
      <c r="BX158" t="inlineStr">
        <is>
          <t>2024-12-03</t>
        </is>
      </c>
      <c r="BY158" t="inlineStr">
        <is>
          <t>leasing-press</t>
        </is>
      </c>
      <c r="BZ158" t="inlineStr">
        <is>
          <t>https://commercialobserver.com/2026/03/hudson-companies-broadway-builders-lease-902-broadway/</t>
        </is>
      </c>
      <c r="CA158" t="inlineStr">
        <is>
          <t>2026-03-24</t>
        </is>
      </c>
      <c r="CB158" t="inlineStr"/>
      <c r="CC158" t="inlineStr">
        <is>
          <t>medium</t>
        </is>
      </c>
      <c r="CD158" t="inlineStr"/>
      <c r="CE158" t="inlineStr">
        <is>
          <t>N</t>
        </is>
      </c>
      <c r="CF158" t="inlineStr"/>
      <c r="CG158" t="inlineStr"/>
      <c r="CH158" t="inlineStr">
        <is>
          <t>security desk</t>
        </is>
      </c>
      <c r="CI158" t="inlineStr">
        <is>
          <t>https://www.metro-manhattan.com/buildings/902-broadway/</t>
        </is>
      </c>
      <c r="CJ158" t="inlineStr">
        <is>
          <t>unknown</t>
        </is>
      </c>
      <c r="CK158" t="inlineStr">
        <is>
          <t>N</t>
        </is>
      </c>
      <c r="CL158" t="inlineStr">
        <is>
          <t>unknown</t>
        </is>
      </c>
      <c r="CM158" t="inlineStr"/>
      <c r="CN158" t="inlineStr"/>
      <c r="CO158" t="inlineStr">
        <is>
          <t>unknown</t>
        </is>
      </c>
      <c r="CP158" t="inlineStr"/>
      <c r="CQ158" t="inlineStr">
        <is>
          <t>No sourced headcount, so no Tuesday estimate; ask the Tuesday count at intake.</t>
        </is>
      </c>
      <c r="CR158" t="inlineStr">
        <is>
          <t>estimate until intake replaces it</t>
        </is>
      </c>
      <c r="CS158" t="inlineStr">
        <is>
          <t>unknown</t>
        </is>
      </c>
      <c r="CT158" t="n">
        <v>34</v>
      </c>
      <c r="CU158" t="n">
        <v>7</v>
      </c>
      <c r="CV158" t="n">
        <v>8</v>
      </c>
      <c r="CW158" t="n">
        <v>6</v>
      </c>
      <c r="CX158" t="n">
        <v>13</v>
      </c>
      <c r="CY158" t="n">
        <v>0</v>
      </c>
      <c r="CZ158" t="n">
        <v>0</v>
      </c>
      <c r="DA158" t="inlineStr"/>
      <c r="DB158" t="inlineStr"/>
      <c r="DC158" t="inlineStr"/>
      <c r="DD158" t="inlineStr"/>
      <c r="DE158" t="inlineStr"/>
      <c r="DF158" t="inlineStr">
        <is>
          <t>none</t>
        </is>
      </c>
      <c r="DG158" t="inlineStr">
        <is>
          <t>candidate</t>
        </is>
      </c>
      <c r="DH158" t="inlineStr"/>
      <c r="DI158" t="inlineStr"/>
      <c r="DJ158" t="inlineStr">
        <is>
          <t>27,160 sf</t>
        </is>
      </c>
      <c r="DK158" t="inlineStr">
        <is>
          <t>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is>
      </c>
      <c r="DL158" t="inlineStr"/>
      <c r="DM158" t="inlineStr"/>
      <c r="DN158" t="inlineStr"/>
      <c r="DO158" t="inlineStr"/>
      <c r="DP158" t="inlineStr"/>
      <c r="DQ158" t="inlineStr"/>
      <c r="DR158" t="inlineStr"/>
      <c r="DS158" t="inlineStr">
        <is>
          <t>none</t>
        </is>
      </c>
      <c r="DT158" t="inlineStr"/>
      <c r="DU158" t="inlineStr"/>
      <c r="DV158" t="inlineStr"/>
      <c r="DW158" t="inlineStr"/>
      <c r="DX158" t="inlineStr">
        <is>
          <t>N</t>
        </is>
      </c>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f>IF(ISNUMBER(MATCH(U158,{"queued","contacted","replied","call_booked","call_done","yes_in_principle","materials_sent"},0)),"Y","N")</f>
        <v/>
      </c>
      <c r="ES158">
        <f>IF(COUNTIFS($AP$2:$AP$1000,AP158,$ER$2:$ER$1000,"Y")+COUNTIFS($AP$2:$AP$1000,AP158,$T$2:$T$1000,"Y")&gt;0,"Y","N")</f>
        <v/>
      </c>
      <c r="ET158">
        <f>IF(AND(U158="new",T158="N",AT158="Y",AS158="",ES158="N"),"Y","N")</f>
        <v/>
      </c>
      <c r="EU158">
        <f>IF(ET158&lt;&gt;"Y","N",IF(COUNTIFS($AP$2:$AP$1000,AP158,$ET$2:$ET$1000,"Y",$J$2:$J$1000,"&gt;"&amp;J158)+COUNTIFS($AP$2:$AP$1000,AP158,$ET$2:$ET$1000,"Y",$J$2:$J$1000,J158,$EW$2:$EW$1000,"&lt;"&amp;EW158)=0,"Y","N"))</f>
        <v/>
      </c>
      <c r="EV158">
        <f>IF(Y158="","N",IF(Y158&lt;=10,"Y","N"))</f>
        <v/>
      </c>
      <c r="EW158">
        <f>ROW()-1</f>
        <v/>
      </c>
    </row>
    <row r="159">
      <c r="A159" t="inlineStr">
        <is>
          <t>AO-C-020</t>
        </is>
      </c>
      <c r="B159" t="inlineStr">
        <is>
          <t>Mercury</t>
        </is>
      </c>
      <c r="C159" t="inlineStr"/>
      <c r="D159" t="inlineStr"/>
      <c r="E159" t="inlineStr"/>
      <c r="F159" t="inlineStr"/>
      <c r="G159" t="inlineStr"/>
      <c r="H159" t="inlineStr">
        <is>
          <t>none</t>
        </is>
      </c>
      <c r="I159" t="inlineStr">
        <is>
          <t>linkedin</t>
        </is>
      </c>
      <c r="J159" t="n">
        <v>33.8</v>
      </c>
      <c r="K159" t="inlineStr">
        <is>
          <t>Tuesday estimate 4 to 729 (low confidence), 1,001 to 4,999 staff company-wide, on-site 5 days a week per its profile, occupancy-unconfirmed at a medium-confidence address; contacts not researched yet (below the top 50).</t>
        </is>
      </c>
      <c r="L159" t="inlineStr">
        <is>
          <t>40-75</t>
        </is>
      </c>
      <c r="M159" t="inlineStr"/>
      <c r="N159" t="inlineStr"/>
      <c r="O159" t="inlineStr"/>
      <c r="P159" t="inlineStr"/>
      <c r="Q159" t="inlineStr"/>
      <c r="R159" t="inlineStr">
        <is>
          <t>N</t>
        </is>
      </c>
      <c r="S159" t="inlineStr">
        <is>
          <t>unknown</t>
        </is>
      </c>
      <c r="T159" t="inlineStr">
        <is>
          <t>N</t>
        </is>
      </c>
      <c r="U159" t="inlineStr">
        <is>
          <t>new</t>
        </is>
      </c>
      <c r="V159" t="inlineStr">
        <is>
          <t>https://commercialobserver.com/2025/03/faire-lease-26-west-17th-street/</t>
        </is>
      </c>
      <c r="W159" t="inlineStr">
        <is>
          <t>2026-10-23</t>
        </is>
      </c>
      <c r="X159" t="inlineStr">
        <is>
          <t>office</t>
        </is>
      </c>
      <c r="Y159" t="inlineStr"/>
      <c r="Z159" t="n">
        <v>158</v>
      </c>
      <c r="AA159" t="inlineStr">
        <is>
          <t>N</t>
        </is>
      </c>
      <c r="AB159" t="inlineStr"/>
      <c r="AC159" t="inlineStr"/>
      <c r="AD159" t="inlineStr">
        <is>
          <t>none</t>
        </is>
      </c>
      <c r="AE159" t="inlineStr"/>
      <c r="AF159" t="inlineStr"/>
      <c r="AG159" t="inlineStr"/>
      <c r="AH159" t="inlineStr">
        <is>
          <t>none</t>
        </is>
      </c>
      <c r="AI159" t="inlineStr">
        <is>
          <t>26 West 17th Street</t>
        </is>
      </c>
      <c r="AJ159" t="n">
        <v>10</v>
      </c>
      <c r="AK159" t="inlineStr">
        <is>
          <t>occupancy-unconfirmed</t>
        </is>
      </c>
      <c r="AL159" t="n">
        <v>4</v>
      </c>
      <c r="AM159" t="n">
        <v>729</v>
      </c>
      <c r="AN159" t="inlineStr">
        <is>
          <t>low</t>
        </is>
      </c>
      <c r="AO159" t="inlineStr">
        <is>
          <t>in-office-5</t>
        </is>
      </c>
      <c r="AP159" t="inlineStr">
        <is>
          <t>AO-C-020</t>
        </is>
      </c>
      <c r="AQ159" t="inlineStr">
        <is>
          <t>N</t>
        </is>
      </c>
      <c r="AR159" t="inlineStr"/>
      <c r="AS159" t="inlineStr"/>
      <c r="AT159" t="inlineStr">
        <is>
          <t>N</t>
        </is>
      </c>
      <c r="AU159" t="inlineStr">
        <is>
          <t>no contact named on an opened page</t>
        </is>
      </c>
      <c r="AV159" t="inlineStr"/>
      <c r="AW159" t="inlineStr">
        <is>
          <t>N</t>
        </is>
      </c>
      <c r="AX159" t="inlineStr">
        <is>
          <t>pass</t>
        </is>
      </c>
      <c r="AY159" t="inlineStr">
        <is>
          <t>passes all hard gates</t>
        </is>
      </c>
      <c r="AZ159" t="inlineStr">
        <is>
          <t>company</t>
        </is>
      </c>
      <c r="BA159" t="inlineStr">
        <is>
          <t>B-C-020</t>
        </is>
      </c>
      <c r="BB159" t="inlineStr">
        <is>
          <t>https://mercury.com</t>
        </is>
      </c>
      <c r="BC159" t="inlineStr">
        <is>
          <t>fintech (business banking)</t>
        </is>
      </c>
      <c r="BD159" t="n">
        <v>1279</v>
      </c>
      <c r="BE159" t="n">
        <v>150</v>
      </c>
      <c r="BF159" t="inlineStr">
        <is>
          <t>over-500</t>
        </is>
      </c>
      <c r="BG159" t="inlineStr">
        <is>
          <t>whole-company</t>
        </is>
      </c>
      <c r="BH159" t="inlineStr">
        <is>
          <t>over-500-second-source</t>
        </is>
      </c>
      <c r="BI159" t="inlineStr">
        <is>
          <t>https://www.reveliolabs.com/companies/mercury/employees</t>
        </is>
      </c>
      <c r="BJ159" t="inlineStr">
        <is>
          <t>https://www.builtinnyc.com/company/mercury</t>
        </is>
      </c>
      <c r="BK159" t="inlineStr">
        <is>
          <t>1001-4999</t>
        </is>
      </c>
      <c r="BL159" t="inlineStr">
        <is>
          <t>San Francisco</t>
        </is>
      </c>
      <c r="BM159" t="inlineStr">
        <is>
          <t>N</t>
        </is>
      </c>
      <c r="BN159" t="inlineStr">
        <is>
          <t>unknown</t>
        </is>
      </c>
      <c r="BO159" t="inlineStr">
        <is>
          <t>unknown</t>
        </is>
      </c>
      <c r="BP159" t="n">
        <v>10011</v>
      </c>
      <c r="BQ159" t="n">
        <v>40.738405</v>
      </c>
      <c r="BR159" t="n">
        <v>-73.99393999999999</v>
      </c>
      <c r="BS159" t="inlineStr">
        <is>
          <t>Y</t>
        </is>
      </c>
      <c r="BT159" t="n">
        <v>0</v>
      </c>
      <c r="BU159" t="inlineStr">
        <is>
          <t>B-B-008</t>
        </is>
      </c>
      <c r="BV159" t="inlineStr">
        <is>
          <t>26 West 17th Street</t>
        </is>
      </c>
      <c r="BW159" t="inlineStr">
        <is>
          <t>https://commercialobserver.com/2025/03/faire-lease-26-west-17th-street/</t>
        </is>
      </c>
      <c r="BX159" t="inlineStr">
        <is>
          <t>2025-03-27</t>
        </is>
      </c>
      <c r="BY159" t="inlineStr">
        <is>
          <t>leasing-press</t>
        </is>
      </c>
      <c r="BZ159" t="inlineStr"/>
      <c r="CA159" t="inlineStr"/>
      <c r="CB159" t="inlineStr"/>
      <c r="CC159" t="inlineStr">
        <is>
          <t>medium</t>
        </is>
      </c>
      <c r="CD159" t="inlineStr"/>
      <c r="CE159" t="inlineStr">
        <is>
          <t>N</t>
        </is>
      </c>
      <c r="CF159" t="inlineStr"/>
      <c r="CG159" t="inlineStr"/>
      <c r="CH159" t="inlineStr">
        <is>
          <t>unknown</t>
        </is>
      </c>
      <c r="CI159" t="inlineStr"/>
      <c r="CJ159" t="inlineStr">
        <is>
          <t>unknown</t>
        </is>
      </c>
      <c r="CK159" t="inlineStr">
        <is>
          <t>N</t>
        </is>
      </c>
      <c r="CL159" t="inlineStr">
        <is>
          <t>Built In workplace type: OnSite Workplace; typical time on-site: 5 days a week; recent job tags: 3 In-Office</t>
        </is>
      </c>
      <c r="CM159" t="inlineStr">
        <is>
          <t>https://www.builtinnyc.com/company/mercury/offices</t>
        </is>
      </c>
      <c r="CN159" t="inlineStr">
        <is>
          <t>2026-10-24</t>
        </is>
      </c>
      <c r="CO159" t="n">
        <v>54</v>
      </c>
      <c r="CP159" t="inlineStr">
        <is>
          <t>may be under 30;may exceed 250</t>
        </is>
      </c>
      <c r="CQ159" t="inlineStr">
        <is>
          <t>1279 (Revelio Labs) and 150 (Built In) staff (whole-company count) x 5% to 100% of them in the New York office (HQ outside New York; share assumed) x 57% (Partnership for NYC, all Manhattan firms; no figure for 500 to 4,999) in on a weekday = 4 to 729, central 54; low confidence; estimate until intake replaces it.</t>
        </is>
      </c>
      <c r="CR159" t="inlineStr">
        <is>
          <t>estimate until intake replaces it</t>
        </is>
      </c>
      <c r="CS159" t="n">
        <v>0.35</v>
      </c>
      <c r="CT159" t="n">
        <v>33.8</v>
      </c>
      <c r="CU159" t="n">
        <v>8.800000000000001</v>
      </c>
      <c r="CV159" t="n">
        <v>2</v>
      </c>
      <c r="CW159" t="n">
        <v>15</v>
      </c>
      <c r="CX159" t="n">
        <v>8</v>
      </c>
      <c r="CY159" t="n">
        <v>0</v>
      </c>
      <c r="CZ159" t="n">
        <v>0</v>
      </c>
      <c r="DA159" t="inlineStr"/>
      <c r="DB159" t="inlineStr"/>
      <c r="DC159" t="inlineStr"/>
      <c r="DD159" t="inlineStr"/>
      <c r="DE159" t="inlineStr"/>
      <c r="DF159" t="inlineStr">
        <is>
          <t>none</t>
        </is>
      </c>
      <c r="DG159" t="inlineStr">
        <is>
          <t>near-miss-over-500</t>
        </is>
      </c>
      <c r="DH159" t="inlineStr">
        <is>
          <t>over-1,000 (1,001 to 4,999)</t>
        </is>
      </c>
      <c r="DI159" t="inlineStr">
        <is>
          <t>Y</t>
        </is>
      </c>
      <c r="DJ159" t="inlineStr">
        <is>
          <t>10,000 sf</t>
        </is>
      </c>
      <c r="DK159" t="inlineStr">
        <is>
          <t>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is>
      </c>
      <c r="DL159" t="inlineStr"/>
      <c r="DM159" t="inlineStr"/>
      <c r="DN159" t="inlineStr"/>
      <c r="DO159" t="inlineStr"/>
      <c r="DP159" t="inlineStr"/>
      <c r="DQ159" t="inlineStr"/>
      <c r="DR159" t="inlineStr"/>
      <c r="DS159" t="inlineStr">
        <is>
          <t>none</t>
        </is>
      </c>
      <c r="DT159" t="inlineStr"/>
      <c r="DU159" t="inlineStr"/>
      <c r="DV159" t="inlineStr"/>
      <c r="DW159" t="inlineStr"/>
      <c r="DX159" t="inlineStr">
        <is>
          <t>N</t>
        </is>
      </c>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f>IF(ISNUMBER(MATCH(U159,{"queued","contacted","replied","call_booked","call_done","yes_in_principle","materials_sent"},0)),"Y","N")</f>
        <v/>
      </c>
      <c r="ES159">
        <f>IF(COUNTIFS($AP$2:$AP$1000,AP159,$ER$2:$ER$1000,"Y")+COUNTIFS($AP$2:$AP$1000,AP159,$T$2:$T$1000,"Y")&gt;0,"Y","N")</f>
        <v/>
      </c>
      <c r="ET159">
        <f>IF(AND(U159="new",T159="N",AT159="Y",AS159="",ES159="N"),"Y","N")</f>
        <v/>
      </c>
      <c r="EU159">
        <f>IF(ET159&lt;&gt;"Y","N",IF(COUNTIFS($AP$2:$AP$1000,AP159,$ET$2:$ET$1000,"Y",$J$2:$J$1000,"&gt;"&amp;J159)+COUNTIFS($AP$2:$AP$1000,AP159,$ET$2:$ET$1000,"Y",$J$2:$J$1000,J159,$EW$2:$EW$1000,"&lt;"&amp;EW159)=0,"Y","N"))</f>
        <v/>
      </c>
      <c r="EV159">
        <f>IF(Y159="","N",IF(Y159&lt;=10,"Y","N"))</f>
        <v/>
      </c>
      <c r="EW159">
        <f>ROW()-1</f>
        <v/>
      </c>
    </row>
    <row r="160">
      <c r="A160" t="inlineStr">
        <is>
          <t>AO-C-251</t>
        </is>
      </c>
      <c r="B160" t="inlineStr">
        <is>
          <t>SharkNinja</t>
        </is>
      </c>
      <c r="C160" t="inlineStr"/>
      <c r="D160" t="inlineStr"/>
      <c r="E160" t="inlineStr"/>
      <c r="F160" t="inlineStr"/>
      <c r="G160" t="inlineStr"/>
      <c r="H160" t="inlineStr">
        <is>
          <t>none</t>
        </is>
      </c>
      <c r="I160" t="inlineStr">
        <is>
          <t>linkedin</t>
        </is>
      </c>
      <c r="J160" t="n">
        <v>33.6</v>
      </c>
      <c r="K160" t="inlineStr">
        <is>
          <t>Tuesday estimate 114 to 2280 (low confidence), 1,001 to 4,999 staff company-wide, hybrid 3 days, occupied at a high-confidence address; contacts not researched yet (below the top 50).</t>
        </is>
      </c>
      <c r="L160" t="inlineStr">
        <is>
          <t>over-500</t>
        </is>
      </c>
      <c r="M160" t="inlineStr"/>
      <c r="N160" t="inlineStr"/>
      <c r="O160" t="inlineStr"/>
      <c r="P160" t="inlineStr"/>
      <c r="Q160" t="inlineStr"/>
      <c r="R160" t="inlineStr">
        <is>
          <t>N</t>
        </is>
      </c>
      <c r="S160" t="inlineStr">
        <is>
          <t>unknown</t>
        </is>
      </c>
      <c r="T160" t="inlineStr">
        <is>
          <t>N</t>
        </is>
      </c>
      <c r="U160" t="inlineStr">
        <is>
          <t>new</t>
        </is>
      </c>
      <c r="V160" t="inlineStr">
        <is>
          <t>https://www.builtinnyc.com/articles/sharkninja-opens-nyc-office-20251105</t>
        </is>
      </c>
      <c r="W160" t="inlineStr">
        <is>
          <t>2026-10-23</t>
        </is>
      </c>
      <c r="X160" t="inlineStr">
        <is>
          <t>office</t>
        </is>
      </c>
      <c r="Y160" t="inlineStr"/>
      <c r="Z160" t="n">
        <v>159</v>
      </c>
      <c r="AA160" t="inlineStr">
        <is>
          <t>N</t>
        </is>
      </c>
      <c r="AB160" t="inlineStr">
        <is>
          <t>Tuesday estimate band over-500: founder's call (set founder_ok_to_queue = Y to queue)</t>
        </is>
      </c>
      <c r="AC160" t="inlineStr"/>
      <c r="AD160" t="inlineStr">
        <is>
          <t>none</t>
        </is>
      </c>
      <c r="AE160" t="inlineStr"/>
      <c r="AF160" t="inlineStr"/>
      <c r="AG160" t="inlineStr"/>
      <c r="AH160" t="inlineStr">
        <is>
          <t>none</t>
        </is>
      </c>
      <c r="AI160" t="inlineStr">
        <is>
          <t>41 Madison Avenue</t>
        </is>
      </c>
      <c r="AJ160" t="inlineStr">
        <is>
          <t>unknown</t>
        </is>
      </c>
      <c r="AK160" t="inlineStr">
        <is>
          <t>occupied</t>
        </is>
      </c>
      <c r="AL160" t="n">
        <v>114</v>
      </c>
      <c r="AM160" t="n">
        <v>2280</v>
      </c>
      <c r="AN160" t="inlineStr">
        <is>
          <t>low</t>
        </is>
      </c>
      <c r="AO160" t="inlineStr">
        <is>
          <t>hybrid-3</t>
        </is>
      </c>
      <c r="AP160" t="inlineStr">
        <is>
          <t>AO-C-251</t>
        </is>
      </c>
      <c r="AQ160" t="inlineStr">
        <is>
          <t>N</t>
        </is>
      </c>
      <c r="AR160" t="inlineStr"/>
      <c r="AS160" t="inlineStr"/>
      <c r="AT160" t="inlineStr">
        <is>
          <t>N</t>
        </is>
      </c>
      <c r="AU160" t="inlineStr">
        <is>
          <t>no contact named on an opened page; Tuesday estimate band over-500: founder's call</t>
        </is>
      </c>
      <c r="AV160" t="inlineStr"/>
      <c r="AW160" t="inlineStr">
        <is>
          <t>Y</t>
        </is>
      </c>
      <c r="AX160" t="inlineStr">
        <is>
          <t>pass</t>
        </is>
      </c>
      <c r="AY160" t="inlineStr">
        <is>
          <t>passes all hard gates</t>
        </is>
      </c>
      <c r="AZ160" t="inlineStr">
        <is>
          <t>company</t>
        </is>
      </c>
      <c r="BA160" t="inlineStr">
        <is>
          <t>B-C-251</t>
        </is>
      </c>
      <c r="BB160" t="inlineStr">
        <is>
          <t>https://www.sharkninja.com</t>
        </is>
      </c>
      <c r="BC160" t="inlineStr">
        <is>
          <t>consumer products (home appliances)</t>
        </is>
      </c>
      <c r="BD160" t="n">
        <v>4000</v>
      </c>
      <c r="BE160" t="inlineStr"/>
      <c r="BF160" t="inlineStr">
        <is>
          <t>over-500</t>
        </is>
      </c>
      <c r="BG160" t="inlineStr">
        <is>
          <t>whole-company</t>
        </is>
      </c>
      <c r="BH160" t="inlineStr">
        <is>
          <t>single-source</t>
        </is>
      </c>
      <c r="BI160" t="inlineStr">
        <is>
          <t>https://www.builtinnyc.com/company/sharkninja/offices</t>
        </is>
      </c>
      <c r="BJ160" t="inlineStr"/>
      <c r="BK160" t="inlineStr">
        <is>
          <t>1001-4999</t>
        </is>
      </c>
      <c r="BL160" t="inlineStr">
        <is>
          <t>Needham</t>
        </is>
      </c>
      <c r="BM160" t="inlineStr">
        <is>
          <t>N</t>
        </is>
      </c>
      <c r="BN160" t="inlineStr">
        <is>
          <t>unknown</t>
        </is>
      </c>
      <c r="BO160" t="inlineStr">
        <is>
          <t>unknown</t>
        </is>
      </c>
      <c r="BP160" t="n">
        <v>10010</v>
      </c>
      <c r="BQ160" t="n">
        <v>40.742477</v>
      </c>
      <c r="BR160" t="n">
        <v>-73.986608</v>
      </c>
      <c r="BS160" t="inlineStr">
        <is>
          <t>Y</t>
        </is>
      </c>
      <c r="BT160" t="n">
        <v>0</v>
      </c>
      <c r="BU160" t="inlineStr">
        <is>
          <t>B-B-057</t>
        </is>
      </c>
      <c r="BV160" t="inlineStr">
        <is>
          <t>41 Madison Avenue (Rudin)</t>
        </is>
      </c>
      <c r="BW160" t="inlineStr">
        <is>
          <t>https://www.builtinnyc.com/articles/sharkninja-opens-nyc-office-20251105</t>
        </is>
      </c>
      <c r="BX160" t="inlineStr">
        <is>
          <t>2025-11-05</t>
        </is>
      </c>
      <c r="BY160" t="inlineStr">
        <is>
          <t>builtin</t>
        </is>
      </c>
      <c r="BZ160" t="inlineStr">
        <is>
          <t>https://commercialobserver.com/2025/01/sharkninja-rudin-41-madison-avenue/</t>
        </is>
      </c>
      <c r="CA160" t="inlineStr">
        <is>
          <t>2025-01-30</t>
        </is>
      </c>
      <c r="CB160" t="inlineStr"/>
      <c r="CC160" t="inlineStr">
        <is>
          <t>high</t>
        </is>
      </c>
      <c r="CD160" t="inlineStr"/>
      <c r="CE160" t="inlineStr">
        <is>
          <t>N</t>
        </is>
      </c>
      <c r="CF160" t="inlineStr"/>
      <c r="CG160" t="inlineStr"/>
      <c r="CH160" t="inlineStr">
        <is>
          <t>security desk</t>
        </is>
      </c>
      <c r="CI160" t="inlineStr">
        <is>
          <t>https://www.metro-manhattan.com/buildings/41-madison-avenue-forty-one-madison-office-space/</t>
        </is>
      </c>
      <c r="CJ160" t="inlineStr">
        <is>
          <t>unknown</t>
        </is>
      </c>
      <c r="CK160" t="inlineStr">
        <is>
          <t>N</t>
        </is>
      </c>
      <c r="CL160" t="inlineStr">
        <is>
          <t>Built In workplace type: Hybrid Workplace; typical time on-site: Not Specified (box) but policy text: 3 days in the office; recent job tags: 1 In-Office, 2 Remote</t>
        </is>
      </c>
      <c r="CM160" t="inlineStr">
        <is>
          <t>https://www.builtinnyc.com/company/sharkninja/offices</t>
        </is>
      </c>
      <c r="CN160" t="inlineStr">
        <is>
          <t>2026-10-24</t>
        </is>
      </c>
      <c r="CO160" t="n">
        <v>510</v>
      </c>
      <c r="CP160" t="inlineStr">
        <is>
          <t>may exceed 250</t>
        </is>
      </c>
      <c r="CQ160" t="inlineStr">
        <is>
          <t>4000 (Built In) staff (whole-company count) x 5% to 100% of them in the New York office (HQ outside New York; share assumed) x 57% (Partnership for NYC, all Manhattan firms; no figure for 500 to 4,999) in on a weekday = 114 to 2280, central 510; low confidence; estimate until intake replaces it.</t>
        </is>
      </c>
      <c r="CR160" t="inlineStr">
        <is>
          <t>estimate until intake replaces it</t>
        </is>
      </c>
      <c r="CS160" t="n">
        <v>0.26</v>
      </c>
      <c r="CT160" t="n">
        <v>33.6</v>
      </c>
      <c r="CU160" t="n">
        <v>6.6</v>
      </c>
      <c r="CV160" t="n">
        <v>2</v>
      </c>
      <c r="CW160" t="n">
        <v>10</v>
      </c>
      <c r="CX160" t="n">
        <v>15</v>
      </c>
      <c r="CY160" t="n">
        <v>0</v>
      </c>
      <c r="CZ160" t="n">
        <v>0</v>
      </c>
      <c r="DA160" t="inlineStr"/>
      <c r="DB160" t="inlineStr"/>
      <c r="DC160" t="inlineStr"/>
      <c r="DD160" t="inlineStr"/>
      <c r="DE160" t="inlineStr"/>
      <c r="DF160" t="inlineStr">
        <is>
          <t>none</t>
        </is>
      </c>
      <c r="DG160" t="inlineStr">
        <is>
          <t>near-miss-over-500</t>
        </is>
      </c>
      <c r="DH160" t="inlineStr">
        <is>
          <t>over-1,000 (1,001 to 4,999)</t>
        </is>
      </c>
      <c r="DI160" t="inlineStr">
        <is>
          <t>Y</t>
        </is>
      </c>
      <c r="DJ160" t="inlineStr">
        <is>
          <t>14,296 sf</t>
        </is>
      </c>
      <c r="DK160" t="inlineStr">
        <is>
          <t>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is>
      </c>
      <c r="DL160" t="inlineStr"/>
      <c r="DM160" t="inlineStr"/>
      <c r="DN160" t="inlineStr"/>
      <c r="DO160" t="inlineStr"/>
      <c r="DP160" t="inlineStr"/>
      <c r="DQ160" t="inlineStr"/>
      <c r="DR160" t="inlineStr"/>
      <c r="DS160" t="inlineStr">
        <is>
          <t>none</t>
        </is>
      </c>
      <c r="DT160" t="inlineStr"/>
      <c r="DU160" t="inlineStr"/>
      <c r="DV160" t="inlineStr"/>
      <c r="DW160" t="inlineStr"/>
      <c r="DX160" t="inlineStr">
        <is>
          <t>N</t>
        </is>
      </c>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f>IF(ISNUMBER(MATCH(U160,{"queued","contacted","replied","call_booked","call_done","yes_in_principle","materials_sent"},0)),"Y","N")</f>
        <v/>
      </c>
      <c r="ES160">
        <f>IF(COUNTIFS($AP$2:$AP$1000,AP160,$ER$2:$ER$1000,"Y")+COUNTIFS($AP$2:$AP$1000,AP160,$T$2:$T$1000,"Y")&gt;0,"Y","N")</f>
        <v/>
      </c>
      <c r="ET160">
        <f>IF(AND(U160="new",T160="N",AT160="Y",AS160="",ES160="N"),"Y","N")</f>
        <v/>
      </c>
      <c r="EU160">
        <f>IF(ET160&lt;&gt;"Y","N",IF(COUNTIFS($AP$2:$AP$1000,AP160,$ET$2:$ET$1000,"Y",$J$2:$J$1000,"&gt;"&amp;J160)+COUNTIFS($AP$2:$AP$1000,AP160,$ET$2:$ET$1000,"Y",$J$2:$J$1000,J160,$EW$2:$EW$1000,"&lt;"&amp;EW160)=0,"Y","N"))</f>
        <v/>
      </c>
      <c r="EV160">
        <f>IF(Y160="","N",IF(Y160&lt;=10,"Y","N"))</f>
        <v/>
      </c>
      <c r="EW160">
        <f>ROW()-1</f>
        <v/>
      </c>
    </row>
    <row r="161">
      <c r="A161" t="inlineStr">
        <is>
          <t>AO-C-258</t>
        </is>
      </c>
      <c r="B161" t="inlineStr">
        <is>
          <t>Jump Trading</t>
        </is>
      </c>
      <c r="C161" t="inlineStr"/>
      <c r="D161" t="inlineStr"/>
      <c r="E161" t="inlineStr"/>
      <c r="F161" t="inlineStr"/>
      <c r="G161" t="inlineStr"/>
      <c r="H161" t="inlineStr">
        <is>
          <t>none</t>
        </is>
      </c>
      <c r="I161" t="inlineStr">
        <is>
          <t>linkedin</t>
        </is>
      </c>
      <c r="J161" t="n">
        <v>33.3</v>
      </c>
      <c r="K161" t="inlineStr">
        <is>
          <t>Tuesday estimate 57 to 1140 (low confidence), 1,001 to 4,999 staff company-wide, no attendance signal, occupied at a medium-confidence address; contacts not researched yet (below the top 50).</t>
        </is>
      </c>
      <c r="L161" t="inlineStr">
        <is>
          <t>251-500</t>
        </is>
      </c>
      <c r="M161" t="inlineStr"/>
      <c r="N161" t="inlineStr"/>
      <c r="O161" t="inlineStr"/>
      <c r="P161" t="inlineStr"/>
      <c r="Q161" t="inlineStr"/>
      <c r="R161" t="inlineStr">
        <is>
          <t>N</t>
        </is>
      </c>
      <c r="S161" t="inlineStr">
        <is>
          <t>unknown</t>
        </is>
      </c>
      <c r="T161" t="inlineStr">
        <is>
          <t>N</t>
        </is>
      </c>
      <c r="U161" t="inlineStr">
        <is>
          <t>new</t>
        </is>
      </c>
      <c r="V161" t="inlineStr">
        <is>
          <t>https://commercialobserver.com/2025/10/lutron-electronics-office-lease-11-east-26th-street/</t>
        </is>
      </c>
      <c r="W161" t="inlineStr">
        <is>
          <t>2026-10-23</t>
        </is>
      </c>
      <c r="X161" t="inlineStr">
        <is>
          <t>office</t>
        </is>
      </c>
      <c r="Y161" t="inlineStr"/>
      <c r="Z161" t="n">
        <v>160</v>
      </c>
      <c r="AA161" t="inlineStr">
        <is>
          <t>N</t>
        </is>
      </c>
      <c r="AB161" t="inlineStr">
        <is>
          <t>Tuesday estimate band 251-500: founder's call (set founder_ok_to_queue = Y to queue)</t>
        </is>
      </c>
      <c r="AC161" t="inlineStr"/>
      <c r="AD161" t="inlineStr">
        <is>
          <t>none</t>
        </is>
      </c>
      <c r="AE161" t="inlineStr"/>
      <c r="AF161" t="inlineStr"/>
      <c r="AG161" t="inlineStr"/>
      <c r="AH161" t="inlineStr">
        <is>
          <t>none</t>
        </is>
      </c>
      <c r="AI161" t="inlineStr">
        <is>
          <t>11 East 26th Street</t>
        </is>
      </c>
      <c r="AJ161" t="inlineStr">
        <is>
          <t>unknown</t>
        </is>
      </c>
      <c r="AK161" t="inlineStr">
        <is>
          <t>occupied</t>
        </is>
      </c>
      <c r="AL161" t="n">
        <v>57</v>
      </c>
      <c r="AM161" t="n">
        <v>1140</v>
      </c>
      <c r="AN161" t="inlineStr">
        <is>
          <t>low</t>
        </is>
      </c>
      <c r="AO161" t="inlineStr">
        <is>
          <t>unknown</t>
        </is>
      </c>
      <c r="AP161" t="inlineStr">
        <is>
          <t>AO-C-258</t>
        </is>
      </c>
      <c r="AQ161" t="inlineStr">
        <is>
          <t>N</t>
        </is>
      </c>
      <c r="AR161" t="inlineStr"/>
      <c r="AS161" t="inlineStr"/>
      <c r="AT161" t="inlineStr">
        <is>
          <t>N</t>
        </is>
      </c>
      <c r="AU161" t="inlineStr">
        <is>
          <t>no contact named on an opened page; Tuesday estimate band 251-500: founder's call</t>
        </is>
      </c>
      <c r="AV161" t="inlineStr"/>
      <c r="AW161" t="inlineStr">
        <is>
          <t>Y</t>
        </is>
      </c>
      <c r="AX161" t="inlineStr">
        <is>
          <t>pass</t>
        </is>
      </c>
      <c r="AY161" t="inlineStr">
        <is>
          <t>passes all hard gates</t>
        </is>
      </c>
      <c r="AZ161" t="inlineStr">
        <is>
          <t>company</t>
        </is>
      </c>
      <c r="BA161" t="inlineStr">
        <is>
          <t>B-C-258</t>
        </is>
      </c>
      <c r="BB161" t="inlineStr">
        <is>
          <t>https://www.jumptrading.com</t>
        </is>
      </c>
      <c r="BC161" t="inlineStr">
        <is>
          <t>proprietary trading</t>
        </is>
      </c>
      <c r="BD161" t="n">
        <v>2000</v>
      </c>
      <c r="BE161" t="inlineStr"/>
      <c r="BF161" t="inlineStr">
        <is>
          <t>over-500</t>
        </is>
      </c>
      <c r="BG161" t="inlineStr">
        <is>
          <t>whole-company</t>
        </is>
      </c>
      <c r="BH161" t="inlineStr">
        <is>
          <t>single-source</t>
        </is>
      </c>
      <c r="BI161" t="inlineStr">
        <is>
          <t>https://en.wikipedia.org/wiki/Jump_Trading</t>
        </is>
      </c>
      <c r="BJ161" t="inlineStr"/>
      <c r="BK161" t="inlineStr">
        <is>
          <t>1001-4999</t>
        </is>
      </c>
      <c r="BL161" t="inlineStr">
        <is>
          <t>unknown</t>
        </is>
      </c>
      <c r="BM161" t="inlineStr">
        <is>
          <t>unknown</t>
        </is>
      </c>
      <c r="BN161" t="inlineStr">
        <is>
          <t>unknown</t>
        </is>
      </c>
      <c r="BO161" t="inlineStr">
        <is>
          <t>unknown</t>
        </is>
      </c>
      <c r="BP161" t="n">
        <v>10010</v>
      </c>
      <c r="BQ161" t="n">
        <v>40.743309</v>
      </c>
      <c r="BR161" t="n">
        <v>-73.987329</v>
      </c>
      <c r="BS161" t="inlineStr">
        <is>
          <t>Y</t>
        </is>
      </c>
      <c r="BT161" t="n">
        <v>0</v>
      </c>
      <c r="BU161" t="inlineStr">
        <is>
          <t>B-B-065</t>
        </is>
      </c>
      <c r="BV161" t="inlineStr">
        <is>
          <t>11 East 26th Street (Rockrose; joined to 15 East 26th Street)</t>
        </is>
      </c>
      <c r="BW161" t="inlineStr">
        <is>
          <t>https://commercialobserver.com/2025/10/lutron-electronics-office-lease-11-east-26th-street/</t>
        </is>
      </c>
      <c r="BX161" t="inlineStr">
        <is>
          <t>2025-10-22</t>
        </is>
      </c>
      <c r="BY161" t="inlineStr">
        <is>
          <t>leasing-press</t>
        </is>
      </c>
      <c r="BZ161" t="inlineStr">
        <is>
          <t>https://commercialobserver.com/2025/03/reckoner-capital-management-lease-11-east-26th-street/</t>
        </is>
      </c>
      <c r="CA161" t="inlineStr">
        <is>
          <t>2025-03-12</t>
        </is>
      </c>
      <c r="CB161" t="inlineStr"/>
      <c r="CC161" t="inlineStr">
        <is>
          <t>medium</t>
        </is>
      </c>
      <c r="CD161" t="inlineStr"/>
      <c r="CE161" t="inlineStr">
        <is>
          <t>N</t>
        </is>
      </c>
      <c r="CF161" t="inlineStr"/>
      <c r="CG161" t="inlineStr"/>
      <c r="CH161" t="inlineStr">
        <is>
          <t>unknown</t>
        </is>
      </c>
      <c r="CI161" t="inlineStr"/>
      <c r="CJ161" t="inlineStr">
        <is>
          <t>unknown</t>
        </is>
      </c>
      <c r="CK161" t="inlineStr">
        <is>
          <t>N</t>
        </is>
      </c>
      <c r="CL161" t="inlineStr">
        <is>
          <t>unknown</t>
        </is>
      </c>
      <c r="CM161" t="inlineStr"/>
      <c r="CN161" t="inlineStr"/>
      <c r="CO161" t="n">
        <v>255</v>
      </c>
      <c r="CP161" t="inlineStr">
        <is>
          <t>may exceed 250</t>
        </is>
      </c>
      <c r="CQ161" t="inlineStr">
        <is>
          <t>2000 (Wikipedia) staff (whole-company count) x 5% to 100% of them in the New York office (HQ city unknown; share assumed) x 57% (Partnership for NYC, all Manhattan firms; no figure for 500 to 4,999) in on a weekday = 57 to 1140, central 255; low confidence; estimate until intake replaces it.</t>
        </is>
      </c>
      <c r="CR161" t="inlineStr">
        <is>
          <t>estimate until intake replaces it</t>
        </is>
      </c>
      <c r="CS161" t="n">
        <v>0.49</v>
      </c>
      <c r="CT161" t="n">
        <v>33.3</v>
      </c>
      <c r="CU161" t="n">
        <v>12.3</v>
      </c>
      <c r="CV161" t="n">
        <v>2</v>
      </c>
      <c r="CW161" t="n">
        <v>6</v>
      </c>
      <c r="CX161" t="n">
        <v>13</v>
      </c>
      <c r="CY161" t="n">
        <v>0</v>
      </c>
      <c r="CZ161" t="n">
        <v>0</v>
      </c>
      <c r="DA161" t="inlineStr"/>
      <c r="DB161" t="inlineStr"/>
      <c r="DC161" t="inlineStr"/>
      <c r="DD161" t="inlineStr"/>
      <c r="DE161" t="inlineStr"/>
      <c r="DF161" t="inlineStr">
        <is>
          <t>none</t>
        </is>
      </c>
      <c r="DG161" t="inlineStr">
        <is>
          <t>near-miss-over-500</t>
        </is>
      </c>
      <c r="DH161" t="inlineStr">
        <is>
          <t>over-1,000 (1,001 to 4,999)</t>
        </is>
      </c>
      <c r="DI161" t="inlineStr">
        <is>
          <t>N</t>
        </is>
      </c>
      <c r="DJ161" t="inlineStr"/>
      <c r="DK161" t="inlineStr">
        <is>
          <t>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161" t="inlineStr"/>
      <c r="DM161" t="inlineStr"/>
      <c r="DN161" t="inlineStr"/>
      <c r="DO161" t="inlineStr"/>
      <c r="DP161" t="inlineStr"/>
      <c r="DQ161" t="inlineStr"/>
      <c r="DR161" t="inlineStr"/>
      <c r="DS161" t="inlineStr">
        <is>
          <t>none</t>
        </is>
      </c>
      <c r="DT161" t="inlineStr"/>
      <c r="DU161" t="inlineStr"/>
      <c r="DV161" t="inlineStr"/>
      <c r="DW161" t="inlineStr"/>
      <c r="DX161" t="inlineStr">
        <is>
          <t>N</t>
        </is>
      </c>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f>IF(ISNUMBER(MATCH(U161,{"queued","contacted","replied","call_booked","call_done","yes_in_principle","materials_sent"},0)),"Y","N")</f>
        <v/>
      </c>
      <c r="ES161">
        <f>IF(COUNTIFS($AP$2:$AP$1000,AP161,$ER$2:$ER$1000,"Y")+COUNTIFS($AP$2:$AP$1000,AP161,$T$2:$T$1000,"Y")&gt;0,"Y","N")</f>
        <v/>
      </c>
      <c r="ET161">
        <f>IF(AND(U161="new",T161="N",AT161="Y",AS161="",ES161="N"),"Y","N")</f>
        <v/>
      </c>
      <c r="EU161">
        <f>IF(ET161&lt;&gt;"Y","N",IF(COUNTIFS($AP$2:$AP$1000,AP161,$ET$2:$ET$1000,"Y",$J$2:$J$1000,"&gt;"&amp;J161)+COUNTIFS($AP$2:$AP$1000,AP161,$ET$2:$ET$1000,"Y",$J$2:$J$1000,J161,$EW$2:$EW$1000,"&lt;"&amp;EW161)=0,"Y","N"))</f>
        <v/>
      </c>
      <c r="EV161">
        <f>IF(Y161="","N",IF(Y161&lt;=10,"Y","N"))</f>
        <v/>
      </c>
      <c r="EW161">
        <f>ROW()-1</f>
        <v/>
      </c>
    </row>
    <row r="162">
      <c r="A162" t="inlineStr">
        <is>
          <t>AO-C-191</t>
        </is>
      </c>
      <c r="B162" t="inlineStr">
        <is>
          <t>Kaltura</t>
        </is>
      </c>
      <c r="C162" t="inlineStr"/>
      <c r="D162" t="inlineStr"/>
      <c r="E162" t="inlineStr"/>
      <c r="F162" t="inlineStr"/>
      <c r="G162" t="inlineStr"/>
      <c r="H162" t="inlineStr">
        <is>
          <t>none</t>
        </is>
      </c>
      <c r="I162" t="inlineStr">
        <is>
          <t>linkedin</t>
        </is>
      </c>
      <c r="J162" t="n">
        <v>32.6</v>
      </c>
      <c r="K162" t="inlineStr">
        <is>
          <t>Tuesday estimate 208 to 416 (low confidence), 501 to 1,000 staff company-wide, hybrid (days not stated), occupied at a medium-confidence address; contacts not researched yet (below the top 50).</t>
        </is>
      </c>
      <c r="L162" t="inlineStr">
        <is>
          <t>251-500</t>
        </is>
      </c>
      <c r="M162" t="inlineStr"/>
      <c r="N162" t="inlineStr"/>
      <c r="O162" t="inlineStr"/>
      <c r="P162" t="inlineStr"/>
      <c r="Q162" t="inlineStr"/>
      <c r="R162" t="inlineStr">
        <is>
          <t>N</t>
        </is>
      </c>
      <c r="S162" t="inlineStr">
        <is>
          <t>unknown</t>
        </is>
      </c>
      <c r="T162" t="inlineStr">
        <is>
          <t>N</t>
        </is>
      </c>
      <c r="U162" t="inlineStr">
        <is>
          <t>new</t>
        </is>
      </c>
      <c r="V162" t="inlineStr">
        <is>
          <t>https://commercialobserver.com/2026/08/selldorf-architects-renews-14k-sf-860-broadway-lease-for-10-years/</t>
        </is>
      </c>
      <c r="W162" t="inlineStr">
        <is>
          <t>2026-10-23</t>
        </is>
      </c>
      <c r="X162" t="inlineStr">
        <is>
          <t>office</t>
        </is>
      </c>
      <c r="Y162" t="inlineStr"/>
      <c r="Z162" t="n">
        <v>161</v>
      </c>
      <c r="AA162" t="inlineStr">
        <is>
          <t>N</t>
        </is>
      </c>
      <c r="AB162" t="inlineStr">
        <is>
          <t>Tuesday estimate band 251-500: founder's call (set founder_ok_to_queue = Y to queue)</t>
        </is>
      </c>
      <c r="AC162" t="inlineStr"/>
      <c r="AD162" t="inlineStr">
        <is>
          <t>none</t>
        </is>
      </c>
      <c r="AE162" t="inlineStr"/>
      <c r="AF162" t="inlineStr"/>
      <c r="AG162" t="inlineStr"/>
      <c r="AH162" t="inlineStr">
        <is>
          <t>none</t>
        </is>
      </c>
      <c r="AI162" t="inlineStr">
        <is>
          <t>860 Broadway</t>
        </is>
      </c>
      <c r="AJ162" t="n">
        <v>3</v>
      </c>
      <c r="AK162" t="inlineStr">
        <is>
          <t>occupied</t>
        </is>
      </c>
      <c r="AL162" t="n">
        <v>208</v>
      </c>
      <c r="AM162" t="n">
        <v>416</v>
      </c>
      <c r="AN162" t="inlineStr">
        <is>
          <t>low</t>
        </is>
      </c>
      <c r="AO162" t="inlineStr">
        <is>
          <t>hybrid-unspecified</t>
        </is>
      </c>
      <c r="AP162" t="inlineStr">
        <is>
          <t>AO-C-191</t>
        </is>
      </c>
      <c r="AQ162" t="inlineStr">
        <is>
          <t>N</t>
        </is>
      </c>
      <c r="AR162" t="inlineStr"/>
      <c r="AS162" t="inlineStr"/>
      <c r="AT162" t="inlineStr">
        <is>
          <t>N</t>
        </is>
      </c>
      <c r="AU162" t="inlineStr">
        <is>
          <t>no contact named on an opened page; Tuesday estimate band 251-500: founder's call</t>
        </is>
      </c>
      <c r="AV162" t="inlineStr"/>
      <c r="AW162" t="inlineStr">
        <is>
          <t>Y</t>
        </is>
      </c>
      <c r="AX162" t="inlineStr">
        <is>
          <t>pass</t>
        </is>
      </c>
      <c r="AY162" t="inlineStr">
        <is>
          <t>passes all hard gates</t>
        </is>
      </c>
      <c r="AZ162" t="inlineStr">
        <is>
          <t>company</t>
        </is>
      </c>
      <c r="BA162" t="inlineStr">
        <is>
          <t>B-C-191</t>
        </is>
      </c>
      <c r="BB162" t="inlineStr">
        <is>
          <t>https://corp.kaltura.com</t>
        </is>
      </c>
      <c r="BC162" t="inlineStr">
        <is>
          <t>video software</t>
        </is>
      </c>
      <c r="BD162" t="n">
        <v>730</v>
      </c>
      <c r="BE162" t="inlineStr"/>
      <c r="BF162" t="inlineStr">
        <is>
          <t>over-500</t>
        </is>
      </c>
      <c r="BG162" t="inlineStr">
        <is>
          <t>whole-company</t>
        </is>
      </c>
      <c r="BH162" t="inlineStr">
        <is>
          <t>single-source</t>
        </is>
      </c>
      <c r="BI162" t="inlineStr">
        <is>
          <t>https://www.builtinnyc.com/company/kaltura-inc</t>
        </is>
      </c>
      <c r="BJ162" t="inlineStr"/>
      <c r="BK162" t="inlineStr">
        <is>
          <t>501-1000</t>
        </is>
      </c>
      <c r="BL162" t="inlineStr">
        <is>
          <t>New York</t>
        </is>
      </c>
      <c r="BM162" t="inlineStr">
        <is>
          <t>Y</t>
        </is>
      </c>
      <c r="BN162" t="inlineStr">
        <is>
          <t>unknown</t>
        </is>
      </c>
      <c r="BO162" t="inlineStr">
        <is>
          <t>unknown</t>
        </is>
      </c>
      <c r="BP162" t="n">
        <v>10003</v>
      </c>
      <c r="BQ162" t="n">
        <v>40.73716</v>
      </c>
      <c r="BR162" t="n">
        <v>-73.990073</v>
      </c>
      <c r="BS162" t="inlineStr">
        <is>
          <t>Y</t>
        </is>
      </c>
      <c r="BT162" t="n">
        <v>0</v>
      </c>
      <c r="BU162" t="inlineStr">
        <is>
          <t>B-B-011</t>
        </is>
      </c>
      <c r="BV162" t="inlineStr">
        <is>
          <t>860 Broadway</t>
        </is>
      </c>
      <c r="BW162" t="inlineStr">
        <is>
          <t>https://commercialobserver.com/2026/08/selldorf-architects-renews-14k-sf-860-broadway-lease-for-10-years/</t>
        </is>
      </c>
      <c r="BX162" t="inlineStr">
        <is>
          <t>2026-08-07</t>
        </is>
      </c>
      <c r="BY162" t="inlineStr">
        <is>
          <t>leasing-press</t>
        </is>
      </c>
      <c r="BZ162" t="inlineStr">
        <is>
          <t>https://commercialobserver.com/2022/01/kaltura-lease-860-broadway-gordon-property-group/</t>
        </is>
      </c>
      <c r="CA162" t="inlineStr">
        <is>
          <t>2022-01</t>
        </is>
      </c>
      <c r="CB162" t="inlineStr"/>
      <c r="CC162" t="inlineStr">
        <is>
          <t>medium</t>
        </is>
      </c>
      <c r="CD162" t="inlineStr"/>
      <c r="CE162" t="inlineStr">
        <is>
          <t>N</t>
        </is>
      </c>
      <c r="CF162" t="inlineStr"/>
      <c r="CG162" t="inlineStr"/>
      <c r="CH162" t="inlineStr">
        <is>
          <t>unknown</t>
        </is>
      </c>
      <c r="CI162" t="inlineStr"/>
      <c r="CJ162" t="inlineStr">
        <is>
          <t>unknown</t>
        </is>
      </c>
      <c r="CK162" t="inlineStr">
        <is>
          <t>N</t>
        </is>
      </c>
      <c r="CL162" t="inlineStr">
        <is>
          <t>Built In workplace type: Hybrid Workplace; typical time on-site: Flexible; recent job tags: 3 Remote</t>
        </is>
      </c>
      <c r="CM162" t="inlineStr">
        <is>
          <t>https://www.builtinnyc.com/company/kaltura-inc/offices</t>
        </is>
      </c>
      <c r="CN162" t="inlineStr">
        <is>
          <t>2026-10-24</t>
        </is>
      </c>
      <c r="CO162" t="n">
        <v>294</v>
      </c>
      <c r="CP162" t="inlineStr">
        <is>
          <t>may exceed 250</t>
        </is>
      </c>
      <c r="CQ162" t="inlineStr">
        <is>
          <t>730 (Built In) staff (whole-company count) x 50% to 100% of them in the New York office (HQ New York; share assumed) x 57% (Partnership for NYC, all Manhattan firms; no figure for 500 to 4,999) in on a weekday = 208 to 416, central 294; low confidence; estimate until intake replaces it.</t>
        </is>
      </c>
      <c r="CR162" t="inlineStr">
        <is>
          <t>estimate until intake replaces it</t>
        </is>
      </c>
      <c r="CS162" t="n">
        <v>0.27</v>
      </c>
      <c r="CT162" t="n">
        <v>32.6</v>
      </c>
      <c r="CU162" t="n">
        <v>6.6</v>
      </c>
      <c r="CV162" t="n">
        <v>6</v>
      </c>
      <c r="CW162" t="n">
        <v>7</v>
      </c>
      <c r="CX162" t="n">
        <v>13</v>
      </c>
      <c r="CY162" t="n">
        <v>0</v>
      </c>
      <c r="CZ162" t="n">
        <v>0</v>
      </c>
      <c r="DA162" t="inlineStr"/>
      <c r="DB162" t="inlineStr"/>
      <c r="DC162" t="inlineStr"/>
      <c r="DD162" t="inlineStr"/>
      <c r="DE162" t="inlineStr"/>
      <c r="DF162" t="inlineStr">
        <is>
          <t>none</t>
        </is>
      </c>
      <c r="DG162" t="inlineStr">
        <is>
          <t>near-miss-over-500</t>
        </is>
      </c>
      <c r="DH162" t="inlineStr">
        <is>
          <t>just-over-500 (501 to 1,000)</t>
        </is>
      </c>
      <c r="DI162" t="inlineStr">
        <is>
          <t>N</t>
        </is>
      </c>
      <c r="DJ162" t="inlineStr"/>
      <c r="DK162" t="inlineStr">
        <is>
          <t>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DL162" t="inlineStr"/>
      <c r="DM162" t="inlineStr"/>
      <c r="DN162" t="inlineStr"/>
      <c r="DO162" t="inlineStr"/>
      <c r="DP162" t="inlineStr"/>
      <c r="DQ162" t="inlineStr"/>
      <c r="DR162" t="inlineStr"/>
      <c r="DS162" t="inlineStr">
        <is>
          <t>none</t>
        </is>
      </c>
      <c r="DT162" t="inlineStr"/>
      <c r="DU162" t="inlineStr"/>
      <c r="DV162" t="inlineStr"/>
      <c r="DW162" t="inlineStr"/>
      <c r="DX162" t="inlineStr">
        <is>
          <t>N</t>
        </is>
      </c>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f>IF(ISNUMBER(MATCH(U162,{"queued","contacted","replied","call_booked","call_done","yes_in_principle","materials_sent"},0)),"Y","N")</f>
        <v/>
      </c>
      <c r="ES162">
        <f>IF(COUNTIFS($AP$2:$AP$1000,AP162,$ER$2:$ER$1000,"Y")+COUNTIFS($AP$2:$AP$1000,AP162,$T$2:$T$1000,"Y")&gt;0,"Y","N")</f>
        <v/>
      </c>
      <c r="ET162">
        <f>IF(AND(U162="new",T162="N",AT162="Y",AS162="",ES162="N"),"Y","N")</f>
        <v/>
      </c>
      <c r="EU162">
        <f>IF(ET162&lt;&gt;"Y","N",IF(COUNTIFS($AP$2:$AP$1000,AP162,$ET$2:$ET$1000,"Y",$J$2:$J$1000,"&gt;"&amp;J162)+COUNTIFS($AP$2:$AP$1000,AP162,$ET$2:$ET$1000,"Y",$J$2:$J$1000,J162,$EW$2:$EW$1000,"&lt;"&amp;EW162)=0,"Y","N"))</f>
        <v/>
      </c>
      <c r="EV162">
        <f>IF(Y162="","N",IF(Y162&lt;=10,"Y","N"))</f>
        <v/>
      </c>
      <c r="EW162">
        <f>ROW()-1</f>
        <v/>
      </c>
    </row>
    <row r="163">
      <c r="A163" t="inlineStr">
        <is>
          <t>AO-C-185</t>
        </is>
      </c>
      <c r="B163" t="inlineStr">
        <is>
          <t>Faire</t>
        </is>
      </c>
      <c r="C163" t="inlineStr"/>
      <c r="D163" t="inlineStr"/>
      <c r="E163" t="inlineStr"/>
      <c r="F163" t="inlineStr"/>
      <c r="G163" t="inlineStr"/>
      <c r="H163" t="inlineStr">
        <is>
          <t>none</t>
        </is>
      </c>
      <c r="I163" t="inlineStr">
        <is>
          <t>linkedin</t>
        </is>
      </c>
      <c r="J163" t="n">
        <v>32.3</v>
      </c>
      <c r="K163" t="inlineStr">
        <is>
          <t>Tuesday estimate 34 to 684 (low confidence), 1,001 to 4,999 staff company-wide, hybrid (days not stated), occupancy-unconfirmed at a medium-confidence address; contacts not researched yet (below the top 50).</t>
        </is>
      </c>
      <c r="L163" t="inlineStr">
        <is>
          <t>151-250</t>
        </is>
      </c>
      <c r="M163" t="inlineStr"/>
      <c r="N163" t="inlineStr"/>
      <c r="O163" t="inlineStr"/>
      <c r="P163" t="inlineStr"/>
      <c r="Q163" t="inlineStr"/>
      <c r="R163" t="inlineStr">
        <is>
          <t>N</t>
        </is>
      </c>
      <c r="S163" t="inlineStr">
        <is>
          <t>unknown</t>
        </is>
      </c>
      <c r="T163" t="inlineStr">
        <is>
          <t>N</t>
        </is>
      </c>
      <c r="U163" t="inlineStr">
        <is>
          <t>new</t>
        </is>
      </c>
      <c r="V163" t="inlineStr">
        <is>
          <t>https://commercialobserver.com/2025/03/faire-lease-26-west-17th-street/</t>
        </is>
      </c>
      <c r="W163" t="inlineStr">
        <is>
          <t>2026-10-23</t>
        </is>
      </c>
      <c r="X163" t="inlineStr">
        <is>
          <t>office</t>
        </is>
      </c>
      <c r="Y163" t="inlineStr"/>
      <c r="Z163" t="n">
        <v>162</v>
      </c>
      <c r="AA163" t="inlineStr">
        <is>
          <t>N</t>
        </is>
      </c>
      <c r="AB163" t="inlineStr"/>
      <c r="AC163" t="inlineStr"/>
      <c r="AD163" t="inlineStr">
        <is>
          <t>none</t>
        </is>
      </c>
      <c r="AE163" t="inlineStr"/>
      <c r="AF163" t="inlineStr"/>
      <c r="AG163" t="inlineStr"/>
      <c r="AH163" t="inlineStr">
        <is>
          <t>none</t>
        </is>
      </c>
      <c r="AI163" t="inlineStr">
        <is>
          <t>26 West 17th Street</t>
        </is>
      </c>
      <c r="AJ163" t="inlineStr">
        <is>
          <t>9; 12</t>
        </is>
      </c>
      <c r="AK163" t="inlineStr">
        <is>
          <t>occupancy-unconfirmed</t>
        </is>
      </c>
      <c r="AL163" t="n">
        <v>34</v>
      </c>
      <c r="AM163" t="n">
        <v>684</v>
      </c>
      <c r="AN163" t="inlineStr">
        <is>
          <t>low</t>
        </is>
      </c>
      <c r="AO163" t="inlineStr">
        <is>
          <t>hybrid-unspecified</t>
        </is>
      </c>
      <c r="AP163" t="inlineStr">
        <is>
          <t>AO-C-185</t>
        </is>
      </c>
      <c r="AQ163" t="inlineStr">
        <is>
          <t>N</t>
        </is>
      </c>
      <c r="AR163" t="inlineStr"/>
      <c r="AS163" t="inlineStr"/>
      <c r="AT163" t="inlineStr">
        <is>
          <t>N</t>
        </is>
      </c>
      <c r="AU163" t="inlineStr">
        <is>
          <t>no contact named on an opened page</t>
        </is>
      </c>
      <c r="AV163" t="inlineStr"/>
      <c r="AW163" t="inlineStr">
        <is>
          <t>N</t>
        </is>
      </c>
      <c r="AX163" t="inlineStr">
        <is>
          <t>pass</t>
        </is>
      </c>
      <c r="AY163" t="inlineStr">
        <is>
          <t>passes all hard gates</t>
        </is>
      </c>
      <c r="AZ163" t="inlineStr">
        <is>
          <t>company</t>
        </is>
      </c>
      <c r="BA163" t="inlineStr">
        <is>
          <t>B-C-185</t>
        </is>
      </c>
      <c r="BB163" t="inlineStr">
        <is>
          <t>https://www.faire.com</t>
        </is>
      </c>
      <c r="BC163" t="inlineStr">
        <is>
          <t>B2B wholesale marketplace</t>
        </is>
      </c>
      <c r="BD163" t="n">
        <v>1200</v>
      </c>
      <c r="BE163" t="inlineStr"/>
      <c r="BF163" t="inlineStr">
        <is>
          <t>over-500</t>
        </is>
      </c>
      <c r="BG163" t="inlineStr">
        <is>
          <t>whole-company</t>
        </is>
      </c>
      <c r="BH163" t="inlineStr">
        <is>
          <t>single-source</t>
        </is>
      </c>
      <c r="BI163" t="inlineStr">
        <is>
          <t>https://www.builtinnyc.com/company/faire</t>
        </is>
      </c>
      <c r="BJ163" t="inlineStr"/>
      <c r="BK163" t="inlineStr">
        <is>
          <t>1001-4999</t>
        </is>
      </c>
      <c r="BL163" t="inlineStr">
        <is>
          <t>San Francisco</t>
        </is>
      </c>
      <c r="BM163" t="inlineStr">
        <is>
          <t>N</t>
        </is>
      </c>
      <c r="BN163" t="inlineStr">
        <is>
          <t>unknown</t>
        </is>
      </c>
      <c r="BO163" t="inlineStr">
        <is>
          <t>unknown</t>
        </is>
      </c>
      <c r="BP163" t="n">
        <v>10011</v>
      </c>
      <c r="BQ163" t="n">
        <v>40.738405</v>
      </c>
      <c r="BR163" t="n">
        <v>-73.99393999999999</v>
      </c>
      <c r="BS163" t="inlineStr">
        <is>
          <t>Y</t>
        </is>
      </c>
      <c r="BT163" t="n">
        <v>0</v>
      </c>
      <c r="BU163" t="inlineStr">
        <is>
          <t>B-B-008</t>
        </is>
      </c>
      <c r="BV163" t="inlineStr">
        <is>
          <t>26 West 17th Street</t>
        </is>
      </c>
      <c r="BW163" t="inlineStr">
        <is>
          <t>https://commercialobserver.com/2025/03/faire-lease-26-west-17th-street/</t>
        </is>
      </c>
      <c r="BX163" t="inlineStr">
        <is>
          <t>2025-03-27</t>
        </is>
      </c>
      <c r="BY163" t="inlineStr">
        <is>
          <t>leasing-press</t>
        </is>
      </c>
      <c r="BZ163" t="inlineStr"/>
      <c r="CA163" t="inlineStr"/>
      <c r="CB163" t="inlineStr"/>
      <c r="CC163" t="inlineStr">
        <is>
          <t>medium</t>
        </is>
      </c>
      <c r="CD163" t="inlineStr"/>
      <c r="CE163" t="inlineStr">
        <is>
          <t>N</t>
        </is>
      </c>
      <c r="CF163" t="inlineStr"/>
      <c r="CG163" t="inlineStr"/>
      <c r="CH163" t="inlineStr">
        <is>
          <t>unknown</t>
        </is>
      </c>
      <c r="CI163" t="inlineStr"/>
      <c r="CJ163" t="inlineStr">
        <is>
          <t>unknown</t>
        </is>
      </c>
      <c r="CK163" t="inlineStr">
        <is>
          <t>N</t>
        </is>
      </c>
      <c r="CL163" t="inlineStr">
        <is>
          <t>Built In workplace type: Hybrid Workplace; typical time on-site: Flexible; recent job tags: 3 In-Office</t>
        </is>
      </c>
      <c r="CM163" t="inlineStr">
        <is>
          <t>https://www.builtinnyc.com/company/faire/offices</t>
        </is>
      </c>
      <c r="CN163" t="inlineStr">
        <is>
          <t>2026-10-24</t>
        </is>
      </c>
      <c r="CO163" t="n">
        <v>152</v>
      </c>
      <c r="CP163" t="inlineStr">
        <is>
          <t>may exceed 250</t>
        </is>
      </c>
      <c r="CQ163" t="inlineStr">
        <is>
          <t>1200 (Built In) staff (whole-company count) x 5% to 100% of them in the New York office (HQ outside New York; share assumed) x 57% (Partnership for NYC, all Manhattan firms; no figure for 500 to 4,999) in on a weekday = 34 to 684, central 152; low confidence; estimate until intake replaces it.</t>
        </is>
      </c>
      <c r="CR163" t="inlineStr">
        <is>
          <t>estimate until intake replaces it</t>
        </is>
      </c>
      <c r="CS163" t="n">
        <v>0.61</v>
      </c>
      <c r="CT163" t="n">
        <v>32.3</v>
      </c>
      <c r="CU163" t="n">
        <v>15.3</v>
      </c>
      <c r="CV163" t="n">
        <v>2</v>
      </c>
      <c r="CW163" t="n">
        <v>7</v>
      </c>
      <c r="CX163" t="n">
        <v>8</v>
      </c>
      <c r="CY163" t="n">
        <v>0</v>
      </c>
      <c r="CZ163" t="n">
        <v>0</v>
      </c>
      <c r="DA163" t="inlineStr"/>
      <c r="DB163" t="inlineStr"/>
      <c r="DC163" t="inlineStr"/>
      <c r="DD163" t="inlineStr"/>
      <c r="DE163" t="inlineStr"/>
      <c r="DF163" t="inlineStr">
        <is>
          <t>none</t>
        </is>
      </c>
      <c r="DG163" t="inlineStr">
        <is>
          <t>near-miss-over-500</t>
        </is>
      </c>
      <c r="DH163" t="inlineStr">
        <is>
          <t>over-1,000 (1,001 to 4,999)</t>
        </is>
      </c>
      <c r="DI163" t="inlineStr">
        <is>
          <t>N</t>
        </is>
      </c>
      <c r="DJ163" t="inlineStr">
        <is>
          <t>20,000 sf</t>
        </is>
      </c>
      <c r="DK163" t="inlineStr">
        <is>
          <t>Near-miss: over 500. Built In NYC: 1,200 total employees, HQ San Francisco. CO 2025-03-27: about 20,000 sf on floors 9 and 12; article says the NYC office had about 50 employees when it opened in Greenwich Village in 2022 (old, not used for band).</t>
        </is>
      </c>
      <c r="DL163" t="inlineStr"/>
      <c r="DM163" t="inlineStr"/>
      <c r="DN163" t="inlineStr"/>
      <c r="DO163" t="inlineStr"/>
      <c r="DP163" t="inlineStr"/>
      <c r="DQ163" t="inlineStr"/>
      <c r="DR163" t="inlineStr"/>
      <c r="DS163" t="inlineStr">
        <is>
          <t>none</t>
        </is>
      </c>
      <c r="DT163" t="inlineStr"/>
      <c r="DU163" t="inlineStr"/>
      <c r="DV163" t="inlineStr"/>
      <c r="DW163" t="inlineStr"/>
      <c r="DX163" t="inlineStr">
        <is>
          <t>N</t>
        </is>
      </c>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f>IF(ISNUMBER(MATCH(U163,{"queued","contacted","replied","call_booked","call_done","yes_in_principle","materials_sent"},0)),"Y","N")</f>
        <v/>
      </c>
      <c r="ES163">
        <f>IF(COUNTIFS($AP$2:$AP$1000,AP163,$ER$2:$ER$1000,"Y")+COUNTIFS($AP$2:$AP$1000,AP163,$T$2:$T$1000,"Y")&gt;0,"Y","N")</f>
        <v/>
      </c>
      <c r="ET163">
        <f>IF(AND(U163="new",T163="N",AT163="Y",AS163="",ES163="N"),"Y","N")</f>
        <v/>
      </c>
      <c r="EU163">
        <f>IF(ET163&lt;&gt;"Y","N",IF(COUNTIFS($AP$2:$AP$1000,AP163,$ET$2:$ET$1000,"Y",$J$2:$J$1000,"&gt;"&amp;J163)+COUNTIFS($AP$2:$AP$1000,AP163,$ET$2:$ET$1000,"Y",$J$2:$J$1000,J163,$EW$2:$EW$1000,"&lt;"&amp;EW163)=0,"Y","N"))</f>
        <v/>
      </c>
      <c r="EV163">
        <f>IF(Y163="","N",IF(Y163&lt;=10,"Y","N"))</f>
        <v/>
      </c>
      <c r="EW163">
        <f>ROW()-1</f>
        <v/>
      </c>
    </row>
    <row r="164">
      <c r="A164" t="inlineStr">
        <is>
          <t>AO-C-040</t>
        </is>
      </c>
      <c r="B164" t="inlineStr">
        <is>
          <t>Farmacy Beauty</t>
        </is>
      </c>
      <c r="C164" t="inlineStr"/>
      <c r="D164" t="inlineStr"/>
      <c r="E164" t="inlineStr"/>
      <c r="F164" t="inlineStr"/>
      <c r="G164" t="inlineStr"/>
      <c r="H164" t="inlineStr">
        <is>
          <t>none</t>
        </is>
      </c>
      <c r="I164" t="inlineStr">
        <is>
          <t>linkedin</t>
        </is>
      </c>
      <c r="J164" t="n">
        <v>32</v>
      </c>
      <c r="K164" t="inlineStr">
        <is>
          <t>Tuesday headcount unknown (no sourced count), company size unknown with a named parent (Procter &amp; Gamble), no attendance signal, occupied at a high-confidence address; contacts not researched yet (below the top 50).</t>
        </is>
      </c>
      <c r="L164" t="inlineStr">
        <is>
          <t>unknown</t>
        </is>
      </c>
      <c r="M164" t="inlineStr"/>
      <c r="N164" t="inlineStr"/>
      <c r="O164" t="inlineStr"/>
      <c r="P164" t="inlineStr"/>
      <c r="Q164" t="inlineStr"/>
      <c r="R164" t="inlineStr">
        <is>
          <t>N</t>
        </is>
      </c>
      <c r="S164" t="inlineStr">
        <is>
          <t>unknown</t>
        </is>
      </c>
      <c r="T164" t="inlineStr">
        <is>
          <t>N</t>
        </is>
      </c>
      <c r="U164" t="inlineStr">
        <is>
          <t>new</t>
        </is>
      </c>
      <c r="V164" t="inlineStr">
        <is>
          <t>https://www.farmacybeauty.com/pages/contact-us</t>
        </is>
      </c>
      <c r="W164" t="inlineStr">
        <is>
          <t>2026-10-23</t>
        </is>
      </c>
      <c r="X164" t="inlineStr">
        <is>
          <t>office</t>
        </is>
      </c>
      <c r="Y164" t="inlineStr"/>
      <c r="Z164" t="n">
        <v>163</v>
      </c>
      <c r="AA164" t="inlineStr">
        <is>
          <t>N</t>
        </is>
      </c>
      <c r="AB164" t="inlineStr"/>
      <c r="AC164" t="inlineStr"/>
      <c r="AD164" t="inlineStr">
        <is>
          <t>none</t>
        </is>
      </c>
      <c r="AE164" t="inlineStr"/>
      <c r="AF164" t="inlineStr"/>
      <c r="AG164" t="inlineStr"/>
      <c r="AH164" t="inlineStr">
        <is>
          <t>none</t>
        </is>
      </c>
      <c r="AI164" t="inlineStr">
        <is>
          <t>130 Fifth Avenue</t>
        </is>
      </c>
      <c r="AJ164" t="n">
        <v>4</v>
      </c>
      <c r="AK164" t="inlineStr">
        <is>
          <t>occupied</t>
        </is>
      </c>
      <c r="AL164" t="inlineStr">
        <is>
          <t>unknown</t>
        </is>
      </c>
      <c r="AM164" t="inlineStr">
        <is>
          <t>unknown</t>
        </is>
      </c>
      <c r="AN164" t="inlineStr">
        <is>
          <t>none</t>
        </is>
      </c>
      <c r="AO164" t="inlineStr">
        <is>
          <t>unknown</t>
        </is>
      </c>
      <c r="AP164" t="inlineStr">
        <is>
          <t>AO-C-040</t>
        </is>
      </c>
      <c r="AQ164" t="inlineStr">
        <is>
          <t>N</t>
        </is>
      </c>
      <c r="AR164" t="inlineStr"/>
      <c r="AS164" t="inlineStr"/>
      <c r="AT164" t="inlineStr">
        <is>
          <t>N</t>
        </is>
      </c>
      <c r="AU164" t="inlineStr">
        <is>
          <t>no contact named on an opened page</t>
        </is>
      </c>
      <c r="AV164" t="inlineStr"/>
      <c r="AW164" t="inlineStr">
        <is>
          <t>N</t>
        </is>
      </c>
      <c r="AX164" t="inlineStr">
        <is>
          <t>pass</t>
        </is>
      </c>
      <c r="AY164" t="inlineStr">
        <is>
          <t>passes all hard gates</t>
        </is>
      </c>
      <c r="AZ164" t="inlineStr">
        <is>
          <t>company</t>
        </is>
      </c>
      <c r="BA164" t="inlineStr">
        <is>
          <t>B-C-040</t>
        </is>
      </c>
      <c r="BB164" t="inlineStr">
        <is>
          <t>https://www.farmacybeauty.com</t>
        </is>
      </c>
      <c r="BC164" t="inlineStr">
        <is>
          <t>skincare brand</t>
        </is>
      </c>
      <c r="BD164" t="inlineStr">
        <is>
          <t>unknown</t>
        </is>
      </c>
      <c r="BE164" t="inlineStr"/>
      <c r="BF164" t="inlineStr">
        <is>
          <t>unknown</t>
        </is>
      </c>
      <c r="BG164" t="inlineStr">
        <is>
          <t>unknown</t>
        </is>
      </c>
      <c r="BH164" t="inlineStr">
        <is>
          <t>no-count</t>
        </is>
      </c>
      <c r="BI164" t="inlineStr"/>
      <c r="BJ164" t="inlineStr"/>
      <c r="BK164" t="inlineStr">
        <is>
          <t>unknown</t>
        </is>
      </c>
      <c r="BL164" t="inlineStr">
        <is>
          <t>unknown</t>
        </is>
      </c>
      <c r="BM164" t="inlineStr">
        <is>
          <t>unknown</t>
        </is>
      </c>
      <c r="BN164" t="inlineStr">
        <is>
          <t>Procter &amp; Gamble</t>
        </is>
      </c>
      <c r="BO164" t="inlineStr">
        <is>
          <t>unknown</t>
        </is>
      </c>
      <c r="BP164" t="n">
        <v>10011</v>
      </c>
      <c r="BQ164" t="n">
        <v>40.738793</v>
      </c>
      <c r="BR164" t="n">
        <v>-73.991823</v>
      </c>
      <c r="BS164" t="inlineStr">
        <is>
          <t>Y</t>
        </is>
      </c>
      <c r="BT164" t="n">
        <v>0</v>
      </c>
      <c r="BU164" t="inlineStr">
        <is>
          <t>B-B-017</t>
        </is>
      </c>
      <c r="BV164" t="inlineStr">
        <is>
          <t>130 Fifth Avenue (Olnick Organization)</t>
        </is>
      </c>
      <c r="BW164" t="inlineStr">
        <is>
          <t>https://www.farmacybeauty.com/pages/contact-us</t>
        </is>
      </c>
      <c r="BX164" t="inlineStr">
        <is>
          <t>2026-10-23</t>
        </is>
      </c>
      <c r="BY164" t="inlineStr">
        <is>
          <t>company-site</t>
        </is>
      </c>
      <c r="BZ164" t="inlineStr">
        <is>
          <t>https://commercialobserver.com/2024/12/airbnb-lease-130-fifth-avenue/</t>
        </is>
      </c>
      <c r="CA164" t="inlineStr">
        <is>
          <t>2024-12-02</t>
        </is>
      </c>
      <c r="CB164" t="inlineStr"/>
      <c r="CC164" t="inlineStr">
        <is>
          <t>high</t>
        </is>
      </c>
      <c r="CD164" t="inlineStr"/>
      <c r="CE164" t="inlineStr">
        <is>
          <t>N</t>
        </is>
      </c>
      <c r="CF164" t="inlineStr"/>
      <c r="CG164" t="inlineStr"/>
      <c r="CH164" t="inlineStr">
        <is>
          <t>unknown</t>
        </is>
      </c>
      <c r="CI164" t="inlineStr"/>
      <c r="CJ164" t="inlineStr">
        <is>
          <t>unknown</t>
        </is>
      </c>
      <c r="CK164" t="inlineStr">
        <is>
          <t>N</t>
        </is>
      </c>
      <c r="CL164" t="inlineStr">
        <is>
          <t>unknown</t>
        </is>
      </c>
      <c r="CM164" t="inlineStr"/>
      <c r="CN164" t="inlineStr"/>
      <c r="CO164" t="inlineStr">
        <is>
          <t>unknown</t>
        </is>
      </c>
      <c r="CP164" t="inlineStr"/>
      <c r="CQ164" t="inlineStr">
        <is>
          <t>No sourced headcount, so no Tuesday estimate; ask the Tuesday count at intake.</t>
        </is>
      </c>
      <c r="CR164" t="inlineStr">
        <is>
          <t>estimate until intake replaces it</t>
        </is>
      </c>
      <c r="CS164" t="inlineStr">
        <is>
          <t>unknown</t>
        </is>
      </c>
      <c r="CT164" t="n">
        <v>32</v>
      </c>
      <c r="CU164" t="n">
        <v>7</v>
      </c>
      <c r="CV164" t="n">
        <v>4</v>
      </c>
      <c r="CW164" t="n">
        <v>6</v>
      </c>
      <c r="CX164" t="n">
        <v>15</v>
      </c>
      <c r="CY164" t="n">
        <v>0</v>
      </c>
      <c r="CZ164" t="n">
        <v>0</v>
      </c>
      <c r="DA164" t="inlineStr"/>
      <c r="DB164" t="inlineStr"/>
      <c r="DC164" t="inlineStr"/>
      <c r="DD164" t="inlineStr"/>
      <c r="DE164" t="inlineStr"/>
      <c r="DF164" t="inlineStr">
        <is>
          <t>none</t>
        </is>
      </c>
      <c r="DG164" t="inlineStr">
        <is>
          <t>candidate</t>
        </is>
      </c>
      <c r="DH164" t="inlineStr"/>
      <c r="DI164" t="inlineStr"/>
      <c r="DJ164" t="inlineStr"/>
      <c r="DK164" t="inlineStr">
        <is>
          <t>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is>
      </c>
      <c r="DL164" t="inlineStr"/>
      <c r="DM164" t="inlineStr"/>
      <c r="DN164" t="inlineStr"/>
      <c r="DO164" t="inlineStr"/>
      <c r="DP164" t="inlineStr"/>
      <c r="DQ164" t="inlineStr"/>
      <c r="DR164" t="inlineStr"/>
      <c r="DS164" t="inlineStr">
        <is>
          <t>none</t>
        </is>
      </c>
      <c r="DT164" t="inlineStr"/>
      <c r="DU164" t="inlineStr"/>
      <c r="DV164" t="inlineStr"/>
      <c r="DW164" t="inlineStr"/>
      <c r="DX164" t="inlineStr">
        <is>
          <t>N</t>
        </is>
      </c>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f>IF(ISNUMBER(MATCH(U164,{"queued","contacted","replied","call_booked","call_done","yes_in_principle","materials_sent"},0)),"Y","N")</f>
        <v/>
      </c>
      <c r="ES164">
        <f>IF(COUNTIFS($AP$2:$AP$1000,AP164,$ER$2:$ER$1000,"Y")+COUNTIFS($AP$2:$AP$1000,AP164,$T$2:$T$1000,"Y")&gt;0,"Y","N")</f>
        <v/>
      </c>
      <c r="ET164">
        <f>IF(AND(U164="new",T164="N",AT164="Y",AS164="",ES164="N"),"Y","N")</f>
        <v/>
      </c>
      <c r="EU164">
        <f>IF(ET164&lt;&gt;"Y","N",IF(COUNTIFS($AP$2:$AP$1000,AP164,$ET$2:$ET$1000,"Y",$J$2:$J$1000,"&gt;"&amp;J164)+COUNTIFS($AP$2:$AP$1000,AP164,$ET$2:$ET$1000,"Y",$J$2:$J$1000,J164,$EW$2:$EW$1000,"&lt;"&amp;EW164)=0,"Y","N"))</f>
        <v/>
      </c>
      <c r="EV164">
        <f>IF(Y164="","N",IF(Y164&lt;=10,"Y","N"))</f>
        <v/>
      </c>
      <c r="EW164">
        <f>ROW()-1</f>
        <v/>
      </c>
    </row>
    <row r="165">
      <c r="A165" t="inlineStr">
        <is>
          <t>AO-C-005</t>
        </is>
      </c>
      <c r="B165" t="inlineStr">
        <is>
          <t>Nourish</t>
        </is>
      </c>
      <c r="C165" t="inlineStr"/>
      <c r="D165" t="inlineStr"/>
      <c r="E165" t="inlineStr"/>
      <c r="F165" t="inlineStr"/>
      <c r="G165" t="inlineStr"/>
      <c r="H165" t="inlineStr">
        <is>
          <t>none</t>
        </is>
      </c>
      <c r="I165" t="inlineStr">
        <is>
          <t>linkedin</t>
        </is>
      </c>
      <c r="J165" t="n">
        <v>31.9</v>
      </c>
      <c r="K165" t="inlineStr">
        <is>
          <t>Tuesday estimate 90 to 2327 (low confidence), 1,001 to 4,999 staff company-wide, hybrid (days not stated), occupied at a high-confidence address; contacts not researched yet (below the top 50).</t>
        </is>
      </c>
      <c r="L165" t="inlineStr">
        <is>
          <t>251-500</t>
        </is>
      </c>
      <c r="M165" t="inlineStr"/>
      <c r="N165" t="inlineStr"/>
      <c r="O165" t="inlineStr"/>
      <c r="P165" t="inlineStr"/>
      <c r="Q165" t="inlineStr"/>
      <c r="R165" t="inlineStr">
        <is>
          <t>N</t>
        </is>
      </c>
      <c r="S165" t="inlineStr">
        <is>
          <t>unknown</t>
        </is>
      </c>
      <c r="T165" t="inlineStr">
        <is>
          <t>N</t>
        </is>
      </c>
      <c r="U165" t="inlineStr">
        <is>
          <t>new</t>
        </is>
      </c>
      <c r="V165" t="inlineStr">
        <is>
          <t>https://nyrej.com/print/54591</t>
        </is>
      </c>
      <c r="W165" t="inlineStr">
        <is>
          <t>2026-10-23</t>
        </is>
      </c>
      <c r="X165" t="inlineStr">
        <is>
          <t>office</t>
        </is>
      </c>
      <c r="Y165" t="inlineStr"/>
      <c r="Z165" t="n">
        <v>164</v>
      </c>
      <c r="AA165" t="inlineStr">
        <is>
          <t>N</t>
        </is>
      </c>
      <c r="AB165" t="inlineStr">
        <is>
          <t>Tuesday estimate band 251-500: founder's call (set founder_ok_to_queue = Y to queue)</t>
        </is>
      </c>
      <c r="AC165" t="inlineStr"/>
      <c r="AD165" t="inlineStr">
        <is>
          <t>none</t>
        </is>
      </c>
      <c r="AE165" t="inlineStr"/>
      <c r="AF165" t="inlineStr"/>
      <c r="AG165" t="inlineStr"/>
      <c r="AH165" t="inlineStr">
        <is>
          <t>none</t>
        </is>
      </c>
      <c r="AI165" t="inlineStr">
        <is>
          <t>853 Broadway</t>
        </is>
      </c>
      <c r="AJ165" t="n">
        <v>15</v>
      </c>
      <c r="AK165" t="inlineStr">
        <is>
          <t>occupied</t>
        </is>
      </c>
      <c r="AL165" t="n">
        <v>90</v>
      </c>
      <c r="AM165" t="n">
        <v>2327</v>
      </c>
      <c r="AN165" t="inlineStr">
        <is>
          <t>low</t>
        </is>
      </c>
      <c r="AO165" t="inlineStr">
        <is>
          <t>hybrid-unspecified</t>
        </is>
      </c>
      <c r="AP165" t="inlineStr">
        <is>
          <t>AO-C-005</t>
        </is>
      </c>
      <c r="AQ165" t="inlineStr">
        <is>
          <t>N</t>
        </is>
      </c>
      <c r="AR165" t="inlineStr"/>
      <c r="AS165" t="inlineStr"/>
      <c r="AT165" t="inlineStr">
        <is>
          <t>N</t>
        </is>
      </c>
      <c r="AU165" t="inlineStr">
        <is>
          <t>no contact named on an opened page; Tuesday estimate band 251-500: founder's call</t>
        </is>
      </c>
      <c r="AV165" t="inlineStr"/>
      <c r="AW165" t="inlineStr">
        <is>
          <t>Y</t>
        </is>
      </c>
      <c r="AX165" t="inlineStr">
        <is>
          <t>pass</t>
        </is>
      </c>
      <c r="AY165" t="inlineStr">
        <is>
          <t>passes all hard gates</t>
        </is>
      </c>
      <c r="AZ165" t="inlineStr">
        <is>
          <t>company</t>
        </is>
      </c>
      <c r="BA165" t="inlineStr">
        <is>
          <t>B-C-005</t>
        </is>
      </c>
      <c r="BB165" t="inlineStr">
        <is>
          <t>https://www.usenourish.com</t>
        </is>
      </c>
      <c r="BC165" t="inlineStr">
        <is>
          <t>health tech (dietitian telehealth)</t>
        </is>
      </c>
      <c r="BD165" t="n">
        <v>4082</v>
      </c>
      <c r="BE165" t="n">
        <v>315</v>
      </c>
      <c r="BF165" t="inlineStr">
        <is>
          <t>over-500</t>
        </is>
      </c>
      <c r="BG165" t="inlineStr">
        <is>
          <t>whole-company</t>
        </is>
      </c>
      <c r="BH165" t="inlineStr">
        <is>
          <t>over-500-second-source</t>
        </is>
      </c>
      <c r="BI165" t="inlineStr">
        <is>
          <t>https://www.reveliolabs.com/companies/nourish/employees</t>
        </is>
      </c>
      <c r="BJ165" t="inlineStr">
        <is>
          <t>https://www.builtinnyc.com/company/nourish</t>
        </is>
      </c>
      <c r="BK165" t="inlineStr">
        <is>
          <t>1001-4999</t>
        </is>
      </c>
      <c r="BL165" t="inlineStr">
        <is>
          <t>New York</t>
        </is>
      </c>
      <c r="BM165" t="inlineStr">
        <is>
          <t>Y</t>
        </is>
      </c>
      <c r="BN165" t="inlineStr">
        <is>
          <t>unknown</t>
        </is>
      </c>
      <c r="BO165" t="inlineStr">
        <is>
          <t>unknown</t>
        </is>
      </c>
      <c r="BP165" t="n">
        <v>10003</v>
      </c>
      <c r="BQ165" t="n">
        <v>40.734626</v>
      </c>
      <c r="BR165" t="n">
        <v>-73.9911</v>
      </c>
      <c r="BS165" t="inlineStr">
        <is>
          <t>Y</t>
        </is>
      </c>
      <c r="BT165" t="n">
        <v>0</v>
      </c>
      <c r="BU165" t="inlineStr">
        <is>
          <t>B-B-001</t>
        </is>
      </c>
      <c r="BV165" t="inlineStr">
        <is>
          <t>853 Broadway (Union Building)</t>
        </is>
      </c>
      <c r="BW165" t="inlineStr">
        <is>
          <t>https://nyrej.com/print/54591</t>
        </is>
      </c>
      <c r="BX165" t="inlineStr">
        <is>
          <t>2025-04-08</t>
        </is>
      </c>
      <c r="BY165" t="inlineStr">
        <is>
          <t>leasing-press</t>
        </is>
      </c>
      <c r="BZ165" t="inlineStr">
        <is>
          <t>https://commercialobserver.com/2025/02/nourish-lease-853-broadway/</t>
        </is>
      </c>
      <c r="CA165" t="inlineStr">
        <is>
          <t>2025-02</t>
        </is>
      </c>
      <c r="CB165" t="inlineStr"/>
      <c r="CC165" t="inlineStr">
        <is>
          <t>high</t>
        </is>
      </c>
      <c r="CD165" t="inlineStr"/>
      <c r="CE165" t="inlineStr">
        <is>
          <t>N</t>
        </is>
      </c>
      <c r="CF165" t="inlineStr"/>
      <c r="CG165" t="inlineStr"/>
      <c r="CH165" t="inlineStr">
        <is>
          <t>security desk</t>
        </is>
      </c>
      <c r="CI165" t="inlineStr">
        <is>
          <t>https://853broadway.sharplaunch.com/</t>
        </is>
      </c>
      <c r="CJ165" t="inlineStr">
        <is>
          <t>unknown</t>
        </is>
      </c>
      <c r="CK165" t="inlineStr">
        <is>
          <t>N</t>
        </is>
      </c>
      <c r="CL165" t="inlineStr">
        <is>
          <t>Built In workplace type: Hybrid Workplace; typical time on-site: Flexible</t>
        </is>
      </c>
      <c r="CM165" t="inlineStr">
        <is>
          <t>https://www.builtinnyc.com/company/nourish/offices</t>
        </is>
      </c>
      <c r="CN165" t="inlineStr">
        <is>
          <t>2026-10-24</t>
        </is>
      </c>
      <c r="CO165" t="n">
        <v>458</v>
      </c>
      <c r="CP165" t="inlineStr">
        <is>
          <t>may exceed 250</t>
        </is>
      </c>
      <c r="CQ165" t="inlineStr">
        <is>
          <t>4082 (Revelio Labs) and 315 (Built In) staff (whole-company count) x 50% to 100% of them in the New York office (HQ New York; share assumed) x 57% (Partnership for NYC, all Manhattan firms; no figure for 500 to 4,999) in on a weekday = 90 to 2327, central 458; low confidence; estimate until intake replaces it.</t>
        </is>
      </c>
      <c r="CR165" t="inlineStr">
        <is>
          <t>estimate until intake replaces it</t>
        </is>
      </c>
      <c r="CS165" t="n">
        <v>0.31</v>
      </c>
      <c r="CT165" t="n">
        <v>31.9</v>
      </c>
      <c r="CU165" t="n">
        <v>7.9</v>
      </c>
      <c r="CV165" t="n">
        <v>2</v>
      </c>
      <c r="CW165" t="n">
        <v>7</v>
      </c>
      <c r="CX165" t="n">
        <v>15</v>
      </c>
      <c r="CY165" t="n">
        <v>0</v>
      </c>
      <c r="CZ165" t="n">
        <v>0</v>
      </c>
      <c r="DA165" t="inlineStr"/>
      <c r="DB165" t="inlineStr"/>
      <c r="DC165" t="inlineStr"/>
      <c r="DD165" t="inlineStr"/>
      <c r="DE165" t="inlineStr"/>
      <c r="DF165" t="inlineStr">
        <is>
          <t>none</t>
        </is>
      </c>
      <c r="DG165" t="inlineStr">
        <is>
          <t>near-miss-over-500</t>
        </is>
      </c>
      <c r="DH165" t="inlineStr">
        <is>
          <t>over-1,000 (1,001 to 4,999)</t>
        </is>
      </c>
      <c r="DI165" t="inlineStr">
        <is>
          <t>Y</t>
        </is>
      </c>
      <c r="DJ165" t="inlineStr">
        <is>
          <t>7,563 sf</t>
        </is>
      </c>
      <c r="DK165" t="inlineStr">
        <is>
          <t>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is>
      </c>
      <c r="DL165" t="inlineStr"/>
      <c r="DM165" t="inlineStr"/>
      <c r="DN165" t="inlineStr"/>
      <c r="DO165" t="inlineStr"/>
      <c r="DP165" t="inlineStr"/>
      <c r="DQ165" t="inlineStr"/>
      <c r="DR165" t="inlineStr"/>
      <c r="DS165" t="inlineStr">
        <is>
          <t>none</t>
        </is>
      </c>
      <c r="DT165" t="inlineStr"/>
      <c r="DU165" t="inlineStr"/>
      <c r="DV165" t="inlineStr"/>
      <c r="DW165" t="inlineStr"/>
      <c r="DX165" t="inlineStr">
        <is>
          <t>N</t>
        </is>
      </c>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f>IF(ISNUMBER(MATCH(U165,{"queued","contacted","replied","call_booked","call_done","yes_in_principle","materials_sent"},0)),"Y","N")</f>
        <v/>
      </c>
      <c r="ES165">
        <f>IF(COUNTIFS($AP$2:$AP$1000,AP165,$ER$2:$ER$1000,"Y")+COUNTIFS($AP$2:$AP$1000,AP165,$T$2:$T$1000,"Y")&gt;0,"Y","N")</f>
        <v/>
      </c>
      <c r="ET165">
        <f>IF(AND(U165="new",T165="N",AT165="Y",AS165="",ES165="N"),"Y","N")</f>
        <v/>
      </c>
      <c r="EU165">
        <f>IF(ET165&lt;&gt;"Y","N",IF(COUNTIFS($AP$2:$AP$1000,AP165,$ET$2:$ET$1000,"Y",$J$2:$J$1000,"&gt;"&amp;J165)+COUNTIFS($AP$2:$AP$1000,AP165,$ET$2:$ET$1000,"Y",$J$2:$J$1000,J165,$EW$2:$EW$1000,"&lt;"&amp;EW165)=0,"Y","N"))</f>
        <v/>
      </c>
      <c r="EV165">
        <f>IF(Y165="","N",IF(Y165&lt;=10,"Y","N"))</f>
        <v/>
      </c>
      <c r="EW165">
        <f>ROW()-1</f>
        <v/>
      </c>
    </row>
    <row r="166">
      <c r="A166" t="inlineStr">
        <is>
          <t>AO-C-254</t>
        </is>
      </c>
      <c r="B166" t="inlineStr">
        <is>
          <t>Superhuman (formerly Grammarly)</t>
        </is>
      </c>
      <c r="C166" t="inlineStr"/>
      <c r="D166" t="inlineStr"/>
      <c r="E166" t="inlineStr"/>
      <c r="F166" t="inlineStr"/>
      <c r="G166" t="inlineStr"/>
      <c r="H166" t="inlineStr">
        <is>
          <t>none</t>
        </is>
      </c>
      <c r="I166" t="inlineStr">
        <is>
          <t>linkedin</t>
        </is>
      </c>
      <c r="J166" t="n">
        <v>31.7</v>
      </c>
      <c r="K166" t="inlineStr">
        <is>
          <t>Tuesday estimate 43 to 855 (low confidence), 1,001 to 4,999 staff company-wide, hybrid (days not stated), occupancy-unconfirmed at a medium-confidence address; contacts not researched yet (below the top 50).</t>
        </is>
      </c>
      <c r="L166" t="inlineStr">
        <is>
          <t>151-250</t>
        </is>
      </c>
      <c r="M166" t="inlineStr"/>
      <c r="N166" t="inlineStr"/>
      <c r="O166" t="inlineStr"/>
      <c r="P166" t="inlineStr"/>
      <c r="Q166" t="inlineStr"/>
      <c r="R166" t="inlineStr">
        <is>
          <t>N</t>
        </is>
      </c>
      <c r="S166" t="inlineStr">
        <is>
          <t>unknown</t>
        </is>
      </c>
      <c r="T166" t="inlineStr">
        <is>
          <t>N</t>
        </is>
      </c>
      <c r="U166" t="inlineStr">
        <is>
          <t>new</t>
        </is>
      </c>
      <c r="V166" t="inlineStr">
        <is>
          <t>https://commercialobserver.com/2025/09/grammarly-bxps-360-park-avenue-south/</t>
        </is>
      </c>
      <c r="W166" t="inlineStr">
        <is>
          <t>2026-10-23</t>
        </is>
      </c>
      <c r="X166" t="inlineStr">
        <is>
          <t>office</t>
        </is>
      </c>
      <c r="Y166" t="inlineStr"/>
      <c r="Z166" t="n">
        <v>165</v>
      </c>
      <c r="AA166" t="inlineStr">
        <is>
          <t>N</t>
        </is>
      </c>
      <c r="AB166" t="inlineStr"/>
      <c r="AC166" t="inlineStr"/>
      <c r="AD166" t="inlineStr">
        <is>
          <t>none</t>
        </is>
      </c>
      <c r="AE166" t="inlineStr"/>
      <c r="AF166" t="inlineStr"/>
      <c r="AG166" t="inlineStr"/>
      <c r="AH166" t="inlineStr">
        <is>
          <t>none</t>
        </is>
      </c>
      <c r="AI166" t="inlineStr">
        <is>
          <t>360 Park Avenue South</t>
        </is>
      </c>
      <c r="AJ166" t="inlineStr">
        <is>
          <t>one full floor (23,038 sf)</t>
        </is>
      </c>
      <c r="AK166" t="inlineStr">
        <is>
          <t>occupancy-unconfirmed</t>
        </is>
      </c>
      <c r="AL166" t="n">
        <v>43</v>
      </c>
      <c r="AM166" t="n">
        <v>855</v>
      </c>
      <c r="AN166" t="inlineStr">
        <is>
          <t>low</t>
        </is>
      </c>
      <c r="AO166" t="inlineStr">
        <is>
          <t>hybrid-unspecified</t>
        </is>
      </c>
      <c r="AP166" t="inlineStr">
        <is>
          <t>AO-C-254</t>
        </is>
      </c>
      <c r="AQ166" t="inlineStr">
        <is>
          <t>N</t>
        </is>
      </c>
      <c r="AR166" t="inlineStr"/>
      <c r="AS166" t="inlineStr"/>
      <c r="AT166" t="inlineStr">
        <is>
          <t>N</t>
        </is>
      </c>
      <c r="AU166" t="inlineStr">
        <is>
          <t>no contact named on an opened page</t>
        </is>
      </c>
      <c r="AV166" t="inlineStr"/>
      <c r="AW166" t="inlineStr">
        <is>
          <t>N</t>
        </is>
      </c>
      <c r="AX166" t="inlineStr">
        <is>
          <t>pass</t>
        </is>
      </c>
      <c r="AY166" t="inlineStr">
        <is>
          <t>passes all hard gates</t>
        </is>
      </c>
      <c r="AZ166" t="inlineStr">
        <is>
          <t>company</t>
        </is>
      </c>
      <c r="BA166" t="inlineStr">
        <is>
          <t>B-C-254</t>
        </is>
      </c>
      <c r="BB166" t="inlineStr">
        <is>
          <t>https://www.grammarly.com/</t>
        </is>
      </c>
      <c r="BC166" t="inlineStr">
        <is>
          <t>Software (AI writing assistant)</t>
        </is>
      </c>
      <c r="BD166" t="n">
        <v>1500</v>
      </c>
      <c r="BE166" t="inlineStr"/>
      <c r="BF166" t="inlineStr">
        <is>
          <t>over-500</t>
        </is>
      </c>
      <c r="BG166" t="inlineStr">
        <is>
          <t>whole-company</t>
        </is>
      </c>
      <c r="BH166" t="inlineStr">
        <is>
          <t>single-source</t>
        </is>
      </c>
      <c r="BI166" t="inlineStr">
        <is>
          <t>https://www.builtinnyc.com/company/superhuman-1/offices</t>
        </is>
      </c>
      <c r="BJ166" t="inlineStr"/>
      <c r="BK166" t="inlineStr">
        <is>
          <t>1001-4999</t>
        </is>
      </c>
      <c r="BL166" t="inlineStr">
        <is>
          <t>San Francisco</t>
        </is>
      </c>
      <c r="BM166" t="inlineStr">
        <is>
          <t>N</t>
        </is>
      </c>
      <c r="BN166" t="inlineStr">
        <is>
          <t>unknown</t>
        </is>
      </c>
      <c r="BO166" t="inlineStr">
        <is>
          <t>unknown</t>
        </is>
      </c>
      <c r="BP166" t="n">
        <v>10010</v>
      </c>
      <c r="BQ166" t="n">
        <v>40.741968</v>
      </c>
      <c r="BR166" t="n">
        <v>-73.985327</v>
      </c>
      <c r="BS166" t="inlineStr">
        <is>
          <t>Y</t>
        </is>
      </c>
      <c r="BT166" t="n">
        <v>0</v>
      </c>
      <c r="BU166" t="inlineStr">
        <is>
          <t>B-B-059</t>
        </is>
      </c>
      <c r="BV166" t="inlineStr">
        <is>
          <t>360 Park Avenue South (BXP)</t>
        </is>
      </c>
      <c r="BW166" t="inlineStr">
        <is>
          <t>https://commercialobserver.com/2025/09/grammarly-bxps-360-park-avenue-south/</t>
        </is>
      </c>
      <c r="BX166" t="inlineStr">
        <is>
          <t>2025-09-02</t>
        </is>
      </c>
      <c r="BY166" t="inlineStr">
        <is>
          <t>leasing-press</t>
        </is>
      </c>
      <c r="BZ166" t="inlineStr">
        <is>
          <t>https://commercialobserver.com/2026/01/betches-coming-360-park-avenue-south/</t>
        </is>
      </c>
      <c r="CA166" t="inlineStr">
        <is>
          <t>2026-01-22</t>
        </is>
      </c>
      <c r="CB166" t="inlineStr"/>
      <c r="CC166" t="inlineStr">
        <is>
          <t>medium</t>
        </is>
      </c>
      <c r="CD166" t="inlineStr"/>
      <c r="CE166" t="inlineStr">
        <is>
          <t>N</t>
        </is>
      </c>
      <c r="CF166" t="inlineStr"/>
      <c r="CG166" t="inlineStr"/>
      <c r="CH166" t="inlineStr">
        <is>
          <t>unknown</t>
        </is>
      </c>
      <c r="CI166" t="inlineStr"/>
      <c r="CJ166" t="inlineStr">
        <is>
          <t>unknown</t>
        </is>
      </c>
      <c r="CK166" t="inlineStr">
        <is>
          <t>N</t>
        </is>
      </c>
      <c r="CL166" t="inlineStr">
        <is>
          <t>Built In workplace type: Hybrid Workplace; typical time on-site: Flexible; recent job tags: 2 Hybrid, 1 Remote</t>
        </is>
      </c>
      <c r="CM166" t="inlineStr">
        <is>
          <t>https://www.builtinnyc.com/company/superhuman-1/offices</t>
        </is>
      </c>
      <c r="CN166" t="inlineStr">
        <is>
          <t>2026-10-24</t>
        </is>
      </c>
      <c r="CO166" t="n">
        <v>192</v>
      </c>
      <c r="CP166" t="inlineStr">
        <is>
          <t>may exceed 250</t>
        </is>
      </c>
      <c r="CQ166" t="inlineStr">
        <is>
          <t>1500 (Built In) staff (whole-company count) x 5% to 100% of them in the New York office (HQ outside New York; share assumed) x 57% (Partnership for NYC, all Manhattan firms; no figure for 500 to 4,999) in on a weekday = 43 to 855, central 192; low confidence; estimate until intake replaces it.</t>
        </is>
      </c>
      <c r="CR166" t="inlineStr">
        <is>
          <t>estimate until intake replaces it</t>
        </is>
      </c>
      <c r="CS166" t="n">
        <v>0.59</v>
      </c>
      <c r="CT166" t="n">
        <v>31.7</v>
      </c>
      <c r="CU166" t="n">
        <v>14.7</v>
      </c>
      <c r="CV166" t="n">
        <v>2</v>
      </c>
      <c r="CW166" t="n">
        <v>7</v>
      </c>
      <c r="CX166" t="n">
        <v>8</v>
      </c>
      <c r="CY166" t="n">
        <v>0</v>
      </c>
      <c r="CZ166" t="n">
        <v>0</v>
      </c>
      <c r="DA166" t="inlineStr"/>
      <c r="DB166" t="inlineStr"/>
      <c r="DC166" t="inlineStr"/>
      <c r="DD166" t="inlineStr"/>
      <c r="DE166" t="inlineStr"/>
      <c r="DF166" t="inlineStr">
        <is>
          <t>none</t>
        </is>
      </c>
      <c r="DG166" t="inlineStr">
        <is>
          <t>near-miss-over-500</t>
        </is>
      </c>
      <c r="DH166" t="inlineStr">
        <is>
          <t>over-1,000 (1,001 to 4,999)</t>
        </is>
      </c>
      <c r="DI166" t="inlineStr">
        <is>
          <t>N</t>
        </is>
      </c>
      <c r="DJ166" t="inlineStr">
        <is>
          <t>23,038 sf</t>
        </is>
      </c>
      <c r="DK166" t="inlineStr">
        <is>
          <t>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is>
      </c>
      <c r="DL166" t="inlineStr"/>
      <c r="DM166" t="inlineStr"/>
      <c r="DN166" t="inlineStr"/>
      <c r="DO166" t="inlineStr"/>
      <c r="DP166" t="inlineStr"/>
      <c r="DQ166" t="inlineStr"/>
      <c r="DR166" t="inlineStr"/>
      <c r="DS166" t="inlineStr">
        <is>
          <t>none</t>
        </is>
      </c>
      <c r="DT166" t="inlineStr"/>
      <c r="DU166" t="inlineStr"/>
      <c r="DV166" t="inlineStr"/>
      <c r="DW166" t="inlineStr"/>
      <c r="DX166" t="inlineStr">
        <is>
          <t>N</t>
        </is>
      </c>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f>IF(ISNUMBER(MATCH(U166,{"queued","contacted","replied","call_booked","call_done","yes_in_principle","materials_sent"},0)),"Y","N")</f>
        <v/>
      </c>
      <c r="ES166">
        <f>IF(COUNTIFS($AP$2:$AP$1000,AP166,$ER$2:$ER$1000,"Y")+COUNTIFS($AP$2:$AP$1000,AP166,$T$2:$T$1000,"Y")&gt;0,"Y","N")</f>
        <v/>
      </c>
      <c r="ET166">
        <f>IF(AND(U166="new",T166="N",AT166="Y",AS166="",ES166="N"),"Y","N")</f>
        <v/>
      </c>
      <c r="EU166">
        <f>IF(ET166&lt;&gt;"Y","N",IF(COUNTIFS($AP$2:$AP$1000,AP166,$ET$2:$ET$1000,"Y",$J$2:$J$1000,"&gt;"&amp;J166)+COUNTIFS($AP$2:$AP$1000,AP166,$ET$2:$ET$1000,"Y",$J$2:$J$1000,J166,$EW$2:$EW$1000,"&lt;"&amp;EW166)=0,"Y","N"))</f>
        <v/>
      </c>
      <c r="EV166">
        <f>IF(Y166="","N",IF(Y166&lt;=10,"Y","N"))</f>
        <v/>
      </c>
      <c r="EW166">
        <f>ROW()-1</f>
        <v/>
      </c>
    </row>
    <row r="167">
      <c r="A167" t="inlineStr">
        <is>
          <t>AO-C-179</t>
        </is>
      </c>
      <c r="B167" t="inlineStr">
        <is>
          <t>Movable Ink</t>
        </is>
      </c>
      <c r="C167" t="inlineStr"/>
      <c r="D167" t="inlineStr"/>
      <c r="E167" t="inlineStr"/>
      <c r="F167" t="inlineStr"/>
      <c r="G167" t="inlineStr"/>
      <c r="H167" t="inlineStr">
        <is>
          <t>none</t>
        </is>
      </c>
      <c r="I167" t="inlineStr">
        <is>
          <t>linkedin</t>
        </is>
      </c>
      <c r="J167" t="n">
        <v>31.7</v>
      </c>
      <c r="K167" t="inlineStr">
        <is>
          <t>Tuesday estimate 171 to 342 (low confidence), 501 to 1,000 staff company-wide, hybrid (days not stated), occupancy-unconfirmed at a low-confidence address; contacts not researched yet (below the top 50).</t>
        </is>
      </c>
      <c r="L167" t="inlineStr">
        <is>
          <t>151-250</t>
        </is>
      </c>
      <c r="M167" t="inlineStr"/>
      <c r="N167" t="inlineStr"/>
      <c r="O167" t="inlineStr"/>
      <c r="P167" t="inlineStr"/>
      <c r="Q167" t="inlineStr"/>
      <c r="R167" t="inlineStr">
        <is>
          <t>N</t>
        </is>
      </c>
      <c r="S167" t="inlineStr">
        <is>
          <t>unknown</t>
        </is>
      </c>
      <c r="T167" t="inlineStr">
        <is>
          <t>N</t>
        </is>
      </c>
      <c r="U167" t="inlineStr">
        <is>
          <t>new</t>
        </is>
      </c>
      <c r="V167" t="inlineStr">
        <is>
          <t>https://commercialobserver.com/2024/06/movable-ink-lease-841-broadway/</t>
        </is>
      </c>
      <c r="W167" t="inlineStr">
        <is>
          <t>2026-10-23</t>
        </is>
      </c>
      <c r="X167" t="inlineStr">
        <is>
          <t>office</t>
        </is>
      </c>
      <c r="Y167" t="inlineStr"/>
      <c r="Z167" t="n">
        <v>166</v>
      </c>
      <c r="AA167" t="inlineStr">
        <is>
          <t>N</t>
        </is>
      </c>
      <c r="AB167" t="inlineStr"/>
      <c r="AC167" t="inlineStr"/>
      <c r="AD167" t="inlineStr">
        <is>
          <t>none</t>
        </is>
      </c>
      <c r="AE167" t="inlineStr"/>
      <c r="AF167" t="inlineStr"/>
      <c r="AG167" t="inlineStr"/>
      <c r="AH167" t="inlineStr">
        <is>
          <t>none</t>
        </is>
      </c>
      <c r="AI167" t="inlineStr">
        <is>
          <t>841 Broadway</t>
        </is>
      </c>
      <c r="AJ167" t="inlineStr">
        <is>
          <t>unknown</t>
        </is>
      </c>
      <c r="AK167" t="inlineStr">
        <is>
          <t>occupancy-unconfirmed</t>
        </is>
      </c>
      <c r="AL167" t="n">
        <v>171</v>
      </c>
      <c r="AM167" t="n">
        <v>342</v>
      </c>
      <c r="AN167" t="inlineStr">
        <is>
          <t>low</t>
        </is>
      </c>
      <c r="AO167" t="inlineStr">
        <is>
          <t>hybrid-unspecified</t>
        </is>
      </c>
      <c r="AP167" t="inlineStr">
        <is>
          <t>AO-C-179</t>
        </is>
      </c>
      <c r="AQ167" t="inlineStr">
        <is>
          <t>N</t>
        </is>
      </c>
      <c r="AR167" t="inlineStr"/>
      <c r="AS167" t="inlineStr"/>
      <c r="AT167" t="inlineStr">
        <is>
          <t>N</t>
        </is>
      </c>
      <c r="AU167" t="inlineStr">
        <is>
          <t>no contact named on an opened page</t>
        </is>
      </c>
      <c r="AV167" t="inlineStr"/>
      <c r="AW167" t="inlineStr">
        <is>
          <t>N</t>
        </is>
      </c>
      <c r="AX167" t="inlineStr">
        <is>
          <t>pass</t>
        </is>
      </c>
      <c r="AY167" t="inlineStr">
        <is>
          <t>passes all hard gates</t>
        </is>
      </c>
      <c r="AZ167" t="inlineStr">
        <is>
          <t>company</t>
        </is>
      </c>
      <c r="BA167" t="inlineStr">
        <is>
          <t>B-C-179</t>
        </is>
      </c>
      <c r="BB167" t="inlineStr">
        <is>
          <t>https://movableink.com</t>
        </is>
      </c>
      <c r="BC167" t="inlineStr">
        <is>
          <t>marketing tech (email personalization)</t>
        </is>
      </c>
      <c r="BD167" t="n">
        <v>600</v>
      </c>
      <c r="BE167" t="inlineStr"/>
      <c r="BF167" t="inlineStr">
        <is>
          <t>over-500</t>
        </is>
      </c>
      <c r="BG167" t="inlineStr">
        <is>
          <t>whole-company</t>
        </is>
      </c>
      <c r="BH167" t="inlineStr">
        <is>
          <t>single-source</t>
        </is>
      </c>
      <c r="BI167" t="inlineStr">
        <is>
          <t>https://www.builtinnyc.com/company/movable-ink</t>
        </is>
      </c>
      <c r="BJ167" t="inlineStr"/>
      <c r="BK167" t="inlineStr">
        <is>
          <t>501-1000</t>
        </is>
      </c>
      <c r="BL167" t="inlineStr">
        <is>
          <t>New York</t>
        </is>
      </c>
      <c r="BM167" t="inlineStr">
        <is>
          <t>Y</t>
        </is>
      </c>
      <c r="BN167" t="inlineStr">
        <is>
          <t>unknown</t>
        </is>
      </c>
      <c r="BO167" t="inlineStr">
        <is>
          <t>unknown</t>
        </is>
      </c>
      <c r="BP167" t="n">
        <v>10003</v>
      </c>
      <c r="BQ167" t="n">
        <v>40.734305</v>
      </c>
      <c r="BR167" t="n">
        <v>-73.99105900000001</v>
      </c>
      <c r="BS167" t="inlineStr">
        <is>
          <t>Y</t>
        </is>
      </c>
      <c r="BT167" t="n">
        <v>0</v>
      </c>
      <c r="BU167" t="inlineStr">
        <is>
          <t>B-B-001</t>
        </is>
      </c>
      <c r="BV167" t="inlineStr">
        <is>
          <t>853 Broadway (Union Building)</t>
        </is>
      </c>
      <c r="BW167" t="inlineStr">
        <is>
          <t>https://commercialobserver.com/2024/06/movable-ink-lease-841-broadway/</t>
        </is>
      </c>
      <c r="BX167" t="inlineStr">
        <is>
          <t>2024-06</t>
        </is>
      </c>
      <c r="BY167" t="inlineStr">
        <is>
          <t>leasing-press</t>
        </is>
      </c>
      <c r="BZ167" t="inlineStr"/>
      <c r="CA167" t="inlineStr"/>
      <c r="CB167" t="inlineStr"/>
      <c r="CC167" t="inlineStr">
        <is>
          <t>low</t>
        </is>
      </c>
      <c r="CD167" t="inlineStr"/>
      <c r="CE167" t="inlineStr">
        <is>
          <t>N</t>
        </is>
      </c>
      <c r="CF167" t="inlineStr"/>
      <c r="CG167" t="inlineStr"/>
      <c r="CH167" t="inlineStr">
        <is>
          <t>security desk</t>
        </is>
      </c>
      <c r="CI167" t="inlineStr">
        <is>
          <t>https://853broadway.sharplaunch.com/</t>
        </is>
      </c>
      <c r="CJ167" t="inlineStr">
        <is>
          <t>unknown</t>
        </is>
      </c>
      <c r="CK167" t="inlineStr">
        <is>
          <t>N</t>
        </is>
      </c>
      <c r="CL167" t="inlineStr">
        <is>
          <t>Built In workplace type: Hybrid Workplace; typical time on-site: Flexible</t>
        </is>
      </c>
      <c r="CM167" t="inlineStr">
        <is>
          <t>https://www.builtinnyc.com/company/movable-ink/offices</t>
        </is>
      </c>
      <c r="CN167" t="inlineStr">
        <is>
          <t>2026-10-24</t>
        </is>
      </c>
      <c r="CO167" t="n">
        <v>242</v>
      </c>
      <c r="CP167" t="inlineStr">
        <is>
          <t>may exceed 250</t>
        </is>
      </c>
      <c r="CQ167" t="inlineStr">
        <is>
          <t>600 (Built In) staff (whole-company count) x 50% to 100% of them in the New York office (HQ New York; share assumed) x 57% (Partnership for NYC, all Manhattan firms; no figure for 500 to 4,999) in on a weekday = 171 to 342, central 242; low confidence; estimate until intake replaces it.</t>
        </is>
      </c>
      <c r="CR167" t="inlineStr">
        <is>
          <t>estimate until intake replaces it</t>
        </is>
      </c>
      <c r="CS167" t="n">
        <v>0.55</v>
      </c>
      <c r="CT167" t="n">
        <v>31.7</v>
      </c>
      <c r="CU167" t="n">
        <v>13.7</v>
      </c>
      <c r="CV167" t="n">
        <v>6</v>
      </c>
      <c r="CW167" t="n">
        <v>7</v>
      </c>
      <c r="CX167" t="n">
        <v>5</v>
      </c>
      <c r="CY167" t="n">
        <v>0</v>
      </c>
      <c r="CZ167" t="n">
        <v>0</v>
      </c>
      <c r="DA167" t="inlineStr"/>
      <c r="DB167" t="inlineStr"/>
      <c r="DC167" t="inlineStr"/>
      <c r="DD167" t="inlineStr"/>
      <c r="DE167" t="inlineStr"/>
      <c r="DF167" t="inlineStr">
        <is>
          <t>none</t>
        </is>
      </c>
      <c r="DG167" t="inlineStr">
        <is>
          <t>near-miss-over-500</t>
        </is>
      </c>
      <c r="DH167" t="inlineStr">
        <is>
          <t>just-over-500 (501 to 1,000)</t>
        </is>
      </c>
      <c r="DI167" t="inlineStr">
        <is>
          <t>N</t>
        </is>
      </c>
      <c r="DJ167" t="inlineStr">
        <is>
          <t>14,000 sf</t>
        </is>
      </c>
      <c r="DK167" t="inlineStr">
        <is>
          <t>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is>
      </c>
      <c r="DL167" t="inlineStr"/>
      <c r="DM167" t="inlineStr"/>
      <c r="DN167" t="inlineStr"/>
      <c r="DO167" t="inlineStr"/>
      <c r="DP167" t="inlineStr"/>
      <c r="DQ167" t="inlineStr"/>
      <c r="DR167" t="inlineStr"/>
      <c r="DS167" t="inlineStr">
        <is>
          <t>none</t>
        </is>
      </c>
      <c r="DT167" t="inlineStr"/>
      <c r="DU167" t="inlineStr"/>
      <c r="DV167" t="inlineStr"/>
      <c r="DW167" t="inlineStr"/>
      <c r="DX167" t="inlineStr">
        <is>
          <t>N</t>
        </is>
      </c>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f>IF(ISNUMBER(MATCH(U167,{"queued","contacted","replied","call_booked","call_done","yes_in_principle","materials_sent"},0)),"Y","N")</f>
        <v/>
      </c>
      <c r="ES167">
        <f>IF(COUNTIFS($AP$2:$AP$1000,AP167,$ER$2:$ER$1000,"Y")+COUNTIFS($AP$2:$AP$1000,AP167,$T$2:$T$1000,"Y")&gt;0,"Y","N")</f>
        <v/>
      </c>
      <c r="ET167">
        <f>IF(AND(U167="new",T167="N",AT167="Y",AS167="",ES167="N"),"Y","N")</f>
        <v/>
      </c>
      <c r="EU167">
        <f>IF(ET167&lt;&gt;"Y","N",IF(COUNTIFS($AP$2:$AP$1000,AP167,$ET$2:$ET$1000,"Y",$J$2:$J$1000,"&gt;"&amp;J167)+COUNTIFS($AP$2:$AP$1000,AP167,$ET$2:$ET$1000,"Y",$J$2:$J$1000,J167,$EW$2:$EW$1000,"&lt;"&amp;EW167)=0,"Y","N"))</f>
        <v/>
      </c>
      <c r="EV167">
        <f>IF(Y167="","N",IF(Y167&lt;=10,"Y","N"))</f>
        <v/>
      </c>
      <c r="EW167">
        <f>ROW()-1</f>
        <v/>
      </c>
    </row>
    <row r="168">
      <c r="A168" t="inlineStr">
        <is>
          <t>AO-C-006</t>
        </is>
      </c>
      <c r="B168" t="inlineStr">
        <is>
          <t>Perplexity</t>
        </is>
      </c>
      <c r="C168" t="inlineStr"/>
      <c r="D168" t="inlineStr"/>
      <c r="E168" t="inlineStr"/>
      <c r="F168" t="inlineStr"/>
      <c r="G168" t="inlineStr"/>
      <c r="H168" t="inlineStr">
        <is>
          <t>none</t>
        </is>
      </c>
      <c r="I168" t="inlineStr">
        <is>
          <t>linkedin</t>
        </is>
      </c>
      <c r="J168" t="n">
        <v>31</v>
      </c>
      <c r="K168" t="inlineStr">
        <is>
          <t>Tuesday headcount unknown (no sourced count), company size unknown, no attendance signal, occupancy-unconfirmed at a high-confidence address; contacts not researched yet (below the top 50).</t>
        </is>
      </c>
      <c r="L168" t="inlineStr">
        <is>
          <t>unknown</t>
        </is>
      </c>
      <c r="M168" t="inlineStr"/>
      <c r="N168" t="inlineStr"/>
      <c r="O168" t="inlineStr">
        <is>
          <t>New or renewed lease at 853 Broadway reported 2026-03-05</t>
        </is>
      </c>
      <c r="P168" t="inlineStr">
        <is>
          <t>https://nyrej.com/perplexity-expands-presence-at-841-853-broadway</t>
        </is>
      </c>
      <c r="Q168" t="inlineStr">
        <is>
          <t>2026-03-05</t>
        </is>
      </c>
      <c r="R168" t="inlineStr">
        <is>
          <t>N</t>
        </is>
      </c>
      <c r="S168" t="inlineStr">
        <is>
          <t>unknown</t>
        </is>
      </c>
      <c r="T168" t="inlineStr">
        <is>
          <t>N</t>
        </is>
      </c>
      <c r="U168" t="inlineStr">
        <is>
          <t>new</t>
        </is>
      </c>
      <c r="V168" t="inlineStr">
        <is>
          <t>https://nyrej.com/perplexity-expands-presence-at-841-853-broadway</t>
        </is>
      </c>
      <c r="W168" t="inlineStr">
        <is>
          <t>2026-10-23</t>
        </is>
      </c>
      <c r="X168" t="inlineStr">
        <is>
          <t>office</t>
        </is>
      </c>
      <c r="Y168" t="inlineStr"/>
      <c r="Z168" t="n">
        <v>167</v>
      </c>
      <c r="AA168" t="inlineStr">
        <is>
          <t>N</t>
        </is>
      </c>
      <c r="AB168" t="inlineStr"/>
      <c r="AC168" t="inlineStr"/>
      <c r="AD168" t="inlineStr">
        <is>
          <t>none</t>
        </is>
      </c>
      <c r="AE168" t="inlineStr"/>
      <c r="AF168" t="inlineStr"/>
      <c r="AG168" t="inlineStr"/>
      <c r="AH168" t="inlineStr">
        <is>
          <t>none</t>
        </is>
      </c>
      <c r="AI168" t="inlineStr">
        <is>
          <t>853 Broadway</t>
        </is>
      </c>
      <c r="AJ168" t="inlineStr">
        <is>
          <t>4 (plus 4th floor of adjoining 841 Broadway)</t>
        </is>
      </c>
      <c r="AK168" t="inlineStr">
        <is>
          <t>occupancy-unconfirmed</t>
        </is>
      </c>
      <c r="AL168" t="inlineStr">
        <is>
          <t>unknown</t>
        </is>
      </c>
      <c r="AM168" t="inlineStr">
        <is>
          <t>unknown</t>
        </is>
      </c>
      <c r="AN168" t="inlineStr">
        <is>
          <t>none</t>
        </is>
      </c>
      <c r="AO168" t="inlineStr">
        <is>
          <t>unknown</t>
        </is>
      </c>
      <c r="AP168" t="inlineStr">
        <is>
          <t>AO-C-006</t>
        </is>
      </c>
      <c r="AQ168" t="inlineStr">
        <is>
          <t>N</t>
        </is>
      </c>
      <c r="AR168" t="inlineStr"/>
      <c r="AS168" t="inlineStr"/>
      <c r="AT168" t="inlineStr">
        <is>
          <t>N</t>
        </is>
      </c>
      <c r="AU168" t="inlineStr">
        <is>
          <t>no contact named on an opened page</t>
        </is>
      </c>
      <c r="AV168" t="inlineStr"/>
      <c r="AW168" t="inlineStr">
        <is>
          <t>N</t>
        </is>
      </c>
      <c r="AX168" t="inlineStr">
        <is>
          <t>pass</t>
        </is>
      </c>
      <c r="AY168" t="inlineStr">
        <is>
          <t>passes all hard gates</t>
        </is>
      </c>
      <c r="AZ168" t="inlineStr">
        <is>
          <t>company</t>
        </is>
      </c>
      <c r="BA168" t="inlineStr">
        <is>
          <t>B-C-006</t>
        </is>
      </c>
      <c r="BB168" t="inlineStr">
        <is>
          <t>https://www.perplexity.ai</t>
        </is>
      </c>
      <c r="BC168" t="inlineStr">
        <is>
          <t>AI search</t>
        </is>
      </c>
      <c r="BD168" t="inlineStr">
        <is>
          <t>unknown</t>
        </is>
      </c>
      <c r="BE168" t="inlineStr"/>
      <c r="BF168" t="inlineStr">
        <is>
          <t>unknown</t>
        </is>
      </c>
      <c r="BG168" t="inlineStr">
        <is>
          <t>unknown</t>
        </is>
      </c>
      <c r="BH168" t="inlineStr">
        <is>
          <t>no-count</t>
        </is>
      </c>
      <c r="BI168" t="inlineStr"/>
      <c r="BJ168" t="inlineStr"/>
      <c r="BK168" t="inlineStr">
        <is>
          <t>unknown</t>
        </is>
      </c>
      <c r="BL168" t="inlineStr">
        <is>
          <t>San Francisco</t>
        </is>
      </c>
      <c r="BM168" t="inlineStr">
        <is>
          <t>N</t>
        </is>
      </c>
      <c r="BN168" t="inlineStr">
        <is>
          <t>unknown</t>
        </is>
      </c>
      <c r="BO168" t="inlineStr">
        <is>
          <t>unknown</t>
        </is>
      </c>
      <c r="BP168" t="n">
        <v>10003</v>
      </c>
      <c r="BQ168" t="n">
        <v>40.734626</v>
      </c>
      <c r="BR168" t="n">
        <v>-73.9911</v>
      </c>
      <c r="BS168" t="inlineStr">
        <is>
          <t>Y</t>
        </is>
      </c>
      <c r="BT168" t="n">
        <v>0</v>
      </c>
      <c r="BU168" t="inlineStr">
        <is>
          <t>B-B-001</t>
        </is>
      </c>
      <c r="BV168" t="inlineStr">
        <is>
          <t>853 Broadway (Union Building)</t>
        </is>
      </c>
      <c r="BW168" t="inlineStr">
        <is>
          <t>https://nyrej.com/perplexity-expands-presence-at-841-853-broadway</t>
        </is>
      </c>
      <c r="BX168" t="inlineStr">
        <is>
          <t>2026-03-05</t>
        </is>
      </c>
      <c r="BY168" t="inlineStr">
        <is>
          <t>leasing-press</t>
        </is>
      </c>
      <c r="BZ168" t="inlineStr">
        <is>
          <t>https://commercialobserver.com/2026/01/perplexity-lease-841-broadway-union-square/</t>
        </is>
      </c>
      <c r="CA168" t="inlineStr">
        <is>
          <t>2026-01-27</t>
        </is>
      </c>
      <c r="CB168" t="inlineStr"/>
      <c r="CC168" t="inlineStr">
        <is>
          <t>high</t>
        </is>
      </c>
      <c r="CD168" t="inlineStr"/>
      <c r="CE168" t="inlineStr">
        <is>
          <t>N</t>
        </is>
      </c>
      <c r="CF168" t="inlineStr"/>
      <c r="CG168" t="inlineStr"/>
      <c r="CH168" t="inlineStr">
        <is>
          <t>security desk</t>
        </is>
      </c>
      <c r="CI168" t="inlineStr">
        <is>
          <t>https://853broadway.sharplaunch.com/</t>
        </is>
      </c>
      <c r="CJ168" t="inlineStr">
        <is>
          <t>unknown</t>
        </is>
      </c>
      <c r="CK168" t="inlineStr">
        <is>
          <t>N</t>
        </is>
      </c>
      <c r="CL168" t="inlineStr">
        <is>
          <t>unknown</t>
        </is>
      </c>
      <c r="CM168" t="inlineStr"/>
      <c r="CN168" t="inlineStr"/>
      <c r="CO168" t="inlineStr">
        <is>
          <t>unknown</t>
        </is>
      </c>
      <c r="CP168" t="inlineStr"/>
      <c r="CQ168" t="inlineStr">
        <is>
          <t>No sourced headcount, so no Tuesday estimate; ask the Tuesday count at intake.</t>
        </is>
      </c>
      <c r="CR168" t="inlineStr">
        <is>
          <t>estimate until intake replaces it</t>
        </is>
      </c>
      <c r="CS168" t="inlineStr">
        <is>
          <t>unknown</t>
        </is>
      </c>
      <c r="CT168" t="n">
        <v>31</v>
      </c>
      <c r="CU168" t="n">
        <v>7</v>
      </c>
      <c r="CV168" t="n">
        <v>8</v>
      </c>
      <c r="CW168" t="n">
        <v>6</v>
      </c>
      <c r="CX168" t="n">
        <v>10</v>
      </c>
      <c r="CY168" t="n">
        <v>0</v>
      </c>
      <c r="CZ168" t="n">
        <v>0</v>
      </c>
      <c r="DA168" t="inlineStr"/>
      <c r="DB168" t="inlineStr"/>
      <c r="DC168" t="inlineStr"/>
      <c r="DD168" t="inlineStr"/>
      <c r="DE168" t="inlineStr"/>
      <c r="DF168" t="inlineStr">
        <is>
          <t>none</t>
        </is>
      </c>
      <c r="DG168" t="inlineStr">
        <is>
          <t>candidate</t>
        </is>
      </c>
      <c r="DH168" t="inlineStr"/>
      <c r="DI168" t="inlineStr"/>
      <c r="DJ168" t="inlineStr">
        <is>
          <t>22,000 sf;14,000 sf;8,000 sf</t>
        </is>
      </c>
      <c r="DK168" t="inlineStr">
        <is>
          <t>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is>
      </c>
      <c r="DL168" t="inlineStr"/>
      <c r="DM168" t="inlineStr"/>
      <c r="DN168" t="inlineStr"/>
      <c r="DO168" t="inlineStr"/>
      <c r="DP168" t="inlineStr"/>
      <c r="DQ168" t="inlineStr"/>
      <c r="DR168" t="inlineStr"/>
      <c r="DS168" t="inlineStr">
        <is>
          <t>none</t>
        </is>
      </c>
      <c r="DT168" t="inlineStr"/>
      <c r="DU168" t="inlineStr"/>
      <c r="DV168" t="inlineStr"/>
      <c r="DW168" t="inlineStr"/>
      <c r="DX168" t="inlineStr">
        <is>
          <t>N</t>
        </is>
      </c>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f>IF(ISNUMBER(MATCH(U168,{"queued","contacted","replied","call_booked","call_done","yes_in_principle","materials_sent"},0)),"Y","N")</f>
        <v/>
      </c>
      <c r="ES168">
        <f>IF(COUNTIFS($AP$2:$AP$1000,AP168,$ER$2:$ER$1000,"Y")+COUNTIFS($AP$2:$AP$1000,AP168,$T$2:$T$1000,"Y")&gt;0,"Y","N")</f>
        <v/>
      </c>
      <c r="ET168">
        <f>IF(AND(U168="new",T168="N",AT168="Y",AS168="",ES168="N"),"Y","N")</f>
        <v/>
      </c>
      <c r="EU168">
        <f>IF(ET168&lt;&gt;"Y","N",IF(COUNTIFS($AP$2:$AP$1000,AP168,$ET$2:$ET$1000,"Y",$J$2:$J$1000,"&gt;"&amp;J168)+COUNTIFS($AP$2:$AP$1000,AP168,$ET$2:$ET$1000,"Y",$J$2:$J$1000,J168,$EW$2:$EW$1000,"&lt;"&amp;EW168)=0,"Y","N"))</f>
        <v/>
      </c>
      <c r="EV168">
        <f>IF(Y168="","N",IF(Y168&lt;=10,"Y","N"))</f>
        <v/>
      </c>
      <c r="EW168">
        <f>ROW()-1</f>
        <v/>
      </c>
    </row>
    <row r="169">
      <c r="A169" t="inlineStr">
        <is>
          <t>AO-C-025</t>
        </is>
      </c>
      <c r="B169" t="inlineStr">
        <is>
          <t>Kharon</t>
        </is>
      </c>
      <c r="C169" t="inlineStr"/>
      <c r="D169" t="inlineStr"/>
      <c r="E169" t="inlineStr"/>
      <c r="F169" t="inlineStr"/>
      <c r="G169" t="inlineStr"/>
      <c r="H169" t="inlineStr">
        <is>
          <t>none</t>
        </is>
      </c>
      <c r="I169" t="inlineStr">
        <is>
          <t>linkedin</t>
        </is>
      </c>
      <c r="J169" t="n">
        <v>30.8</v>
      </c>
      <c r="K169" t="inlineStr">
        <is>
          <t>Tuesday estimate 2 to 44 (low confidence), under 500 staff company-wide, hybrid (days not stated), occupancy-unconfirmed at a medium-confidence address; contacts not researched yet (below the top 50).</t>
        </is>
      </c>
      <c r="L169" t="inlineStr">
        <is>
          <t>under-40</t>
        </is>
      </c>
      <c r="M169" t="inlineStr"/>
      <c r="N169" t="inlineStr"/>
      <c r="O169" t="inlineStr"/>
      <c r="P169" t="inlineStr"/>
      <c r="Q169" t="inlineStr"/>
      <c r="R169" t="inlineStr">
        <is>
          <t>N</t>
        </is>
      </c>
      <c r="S169" t="inlineStr">
        <is>
          <t>unknown</t>
        </is>
      </c>
      <c r="T169" t="inlineStr">
        <is>
          <t>N</t>
        </is>
      </c>
      <c r="U169" t="inlineStr">
        <is>
          <t>new</t>
        </is>
      </c>
      <c r="V169" t="inlineStr">
        <is>
          <t>https://commercialobserver.com/2026/10/eagle-ai-lease-office-120-fifth-avenue/</t>
        </is>
      </c>
      <c r="W169" t="inlineStr">
        <is>
          <t>2026-10-23</t>
        </is>
      </c>
      <c r="X169" t="inlineStr">
        <is>
          <t>office</t>
        </is>
      </c>
      <c r="Y169" t="inlineStr"/>
      <c r="Z169" t="n">
        <v>168</v>
      </c>
      <c r="AA169" t="inlineStr">
        <is>
          <t>N</t>
        </is>
      </c>
      <c r="AB169" t="inlineStr">
        <is>
          <t>Tuesday estimate band under-40: founder's call (set founder_ok_to_queue = Y to queue)</t>
        </is>
      </c>
      <c r="AC169" t="inlineStr"/>
      <c r="AD169" t="inlineStr">
        <is>
          <t>none</t>
        </is>
      </c>
      <c r="AE169" t="inlineStr"/>
      <c r="AF169" t="inlineStr"/>
      <c r="AG169" t="inlineStr"/>
      <c r="AH169" t="inlineStr">
        <is>
          <t>none</t>
        </is>
      </c>
      <c r="AI169" t="inlineStr">
        <is>
          <t>120 Fifth Avenue</t>
        </is>
      </c>
      <c r="AJ169" t="inlineStr">
        <is>
          <t>unknown</t>
        </is>
      </c>
      <c r="AK169" t="inlineStr">
        <is>
          <t>occupancy-unconfirmed</t>
        </is>
      </c>
      <c r="AL169" t="n">
        <v>2</v>
      </c>
      <c r="AM169" t="n">
        <v>44</v>
      </c>
      <c r="AN169" t="inlineStr">
        <is>
          <t>low</t>
        </is>
      </c>
      <c r="AO169" t="inlineStr">
        <is>
          <t>hybrid-unspecified</t>
        </is>
      </c>
      <c r="AP169" t="inlineStr">
        <is>
          <t>AO-C-025</t>
        </is>
      </c>
      <c r="AQ169" t="inlineStr">
        <is>
          <t>N</t>
        </is>
      </c>
      <c r="AR169" t="inlineStr"/>
      <c r="AS169" t="inlineStr"/>
      <c r="AT169" t="inlineStr">
        <is>
          <t>N</t>
        </is>
      </c>
      <c r="AU169" t="inlineStr">
        <is>
          <t>no contact named on an opened page; Tuesday estimate band under-40: founder's call</t>
        </is>
      </c>
      <c r="AV169" t="inlineStr"/>
      <c r="AW169" t="inlineStr">
        <is>
          <t>Y</t>
        </is>
      </c>
      <c r="AX169" t="inlineStr">
        <is>
          <t>pass</t>
        </is>
      </c>
      <c r="AY169" t="inlineStr">
        <is>
          <t>passes all hard gates</t>
        </is>
      </c>
      <c r="AZ169" t="inlineStr">
        <is>
          <t>company</t>
        </is>
      </c>
      <c r="BA169" t="inlineStr">
        <is>
          <t>B-C-025</t>
        </is>
      </c>
      <c r="BB169" t="inlineStr">
        <is>
          <t>https://www.kharon.com</t>
        </is>
      </c>
      <c r="BC169" t="inlineStr">
        <is>
          <t>risk intelligence software (sanctions and financial crime)</t>
        </is>
      </c>
      <c r="BD169" t="n">
        <v>65</v>
      </c>
      <c r="BE169" t="inlineStr"/>
      <c r="BF169" t="inlineStr">
        <is>
          <t>40-75</t>
        </is>
      </c>
      <c r="BG169" t="inlineStr">
        <is>
          <t>whole-company</t>
        </is>
      </c>
      <c r="BH169" t="inlineStr">
        <is>
          <t>single-source</t>
        </is>
      </c>
      <c r="BI169" t="inlineStr">
        <is>
          <t>https://www.builtinnyc.com/company/kharon</t>
        </is>
      </c>
      <c r="BJ169" t="inlineStr"/>
      <c r="BK169" t="inlineStr">
        <is>
          <t>le500</t>
        </is>
      </c>
      <c r="BL169" t="inlineStr">
        <is>
          <t>Los Angeles</t>
        </is>
      </c>
      <c r="BM169" t="inlineStr">
        <is>
          <t>N</t>
        </is>
      </c>
      <c r="BN169" t="inlineStr">
        <is>
          <t>unknown</t>
        </is>
      </c>
      <c r="BO169" t="inlineStr">
        <is>
          <t>unknown</t>
        </is>
      </c>
      <c r="BP169" t="n">
        <v>10011</v>
      </c>
      <c r="BQ169" t="n">
        <v>40.738186</v>
      </c>
      <c r="BR169" t="n">
        <v>-73.992429</v>
      </c>
      <c r="BS169" t="inlineStr">
        <is>
          <t>Y</t>
        </is>
      </c>
      <c r="BT169" t="n">
        <v>0</v>
      </c>
      <c r="BU169" t="inlineStr">
        <is>
          <t>B-B-010</t>
        </is>
      </c>
      <c r="BV169" t="inlineStr">
        <is>
          <t>120 Fifth Avenue</t>
        </is>
      </c>
      <c r="BW169" t="inlineStr">
        <is>
          <t>https://commercialobserver.com/2026/10/eagle-ai-lease-office-120-fifth-avenue/</t>
        </is>
      </c>
      <c r="BX169" t="inlineStr">
        <is>
          <t>2026-10-19</t>
        </is>
      </c>
      <c r="BY169" t="inlineStr">
        <is>
          <t>leasing-press</t>
        </is>
      </c>
      <c r="BZ169" t="inlineStr"/>
      <c r="CA169" t="inlineStr"/>
      <c r="CB169" t="inlineStr"/>
      <c r="CC169" t="inlineStr">
        <is>
          <t>medium</t>
        </is>
      </c>
      <c r="CD169" t="inlineStr"/>
      <c r="CE169" t="inlineStr">
        <is>
          <t>N</t>
        </is>
      </c>
      <c r="CF169" t="inlineStr"/>
      <c r="CG169" t="inlineStr"/>
      <c r="CH169" t="inlineStr">
        <is>
          <t>unknown</t>
        </is>
      </c>
      <c r="CI169" t="inlineStr"/>
      <c r="CJ169" t="inlineStr">
        <is>
          <t>unknown</t>
        </is>
      </c>
      <c r="CK169" t="inlineStr">
        <is>
          <t>N</t>
        </is>
      </c>
      <c r="CL169" t="inlineStr">
        <is>
          <t>Built In workplace type: Hybrid Workplace; typical time on-site: None</t>
        </is>
      </c>
      <c r="CM169" t="inlineStr">
        <is>
          <t>https://www.builtinnyc.com/company/kharon/offices</t>
        </is>
      </c>
      <c r="CN169" t="inlineStr">
        <is>
          <t>2026-10-24</t>
        </is>
      </c>
      <c r="CO169" t="n">
        <v>9</v>
      </c>
      <c r="CP169" t="inlineStr">
        <is>
          <t>may be under 30;central estimate under 30</t>
        </is>
      </c>
      <c r="CQ169" t="inlineStr">
        <is>
          <t>65 (Built In) staff (whole-company count) x 5% to 100% of them in the New York office (HQ outside New York; share assumed) x 67% (Partnership for NYC, firms under 500) in on a weekday = 2 to 44, central 9; low confidence; estimate until intake replaces it.</t>
        </is>
      </c>
      <c r="CR169" t="inlineStr">
        <is>
          <t>estimate until intake replaces it</t>
        </is>
      </c>
      <c r="CS169" t="n">
        <v>0.03</v>
      </c>
      <c r="CT169" t="n">
        <v>30.8</v>
      </c>
      <c r="CU169" t="n">
        <v>0.8</v>
      </c>
      <c r="CV169" t="n">
        <v>15</v>
      </c>
      <c r="CW169" t="n">
        <v>7</v>
      </c>
      <c r="CX169" t="n">
        <v>8</v>
      </c>
      <c r="CY169" t="n">
        <v>0</v>
      </c>
      <c r="CZ169" t="n">
        <v>0</v>
      </c>
      <c r="DA169" t="inlineStr"/>
      <c r="DB169" t="inlineStr"/>
      <c r="DC169" t="inlineStr"/>
      <c r="DD169" t="inlineStr"/>
      <c r="DE169" t="inlineStr"/>
      <c r="DF169" t="inlineStr">
        <is>
          <t>none</t>
        </is>
      </c>
      <c r="DG169" t="inlineStr">
        <is>
          <t>candidate</t>
        </is>
      </c>
      <c r="DH169" t="inlineStr"/>
      <c r="DI169" t="inlineStr"/>
      <c r="DJ169" t="inlineStr">
        <is>
          <t>6,500 sf</t>
        </is>
      </c>
      <c r="DK169" t="inlineStr">
        <is>
          <t>CO 2026-10-19: Kharon took 6,500 sf at 120 Fifth Ave in August 2026 (Bromley prebuilt full floors). Built In NYC: 65 total employees, HQ Los Angeles, so the band describes the whole company; NYC headcount not sourced.</t>
        </is>
      </c>
      <c r="DL169" t="inlineStr"/>
      <c r="DM169" t="inlineStr"/>
      <c r="DN169" t="inlineStr"/>
      <c r="DO169" t="inlineStr"/>
      <c r="DP169" t="inlineStr"/>
      <c r="DQ169" t="inlineStr"/>
      <c r="DR169" t="inlineStr"/>
      <c r="DS169" t="inlineStr">
        <is>
          <t>none</t>
        </is>
      </c>
      <c r="DT169" t="inlineStr"/>
      <c r="DU169" t="inlineStr"/>
      <c r="DV169" t="inlineStr"/>
      <c r="DW169" t="inlineStr"/>
      <c r="DX169" t="inlineStr">
        <is>
          <t>N</t>
        </is>
      </c>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f>IF(ISNUMBER(MATCH(U169,{"queued","contacted","replied","call_booked","call_done","yes_in_principle","materials_sent"},0)),"Y","N")</f>
        <v/>
      </c>
      <c r="ES169">
        <f>IF(COUNTIFS($AP$2:$AP$1000,AP169,$ER$2:$ER$1000,"Y")+COUNTIFS($AP$2:$AP$1000,AP169,$T$2:$T$1000,"Y")&gt;0,"Y","N")</f>
        <v/>
      </c>
      <c r="ET169">
        <f>IF(AND(U169="new",T169="N",AT169="Y",AS169="",ES169="N"),"Y","N")</f>
        <v/>
      </c>
      <c r="EU169">
        <f>IF(ET169&lt;&gt;"Y","N",IF(COUNTIFS($AP$2:$AP$1000,AP169,$ET$2:$ET$1000,"Y",$J$2:$J$1000,"&gt;"&amp;J169)+COUNTIFS($AP$2:$AP$1000,AP169,$ET$2:$ET$1000,"Y",$J$2:$J$1000,J169,$EW$2:$EW$1000,"&lt;"&amp;EW169)=0,"Y","N"))</f>
        <v/>
      </c>
      <c r="EV169">
        <f>IF(Y169="","N",IF(Y169&lt;=10,"Y","N"))</f>
        <v/>
      </c>
      <c r="EW169">
        <f>ROW()-1</f>
        <v/>
      </c>
    </row>
    <row r="170">
      <c r="A170" t="inlineStr">
        <is>
          <t>AO-C-010</t>
        </is>
      </c>
      <c r="B170" t="inlineStr">
        <is>
          <t>GameChanger</t>
        </is>
      </c>
      <c r="C170" t="inlineStr"/>
      <c r="D170" t="inlineStr"/>
      <c r="E170" t="inlineStr"/>
      <c r="F170" t="inlineStr"/>
      <c r="G170" t="inlineStr"/>
      <c r="H170" t="inlineStr">
        <is>
          <t>none</t>
        </is>
      </c>
      <c r="I170" t="inlineStr">
        <is>
          <t>linkedin</t>
        </is>
      </c>
      <c r="J170" t="n">
        <v>30.6</v>
      </c>
      <c r="K170" t="inlineStr">
        <is>
          <t>Tuesday estimate 74 to 380 (low confidence), 501 to 1,000 staff company-wide with a named parent (Dick's Sporting Goods), remote-first signal, occupied at a high-confidence address; contacts not researched yet (below the top 50).</t>
        </is>
      </c>
      <c r="L170" t="inlineStr">
        <is>
          <t>151-250</t>
        </is>
      </c>
      <c r="M170" t="inlineStr"/>
      <c r="N170" t="inlineStr"/>
      <c r="O170" t="inlineStr"/>
      <c r="P170" t="inlineStr"/>
      <c r="Q170" t="inlineStr"/>
      <c r="R170" t="inlineStr">
        <is>
          <t>N</t>
        </is>
      </c>
      <c r="S170" t="inlineStr">
        <is>
          <t>unknown</t>
        </is>
      </c>
      <c r="T170" t="inlineStr">
        <is>
          <t>N</t>
        </is>
      </c>
      <c r="U170" t="inlineStr">
        <is>
          <t>new</t>
        </is>
      </c>
      <c r="V170" t="inlineStr">
        <is>
          <t>https://gc.com/about</t>
        </is>
      </c>
      <c r="W170" t="inlineStr">
        <is>
          <t>2026-10-23</t>
        </is>
      </c>
      <c r="X170" t="inlineStr">
        <is>
          <t>office</t>
        </is>
      </c>
      <c r="Y170" t="inlineStr"/>
      <c r="Z170" t="n">
        <v>169</v>
      </c>
      <c r="AA170" t="inlineStr">
        <is>
          <t>N</t>
        </is>
      </c>
      <c r="AB170" t="inlineStr"/>
      <c r="AC170" t="inlineStr"/>
      <c r="AD170" t="inlineStr">
        <is>
          <t>none</t>
        </is>
      </c>
      <c r="AE170" t="inlineStr"/>
      <c r="AF170" t="inlineStr"/>
      <c r="AG170" t="inlineStr"/>
      <c r="AH170" t="inlineStr">
        <is>
          <t>none</t>
        </is>
      </c>
      <c r="AI170" t="inlineStr">
        <is>
          <t>124 East 14th Street</t>
        </is>
      </c>
      <c r="AJ170" t="n">
        <v>17</v>
      </c>
      <c r="AK170" t="inlineStr">
        <is>
          <t>occupied</t>
        </is>
      </c>
      <c r="AL170" t="n">
        <v>74</v>
      </c>
      <c r="AM170" t="n">
        <v>380</v>
      </c>
      <c r="AN170" t="inlineStr">
        <is>
          <t>low</t>
        </is>
      </c>
      <c r="AO170" t="inlineStr">
        <is>
          <t>remote</t>
        </is>
      </c>
      <c r="AP170" t="inlineStr">
        <is>
          <t>AO-C-010</t>
        </is>
      </c>
      <c r="AQ170" t="inlineStr">
        <is>
          <t>N</t>
        </is>
      </c>
      <c r="AR170" t="inlineStr"/>
      <c r="AS170" t="inlineStr"/>
      <c r="AT170" t="inlineStr">
        <is>
          <t>N</t>
        </is>
      </c>
      <c r="AU170" t="inlineStr">
        <is>
          <t>no contact named on an opened page</t>
        </is>
      </c>
      <c r="AV170" t="inlineStr"/>
      <c r="AW170" t="inlineStr">
        <is>
          <t>N</t>
        </is>
      </c>
      <c r="AX170" t="inlineStr">
        <is>
          <t>pass</t>
        </is>
      </c>
      <c r="AY170" t="inlineStr">
        <is>
          <t>passes all hard gates</t>
        </is>
      </c>
      <c r="AZ170" t="inlineStr">
        <is>
          <t>company</t>
        </is>
      </c>
      <c r="BA170" t="inlineStr">
        <is>
          <t>B-C-010</t>
        </is>
      </c>
      <c r="BB170" t="inlineStr">
        <is>
          <t>https://gc.com</t>
        </is>
      </c>
      <c r="BC170" t="inlineStr">
        <is>
          <t>sports tech (youth sports streaming and scorekeeping)</t>
        </is>
      </c>
      <c r="BD170" t="n">
        <v>667</v>
      </c>
      <c r="BE170" t="n">
        <v>260</v>
      </c>
      <c r="BF170" t="inlineStr">
        <is>
          <t>over-500</t>
        </is>
      </c>
      <c r="BG170" t="inlineStr">
        <is>
          <t>whole-company</t>
        </is>
      </c>
      <c r="BH170" t="inlineStr">
        <is>
          <t>over-500-second-source</t>
        </is>
      </c>
      <c r="BI170" t="inlineStr">
        <is>
          <t>https://www.reveliolabs.com/companies/gamechanger-media/employees</t>
        </is>
      </c>
      <c r="BJ170" t="inlineStr">
        <is>
          <t>https://www.builtinnyc.com/company/gamechanger</t>
        </is>
      </c>
      <c r="BK170" t="inlineStr">
        <is>
          <t>501-1000</t>
        </is>
      </c>
      <c r="BL170" t="inlineStr">
        <is>
          <t>New York</t>
        </is>
      </c>
      <c r="BM170" t="inlineStr">
        <is>
          <t>Y</t>
        </is>
      </c>
      <c r="BN170" t="inlineStr">
        <is>
          <t>Dick's Sporting Goods</t>
        </is>
      </c>
      <c r="BO170" t="inlineStr">
        <is>
          <t>unknown</t>
        </is>
      </c>
      <c r="BP170" t="n">
        <v>10003</v>
      </c>
      <c r="BQ170" t="n">
        <v>40.733674</v>
      </c>
      <c r="BR170" t="n">
        <v>-73.988766</v>
      </c>
      <c r="BS170" t="inlineStr">
        <is>
          <t>Y</t>
        </is>
      </c>
      <c r="BT170" t="n">
        <v>0</v>
      </c>
      <c r="BU170" t="inlineStr">
        <is>
          <t>B-B-002</t>
        </is>
      </c>
      <c r="BV170" t="inlineStr">
        <is>
          <t>Zero Irving</t>
        </is>
      </c>
      <c r="BW170" t="inlineStr">
        <is>
          <t>https://gc.com/about</t>
        </is>
      </c>
      <c r="BX170" t="inlineStr">
        <is>
          <t>2026-10-24</t>
        </is>
      </c>
      <c r="BY170" t="inlineStr">
        <is>
          <t>company-site</t>
        </is>
      </c>
      <c r="BZ170" t="inlineStr">
        <is>
          <t>https://commercialobserver.com/2024/08/senator-investment-group-lease-zero-irving/</t>
        </is>
      </c>
      <c r="CA170" t="inlineStr">
        <is>
          <t>2024-08</t>
        </is>
      </c>
      <c r="CB170" t="inlineStr"/>
      <c r="CC170" t="inlineStr">
        <is>
          <t>high</t>
        </is>
      </c>
      <c r="CD170" t="inlineStr"/>
      <c r="CE170" t="inlineStr">
        <is>
          <t>N</t>
        </is>
      </c>
      <c r="CF170" t="inlineStr"/>
      <c r="CG170" t="inlineStr"/>
      <c r="CH170" t="inlineStr">
        <is>
          <t>unknown</t>
        </is>
      </c>
      <c r="CI170" t="inlineStr"/>
      <c r="CJ170" t="inlineStr">
        <is>
          <t>unknown</t>
        </is>
      </c>
      <c r="CK170" t="inlineStr">
        <is>
          <t>N</t>
        </is>
      </c>
      <c r="CL170" t="inlineStr">
        <is>
          <t>Built In workplace type: Remote Workplace; recent job tags: 1 Hybrid, 2 Remote</t>
        </is>
      </c>
      <c r="CM170" t="inlineStr">
        <is>
          <t>https://www.builtinnyc.com/company/gamechanger/offices</t>
        </is>
      </c>
      <c r="CN170" t="inlineStr">
        <is>
          <t>2026-10-24</t>
        </is>
      </c>
      <c r="CO170" t="n">
        <v>168</v>
      </c>
      <c r="CP170" t="inlineStr">
        <is>
          <t>may exceed 250</t>
        </is>
      </c>
      <c r="CQ170" t="inlineStr">
        <is>
          <t>667 (Revelio Labs) and 260 (Built In) staff (whole-company count) x 50% to 100% of them in the New York office (HQ New York; share assumed) x 57% (Partnership for NYC, all Manhattan firms; no figure for 500 to 4,999) in on a weekday = 74 to 380, central 168; low confidence; estimate until intake replaces it.</t>
        </is>
      </c>
      <c r="CR170" t="inlineStr">
        <is>
          <t>estimate until intake replaces it</t>
        </is>
      </c>
      <c r="CS170" t="n">
        <v>0.74</v>
      </c>
      <c r="CT170" t="n">
        <v>30.6</v>
      </c>
      <c r="CU170" t="n">
        <v>18.6</v>
      </c>
      <c r="CV170" t="n">
        <v>2</v>
      </c>
      <c r="CW170" t="n">
        <v>-5</v>
      </c>
      <c r="CX170" t="n">
        <v>15</v>
      </c>
      <c r="CY170" t="n">
        <v>0</v>
      </c>
      <c r="CZ170" t="n">
        <v>0</v>
      </c>
      <c r="DA170" t="inlineStr"/>
      <c r="DB170" t="inlineStr"/>
      <c r="DC170" t="inlineStr"/>
      <c r="DD170" t="inlineStr"/>
      <c r="DE170" t="inlineStr"/>
      <c r="DF170" t="inlineStr">
        <is>
          <t>none</t>
        </is>
      </c>
      <c r="DG170" t="inlineStr">
        <is>
          <t>near-miss-over-500</t>
        </is>
      </c>
      <c r="DH170" t="inlineStr">
        <is>
          <t>just-over-500 (501 to 1,000)</t>
        </is>
      </c>
      <c r="DI170" t="inlineStr">
        <is>
          <t>N</t>
        </is>
      </c>
      <c r="DJ170" t="inlineStr">
        <is>
          <t>25,600 sf</t>
        </is>
      </c>
      <c r="DK170" t="inlineStr">
        <is>
          <t>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is>
      </c>
      <c r="DL170" t="inlineStr"/>
      <c r="DM170" t="inlineStr"/>
      <c r="DN170" t="inlineStr"/>
      <c r="DO170" t="inlineStr"/>
      <c r="DP170" t="inlineStr"/>
      <c r="DQ170" t="inlineStr"/>
      <c r="DR170" t="inlineStr"/>
      <c r="DS170" t="inlineStr">
        <is>
          <t>none</t>
        </is>
      </c>
      <c r="DT170" t="inlineStr"/>
      <c r="DU170" t="inlineStr"/>
      <c r="DV170" t="inlineStr"/>
      <c r="DW170" t="inlineStr"/>
      <c r="DX170" t="inlineStr">
        <is>
          <t>N</t>
        </is>
      </c>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f>IF(ISNUMBER(MATCH(U170,{"queued","contacted","replied","call_booked","call_done","yes_in_principle","materials_sent"},0)),"Y","N")</f>
        <v/>
      </c>
      <c r="ES170">
        <f>IF(COUNTIFS($AP$2:$AP$1000,AP170,$ER$2:$ER$1000,"Y")+COUNTIFS($AP$2:$AP$1000,AP170,$T$2:$T$1000,"Y")&gt;0,"Y","N")</f>
        <v/>
      </c>
      <c r="ET170">
        <f>IF(AND(U170="new",T170="N",AT170="Y",AS170="",ES170="N"),"Y","N")</f>
        <v/>
      </c>
      <c r="EU170">
        <f>IF(ET170&lt;&gt;"Y","N",IF(COUNTIFS($AP$2:$AP$1000,AP170,$ET$2:$ET$1000,"Y",$J$2:$J$1000,"&gt;"&amp;J170)+COUNTIFS($AP$2:$AP$1000,AP170,$ET$2:$ET$1000,"Y",$J$2:$J$1000,J170,$EW$2:$EW$1000,"&lt;"&amp;EW170)=0,"Y","N"))</f>
        <v/>
      </c>
      <c r="EV170">
        <f>IF(Y170="","N",IF(Y170&lt;=10,"Y","N"))</f>
        <v/>
      </c>
      <c r="EW170">
        <f>ROW()-1</f>
        <v/>
      </c>
    </row>
    <row r="171">
      <c r="A171" t="inlineStr">
        <is>
          <t>AO-C-041</t>
        </is>
      </c>
      <c r="B171" t="inlineStr">
        <is>
          <t>Fresh (LVMH)</t>
        </is>
      </c>
      <c r="C171" t="inlineStr"/>
      <c r="D171" t="inlineStr"/>
      <c r="E171" t="inlineStr"/>
      <c r="F171" t="inlineStr"/>
      <c r="G171" t="inlineStr"/>
      <c r="H171" t="inlineStr">
        <is>
          <t>none</t>
        </is>
      </c>
      <c r="I171" t="inlineStr">
        <is>
          <t>linkedin</t>
        </is>
      </c>
      <c r="J171" t="n">
        <v>30</v>
      </c>
      <c r="K171" t="inlineStr">
        <is>
          <t>Tuesday headcount unknown (no sourced count), company size unknown with a named parent (LVMH), no attendance signal, occupied at a medium-confidence address; contacts not researched yet (below the top 50).</t>
        </is>
      </c>
      <c r="L171" t="inlineStr">
        <is>
          <t>unknown</t>
        </is>
      </c>
      <c r="M171" t="inlineStr"/>
      <c r="N171" t="inlineStr"/>
      <c r="O171" t="inlineStr"/>
      <c r="P171" t="inlineStr"/>
      <c r="Q171" t="inlineStr"/>
      <c r="R171" t="inlineStr">
        <is>
          <t>N</t>
        </is>
      </c>
      <c r="S171" t="inlineStr">
        <is>
          <t>unknown</t>
        </is>
      </c>
      <c r="T171" t="inlineStr">
        <is>
          <t>N</t>
        </is>
      </c>
      <c r="U171" t="inlineStr">
        <is>
          <t>new</t>
        </is>
      </c>
      <c r="V171" t="inlineStr">
        <is>
          <t>https://commercialobserver.com/2024/12/airbnb-lease-130-fifth-avenue/</t>
        </is>
      </c>
      <c r="W171" t="inlineStr">
        <is>
          <t>2026-10-23</t>
        </is>
      </c>
      <c r="X171" t="inlineStr">
        <is>
          <t>office</t>
        </is>
      </c>
      <c r="Y171" t="inlineStr"/>
      <c r="Z171" t="n">
        <v>170</v>
      </c>
      <c r="AA171" t="inlineStr">
        <is>
          <t>N</t>
        </is>
      </c>
      <c r="AB171" t="inlineStr"/>
      <c r="AC171" t="inlineStr"/>
      <c r="AD171" t="inlineStr">
        <is>
          <t>none</t>
        </is>
      </c>
      <c r="AE171" t="inlineStr"/>
      <c r="AF171" t="inlineStr"/>
      <c r="AG171" t="inlineStr"/>
      <c r="AH171" t="inlineStr">
        <is>
          <t>none</t>
        </is>
      </c>
      <c r="AI171" t="inlineStr">
        <is>
          <t>130 Fifth Avenue</t>
        </is>
      </c>
      <c r="AJ171" t="inlineStr">
        <is>
          <t>unknown</t>
        </is>
      </c>
      <c r="AK171" t="inlineStr">
        <is>
          <t>occupied</t>
        </is>
      </c>
      <c r="AL171" t="inlineStr">
        <is>
          <t>unknown</t>
        </is>
      </c>
      <c r="AM171" t="inlineStr">
        <is>
          <t>unknown</t>
        </is>
      </c>
      <c r="AN171" t="inlineStr">
        <is>
          <t>none</t>
        </is>
      </c>
      <c r="AO171" t="inlineStr">
        <is>
          <t>unknown</t>
        </is>
      </c>
      <c r="AP171" t="inlineStr">
        <is>
          <t>AO-C-041</t>
        </is>
      </c>
      <c r="AQ171" t="inlineStr">
        <is>
          <t>N</t>
        </is>
      </c>
      <c r="AR171" t="inlineStr"/>
      <c r="AS171" t="inlineStr"/>
      <c r="AT171" t="inlineStr">
        <is>
          <t>N</t>
        </is>
      </c>
      <c r="AU171" t="inlineStr">
        <is>
          <t>no contact named on an opened page</t>
        </is>
      </c>
      <c r="AV171" t="inlineStr"/>
      <c r="AW171" t="inlineStr">
        <is>
          <t>N</t>
        </is>
      </c>
      <c r="AX171" t="inlineStr">
        <is>
          <t>pass</t>
        </is>
      </c>
      <c r="AY171" t="inlineStr">
        <is>
          <t>passes all hard gates</t>
        </is>
      </c>
      <c r="AZ171" t="inlineStr">
        <is>
          <t>company</t>
        </is>
      </c>
      <c r="BA171" t="inlineStr">
        <is>
          <t>B-C-041</t>
        </is>
      </c>
      <c r="BB171" t="inlineStr">
        <is>
          <t>https://www.fresh.com</t>
        </is>
      </c>
      <c r="BC171" t="inlineStr">
        <is>
          <t>cosmetics brand</t>
        </is>
      </c>
      <c r="BD171" t="inlineStr">
        <is>
          <t>unknown</t>
        </is>
      </c>
      <c r="BE171" t="inlineStr"/>
      <c r="BF171" t="inlineStr">
        <is>
          <t>unknown</t>
        </is>
      </c>
      <c r="BG171" t="inlineStr">
        <is>
          <t>unknown</t>
        </is>
      </c>
      <c r="BH171" t="inlineStr">
        <is>
          <t>no-count</t>
        </is>
      </c>
      <c r="BI171" t="inlineStr"/>
      <c r="BJ171" t="inlineStr"/>
      <c r="BK171" t="inlineStr">
        <is>
          <t>unknown</t>
        </is>
      </c>
      <c r="BL171" t="inlineStr">
        <is>
          <t>unknown</t>
        </is>
      </c>
      <c r="BM171" t="inlineStr">
        <is>
          <t>unknown</t>
        </is>
      </c>
      <c r="BN171" t="inlineStr">
        <is>
          <t>LVMH</t>
        </is>
      </c>
      <c r="BO171" t="inlineStr">
        <is>
          <t>unknown</t>
        </is>
      </c>
      <c r="BP171" t="n">
        <v>10011</v>
      </c>
      <c r="BQ171" t="n">
        <v>40.738793</v>
      </c>
      <c r="BR171" t="n">
        <v>-73.991823</v>
      </c>
      <c r="BS171" t="inlineStr">
        <is>
          <t>Y</t>
        </is>
      </c>
      <c r="BT171" t="n">
        <v>0</v>
      </c>
      <c r="BU171" t="inlineStr">
        <is>
          <t>B-B-017</t>
        </is>
      </c>
      <c r="BV171" t="inlineStr">
        <is>
          <t>130 Fifth Avenue (Olnick Organization)</t>
        </is>
      </c>
      <c r="BW171" t="inlineStr">
        <is>
          <t>https://commercialobserver.com/2024/12/airbnb-lease-130-fifth-avenue/</t>
        </is>
      </c>
      <c r="BX171" t="inlineStr">
        <is>
          <t>2024-12-02</t>
        </is>
      </c>
      <c r="BY171" t="inlineStr">
        <is>
          <t>leasing-press</t>
        </is>
      </c>
      <c r="BZ171" t="inlineStr"/>
      <c r="CA171" t="inlineStr"/>
      <c r="CB171" t="inlineStr"/>
      <c r="CC171" t="inlineStr">
        <is>
          <t>medium</t>
        </is>
      </c>
      <c r="CD171" t="inlineStr"/>
      <c r="CE171" t="inlineStr">
        <is>
          <t>N</t>
        </is>
      </c>
      <c r="CF171" t="inlineStr"/>
      <c r="CG171" t="inlineStr"/>
      <c r="CH171" t="inlineStr">
        <is>
          <t>unknown</t>
        </is>
      </c>
      <c r="CI171" t="inlineStr"/>
      <c r="CJ171" t="inlineStr">
        <is>
          <t>unknown</t>
        </is>
      </c>
      <c r="CK171" t="inlineStr">
        <is>
          <t>N</t>
        </is>
      </c>
      <c r="CL171" t="inlineStr">
        <is>
          <t>unknown</t>
        </is>
      </c>
      <c r="CM171" t="inlineStr"/>
      <c r="CN171" t="inlineStr"/>
      <c r="CO171" t="inlineStr">
        <is>
          <t>unknown</t>
        </is>
      </c>
      <c r="CP171" t="inlineStr"/>
      <c r="CQ171" t="inlineStr">
        <is>
          <t>No sourced headcount, so no Tuesday estimate; ask the Tuesday count at intake.</t>
        </is>
      </c>
      <c r="CR171" t="inlineStr">
        <is>
          <t>estimate until intake replaces it</t>
        </is>
      </c>
      <c r="CS171" t="inlineStr">
        <is>
          <t>unknown</t>
        </is>
      </c>
      <c r="CT171" t="n">
        <v>30</v>
      </c>
      <c r="CU171" t="n">
        <v>7</v>
      </c>
      <c r="CV171" t="n">
        <v>4</v>
      </c>
      <c r="CW171" t="n">
        <v>6</v>
      </c>
      <c r="CX171" t="n">
        <v>13</v>
      </c>
      <c r="CY171" t="n">
        <v>0</v>
      </c>
      <c r="CZ171" t="n">
        <v>0</v>
      </c>
      <c r="DA171" t="inlineStr"/>
      <c r="DB171" t="inlineStr"/>
      <c r="DC171" t="inlineStr"/>
      <c r="DD171" t="inlineStr"/>
      <c r="DE171" t="inlineStr"/>
      <c r="DF171" t="inlineStr">
        <is>
          <t>none</t>
        </is>
      </c>
      <c r="DG171" t="inlineStr">
        <is>
          <t>candidate</t>
        </is>
      </c>
      <c r="DH171" t="inlineStr"/>
      <c r="DI171" t="inlineStr"/>
      <c r="DJ171" t="inlineStr">
        <is>
          <t>26,600 sf</t>
        </is>
      </c>
      <c r="DK171" t="inlineStr">
        <is>
          <t>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is>
      </c>
      <c r="DL171" t="inlineStr"/>
      <c r="DM171" t="inlineStr"/>
      <c r="DN171" t="inlineStr"/>
      <c r="DO171" t="inlineStr"/>
      <c r="DP171" t="inlineStr"/>
      <c r="DQ171" t="inlineStr"/>
      <c r="DR171" t="inlineStr"/>
      <c r="DS171" t="inlineStr">
        <is>
          <t>none</t>
        </is>
      </c>
      <c r="DT171" t="inlineStr"/>
      <c r="DU171" t="inlineStr"/>
      <c r="DV171" t="inlineStr"/>
      <c r="DW171" t="inlineStr"/>
      <c r="DX171" t="inlineStr">
        <is>
          <t>N</t>
        </is>
      </c>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f>IF(ISNUMBER(MATCH(U171,{"queued","contacted","replied","call_booked","call_done","yes_in_principle","materials_sent"},0)),"Y","N")</f>
        <v/>
      </c>
      <c r="ES171">
        <f>IF(COUNTIFS($AP$2:$AP$1000,AP171,$ER$2:$ER$1000,"Y")+COUNTIFS($AP$2:$AP$1000,AP171,$T$2:$T$1000,"Y")&gt;0,"Y","N")</f>
        <v/>
      </c>
      <c r="ET171">
        <f>IF(AND(U171="new",T171="N",AT171="Y",AS171="",ES171="N"),"Y","N")</f>
        <v/>
      </c>
      <c r="EU171">
        <f>IF(ET171&lt;&gt;"Y","N",IF(COUNTIFS($AP$2:$AP$1000,AP171,$ET$2:$ET$1000,"Y",$J$2:$J$1000,"&gt;"&amp;J171)+COUNTIFS($AP$2:$AP$1000,AP171,$ET$2:$ET$1000,"Y",$J$2:$J$1000,J171,$EW$2:$EW$1000,"&lt;"&amp;EW171)=0,"Y","N"))</f>
        <v/>
      </c>
      <c r="EV171">
        <f>IF(Y171="","N",IF(Y171&lt;=10,"Y","N"))</f>
        <v/>
      </c>
      <c r="EW171">
        <f>ROW()-1</f>
        <v/>
      </c>
    </row>
    <row r="172">
      <c r="A172" t="inlineStr">
        <is>
          <t>AO-C-015</t>
        </is>
      </c>
      <c r="B172" t="inlineStr">
        <is>
          <t>Gresham Investment Management</t>
        </is>
      </c>
      <c r="C172" t="inlineStr"/>
      <c r="D172" t="inlineStr"/>
      <c r="E172" t="inlineStr"/>
      <c r="F172" t="inlineStr"/>
      <c r="G172" t="inlineStr"/>
      <c r="H172" t="inlineStr">
        <is>
          <t>none</t>
        </is>
      </c>
      <c r="I172" t="inlineStr">
        <is>
          <t>linkedin</t>
        </is>
      </c>
      <c r="J172" t="n">
        <v>30</v>
      </c>
      <c r="K172" t="inlineStr">
        <is>
          <t>Tuesday headcount unknown (no sourced count), company size unknown with a named parent (Nuveen), no attendance signal, occupied at a medium-confidence address; contacts not researched yet (below the top 50).</t>
        </is>
      </c>
      <c r="L172" t="inlineStr">
        <is>
          <t>unknown</t>
        </is>
      </c>
      <c r="M172" t="inlineStr"/>
      <c r="N172" t="inlineStr"/>
      <c r="O172" t="inlineStr"/>
      <c r="P172" t="inlineStr"/>
      <c r="Q172" t="inlineStr"/>
      <c r="R172" t="inlineStr">
        <is>
          <t>N</t>
        </is>
      </c>
      <c r="S172" t="inlineStr">
        <is>
          <t>unknown</t>
        </is>
      </c>
      <c r="T172" t="inlineStr">
        <is>
          <t>N</t>
        </is>
      </c>
      <c r="U172" t="inlineStr">
        <is>
          <t>new</t>
        </is>
      </c>
      <c r="V172" t="inlineStr">
        <is>
          <t>https://www.greshamllc.com/contact</t>
        </is>
      </c>
      <c r="W172" t="inlineStr">
        <is>
          <t>2026-10-23</t>
        </is>
      </c>
      <c r="X172" t="inlineStr">
        <is>
          <t>office</t>
        </is>
      </c>
      <c r="Y172" t="inlineStr"/>
      <c r="Z172" t="n">
        <v>171</v>
      </c>
      <c r="AA172" t="inlineStr">
        <is>
          <t>N</t>
        </is>
      </c>
      <c r="AB172" t="inlineStr"/>
      <c r="AC172" t="inlineStr"/>
      <c r="AD172" t="inlineStr">
        <is>
          <t>none</t>
        </is>
      </c>
      <c r="AE172" t="inlineStr"/>
      <c r="AF172" t="inlineStr"/>
      <c r="AG172" t="inlineStr"/>
      <c r="AH172" t="inlineStr">
        <is>
          <t>none</t>
        </is>
      </c>
      <c r="AI172" t="inlineStr">
        <is>
          <t>19 Union Square West</t>
        </is>
      </c>
      <c r="AJ172" t="n">
        <v>11</v>
      </c>
      <c r="AK172" t="inlineStr">
        <is>
          <t>occupied</t>
        </is>
      </c>
      <c r="AL172" t="inlineStr">
        <is>
          <t>unknown</t>
        </is>
      </c>
      <c r="AM172" t="inlineStr">
        <is>
          <t>unknown</t>
        </is>
      </c>
      <c r="AN172" t="inlineStr">
        <is>
          <t>none</t>
        </is>
      </c>
      <c r="AO172" t="inlineStr">
        <is>
          <t>unknown</t>
        </is>
      </c>
      <c r="AP172" t="inlineStr">
        <is>
          <t>AO-C-015</t>
        </is>
      </c>
      <c r="AQ172" t="inlineStr">
        <is>
          <t>N</t>
        </is>
      </c>
      <c r="AR172" t="inlineStr"/>
      <c r="AS172" t="inlineStr"/>
      <c r="AT172" t="inlineStr">
        <is>
          <t>N</t>
        </is>
      </c>
      <c r="AU172" t="inlineStr">
        <is>
          <t>no contact named on an opened page</t>
        </is>
      </c>
      <c r="AV172" t="inlineStr"/>
      <c r="AW172" t="inlineStr">
        <is>
          <t>N</t>
        </is>
      </c>
      <c r="AX172" t="inlineStr">
        <is>
          <t>pass</t>
        </is>
      </c>
      <c r="AY172" t="inlineStr">
        <is>
          <t>passes all hard gates</t>
        </is>
      </c>
      <c r="AZ172" t="inlineStr">
        <is>
          <t>company</t>
        </is>
      </c>
      <c r="BA172" t="inlineStr">
        <is>
          <t>B-C-015</t>
        </is>
      </c>
      <c r="BB172" t="inlineStr">
        <is>
          <t>https://www.greshamllc.com</t>
        </is>
      </c>
      <c r="BC172" t="inlineStr">
        <is>
          <t>investment management (commodities)</t>
        </is>
      </c>
      <c r="BD172" t="inlineStr">
        <is>
          <t>unknown</t>
        </is>
      </c>
      <c r="BE172" t="inlineStr"/>
      <c r="BF172" t="inlineStr">
        <is>
          <t>unknown</t>
        </is>
      </c>
      <c r="BG172" t="inlineStr">
        <is>
          <t>unknown</t>
        </is>
      </c>
      <c r="BH172" t="inlineStr">
        <is>
          <t>no-count</t>
        </is>
      </c>
      <c r="BI172" t="inlineStr"/>
      <c r="BJ172" t="inlineStr"/>
      <c r="BK172" t="inlineStr">
        <is>
          <t>unknown</t>
        </is>
      </c>
      <c r="BL172" t="inlineStr">
        <is>
          <t>unknown</t>
        </is>
      </c>
      <c r="BM172" t="inlineStr">
        <is>
          <t>unknown</t>
        </is>
      </c>
      <c r="BN172" t="inlineStr">
        <is>
          <t>Nuveen</t>
        </is>
      </c>
      <c r="BO172" t="inlineStr">
        <is>
          <t>unknown</t>
        </is>
      </c>
      <c r="BP172" t="n">
        <v>10003</v>
      </c>
      <c r="BQ172" t="n">
        <v>40.736065</v>
      </c>
      <c r="BR172" t="n">
        <v>-73.991246</v>
      </c>
      <c r="BS172" t="inlineStr">
        <is>
          <t>Y</t>
        </is>
      </c>
      <c r="BT172" t="n">
        <v>0</v>
      </c>
      <c r="BU172" t="inlineStr">
        <is>
          <t>B-B-005</t>
        </is>
      </c>
      <c r="BV172" t="inlineStr">
        <is>
          <t>19 Union Square West</t>
        </is>
      </c>
      <c r="BW172" t="inlineStr">
        <is>
          <t>https://www.greshamllc.com/contact</t>
        </is>
      </c>
      <c r="BX172" t="inlineStr">
        <is>
          <t>2026-10-23</t>
        </is>
      </c>
      <c r="BY172" t="inlineStr">
        <is>
          <t>company-site</t>
        </is>
      </c>
      <c r="BZ172" t="inlineStr">
        <is>
          <t>https://www.mannpublications.com/mannreport/2024/06/10/hedge-fund-manager-relocates-to-19-union-square-west/</t>
        </is>
      </c>
      <c r="CA172" t="inlineStr">
        <is>
          <t>2024-06-10</t>
        </is>
      </c>
      <c r="CB172" t="inlineStr"/>
      <c r="CC172" t="inlineStr">
        <is>
          <t>medium</t>
        </is>
      </c>
      <c r="CD172" t="inlineStr"/>
      <c r="CE172" t="inlineStr">
        <is>
          <t>N</t>
        </is>
      </c>
      <c r="CF172" t="inlineStr"/>
      <c r="CG172" t="inlineStr"/>
      <c r="CH172" t="inlineStr">
        <is>
          <t>unknown</t>
        </is>
      </c>
      <c r="CI172" t="inlineStr"/>
      <c r="CJ172" t="inlineStr">
        <is>
          <t>unknown</t>
        </is>
      </c>
      <c r="CK172" t="inlineStr">
        <is>
          <t>N</t>
        </is>
      </c>
      <c r="CL172" t="inlineStr">
        <is>
          <t>unknown</t>
        </is>
      </c>
      <c r="CM172" t="inlineStr"/>
      <c r="CN172" t="inlineStr"/>
      <c r="CO172" t="inlineStr">
        <is>
          <t>unknown</t>
        </is>
      </c>
      <c r="CP172" t="inlineStr"/>
      <c r="CQ172" t="inlineStr">
        <is>
          <t>No sourced headcount, so no Tuesday estimate; ask the Tuesday count at intake.</t>
        </is>
      </c>
      <c r="CR172" t="inlineStr">
        <is>
          <t>estimate until intake replaces it</t>
        </is>
      </c>
      <c r="CS172" t="inlineStr">
        <is>
          <t>unknown</t>
        </is>
      </c>
      <c r="CT172" t="n">
        <v>30</v>
      </c>
      <c r="CU172" t="n">
        <v>7</v>
      </c>
      <c r="CV172" t="n">
        <v>4</v>
      </c>
      <c r="CW172" t="n">
        <v>6</v>
      </c>
      <c r="CX172" t="n">
        <v>13</v>
      </c>
      <c r="CY172" t="n">
        <v>0</v>
      </c>
      <c r="CZ172" t="n">
        <v>0</v>
      </c>
      <c r="DA172" t="inlineStr"/>
      <c r="DB172" t="inlineStr"/>
      <c r="DC172" t="inlineStr"/>
      <c r="DD172" t="inlineStr"/>
      <c r="DE172" t="inlineStr"/>
      <c r="DF172" t="inlineStr">
        <is>
          <t>none</t>
        </is>
      </c>
      <c r="DG172" t="inlineStr">
        <is>
          <t>candidate</t>
        </is>
      </c>
      <c r="DH172" t="inlineStr"/>
      <c r="DI172" t="inlineStr"/>
      <c r="DJ172" t="inlineStr"/>
      <c r="DK172" t="inlineStr">
        <is>
          <t>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is>
      </c>
      <c r="DL172" t="inlineStr"/>
      <c r="DM172" t="inlineStr"/>
      <c r="DN172" t="inlineStr"/>
      <c r="DO172" t="inlineStr"/>
      <c r="DP172" t="inlineStr"/>
      <c r="DQ172" t="inlineStr"/>
      <c r="DR172" t="inlineStr"/>
      <c r="DS172" t="inlineStr">
        <is>
          <t>none</t>
        </is>
      </c>
      <c r="DT172" t="inlineStr"/>
      <c r="DU172" t="inlineStr"/>
      <c r="DV172" t="inlineStr"/>
      <c r="DW172" t="inlineStr"/>
      <c r="DX172" t="inlineStr">
        <is>
          <t>N</t>
        </is>
      </c>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f>IF(ISNUMBER(MATCH(U172,{"queued","contacted","replied","call_booked","call_done","yes_in_principle","materials_sent"},0)),"Y","N")</f>
        <v/>
      </c>
      <c r="ES172">
        <f>IF(COUNTIFS($AP$2:$AP$1000,AP172,$ER$2:$ER$1000,"Y")+COUNTIFS($AP$2:$AP$1000,AP172,$T$2:$T$1000,"Y")&gt;0,"Y","N")</f>
        <v/>
      </c>
      <c r="ET172">
        <f>IF(AND(U172="new",T172="N",AT172="Y",AS172="",ES172="N"),"Y","N")</f>
        <v/>
      </c>
      <c r="EU172">
        <f>IF(ET172&lt;&gt;"Y","N",IF(COUNTIFS($AP$2:$AP$1000,AP172,$ET$2:$ET$1000,"Y",$J$2:$J$1000,"&gt;"&amp;J172)+COUNTIFS($AP$2:$AP$1000,AP172,$ET$2:$ET$1000,"Y",$J$2:$J$1000,J172,$EW$2:$EW$1000,"&lt;"&amp;EW172)=0,"Y","N"))</f>
        <v/>
      </c>
      <c r="EV172">
        <f>IF(Y172="","N",IF(Y172&lt;=10,"Y","N"))</f>
        <v/>
      </c>
      <c r="EW172">
        <f>ROW()-1</f>
        <v/>
      </c>
    </row>
    <row r="173">
      <c r="A173" t="inlineStr">
        <is>
          <t>AO-C-093</t>
        </is>
      </c>
      <c r="B173" t="inlineStr">
        <is>
          <t>Kodansha USA</t>
        </is>
      </c>
      <c r="C173" t="inlineStr"/>
      <c r="D173" t="inlineStr"/>
      <c r="E173" t="inlineStr"/>
      <c r="F173" t="inlineStr"/>
      <c r="G173" t="inlineStr"/>
      <c r="H173" t="inlineStr">
        <is>
          <t>none</t>
        </is>
      </c>
      <c r="I173" t="inlineStr">
        <is>
          <t>linkedin</t>
        </is>
      </c>
      <c r="J173" t="n">
        <v>30</v>
      </c>
      <c r="K173" t="inlineStr">
        <is>
          <t>Tuesday headcount unknown (no sourced count), company size unknown with a named parent (Kodansha), no attendance signal, occupied at a medium-confidence address; contacts not researched yet (below the top 50).</t>
        </is>
      </c>
      <c r="L173" t="inlineStr">
        <is>
          <t>unknown</t>
        </is>
      </c>
      <c r="M173" t="inlineStr"/>
      <c r="N173" t="inlineStr"/>
      <c r="O173" t="inlineStr"/>
      <c r="P173" t="inlineStr"/>
      <c r="Q173" t="inlineStr"/>
      <c r="R173" t="inlineStr">
        <is>
          <t>N</t>
        </is>
      </c>
      <c r="S173" t="inlineStr">
        <is>
          <t>unknown</t>
        </is>
      </c>
      <c r="T173" t="inlineStr">
        <is>
          <t>N</t>
        </is>
      </c>
      <c r="U173" t="inlineStr">
        <is>
          <t>new</t>
        </is>
      </c>
      <c r="V173" t="inlineStr">
        <is>
          <t>https://kodansha.us/privacy-policy/</t>
        </is>
      </c>
      <c r="W173" t="inlineStr">
        <is>
          <t>2026-10-23</t>
        </is>
      </c>
      <c r="X173" t="inlineStr">
        <is>
          <t>office</t>
        </is>
      </c>
      <c r="Y173" t="inlineStr"/>
      <c r="Z173" t="n">
        <v>172</v>
      </c>
      <c r="AA173" t="inlineStr">
        <is>
          <t>N</t>
        </is>
      </c>
      <c r="AB173" t="inlineStr"/>
      <c r="AC173" t="inlineStr"/>
      <c r="AD173" t="inlineStr">
        <is>
          <t>none</t>
        </is>
      </c>
      <c r="AE173" t="inlineStr"/>
      <c r="AF173" t="inlineStr"/>
      <c r="AG173" t="inlineStr"/>
      <c r="AH173" t="inlineStr">
        <is>
          <t>none</t>
        </is>
      </c>
      <c r="AI173" t="inlineStr">
        <is>
          <t>25 East 22nd Street</t>
        </is>
      </c>
      <c r="AJ173" t="inlineStr">
        <is>
          <t>building owner-occupant</t>
        </is>
      </c>
      <c r="AK173" t="inlineStr">
        <is>
          <t>occupied</t>
        </is>
      </c>
      <c r="AL173" t="inlineStr">
        <is>
          <t>unknown</t>
        </is>
      </c>
      <c r="AM173" t="inlineStr">
        <is>
          <t>unknown</t>
        </is>
      </c>
      <c r="AN173" t="inlineStr">
        <is>
          <t>none</t>
        </is>
      </c>
      <c r="AO173" t="inlineStr">
        <is>
          <t>unknown</t>
        </is>
      </c>
      <c r="AP173" t="inlineStr">
        <is>
          <t>AO-C-093</t>
        </is>
      </c>
      <c r="AQ173" t="inlineStr">
        <is>
          <t>N</t>
        </is>
      </c>
      <c r="AR173" t="inlineStr"/>
      <c r="AS173" t="inlineStr"/>
      <c r="AT173" t="inlineStr">
        <is>
          <t>N</t>
        </is>
      </c>
      <c r="AU173" t="inlineStr">
        <is>
          <t>no contact named on an opened page</t>
        </is>
      </c>
      <c r="AV173" t="inlineStr"/>
      <c r="AW173" t="inlineStr">
        <is>
          <t>N</t>
        </is>
      </c>
      <c r="AX173" t="inlineStr">
        <is>
          <t>pass</t>
        </is>
      </c>
      <c r="AY173" t="inlineStr">
        <is>
          <t>passes all hard gates</t>
        </is>
      </c>
      <c r="AZ173" t="inlineStr">
        <is>
          <t>company</t>
        </is>
      </c>
      <c r="BA173" t="inlineStr">
        <is>
          <t>B-C-093</t>
        </is>
      </c>
      <c r="BB173" t="inlineStr">
        <is>
          <t>https://kodansha.us/</t>
        </is>
      </c>
      <c r="BC173" t="inlineStr">
        <is>
          <t>Publishing (manga and books)</t>
        </is>
      </c>
      <c r="BD173" t="inlineStr">
        <is>
          <t>unknown</t>
        </is>
      </c>
      <c r="BE173" t="inlineStr"/>
      <c r="BF173" t="inlineStr">
        <is>
          <t>unknown</t>
        </is>
      </c>
      <c r="BG173" t="inlineStr">
        <is>
          <t>unknown</t>
        </is>
      </c>
      <c r="BH173" t="inlineStr">
        <is>
          <t>no-count</t>
        </is>
      </c>
      <c r="BI173" t="inlineStr"/>
      <c r="BJ173" t="inlineStr"/>
      <c r="BK173" t="inlineStr">
        <is>
          <t>unknown</t>
        </is>
      </c>
      <c r="BL173" t="inlineStr">
        <is>
          <t>unknown</t>
        </is>
      </c>
      <c r="BM173" t="inlineStr">
        <is>
          <t>unknown</t>
        </is>
      </c>
      <c r="BN173" t="inlineStr">
        <is>
          <t>Kodansha</t>
        </is>
      </c>
      <c r="BO173" t="inlineStr">
        <is>
          <t>unknown</t>
        </is>
      </c>
      <c r="BP173" t="n">
        <v>10010</v>
      </c>
      <c r="BQ173" t="n">
        <v>40.740287</v>
      </c>
      <c r="BR173" t="n">
        <v>-73.98805</v>
      </c>
      <c r="BS173" t="inlineStr">
        <is>
          <t>Y</t>
        </is>
      </c>
      <c r="BT173" t="n">
        <v>0</v>
      </c>
      <c r="BU173" t="inlineStr">
        <is>
          <t>B-B-045</t>
        </is>
      </c>
      <c r="BV173" t="inlineStr">
        <is>
          <t>25 East 22nd Street (owner-occupied by Kodansha)</t>
        </is>
      </c>
      <c r="BW173" t="inlineStr">
        <is>
          <t>https://kodansha.us/privacy-policy/</t>
        </is>
      </c>
      <c r="BX173" t="inlineStr">
        <is>
          <t>2026-10-23</t>
        </is>
      </c>
      <c r="BY173" t="inlineStr">
        <is>
          <t>company-site</t>
        </is>
      </c>
      <c r="BZ173" t="inlineStr">
        <is>
          <t>https://flatironnomad.nyc/2024/02/07/january-news-roundup-5/</t>
        </is>
      </c>
      <c r="CA173" t="inlineStr">
        <is>
          <t>2024-02-07</t>
        </is>
      </c>
      <c r="CB173" t="inlineStr"/>
      <c r="CC173" t="inlineStr">
        <is>
          <t>medium</t>
        </is>
      </c>
      <c r="CD173" t="inlineStr"/>
      <c r="CE173" t="inlineStr">
        <is>
          <t>N</t>
        </is>
      </c>
      <c r="CF173" t="inlineStr"/>
      <c r="CG173" t="inlineStr"/>
      <c r="CH173" t="inlineStr">
        <is>
          <t>unknown</t>
        </is>
      </c>
      <c r="CI173" t="inlineStr"/>
      <c r="CJ173" t="inlineStr">
        <is>
          <t>unknown</t>
        </is>
      </c>
      <c r="CK173" t="inlineStr">
        <is>
          <t>N</t>
        </is>
      </c>
      <c r="CL173" t="inlineStr">
        <is>
          <t>unknown</t>
        </is>
      </c>
      <c r="CM173" t="inlineStr"/>
      <c r="CN173" t="inlineStr"/>
      <c r="CO173" t="inlineStr">
        <is>
          <t>unknown</t>
        </is>
      </c>
      <c r="CP173" t="inlineStr"/>
      <c r="CQ173" t="inlineStr">
        <is>
          <t>No sourced headcount, so no Tuesday estimate; ask the Tuesday count at intake.</t>
        </is>
      </c>
      <c r="CR173" t="inlineStr">
        <is>
          <t>estimate until intake replaces it</t>
        </is>
      </c>
      <c r="CS173" t="inlineStr">
        <is>
          <t>unknown</t>
        </is>
      </c>
      <c r="CT173" t="n">
        <v>30</v>
      </c>
      <c r="CU173" t="n">
        <v>7</v>
      </c>
      <c r="CV173" t="n">
        <v>4</v>
      </c>
      <c r="CW173" t="n">
        <v>6</v>
      </c>
      <c r="CX173" t="n">
        <v>13</v>
      </c>
      <c r="CY173" t="n">
        <v>0</v>
      </c>
      <c r="CZ173" t="n">
        <v>0</v>
      </c>
      <c r="DA173" t="inlineStr"/>
      <c r="DB173" t="inlineStr"/>
      <c r="DC173" t="inlineStr"/>
      <c r="DD173" t="inlineStr"/>
      <c r="DE173" t="inlineStr"/>
      <c r="DF173" t="inlineStr">
        <is>
          <t>none</t>
        </is>
      </c>
      <c r="DG173" t="inlineStr">
        <is>
          <t>candidate</t>
        </is>
      </c>
      <c r="DH173" t="inlineStr"/>
      <c r="DI173" t="inlineStr"/>
      <c r="DJ173" t="inlineStr">
        <is>
          <t>17,000 sf</t>
        </is>
      </c>
      <c r="DK173" t="inlineStr">
        <is>
          <t>Kodansha USA privacy policy (live) gives 25 East 22nd Street, New York, NY 10010. FNP Feb 2024 roundup (citing Crain's) reports Kodansha bought the six-story, 17,000 sf building. Headcount not found in an opened source.</t>
        </is>
      </c>
      <c r="DL173" t="inlineStr"/>
      <c r="DM173" t="inlineStr"/>
      <c r="DN173" t="inlineStr"/>
      <c r="DO173" t="inlineStr"/>
      <c r="DP173" t="inlineStr"/>
      <c r="DQ173" t="inlineStr"/>
      <c r="DR173" t="inlineStr"/>
      <c r="DS173" t="inlineStr">
        <is>
          <t>none</t>
        </is>
      </c>
      <c r="DT173" t="inlineStr"/>
      <c r="DU173" t="inlineStr"/>
      <c r="DV173" t="inlineStr"/>
      <c r="DW173" t="inlineStr"/>
      <c r="DX173" t="inlineStr">
        <is>
          <t>N</t>
        </is>
      </c>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f>IF(ISNUMBER(MATCH(U173,{"queued","contacted","replied","call_booked","call_done","yes_in_principle","materials_sent"},0)),"Y","N")</f>
        <v/>
      </c>
      <c r="ES173">
        <f>IF(COUNTIFS($AP$2:$AP$1000,AP173,$ER$2:$ER$1000,"Y")+COUNTIFS($AP$2:$AP$1000,AP173,$T$2:$T$1000,"Y")&gt;0,"Y","N")</f>
        <v/>
      </c>
      <c r="ET173">
        <f>IF(AND(U173="new",T173="N",AT173="Y",AS173="",ES173="N"),"Y","N")</f>
        <v/>
      </c>
      <c r="EU173">
        <f>IF(ET173&lt;&gt;"Y","N",IF(COUNTIFS($AP$2:$AP$1000,AP173,$ET$2:$ET$1000,"Y",$J$2:$J$1000,"&gt;"&amp;J173)+COUNTIFS($AP$2:$AP$1000,AP173,$ET$2:$ET$1000,"Y",$J$2:$J$1000,J173,$EW$2:$EW$1000,"&lt;"&amp;EW173)=0,"Y","N"))</f>
        <v/>
      </c>
      <c r="EV173">
        <f>IF(Y173="","N",IF(Y173&lt;=10,"Y","N"))</f>
        <v/>
      </c>
      <c r="EW173">
        <f>ROW()-1</f>
        <v/>
      </c>
    </row>
    <row r="174">
      <c r="A174" t="inlineStr">
        <is>
          <t>AO-C-036</t>
        </is>
      </c>
      <c r="B174" t="inlineStr">
        <is>
          <t>Matador Content</t>
        </is>
      </c>
      <c r="C174" t="inlineStr"/>
      <c r="D174" t="inlineStr"/>
      <c r="E174" t="inlineStr"/>
      <c r="F174" t="inlineStr"/>
      <c r="G174" t="inlineStr"/>
      <c r="H174" t="inlineStr">
        <is>
          <t>none</t>
        </is>
      </c>
      <c r="I174" t="inlineStr">
        <is>
          <t>linkedin</t>
        </is>
      </c>
      <c r="J174" t="n">
        <v>30</v>
      </c>
      <c r="K174" t="inlineStr">
        <is>
          <t>Tuesday headcount unknown (no sourced count), company size unknown with a named parent (Boat Rocker Media), no attendance signal, occupied at a medium-confidence address; contacts not researched yet (below the top 50).</t>
        </is>
      </c>
      <c r="L174" t="inlineStr">
        <is>
          <t>unknown</t>
        </is>
      </c>
      <c r="M174" t="inlineStr"/>
      <c r="N174" t="inlineStr"/>
      <c r="O174" t="inlineStr"/>
      <c r="P174" t="inlineStr"/>
      <c r="Q174" t="inlineStr"/>
      <c r="R174" t="inlineStr">
        <is>
          <t>N</t>
        </is>
      </c>
      <c r="S174" t="inlineStr">
        <is>
          <t>unknown</t>
        </is>
      </c>
      <c r="T174" t="inlineStr">
        <is>
          <t>N</t>
        </is>
      </c>
      <c r="U174" t="inlineStr">
        <is>
          <t>new</t>
        </is>
      </c>
      <c r="V174" t="inlineStr">
        <is>
          <t>https://www.sec.gov/Archives/edgar/data/1013454/000153949726000704/n5676_x5-424h.htm</t>
        </is>
      </c>
      <c r="W174" t="inlineStr">
        <is>
          <t>2026-10-23</t>
        </is>
      </c>
      <c r="X174" t="inlineStr">
        <is>
          <t>office</t>
        </is>
      </c>
      <c r="Y174" t="inlineStr"/>
      <c r="Z174" t="n">
        <v>173</v>
      </c>
      <c r="AA174" t="inlineStr">
        <is>
          <t>N</t>
        </is>
      </c>
      <c r="AB174" t="inlineStr"/>
      <c r="AC174" t="inlineStr"/>
      <c r="AD174" t="inlineStr">
        <is>
          <t>none</t>
        </is>
      </c>
      <c r="AE174" t="inlineStr"/>
      <c r="AF174" t="inlineStr"/>
      <c r="AG174" t="inlineStr"/>
      <c r="AH174" t="inlineStr">
        <is>
          <t>none</t>
        </is>
      </c>
      <c r="AI174" t="inlineStr">
        <is>
          <t>215 Park Avenue South</t>
        </is>
      </c>
      <c r="AJ174" t="n">
        <v>8</v>
      </c>
      <c r="AK174" t="inlineStr">
        <is>
          <t>occupied</t>
        </is>
      </c>
      <c r="AL174" t="inlineStr">
        <is>
          <t>unknown</t>
        </is>
      </c>
      <c r="AM174" t="inlineStr">
        <is>
          <t>unknown</t>
        </is>
      </c>
      <c r="AN174" t="inlineStr">
        <is>
          <t>none</t>
        </is>
      </c>
      <c r="AO174" t="inlineStr">
        <is>
          <t>unknown</t>
        </is>
      </c>
      <c r="AP174" t="inlineStr">
        <is>
          <t>AO-C-036</t>
        </is>
      </c>
      <c r="AQ174" t="inlineStr">
        <is>
          <t>N</t>
        </is>
      </c>
      <c r="AR174" t="inlineStr"/>
      <c r="AS174" t="inlineStr"/>
      <c r="AT174" t="inlineStr">
        <is>
          <t>N</t>
        </is>
      </c>
      <c r="AU174" t="inlineStr">
        <is>
          <t>no contact named on an opened page</t>
        </is>
      </c>
      <c r="AV174" t="inlineStr"/>
      <c r="AW174" t="inlineStr">
        <is>
          <t>N</t>
        </is>
      </c>
      <c r="AX174" t="inlineStr">
        <is>
          <t>pass</t>
        </is>
      </c>
      <c r="AY174" t="inlineStr">
        <is>
          <t>passes all hard gates</t>
        </is>
      </c>
      <c r="AZ174" t="inlineStr">
        <is>
          <t>company</t>
        </is>
      </c>
      <c r="BA174" t="inlineStr">
        <is>
          <t>B-C-036</t>
        </is>
      </c>
      <c r="BB174" t="inlineStr">
        <is>
          <t>unknown</t>
        </is>
      </c>
      <c r="BC174" t="inlineStr">
        <is>
          <t>TV and film production</t>
        </is>
      </c>
      <c r="BD174" t="inlineStr">
        <is>
          <t>unknown</t>
        </is>
      </c>
      <c r="BE174" t="inlineStr"/>
      <c r="BF174" t="inlineStr">
        <is>
          <t>unknown</t>
        </is>
      </c>
      <c r="BG174" t="inlineStr">
        <is>
          <t>unknown</t>
        </is>
      </c>
      <c r="BH174" t="inlineStr">
        <is>
          <t>no-count</t>
        </is>
      </c>
      <c r="BI174" t="inlineStr"/>
      <c r="BJ174" t="inlineStr"/>
      <c r="BK174" t="inlineStr">
        <is>
          <t>unknown</t>
        </is>
      </c>
      <c r="BL174" t="inlineStr">
        <is>
          <t>unknown</t>
        </is>
      </c>
      <c r="BM174" t="inlineStr">
        <is>
          <t>unknown</t>
        </is>
      </c>
      <c r="BN174" t="inlineStr">
        <is>
          <t>Boat Rocker Media</t>
        </is>
      </c>
      <c r="BO174" t="inlineStr">
        <is>
          <t>unknown</t>
        </is>
      </c>
      <c r="BP174" t="n">
        <v>10003</v>
      </c>
      <c r="BQ174" t="n">
        <v>40.73686</v>
      </c>
      <c r="BR174" t="n">
        <v>-73.988546</v>
      </c>
      <c r="BS174" t="inlineStr">
        <is>
          <t>Y</t>
        </is>
      </c>
      <c r="BT174" t="n">
        <v>0</v>
      </c>
      <c r="BU174" t="inlineStr">
        <is>
          <t>B-B-016</t>
        </is>
      </c>
      <c r="BV174" t="inlineStr">
        <is>
          <t>215 Park Avenue South (SL Green managed)</t>
        </is>
      </c>
      <c r="BW174" t="inlineStr">
        <is>
          <t>https://www.sec.gov/Archives/edgar/data/1013454/000153949726000704/n5676_x5-424h.htm</t>
        </is>
      </c>
      <c r="BX174" t="inlineStr">
        <is>
          <t>2026-02</t>
        </is>
      </c>
      <c r="BY174" t="inlineStr">
        <is>
          <t>other</t>
        </is>
      </c>
      <c r="BZ174" t="inlineStr"/>
      <c r="CA174" t="inlineStr"/>
      <c r="CB174" t="inlineStr">
        <is>
          <t>cites a sec.gov filing: agents do not open it (EDGAR demands a contact email); the founder may open it in a browser</t>
        </is>
      </c>
      <c r="CC174" t="inlineStr">
        <is>
          <t>medium</t>
        </is>
      </c>
      <c r="CD174" t="inlineStr"/>
      <c r="CE174" t="inlineStr">
        <is>
          <t>N</t>
        </is>
      </c>
      <c r="CF174" t="inlineStr"/>
      <c r="CG174" t="inlineStr"/>
      <c r="CH174" t="inlineStr">
        <is>
          <t>security desk</t>
        </is>
      </c>
      <c r="CI174" t="inlineStr">
        <is>
          <t>https://www.metro-manhattan.com/buildings/215-park-avenue-south/</t>
        </is>
      </c>
      <c r="CJ174" t="inlineStr">
        <is>
          <t>unknown</t>
        </is>
      </c>
      <c r="CK174" t="inlineStr">
        <is>
          <t>N</t>
        </is>
      </c>
      <c r="CL174" t="inlineStr">
        <is>
          <t>unknown</t>
        </is>
      </c>
      <c r="CM174" t="inlineStr"/>
      <c r="CN174" t="inlineStr"/>
      <c r="CO174" t="inlineStr">
        <is>
          <t>unknown</t>
        </is>
      </c>
      <c r="CP174" t="inlineStr"/>
      <c r="CQ174" t="inlineStr">
        <is>
          <t>No sourced headcount, so no Tuesday estimate; ask the Tuesday count at intake.</t>
        </is>
      </c>
      <c r="CR174" t="inlineStr">
        <is>
          <t>estimate until intake replaces it</t>
        </is>
      </c>
      <c r="CS174" t="inlineStr">
        <is>
          <t>unknown</t>
        </is>
      </c>
      <c r="CT174" t="n">
        <v>30</v>
      </c>
      <c r="CU174" t="n">
        <v>7</v>
      </c>
      <c r="CV174" t="n">
        <v>4</v>
      </c>
      <c r="CW174" t="n">
        <v>6</v>
      </c>
      <c r="CX174" t="n">
        <v>13</v>
      </c>
      <c r="CY174" t="n">
        <v>0</v>
      </c>
      <c r="CZ174" t="n">
        <v>0</v>
      </c>
      <c r="DA174" t="inlineStr"/>
      <c r="DB174" t="inlineStr"/>
      <c r="DC174" t="inlineStr"/>
      <c r="DD174" t="inlineStr"/>
      <c r="DE174" t="inlineStr"/>
      <c r="DF174" t="inlineStr">
        <is>
          <t>none</t>
        </is>
      </c>
      <c r="DG174" t="inlineStr">
        <is>
          <t>candidate</t>
        </is>
      </c>
      <c r="DH174" t="inlineStr"/>
      <c r="DI174" t="inlineStr"/>
      <c r="DJ174" t="inlineStr">
        <is>
          <t>17,255 sf</t>
        </is>
      </c>
      <c r="DK174" t="inlineStr">
        <is>
          <t>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L174" t="inlineStr"/>
      <c r="DM174" t="inlineStr"/>
      <c r="DN174" t="inlineStr"/>
      <c r="DO174" t="inlineStr"/>
      <c r="DP174" t="inlineStr"/>
      <c r="DQ174" t="inlineStr"/>
      <c r="DR174" t="inlineStr"/>
      <c r="DS174" t="inlineStr">
        <is>
          <t>none</t>
        </is>
      </c>
      <c r="DT174" t="inlineStr"/>
      <c r="DU174" t="inlineStr"/>
      <c r="DV174" t="inlineStr"/>
      <c r="DW174" t="inlineStr"/>
      <c r="DX174" t="inlineStr">
        <is>
          <t>N</t>
        </is>
      </c>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f>IF(ISNUMBER(MATCH(U174,{"queued","contacted","replied","call_booked","call_done","yes_in_principle","materials_sent"},0)),"Y","N")</f>
        <v/>
      </c>
      <c r="ES174">
        <f>IF(COUNTIFS($AP$2:$AP$1000,AP174,$ER$2:$ER$1000,"Y")+COUNTIFS($AP$2:$AP$1000,AP174,$T$2:$T$1000,"Y")&gt;0,"Y","N")</f>
        <v/>
      </c>
      <c r="ET174">
        <f>IF(AND(U174="new",T174="N",AT174="Y",AS174="",ES174="N"),"Y","N")</f>
        <v/>
      </c>
      <c r="EU174">
        <f>IF(ET174&lt;&gt;"Y","N",IF(COUNTIFS($AP$2:$AP$1000,AP174,$ET$2:$ET$1000,"Y",$J$2:$J$1000,"&gt;"&amp;J174)+COUNTIFS($AP$2:$AP$1000,AP174,$ET$2:$ET$1000,"Y",$J$2:$J$1000,J174,$EW$2:$EW$1000,"&lt;"&amp;EW174)=0,"Y","N"))</f>
        <v/>
      </c>
      <c r="EV174">
        <f>IF(Y174="","N",IF(Y174&lt;=10,"Y","N"))</f>
        <v/>
      </c>
      <c r="EW174">
        <f>ROW()-1</f>
        <v/>
      </c>
    </row>
    <row r="175">
      <c r="A175" t="inlineStr">
        <is>
          <t>AO-C-232</t>
        </is>
      </c>
      <c r="B175" t="inlineStr">
        <is>
          <t>TKO Group Holdings</t>
        </is>
      </c>
      <c r="C175" t="inlineStr"/>
      <c r="D175" t="inlineStr"/>
      <c r="E175" t="inlineStr"/>
      <c r="F175" t="inlineStr"/>
      <c r="G175" t="inlineStr"/>
      <c r="H175" t="inlineStr">
        <is>
          <t>none</t>
        </is>
      </c>
      <c r="I175" t="inlineStr">
        <is>
          <t>linkedin</t>
        </is>
      </c>
      <c r="J175" t="n">
        <v>29.6</v>
      </c>
      <c r="K175" t="inlineStr">
        <is>
          <t>Tuesday estimate 114 to 2280 (low confidence), 1,001 to 4,999 staff company-wide, no attendance signal, occupied at a high-confidence address; contacts not researched yet (below the top 50).</t>
        </is>
      </c>
      <c r="L175" t="inlineStr">
        <is>
          <t>over-500</t>
        </is>
      </c>
      <c r="M175" t="inlineStr"/>
      <c r="N175" t="inlineStr"/>
      <c r="O175" t="inlineStr"/>
      <c r="P175" t="inlineStr"/>
      <c r="Q175" t="inlineStr"/>
      <c r="R175" t="inlineStr">
        <is>
          <t>N</t>
        </is>
      </c>
      <c r="S175" t="inlineStr">
        <is>
          <t>unknown</t>
        </is>
      </c>
      <c r="T175" t="inlineStr">
        <is>
          <t>N</t>
        </is>
      </c>
      <c r="U175" t="inlineStr">
        <is>
          <t>new</t>
        </is>
      </c>
      <c r="V175" t="inlineStr">
        <is>
          <t>https://tkogrp.com/privacy-policy/</t>
        </is>
      </c>
      <c r="W175" t="inlineStr">
        <is>
          <t>2026-10-23</t>
        </is>
      </c>
      <c r="X175" t="inlineStr">
        <is>
          <t>office</t>
        </is>
      </c>
      <c r="Y175" t="inlineStr"/>
      <c r="Z175" t="n">
        <v>174</v>
      </c>
      <c r="AA175" t="inlineStr">
        <is>
          <t>N</t>
        </is>
      </c>
      <c r="AB175" t="inlineStr">
        <is>
          <t>Tuesday estimate band over-500: founder's call (set founder_ok_to_queue = Y to queue)</t>
        </is>
      </c>
      <c r="AC175" t="inlineStr"/>
      <c r="AD175" t="inlineStr">
        <is>
          <t>none</t>
        </is>
      </c>
      <c r="AE175" t="inlineStr"/>
      <c r="AF175" t="inlineStr"/>
      <c r="AG175" t="inlineStr"/>
      <c r="AH175" t="inlineStr">
        <is>
          <t>none</t>
        </is>
      </c>
      <c r="AI175" t="inlineStr">
        <is>
          <t>200 Fifth Avenue</t>
        </is>
      </c>
      <c r="AJ175" t="inlineStr">
        <is>
          <t>unknown</t>
        </is>
      </c>
      <c r="AK175" t="inlineStr">
        <is>
          <t>occupied</t>
        </is>
      </c>
      <c r="AL175" t="n">
        <v>114</v>
      </c>
      <c r="AM175" t="n">
        <v>2280</v>
      </c>
      <c r="AN175" t="inlineStr">
        <is>
          <t>low</t>
        </is>
      </c>
      <c r="AO175" t="inlineStr">
        <is>
          <t>unknown</t>
        </is>
      </c>
      <c r="AP175" t="inlineStr">
        <is>
          <t>AO-C-232</t>
        </is>
      </c>
      <c r="AQ175" t="inlineStr">
        <is>
          <t>N</t>
        </is>
      </c>
      <c r="AR175" t="inlineStr"/>
      <c r="AS175" t="inlineStr"/>
      <c r="AT175" t="inlineStr">
        <is>
          <t>N</t>
        </is>
      </c>
      <c r="AU175" t="inlineStr">
        <is>
          <t>no contact named on an opened page; Tuesday estimate band over-500: founder's call</t>
        </is>
      </c>
      <c r="AV175" t="inlineStr"/>
      <c r="AW175" t="inlineStr">
        <is>
          <t>Y</t>
        </is>
      </c>
      <c r="AX175" t="inlineStr">
        <is>
          <t>pass</t>
        </is>
      </c>
      <c r="AY175" t="inlineStr">
        <is>
          <t>passes all hard gates</t>
        </is>
      </c>
      <c r="AZ175" t="inlineStr">
        <is>
          <t>company</t>
        </is>
      </c>
      <c r="BA175" t="inlineStr">
        <is>
          <t>B-C-232</t>
        </is>
      </c>
      <c r="BB175" t="inlineStr">
        <is>
          <t>https://tkogrp.com/</t>
        </is>
      </c>
      <c r="BC175" t="inlineStr">
        <is>
          <t>Sports entertainment (WWE, UFC parent)</t>
        </is>
      </c>
      <c r="BD175" t="n">
        <v>4000</v>
      </c>
      <c r="BE175" t="inlineStr"/>
      <c r="BF175" t="inlineStr">
        <is>
          <t>over-500</t>
        </is>
      </c>
      <c r="BG175" t="inlineStr">
        <is>
          <t>whole-company</t>
        </is>
      </c>
      <c r="BH175" t="inlineStr">
        <is>
          <t>single-source</t>
        </is>
      </c>
      <c r="BI175" t="inlineStr">
        <is>
          <t>https://en.wikipedia.org/wiki/TKO_Group_Holdings</t>
        </is>
      </c>
      <c r="BJ175" t="inlineStr"/>
      <c r="BK175" t="inlineStr">
        <is>
          <t>1001-4999</t>
        </is>
      </c>
      <c r="BL175" t="inlineStr">
        <is>
          <t>unknown</t>
        </is>
      </c>
      <c r="BM175" t="inlineStr">
        <is>
          <t>unknown</t>
        </is>
      </c>
      <c r="BN175" t="inlineStr">
        <is>
          <t>unknown</t>
        </is>
      </c>
      <c r="BO175" t="inlineStr">
        <is>
          <t>unknown</t>
        </is>
      </c>
      <c r="BP175" t="n">
        <v>10010</v>
      </c>
      <c r="BQ175" t="n">
        <v>40.741986</v>
      </c>
      <c r="BR175" t="n">
        <v>-73.98947699999999</v>
      </c>
      <c r="BS175" t="inlineStr">
        <is>
          <t>Y</t>
        </is>
      </c>
      <c r="BT175" t="n">
        <v>0</v>
      </c>
      <c r="BU175" t="inlineStr"/>
      <c r="BV175" t="inlineStr">
        <is>
          <t>unknown</t>
        </is>
      </c>
      <c r="BW175" t="inlineStr">
        <is>
          <t>https://tkogrp.com/privacy-policy/</t>
        </is>
      </c>
      <c r="BX175" t="inlineStr">
        <is>
          <t>2026-10-24</t>
        </is>
      </c>
      <c r="BY175" t="inlineStr">
        <is>
          <t>company-site</t>
        </is>
      </c>
      <c r="BZ175" t="inlineStr">
        <is>
          <t>https://en.wikipedia.org/wiki/200_Fifth_Avenue</t>
        </is>
      </c>
      <c r="CA175" t="inlineStr">
        <is>
          <t>2026-10-24</t>
        </is>
      </c>
      <c r="CB175" t="inlineStr"/>
      <c r="CC175" t="inlineStr">
        <is>
          <t>high</t>
        </is>
      </c>
      <c r="CD175" t="inlineStr"/>
      <c r="CE175" t="inlineStr">
        <is>
          <t>N</t>
        </is>
      </c>
      <c r="CF175" t="inlineStr"/>
      <c r="CG175" t="inlineStr"/>
      <c r="CH175" t="inlineStr">
        <is>
          <t>unknown</t>
        </is>
      </c>
      <c r="CI175" t="inlineStr"/>
      <c r="CJ175" t="inlineStr">
        <is>
          <t>unknown</t>
        </is>
      </c>
      <c r="CK175" t="inlineStr">
        <is>
          <t>N</t>
        </is>
      </c>
      <c r="CL175" t="inlineStr">
        <is>
          <t>unknown</t>
        </is>
      </c>
      <c r="CM175" t="inlineStr"/>
      <c r="CN175" t="inlineStr"/>
      <c r="CO175" t="n">
        <v>510</v>
      </c>
      <c r="CP175" t="inlineStr">
        <is>
          <t>may exceed 250</t>
        </is>
      </c>
      <c r="CQ175" t="inlineStr">
        <is>
          <t>4000 (Wikipedia) staff (whole-company count) x 5% to 100% of them in the New York office (HQ city unknown; share assumed) x 57% (Partnership for NYC, all Manhattan firms; no figure for 500 to 4,999) in on a weekday = 114 to 2280, central 510; low confidence; estimate until intake replaces it.</t>
        </is>
      </c>
      <c r="CR175" t="inlineStr">
        <is>
          <t>estimate until intake replaces it</t>
        </is>
      </c>
      <c r="CS175" t="n">
        <v>0.26</v>
      </c>
      <c r="CT175" t="n">
        <v>29.6</v>
      </c>
      <c r="CU175" t="n">
        <v>6.6</v>
      </c>
      <c r="CV175" t="n">
        <v>2</v>
      </c>
      <c r="CW175" t="n">
        <v>6</v>
      </c>
      <c r="CX175" t="n">
        <v>15</v>
      </c>
      <c r="CY175" t="n">
        <v>0</v>
      </c>
      <c r="CZ175" t="n">
        <v>0</v>
      </c>
      <c r="DA175" t="inlineStr"/>
      <c r="DB175" t="inlineStr"/>
      <c r="DC175" t="inlineStr"/>
      <c r="DD175" t="inlineStr"/>
      <c r="DE175" t="inlineStr"/>
      <c r="DF175" t="inlineStr">
        <is>
          <t>none</t>
        </is>
      </c>
      <c r="DG175" t="inlineStr">
        <is>
          <t>near-miss-over-500</t>
        </is>
      </c>
      <c r="DH175" t="inlineStr">
        <is>
          <t>over-1,000 (1,001 to 4,999)</t>
        </is>
      </c>
      <c r="DI175" t="inlineStr">
        <is>
          <t>N</t>
        </is>
      </c>
      <c r="DJ175" t="inlineStr"/>
      <c r="DK175" t="inlineStr">
        <is>
          <t>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is>
      </c>
      <c r="DL175" t="inlineStr"/>
      <c r="DM175" t="inlineStr"/>
      <c r="DN175" t="inlineStr"/>
      <c r="DO175" t="inlineStr"/>
      <c r="DP175" t="inlineStr"/>
      <c r="DQ175" t="inlineStr"/>
      <c r="DR175" t="inlineStr"/>
      <c r="DS175" t="inlineStr">
        <is>
          <t>none</t>
        </is>
      </c>
      <c r="DT175" t="inlineStr"/>
      <c r="DU175" t="inlineStr"/>
      <c r="DV175" t="inlineStr"/>
      <c r="DW175" t="inlineStr"/>
      <c r="DX175" t="inlineStr">
        <is>
          <t>N</t>
        </is>
      </c>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f>IF(ISNUMBER(MATCH(U175,{"queued","contacted","replied","call_booked","call_done","yes_in_principle","materials_sent"},0)),"Y","N")</f>
        <v/>
      </c>
      <c r="ES175">
        <f>IF(COUNTIFS($AP$2:$AP$1000,AP175,$ER$2:$ER$1000,"Y")+COUNTIFS($AP$2:$AP$1000,AP175,$T$2:$T$1000,"Y")&gt;0,"Y","N")</f>
        <v/>
      </c>
      <c r="ET175">
        <f>IF(AND(U175="new",T175="N",AT175="Y",AS175="",ES175="N"),"Y","N")</f>
        <v/>
      </c>
      <c r="EU175">
        <f>IF(ET175&lt;&gt;"Y","N",IF(COUNTIFS($AP$2:$AP$1000,AP175,$ET$2:$ET$1000,"Y",$J$2:$J$1000,"&gt;"&amp;J175)+COUNTIFS($AP$2:$AP$1000,AP175,$ET$2:$ET$1000,"Y",$J$2:$J$1000,J175,$EW$2:$EW$1000,"&lt;"&amp;EW175)=0,"Y","N"))</f>
        <v/>
      </c>
      <c r="EV175">
        <f>IF(Y175="","N",IF(Y175&lt;=10,"Y","N"))</f>
        <v/>
      </c>
      <c r="EW175">
        <f>ROW()-1</f>
        <v/>
      </c>
    </row>
    <row r="176">
      <c r="A176" t="inlineStr">
        <is>
          <t>AO-C-223</t>
        </is>
      </c>
      <c r="B176" t="inlineStr">
        <is>
          <t>MSQ Partners</t>
        </is>
      </c>
      <c r="C176" t="inlineStr"/>
      <c r="D176" t="inlineStr"/>
      <c r="E176" t="inlineStr"/>
      <c r="F176" t="inlineStr"/>
      <c r="G176" t="inlineStr"/>
      <c r="H176" t="inlineStr">
        <is>
          <t>none</t>
        </is>
      </c>
      <c r="I176" t="inlineStr">
        <is>
          <t>linkedin</t>
        </is>
      </c>
      <c r="J176" t="n">
        <v>29</v>
      </c>
      <c r="K176" t="inlineStr">
        <is>
          <t>Tuesday estimate 53 to 1054 (low confidence), 1,001 to 4,999 staff company-wide, no attendance signal, occupancy-unconfirmed at a medium-confidence address; contacts not researched yet (below the top 50).</t>
        </is>
      </c>
      <c r="L176" t="inlineStr">
        <is>
          <t>151-250</t>
        </is>
      </c>
      <c r="M176" t="inlineStr"/>
      <c r="N176" t="inlineStr"/>
      <c r="O176" t="inlineStr"/>
      <c r="P176" t="inlineStr"/>
      <c r="Q176" t="inlineStr"/>
      <c r="R176" t="inlineStr">
        <is>
          <t>N</t>
        </is>
      </c>
      <c r="S176" t="inlineStr">
        <is>
          <t>unknown</t>
        </is>
      </c>
      <c r="T176" t="inlineStr">
        <is>
          <t>N</t>
        </is>
      </c>
      <c r="U176" t="inlineStr">
        <is>
          <t>new</t>
        </is>
      </c>
      <c r="V176" t="inlineStr">
        <is>
          <t>https://commercialobserver.com/?p=544473</t>
        </is>
      </c>
      <c r="W176" t="inlineStr">
        <is>
          <t>2026-10-23</t>
        </is>
      </c>
      <c r="X176" t="inlineStr">
        <is>
          <t>office</t>
        </is>
      </c>
      <c r="Y176" t="inlineStr"/>
      <c r="Z176" t="n">
        <v>175</v>
      </c>
      <c r="AA176" t="inlineStr">
        <is>
          <t>N</t>
        </is>
      </c>
      <c r="AB176" t="inlineStr"/>
      <c r="AC176" t="inlineStr"/>
      <c r="AD176" t="inlineStr">
        <is>
          <t>none</t>
        </is>
      </c>
      <c r="AE176" t="inlineStr"/>
      <c r="AF176" t="inlineStr"/>
      <c r="AG176" t="inlineStr"/>
      <c r="AH176" t="inlineStr">
        <is>
          <t>none</t>
        </is>
      </c>
      <c r="AI176" t="inlineStr">
        <is>
          <t>50 West 23rd Street</t>
        </is>
      </c>
      <c r="AJ176" t="inlineStr">
        <is>
          <t>8 and part of 7</t>
        </is>
      </c>
      <c r="AK176" t="inlineStr">
        <is>
          <t>occupancy-unconfirmed</t>
        </is>
      </c>
      <c r="AL176" t="n">
        <v>53</v>
      </c>
      <c r="AM176" t="n">
        <v>1054</v>
      </c>
      <c r="AN176" t="inlineStr">
        <is>
          <t>low</t>
        </is>
      </c>
      <c r="AO176" t="inlineStr">
        <is>
          <t>unknown</t>
        </is>
      </c>
      <c r="AP176" t="inlineStr">
        <is>
          <t>AO-C-223</t>
        </is>
      </c>
      <c r="AQ176" t="inlineStr">
        <is>
          <t>N</t>
        </is>
      </c>
      <c r="AR176" t="inlineStr"/>
      <c r="AS176" t="inlineStr"/>
      <c r="AT176" t="inlineStr">
        <is>
          <t>N</t>
        </is>
      </c>
      <c r="AU176" t="inlineStr">
        <is>
          <t>no contact named on an opened page</t>
        </is>
      </c>
      <c r="AV176" t="inlineStr"/>
      <c r="AW176" t="inlineStr">
        <is>
          <t>N</t>
        </is>
      </c>
      <c r="AX176" t="inlineStr">
        <is>
          <t>pass</t>
        </is>
      </c>
      <c r="AY176" t="inlineStr">
        <is>
          <t>passes all hard gates</t>
        </is>
      </c>
      <c r="AZ176" t="inlineStr">
        <is>
          <t>company</t>
        </is>
      </c>
      <c r="BA176" t="inlineStr">
        <is>
          <t>B-C-223</t>
        </is>
      </c>
      <c r="BB176" t="inlineStr">
        <is>
          <t>https://www.msqpartners.com/</t>
        </is>
      </c>
      <c r="BC176" t="inlineStr">
        <is>
          <t>Marketing / creative agency</t>
        </is>
      </c>
      <c r="BD176" t="n">
        <v>1850</v>
      </c>
      <c r="BE176" t="inlineStr"/>
      <c r="BF176" t="inlineStr">
        <is>
          <t>over-500</t>
        </is>
      </c>
      <c r="BG176" t="inlineStr">
        <is>
          <t>whole-company</t>
        </is>
      </c>
      <c r="BH176" t="inlineStr">
        <is>
          <t>single-source</t>
        </is>
      </c>
      <c r="BI176" t="inlineStr">
        <is>
          <t>https://www.msqpartners.com/about</t>
        </is>
      </c>
      <c r="BJ176" t="inlineStr"/>
      <c r="BK176" t="inlineStr">
        <is>
          <t>1001-4999</t>
        </is>
      </c>
      <c r="BL176" t="inlineStr">
        <is>
          <t>unknown</t>
        </is>
      </c>
      <c r="BM176" t="inlineStr">
        <is>
          <t>unknown</t>
        </is>
      </c>
      <c r="BN176" t="inlineStr">
        <is>
          <t>unknown</t>
        </is>
      </c>
      <c r="BO176" t="inlineStr">
        <is>
          <t>unknown</t>
        </is>
      </c>
      <c r="BP176" t="n">
        <v>10010</v>
      </c>
      <c r="BQ176" t="n">
        <v>40.742199</v>
      </c>
      <c r="BR176" t="n">
        <v>-73.99172</v>
      </c>
      <c r="BS176" t="inlineStr">
        <is>
          <t>Y</t>
        </is>
      </c>
      <c r="BT176" t="n">
        <v>0</v>
      </c>
      <c r="BU176" t="inlineStr">
        <is>
          <t>B-B-046</t>
        </is>
      </c>
      <c r="BV176" t="inlineStr">
        <is>
          <t>50 West 23rd Street (Two Trees Management)</t>
        </is>
      </c>
      <c r="BW176" t="inlineStr">
        <is>
          <t>https://commercialobserver.com/?p=544473</t>
        </is>
      </c>
      <c r="BX176" t="inlineStr">
        <is>
          <t>2025-09-09</t>
        </is>
      </c>
      <c r="BY176" t="inlineStr">
        <is>
          <t>leasing-press</t>
        </is>
      </c>
      <c r="BZ176" t="inlineStr">
        <is>
          <t>https://nyrej.com/index.php/two-new-leases-signed-at-50-west-23rd-st</t>
        </is>
      </c>
      <c r="CA176" t="inlineStr">
        <is>
          <t>2025-10-14</t>
        </is>
      </c>
      <c r="CB176" t="inlineStr"/>
      <c r="CC176" t="inlineStr">
        <is>
          <t>medium</t>
        </is>
      </c>
      <c r="CD176" t="inlineStr"/>
      <c r="CE176" t="inlineStr">
        <is>
          <t>N</t>
        </is>
      </c>
      <c r="CF176" t="inlineStr"/>
      <c r="CG176" t="inlineStr"/>
      <c r="CH176" t="inlineStr">
        <is>
          <t>security desk</t>
        </is>
      </c>
      <c r="CI176" t="inlineStr">
        <is>
          <t>https://nyrej.com/index.php/two-new-leases-signed-at-50-west-23rd-st</t>
        </is>
      </c>
      <c r="CJ176" t="inlineStr">
        <is>
          <t>unknown</t>
        </is>
      </c>
      <c r="CK176" t="inlineStr">
        <is>
          <t>N</t>
        </is>
      </c>
      <c r="CL176" t="inlineStr">
        <is>
          <t>unknown</t>
        </is>
      </c>
      <c r="CM176" t="inlineStr"/>
      <c r="CN176" t="inlineStr"/>
      <c r="CO176" t="n">
        <v>236</v>
      </c>
      <c r="CP176" t="inlineStr">
        <is>
          <t>may exceed 250</t>
        </is>
      </c>
      <c r="CQ176" t="inlineStr">
        <is>
          <t>1850 (msqpartners.com) staff (whole-company count) x 5% to 100% of them in the New York office (HQ city unknown; share assumed) x 57% (Partnership for NYC, all Manhattan firms; no figure for 500 to 4,999) in on a weekday = 53 to 1054, central 236; low confidence; estimate until intake replaces it.</t>
        </is>
      </c>
      <c r="CR176" t="inlineStr">
        <is>
          <t>estimate until intake replaces it</t>
        </is>
      </c>
      <c r="CS176" t="n">
        <v>0.52</v>
      </c>
      <c r="CT176" t="n">
        <v>29</v>
      </c>
      <c r="CU176" t="n">
        <v>13</v>
      </c>
      <c r="CV176" t="n">
        <v>2</v>
      </c>
      <c r="CW176" t="n">
        <v>6</v>
      </c>
      <c r="CX176" t="n">
        <v>8</v>
      </c>
      <c r="CY176" t="n">
        <v>0</v>
      </c>
      <c r="CZ176" t="n">
        <v>0</v>
      </c>
      <c r="DA176" t="inlineStr"/>
      <c r="DB176" t="inlineStr"/>
      <c r="DC176" t="inlineStr"/>
      <c r="DD176" t="inlineStr"/>
      <c r="DE176" t="inlineStr"/>
      <c r="DF176" t="inlineStr">
        <is>
          <t>none</t>
        </is>
      </c>
      <c r="DG176" t="inlineStr">
        <is>
          <t>near-miss-over-500</t>
        </is>
      </c>
      <c r="DH176" t="inlineStr">
        <is>
          <t>over-1,000 (1,001 to 4,999)</t>
        </is>
      </c>
      <c r="DI176" t="inlineStr">
        <is>
          <t>Y</t>
        </is>
      </c>
      <c r="DJ176" t="inlineStr">
        <is>
          <t>38,273 sf</t>
        </is>
      </c>
      <c r="DK176" t="inlineStr">
        <is>
          <t>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L176" t="inlineStr"/>
      <c r="DM176" t="inlineStr"/>
      <c r="DN176" t="inlineStr"/>
      <c r="DO176" t="inlineStr"/>
      <c r="DP176" t="inlineStr"/>
      <c r="DQ176" t="inlineStr"/>
      <c r="DR176" t="inlineStr"/>
      <c r="DS176" t="inlineStr">
        <is>
          <t>none</t>
        </is>
      </c>
      <c r="DT176" t="inlineStr"/>
      <c r="DU176" t="inlineStr"/>
      <c r="DV176" t="inlineStr"/>
      <c r="DW176" t="inlineStr"/>
      <c r="DX176" t="inlineStr">
        <is>
          <t>N</t>
        </is>
      </c>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f>IF(ISNUMBER(MATCH(U176,{"queued","contacted","replied","call_booked","call_done","yes_in_principle","materials_sent"},0)),"Y","N")</f>
        <v/>
      </c>
      <c r="ES176">
        <f>IF(COUNTIFS($AP$2:$AP$1000,AP176,$ER$2:$ER$1000,"Y")+COUNTIFS($AP$2:$AP$1000,AP176,$T$2:$T$1000,"Y")&gt;0,"Y","N")</f>
        <v/>
      </c>
      <c r="ET176">
        <f>IF(AND(U176="new",T176="N",AT176="Y",AS176="",ES176="N"),"Y","N")</f>
        <v/>
      </c>
      <c r="EU176">
        <f>IF(ET176&lt;&gt;"Y","N",IF(COUNTIFS($AP$2:$AP$1000,AP176,$ET$2:$ET$1000,"Y",$J$2:$J$1000,"&gt;"&amp;J176)+COUNTIFS($AP$2:$AP$1000,AP176,$ET$2:$ET$1000,"Y",$J$2:$J$1000,J176,$EW$2:$EW$1000,"&lt;"&amp;EW176)=0,"Y","N"))</f>
        <v/>
      </c>
      <c r="EV176">
        <f>IF(Y176="","N",IF(Y176&lt;=10,"Y","N"))</f>
        <v/>
      </c>
      <c r="EW176">
        <f>ROW()-1</f>
        <v/>
      </c>
    </row>
    <row r="177">
      <c r="A177" t="inlineStr">
        <is>
          <t>AO-C-166</t>
        </is>
      </c>
      <c r="B177" t="inlineStr">
        <is>
          <t>Atlantic Vantage Point (AVP, formerly AXA Venture Partners)</t>
        </is>
      </c>
      <c r="H177" t="inlineStr">
        <is>
          <t>none</t>
        </is>
      </c>
      <c r="I177" t="inlineStr">
        <is>
          <t>linkedin</t>
        </is>
      </c>
      <c r="J177">
        <f>IF(AX177="pass",ROUND(CU177+CV177+CW177+CX177+CY177+CZ177,1),0)</f>
        <v/>
      </c>
      <c r="K177" t="inlineStr">
        <is>
          <t>Tuesday headcount unknown (no sourced count), company size unknown, no attendance signal, occupancy-unconfirmed at a medium-confidence address; contacts not researched yet (below the top 50).</t>
        </is>
      </c>
      <c r="L177" t="inlineStr">
        <is>
          <t>unknown</t>
        </is>
      </c>
      <c r="R177" t="inlineStr">
        <is>
          <t>N</t>
        </is>
      </c>
      <c r="S177" t="inlineStr">
        <is>
          <t>unknown</t>
        </is>
      </c>
      <c r="T177" t="inlineStr">
        <is>
          <t>N</t>
        </is>
      </c>
      <c r="U177" t="inlineStr">
        <is>
          <t>new</t>
        </is>
      </c>
      <c r="V177" t="inlineStr">
        <is>
          <t>https://commercialobserver.com/2025/09/investment-firm-atlantic-vantage-point-takes-8k-sf-at-99-madison-avenue/</t>
        </is>
      </c>
      <c r="W177" t="inlineStr">
        <is>
          <t>2026-10-23</t>
        </is>
      </c>
      <c r="X177" t="inlineStr">
        <is>
          <t>office</t>
        </is>
      </c>
      <c r="Y177">
        <f>IF(EU177&lt;&gt;"Y","",COUNTIFS($EU$2:$EU$1000,"Y",$J$2:$J$1000,"&gt;"&amp;J177)+COUNTIFS($EU$2:$EU$1000,"Y",$J$2:$J$1000,J177,$EW$2:$EW$1000,"&lt;"&amp;EW177)+1)</f>
        <v/>
      </c>
      <c r="Z177" t="n">
        <v>176</v>
      </c>
      <c r="AA177" t="inlineStr">
        <is>
          <t>N</t>
        </is>
      </c>
      <c r="AD177" t="inlineStr">
        <is>
          <t>none</t>
        </is>
      </c>
      <c r="AH177" t="inlineStr">
        <is>
          <t>none</t>
        </is>
      </c>
      <c r="AI177" t="inlineStr">
        <is>
          <t>99 Madison Avenue</t>
        </is>
      </c>
      <c r="AJ177" t="inlineStr">
        <is>
          <t>unknown</t>
        </is>
      </c>
      <c r="AK177" t="inlineStr">
        <is>
          <t>occupancy-unconfirmed</t>
        </is>
      </c>
      <c r="AL177" t="inlineStr">
        <is>
          <t>unknown</t>
        </is>
      </c>
      <c r="AM177" t="inlineStr">
        <is>
          <t>unknown</t>
        </is>
      </c>
      <c r="AN177" t="inlineStr">
        <is>
          <t>none</t>
        </is>
      </c>
      <c r="AO177" t="inlineStr">
        <is>
          <t>unknown</t>
        </is>
      </c>
      <c r="AP177" t="inlineStr">
        <is>
          <t>AO-C-166</t>
        </is>
      </c>
      <c r="AQ177" t="inlineStr">
        <is>
          <t>N</t>
        </is>
      </c>
      <c r="AT177">
        <f>IF(AND(AX177="pass",AQ177&lt;&gt;"Y",C177&lt;&gt;"",OR(AW177&lt;&gt;"Y",AV177="Y")),"Y","N")</f>
        <v/>
      </c>
      <c r="AU177">
        <f>_xlfn.TEXTJOIN("; ",TRUE,IF(AX177&lt;&gt;"pass","gated out",""),IF(AQ177="Y","on hold: "&amp;AR177,""),IF(C177="","no contact named on an opened page",""),IF(AND(AW177="Y",AV177&lt;&gt;"Y"),"Tuesday estimate band "&amp;L177&amp;": founder's call",""))</f>
        <v/>
      </c>
      <c r="AW177" t="inlineStr">
        <is>
          <t>N</t>
        </is>
      </c>
      <c r="AX177" t="inlineStr">
        <is>
          <t>pass</t>
        </is>
      </c>
      <c r="AY177" t="inlineStr">
        <is>
          <t>passes all hard gates</t>
        </is>
      </c>
      <c r="AZ177" t="inlineStr">
        <is>
          <t>company</t>
        </is>
      </c>
      <c r="BA177" t="inlineStr">
        <is>
          <t>B-C-166</t>
        </is>
      </c>
      <c r="BB177" t="inlineStr">
        <is>
          <t>https://www.avp.vc</t>
        </is>
      </c>
      <c r="BC177" t="inlineStr">
        <is>
          <t>venture capital and growth equity</t>
        </is>
      </c>
      <c r="BD177" t="inlineStr">
        <is>
          <t>unknown</t>
        </is>
      </c>
      <c r="BF177" t="inlineStr">
        <is>
          <t>unknown</t>
        </is>
      </c>
      <c r="BG177" t="inlineStr">
        <is>
          <t>unknown</t>
        </is>
      </c>
      <c r="BH177" t="inlineStr">
        <is>
          <t>no-count</t>
        </is>
      </c>
      <c r="BK177" t="inlineStr">
        <is>
          <t>unknown</t>
        </is>
      </c>
      <c r="BL177" t="inlineStr">
        <is>
          <t>unknown</t>
        </is>
      </c>
      <c r="BM177" t="inlineStr">
        <is>
          <t>unknown</t>
        </is>
      </c>
      <c r="BN177" t="inlineStr">
        <is>
          <t>unknown</t>
        </is>
      </c>
      <c r="BO177" t="inlineStr">
        <is>
          <t>unknown</t>
        </is>
      </c>
      <c r="BP177" t="inlineStr">
        <is>
          <t>10016</t>
        </is>
      </c>
      <c r="BQ177" t="n">
        <v>40.744774</v>
      </c>
      <c r="BR177" t="n">
        <v>-73.984932</v>
      </c>
      <c r="BS177" t="inlineStr">
        <is>
          <t>Y</t>
        </is>
      </c>
      <c r="BT177" t="n">
        <v>0</v>
      </c>
      <c r="BU177" t="inlineStr">
        <is>
          <t>B-B-078</t>
        </is>
      </c>
      <c r="BV177" t="inlineStr">
        <is>
          <t>99 Madison Avenue (Windsor Management)</t>
        </is>
      </c>
      <c r="BW177" t="inlineStr">
        <is>
          <t>https://commercialobserver.com/2025/09/investment-firm-atlantic-vantage-point-takes-8k-sf-at-99-madison-avenue/</t>
        </is>
      </c>
      <c r="BX177" t="inlineStr">
        <is>
          <t>2025-09-22</t>
        </is>
      </c>
      <c r="BY177" t="inlineStr">
        <is>
          <t>leasing-press</t>
        </is>
      </c>
      <c r="CC177" t="inlineStr">
        <is>
          <t>medium</t>
        </is>
      </c>
      <c r="CE177" t="inlineStr">
        <is>
          <t>N</t>
        </is>
      </c>
      <c r="CH177" t="inlineStr">
        <is>
          <t>unknown</t>
        </is>
      </c>
      <c r="CJ177" t="inlineStr">
        <is>
          <t>unknown</t>
        </is>
      </c>
      <c r="CK177" t="inlineStr">
        <is>
          <t>N</t>
        </is>
      </c>
      <c r="CL177" t="inlineStr">
        <is>
          <t>unknown</t>
        </is>
      </c>
      <c r="CO177" t="inlineStr">
        <is>
          <t>unknown</t>
        </is>
      </c>
      <c r="CQ177" t="inlineStr">
        <is>
          <t>No sourced headcount, so no Tuesday estimate; ask the Tuesday count at intake.</t>
        </is>
      </c>
      <c r="CR177" t="inlineStr">
        <is>
          <t>estimate until intake replaces it</t>
        </is>
      </c>
      <c r="CS177" t="inlineStr">
        <is>
          <t>unknown</t>
        </is>
      </c>
      <c r="CT177" t="n">
        <v>29</v>
      </c>
      <c r="CU177" t="n">
        <v>7</v>
      </c>
      <c r="CV177" t="n">
        <v>8</v>
      </c>
      <c r="CW177" t="n">
        <v>6</v>
      </c>
      <c r="CX177" t="n">
        <v>8</v>
      </c>
      <c r="CY177">
        <f>IF(AH177="exact",10,IF(AH177="adjacent",5,0))</f>
        <v/>
      </c>
      <c r="CZ177">
        <f>IF(R177="Y",15,0)</f>
        <v/>
      </c>
      <c r="DF177" t="inlineStr">
        <is>
          <t>none</t>
        </is>
      </c>
      <c r="DG177" t="inlineStr">
        <is>
          <t>candidate</t>
        </is>
      </c>
      <c r="DJ177" t="inlineStr">
        <is>
          <t>8,264 sf</t>
        </is>
      </c>
      <c r="DK177" t="inlineStr">
        <is>
          <t>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is>
      </c>
      <c r="DS177" t="inlineStr">
        <is>
          <t>none</t>
        </is>
      </c>
      <c r="DX177" t="inlineStr">
        <is>
          <t>N</t>
        </is>
      </c>
      <c r="ER177">
        <f>IF(ISNUMBER(MATCH(U177,{"queued","contacted","replied","call_booked","call_done","yes_in_principle","materials_sent"},0)),"Y","N")</f>
        <v/>
      </c>
      <c r="ES177">
        <f>IF(COUNTIFS($AP$2:$AP$1000,AP177,$ER$2:$ER$1000,"Y")+COUNTIFS($AP$2:$AP$1000,AP177,$T$2:$T$1000,"Y")&gt;0,"Y","N")</f>
        <v/>
      </c>
      <c r="ET177">
        <f>IF(AND(U177="new",T177="N",AT177="Y",AS177="",ES177="N"),"Y","N")</f>
        <v/>
      </c>
      <c r="EU177">
        <f>IF(ET177&lt;&gt;"Y","N",IF(COUNTIFS($AP$2:$AP$1000,AP177,$ET$2:$ET$1000,"Y",$J$2:$J$1000,"&gt;"&amp;J177)+COUNTIFS($AP$2:$AP$1000,AP177,$ET$2:$ET$1000,"Y",$J$2:$J$1000,J177,$EW$2:$EW$1000,"&lt;"&amp;EW177)=0,"Y","N"))</f>
        <v/>
      </c>
      <c r="EV177">
        <f>IF(Y177="","N",IF(Y177&lt;=10,"Y","N"))</f>
        <v/>
      </c>
      <c r="EW177">
        <f>ROW()-1</f>
        <v/>
      </c>
    </row>
    <row r="178">
      <c r="A178" t="inlineStr">
        <is>
          <t>AO-C-112</t>
        </is>
      </c>
      <c r="B178" t="inlineStr">
        <is>
          <t>BrightTower</t>
        </is>
      </c>
      <c r="H178" t="inlineStr">
        <is>
          <t>none</t>
        </is>
      </c>
      <c r="I178" t="inlineStr">
        <is>
          <t>linkedin</t>
        </is>
      </c>
      <c r="J178">
        <f>IF(AX178="pass",ROUND(CU178+CV178+CW178+CX178+CY178+CZ178,1),0)</f>
        <v/>
      </c>
      <c r="K178" t="inlineStr">
        <is>
          <t>Tuesday headcount unknown (no sourced count), company size unknown, no attendance signal, occupancy-unconfirmed at a medium-confidence address; contacts not researched yet (below the top 50).</t>
        </is>
      </c>
      <c r="L178" t="inlineStr">
        <is>
          <t>unknown</t>
        </is>
      </c>
      <c r="O178" t="inlineStr">
        <is>
          <t>New or renewed lease at 41 Madison Avenue reported 2026-03-09</t>
        </is>
      </c>
      <c r="P178" t="inlineStr">
        <is>
          <t>https://commercialobserver.com/2026/03/brighttower-lease-rudin-41-madison-avenue/</t>
        </is>
      </c>
      <c r="Q178" t="inlineStr">
        <is>
          <t>2026-03-09</t>
        </is>
      </c>
      <c r="R178" t="inlineStr">
        <is>
          <t>N</t>
        </is>
      </c>
      <c r="S178" t="inlineStr">
        <is>
          <t>unknown</t>
        </is>
      </c>
      <c r="T178" t="inlineStr">
        <is>
          <t>N</t>
        </is>
      </c>
      <c r="U178" t="inlineStr">
        <is>
          <t>new</t>
        </is>
      </c>
      <c r="V178" t="inlineStr">
        <is>
          <t>https://commercialobserver.com/2026/03/brighttower-lease-rudin-41-madison-avenue/</t>
        </is>
      </c>
      <c r="W178" t="inlineStr">
        <is>
          <t>2026-10-23</t>
        </is>
      </c>
      <c r="X178" t="inlineStr">
        <is>
          <t>office</t>
        </is>
      </c>
      <c r="Y178">
        <f>IF(EU178&lt;&gt;"Y","",COUNTIFS($EU$2:$EU$1000,"Y",$J$2:$J$1000,"&gt;"&amp;J178)+COUNTIFS($EU$2:$EU$1000,"Y",$J$2:$J$1000,J178,$EW$2:$EW$1000,"&lt;"&amp;EW178)+1)</f>
        <v/>
      </c>
      <c r="Z178" t="n">
        <v>177</v>
      </c>
      <c r="AA178" t="inlineStr">
        <is>
          <t>N</t>
        </is>
      </c>
      <c r="AD178" t="inlineStr">
        <is>
          <t>none</t>
        </is>
      </c>
      <c r="AH178" t="inlineStr">
        <is>
          <t>none</t>
        </is>
      </c>
      <c r="AI178" t="inlineStr">
        <is>
          <t>41 Madison Avenue</t>
        </is>
      </c>
      <c r="AJ178" t="inlineStr">
        <is>
          <t>32</t>
        </is>
      </c>
      <c r="AK178" t="inlineStr">
        <is>
          <t>occupancy-unconfirmed</t>
        </is>
      </c>
      <c r="AL178" t="inlineStr">
        <is>
          <t>unknown</t>
        </is>
      </c>
      <c r="AM178" t="inlineStr">
        <is>
          <t>unknown</t>
        </is>
      </c>
      <c r="AN178" t="inlineStr">
        <is>
          <t>none</t>
        </is>
      </c>
      <c r="AO178" t="inlineStr">
        <is>
          <t>unknown</t>
        </is>
      </c>
      <c r="AP178" t="inlineStr">
        <is>
          <t>AO-C-112</t>
        </is>
      </c>
      <c r="AQ178" t="inlineStr">
        <is>
          <t>N</t>
        </is>
      </c>
      <c r="AT178">
        <f>IF(AND(AX178="pass",AQ178&lt;&gt;"Y",C178&lt;&gt;"",OR(AW178&lt;&gt;"Y",AV178="Y")),"Y","N")</f>
        <v/>
      </c>
      <c r="AU178">
        <f>_xlfn.TEXTJOIN("; ",TRUE,IF(AX178&lt;&gt;"pass","gated out",""),IF(AQ178="Y","on hold: "&amp;AR178,""),IF(C178="","no contact named on an opened page",""),IF(AND(AW178="Y",AV178&lt;&gt;"Y"),"Tuesday estimate band "&amp;L178&amp;": founder's call",""))</f>
        <v/>
      </c>
      <c r="AW178" t="inlineStr">
        <is>
          <t>N</t>
        </is>
      </c>
      <c r="AX178" t="inlineStr">
        <is>
          <t>pass</t>
        </is>
      </c>
      <c r="AY178" t="inlineStr">
        <is>
          <t>passes all hard gates</t>
        </is>
      </c>
      <c r="AZ178" t="inlineStr">
        <is>
          <t>company</t>
        </is>
      </c>
      <c r="BA178" t="inlineStr">
        <is>
          <t>B-C-112</t>
        </is>
      </c>
      <c r="BB178" t="inlineStr">
        <is>
          <t>https://brighttower.com</t>
        </is>
      </c>
      <c r="BC178" t="inlineStr">
        <is>
          <t>investment banking (M&amp;A advisory)</t>
        </is>
      </c>
      <c r="BD178" t="inlineStr">
        <is>
          <t>unknown</t>
        </is>
      </c>
      <c r="BF178" t="inlineStr">
        <is>
          <t>unknown</t>
        </is>
      </c>
      <c r="BG178" t="inlineStr">
        <is>
          <t>unknown</t>
        </is>
      </c>
      <c r="BH178" t="inlineStr">
        <is>
          <t>no-count</t>
        </is>
      </c>
      <c r="BK178" t="inlineStr">
        <is>
          <t>unknown</t>
        </is>
      </c>
      <c r="BL178" t="inlineStr">
        <is>
          <t>unknown</t>
        </is>
      </c>
      <c r="BM178" t="inlineStr">
        <is>
          <t>unknown</t>
        </is>
      </c>
      <c r="BN178" t="inlineStr">
        <is>
          <t>unknown</t>
        </is>
      </c>
      <c r="BO178" t="inlineStr">
        <is>
          <t>unknown</t>
        </is>
      </c>
      <c r="BP178" t="inlineStr">
        <is>
          <t>10010</t>
        </is>
      </c>
      <c r="BQ178" t="n">
        <v>40.742477</v>
      </c>
      <c r="BR178" t="n">
        <v>-73.986608</v>
      </c>
      <c r="BS178" t="inlineStr">
        <is>
          <t>Y</t>
        </is>
      </c>
      <c r="BT178" t="n">
        <v>0</v>
      </c>
      <c r="BU178" t="inlineStr">
        <is>
          <t>B-B-057</t>
        </is>
      </c>
      <c r="BV178" t="inlineStr">
        <is>
          <t>41 Madison Avenue (Rudin)</t>
        </is>
      </c>
      <c r="BW178" t="inlineStr">
        <is>
          <t>https://commercialobserver.com/2026/03/brighttower-lease-rudin-41-madison-avenue/</t>
        </is>
      </c>
      <c r="BX178" t="inlineStr">
        <is>
          <t>2026-03-09</t>
        </is>
      </c>
      <c r="BY178" t="inlineStr">
        <is>
          <t>leasing-press</t>
        </is>
      </c>
      <c r="CC178" t="inlineStr">
        <is>
          <t>medium</t>
        </is>
      </c>
      <c r="CE178" t="inlineStr">
        <is>
          <t>N</t>
        </is>
      </c>
      <c r="CH178" t="inlineStr">
        <is>
          <t>security desk</t>
        </is>
      </c>
      <c r="CI178" t="inlineStr">
        <is>
          <t>https://www.metro-manhattan.com/buildings/41-madison-avenue-forty-one-madison-office-space/</t>
        </is>
      </c>
      <c r="CJ178" t="inlineStr">
        <is>
          <t>unknown</t>
        </is>
      </c>
      <c r="CK178" t="inlineStr">
        <is>
          <t>N</t>
        </is>
      </c>
      <c r="CL178" t="inlineStr">
        <is>
          <t>unknown</t>
        </is>
      </c>
      <c r="CO178" t="inlineStr">
        <is>
          <t>unknown</t>
        </is>
      </c>
      <c r="CQ178" t="inlineStr">
        <is>
          <t>No sourced headcount, so no Tuesday estimate; ask the Tuesday count at intake.</t>
        </is>
      </c>
      <c r="CR178" t="inlineStr">
        <is>
          <t>estimate until intake replaces it</t>
        </is>
      </c>
      <c r="CS178" t="inlineStr">
        <is>
          <t>unknown</t>
        </is>
      </c>
      <c r="CT178" t="n">
        <v>29</v>
      </c>
      <c r="CU178" t="n">
        <v>7</v>
      </c>
      <c r="CV178" t="n">
        <v>8</v>
      </c>
      <c r="CW178" t="n">
        <v>6</v>
      </c>
      <c r="CX178" t="n">
        <v>8</v>
      </c>
      <c r="CY178">
        <f>IF(AH178="exact",10,IF(AH178="adjacent",5,0))</f>
        <v/>
      </c>
      <c r="CZ178">
        <f>IF(R178="Y",15,0)</f>
        <v/>
      </c>
      <c r="DF178" t="inlineStr">
        <is>
          <t>none</t>
        </is>
      </c>
      <c r="DG178" t="inlineStr">
        <is>
          <t>candidate</t>
        </is>
      </c>
      <c r="DJ178" t="inlineStr">
        <is>
          <t>13,857 sf</t>
        </is>
      </c>
      <c r="DK178" t="inlineStr">
        <is>
          <t>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is>
      </c>
      <c r="DS178" t="inlineStr">
        <is>
          <t>none</t>
        </is>
      </c>
      <c r="DX178" t="inlineStr">
        <is>
          <t>N</t>
        </is>
      </c>
      <c r="ER178">
        <f>IF(ISNUMBER(MATCH(U178,{"queued","contacted","replied","call_booked","call_done","yes_in_principle","materials_sent"},0)),"Y","N")</f>
        <v/>
      </c>
      <c r="ES178">
        <f>IF(COUNTIFS($AP$2:$AP$1000,AP178,$ER$2:$ER$1000,"Y")+COUNTIFS($AP$2:$AP$1000,AP178,$T$2:$T$1000,"Y")&gt;0,"Y","N")</f>
        <v/>
      </c>
      <c r="ET178">
        <f>IF(AND(U178="new",T178="N",AT178="Y",AS178="",ES178="N"),"Y","N")</f>
        <v/>
      </c>
      <c r="EU178">
        <f>IF(ET178&lt;&gt;"Y","N",IF(COUNTIFS($AP$2:$AP$1000,AP178,$ET$2:$ET$1000,"Y",$J$2:$J$1000,"&gt;"&amp;J178)+COUNTIFS($AP$2:$AP$1000,AP178,$ET$2:$ET$1000,"Y",$J$2:$J$1000,J178,$EW$2:$EW$1000,"&lt;"&amp;EW178)=0,"Y","N"))</f>
        <v/>
      </c>
      <c r="EV178">
        <f>IF(Y178="","N",IF(Y178&lt;=10,"Y","N"))</f>
        <v/>
      </c>
      <c r="EW178">
        <f>ROW()-1</f>
        <v/>
      </c>
    </row>
    <row r="179">
      <c r="A179" t="inlineStr">
        <is>
          <t>AO-C-167</t>
        </is>
      </c>
      <c r="B179" t="inlineStr">
        <is>
          <t>Davies Group</t>
        </is>
      </c>
      <c r="H179" t="inlineStr">
        <is>
          <t>none</t>
        </is>
      </c>
      <c r="I179" t="inlineStr">
        <is>
          <t>linkedin</t>
        </is>
      </c>
      <c r="J179">
        <f>IF(AX179="pass",ROUND(CU179+CV179+CW179+CX179+CY179+CZ179,1),0)</f>
        <v/>
      </c>
      <c r="K179" t="inlineStr">
        <is>
          <t>Tuesday headcount unknown (no sourced count), company size unknown, no attendance signal, occupancy-unconfirmed at a medium-confidence address; contacts not researched yet (below the top 50).</t>
        </is>
      </c>
      <c r="L179" t="inlineStr">
        <is>
          <t>unknown</t>
        </is>
      </c>
      <c r="O179" t="inlineStr">
        <is>
          <t>New or renewed lease at 99 Madison Avenue reported 2025-11-04</t>
        </is>
      </c>
      <c r="P179" t="inlineStr">
        <is>
          <t>https://commercialobserver.com/2025/11/davies-group-lease-99-madison-avenue/</t>
        </is>
      </c>
      <c r="Q179" t="inlineStr">
        <is>
          <t>2025-11-04</t>
        </is>
      </c>
      <c r="R179" t="inlineStr">
        <is>
          <t>N</t>
        </is>
      </c>
      <c r="S179" t="inlineStr">
        <is>
          <t>unknown</t>
        </is>
      </c>
      <c r="T179" t="inlineStr">
        <is>
          <t>N</t>
        </is>
      </c>
      <c r="U179" t="inlineStr">
        <is>
          <t>new</t>
        </is>
      </c>
      <c r="V179" t="inlineStr">
        <is>
          <t>https://commercialobserver.com/2025/11/davies-group-lease-99-madison-avenue/</t>
        </is>
      </c>
      <c r="W179" t="inlineStr">
        <is>
          <t>2026-10-23</t>
        </is>
      </c>
      <c r="X179" t="inlineStr">
        <is>
          <t>office</t>
        </is>
      </c>
      <c r="Y179">
        <f>IF(EU179&lt;&gt;"Y","",COUNTIFS($EU$2:$EU$1000,"Y",$J$2:$J$1000,"&gt;"&amp;J179)+COUNTIFS($EU$2:$EU$1000,"Y",$J$2:$J$1000,J179,$EW$2:$EW$1000,"&lt;"&amp;EW179)+1)</f>
        <v/>
      </c>
      <c r="Z179" t="n">
        <v>178</v>
      </c>
      <c r="AA179" t="inlineStr">
        <is>
          <t>N</t>
        </is>
      </c>
      <c r="AD179" t="inlineStr">
        <is>
          <t>none</t>
        </is>
      </c>
      <c r="AH179" t="inlineStr">
        <is>
          <t>none</t>
        </is>
      </c>
      <c r="AI179" t="inlineStr">
        <is>
          <t>99 Madison Avenue</t>
        </is>
      </c>
      <c r="AJ179" t="inlineStr">
        <is>
          <t>3</t>
        </is>
      </c>
      <c r="AK179" t="inlineStr">
        <is>
          <t>occupancy-unconfirmed</t>
        </is>
      </c>
      <c r="AL179" t="inlineStr">
        <is>
          <t>unknown</t>
        </is>
      </c>
      <c r="AM179" t="inlineStr">
        <is>
          <t>unknown</t>
        </is>
      </c>
      <c r="AN179" t="inlineStr">
        <is>
          <t>none</t>
        </is>
      </c>
      <c r="AO179" t="inlineStr">
        <is>
          <t>unknown</t>
        </is>
      </c>
      <c r="AP179" t="inlineStr">
        <is>
          <t>AO-C-167</t>
        </is>
      </c>
      <c r="AQ179" t="inlineStr">
        <is>
          <t>N</t>
        </is>
      </c>
      <c r="AT179">
        <f>IF(AND(AX179="pass",AQ179&lt;&gt;"Y",C179&lt;&gt;"",OR(AW179&lt;&gt;"Y",AV179="Y")),"Y","N")</f>
        <v/>
      </c>
      <c r="AU179">
        <f>_xlfn.TEXTJOIN("; ",TRUE,IF(AX179&lt;&gt;"pass","gated out",""),IF(AQ179="Y","on hold: "&amp;AR179,""),IF(C179="","no contact named on an opened page",""),IF(AND(AW179="Y",AV179&lt;&gt;"Y"),"Tuesday estimate band "&amp;L179&amp;": founder's call",""))</f>
        <v/>
      </c>
      <c r="AW179" t="inlineStr">
        <is>
          <t>N</t>
        </is>
      </c>
      <c r="AX179" t="inlineStr">
        <is>
          <t>pass</t>
        </is>
      </c>
      <c r="AY179" t="inlineStr">
        <is>
          <t>passes all hard gates</t>
        </is>
      </c>
      <c r="AZ179" t="inlineStr">
        <is>
          <t>company</t>
        </is>
      </c>
      <c r="BA179" t="inlineStr">
        <is>
          <t>B-C-167</t>
        </is>
      </c>
      <c r="BB179" t="inlineStr">
        <is>
          <t>unknown</t>
        </is>
      </c>
      <c r="BC179" t="inlineStr">
        <is>
          <t>professional services and technology (insurance claims and consulting)</t>
        </is>
      </c>
      <c r="BD179" t="inlineStr">
        <is>
          <t>unknown</t>
        </is>
      </c>
      <c r="BF179" t="inlineStr">
        <is>
          <t>unknown</t>
        </is>
      </c>
      <c r="BG179" t="inlineStr">
        <is>
          <t>unknown</t>
        </is>
      </c>
      <c r="BH179" t="inlineStr">
        <is>
          <t>no-count</t>
        </is>
      </c>
      <c r="BK179" t="inlineStr">
        <is>
          <t>unknown</t>
        </is>
      </c>
      <c r="BL179" t="inlineStr">
        <is>
          <t>unknown</t>
        </is>
      </c>
      <c r="BM179" t="inlineStr">
        <is>
          <t>unknown</t>
        </is>
      </c>
      <c r="BN179" t="inlineStr">
        <is>
          <t>unknown</t>
        </is>
      </c>
      <c r="BO179" t="inlineStr">
        <is>
          <t>unknown</t>
        </is>
      </c>
      <c r="BP179" t="inlineStr">
        <is>
          <t>10016</t>
        </is>
      </c>
      <c r="BQ179" t="n">
        <v>40.744774</v>
      </c>
      <c r="BR179" t="n">
        <v>-73.984932</v>
      </c>
      <c r="BS179" t="inlineStr">
        <is>
          <t>Y</t>
        </is>
      </c>
      <c r="BT179" t="n">
        <v>0</v>
      </c>
      <c r="BU179" t="inlineStr">
        <is>
          <t>B-B-078</t>
        </is>
      </c>
      <c r="BV179" t="inlineStr">
        <is>
          <t>99 Madison Avenue (Windsor Management)</t>
        </is>
      </c>
      <c r="BW179" t="inlineStr">
        <is>
          <t>https://commercialobserver.com/2025/11/davies-group-lease-99-madison-avenue/</t>
        </is>
      </c>
      <c r="BX179" t="inlineStr">
        <is>
          <t>2025-11-04</t>
        </is>
      </c>
      <c r="BY179" t="inlineStr">
        <is>
          <t>leasing-press</t>
        </is>
      </c>
      <c r="CC179" t="inlineStr">
        <is>
          <t>medium</t>
        </is>
      </c>
      <c r="CE179" t="inlineStr">
        <is>
          <t>N</t>
        </is>
      </c>
      <c r="CH179" t="inlineStr">
        <is>
          <t>unknown</t>
        </is>
      </c>
      <c r="CJ179" t="inlineStr">
        <is>
          <t>unknown</t>
        </is>
      </c>
      <c r="CK179" t="inlineStr">
        <is>
          <t>N</t>
        </is>
      </c>
      <c r="CL179" t="inlineStr">
        <is>
          <t>unknown</t>
        </is>
      </c>
      <c r="CO179" t="inlineStr">
        <is>
          <t>unknown</t>
        </is>
      </c>
      <c r="CQ179" t="inlineStr">
        <is>
          <t>No sourced headcount, so no Tuesday estimate; ask the Tuesday count at intake.</t>
        </is>
      </c>
      <c r="CR179" t="inlineStr">
        <is>
          <t>estimate until intake replaces it</t>
        </is>
      </c>
      <c r="CS179" t="inlineStr">
        <is>
          <t>unknown</t>
        </is>
      </c>
      <c r="CT179" t="n">
        <v>29</v>
      </c>
      <c r="CU179" t="n">
        <v>7</v>
      </c>
      <c r="CV179" t="n">
        <v>8</v>
      </c>
      <c r="CW179" t="n">
        <v>6</v>
      </c>
      <c r="CX179" t="n">
        <v>8</v>
      </c>
      <c r="CY179">
        <f>IF(AH179="exact",10,IF(AH179="adjacent",5,0))</f>
        <v/>
      </c>
      <c r="CZ179">
        <f>IF(R179="Y",15,0)</f>
        <v/>
      </c>
      <c r="DF179" t="inlineStr">
        <is>
          <t>none</t>
        </is>
      </c>
      <c r="DG179" t="inlineStr">
        <is>
          <t>candidate</t>
        </is>
      </c>
      <c r="DJ179" t="inlineStr">
        <is>
          <t>8,264 sf</t>
        </is>
      </c>
      <c r="DK179" t="inlineStr">
        <is>
          <t>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is>
      </c>
      <c r="DS179" t="inlineStr">
        <is>
          <t>none</t>
        </is>
      </c>
      <c r="DX179" t="inlineStr">
        <is>
          <t>N</t>
        </is>
      </c>
      <c r="ER179">
        <f>IF(ISNUMBER(MATCH(U179,{"queued","contacted","replied","call_booked","call_done","yes_in_principle","materials_sent"},0)),"Y","N")</f>
        <v/>
      </c>
      <c r="ES179">
        <f>IF(COUNTIFS($AP$2:$AP$1000,AP179,$ER$2:$ER$1000,"Y")+COUNTIFS($AP$2:$AP$1000,AP179,$T$2:$T$1000,"Y")&gt;0,"Y","N")</f>
        <v/>
      </c>
      <c r="ET179">
        <f>IF(AND(U179="new",T179="N",AT179="Y",AS179="",ES179="N"),"Y","N")</f>
        <v/>
      </c>
      <c r="EU179">
        <f>IF(ET179&lt;&gt;"Y","N",IF(COUNTIFS($AP$2:$AP$1000,AP179,$ET$2:$ET$1000,"Y",$J$2:$J$1000,"&gt;"&amp;J179)+COUNTIFS($AP$2:$AP$1000,AP179,$ET$2:$ET$1000,"Y",$J$2:$J$1000,J179,$EW$2:$EW$1000,"&lt;"&amp;EW179)=0,"Y","N"))</f>
        <v/>
      </c>
      <c r="EV179">
        <f>IF(Y179="","N",IF(Y179&lt;=10,"Y","N"))</f>
        <v/>
      </c>
      <c r="EW179">
        <f>ROW()-1</f>
        <v/>
      </c>
    </row>
    <row r="180">
      <c r="A180" t="inlineStr">
        <is>
          <t>AO-C-076</t>
        </is>
      </c>
      <c r="B180" t="inlineStr">
        <is>
          <t>Euclidean Capital</t>
        </is>
      </c>
      <c r="H180" t="inlineStr">
        <is>
          <t>none</t>
        </is>
      </c>
      <c r="I180" t="inlineStr">
        <is>
          <t>linkedin</t>
        </is>
      </c>
      <c r="J180">
        <f>IF(AX180="pass",ROUND(CU180+CV180+CW180+CX180+CY180+CZ180,1),0)</f>
        <v/>
      </c>
      <c r="K180" t="inlineStr">
        <is>
          <t>Tuesday headcount unknown (no sourced count), company size unknown, no attendance signal, occupancy-unconfirmed at a medium-confidence address; contacts not researched yet (below the top 50).</t>
        </is>
      </c>
      <c r="L180" t="inlineStr">
        <is>
          <t>unknown</t>
        </is>
      </c>
      <c r="R180" t="inlineStr">
        <is>
          <t>N</t>
        </is>
      </c>
      <c r="S180" t="inlineStr">
        <is>
          <t>unknown</t>
        </is>
      </c>
      <c r="T180" t="inlineStr">
        <is>
          <t>N</t>
        </is>
      </c>
      <c r="U180" t="inlineStr">
        <is>
          <t>new</t>
        </is>
      </c>
      <c r="V180" t="inlineStr">
        <is>
          <t>https://commercialobserver.com/2025/01/euclidean-capital-lease-149-fifth-avenue/</t>
        </is>
      </c>
      <c r="W180" t="inlineStr">
        <is>
          <t>2026-10-23</t>
        </is>
      </c>
      <c r="X180" t="inlineStr">
        <is>
          <t>office</t>
        </is>
      </c>
      <c r="Y180">
        <f>IF(EU180&lt;&gt;"Y","",COUNTIFS($EU$2:$EU$1000,"Y",$J$2:$J$1000,"&gt;"&amp;J180)+COUNTIFS($EU$2:$EU$1000,"Y",$J$2:$J$1000,J180,$EW$2:$EW$1000,"&lt;"&amp;EW180)+1)</f>
        <v/>
      </c>
      <c r="Z180" t="n">
        <v>179</v>
      </c>
      <c r="AA180" t="inlineStr">
        <is>
          <t>N</t>
        </is>
      </c>
      <c r="AD180" t="inlineStr">
        <is>
          <t>none</t>
        </is>
      </c>
      <c r="AH180" t="inlineStr">
        <is>
          <t>none</t>
        </is>
      </c>
      <c r="AI180" t="inlineStr">
        <is>
          <t>149 Fifth Avenue</t>
        </is>
      </c>
      <c r="AJ180" t="inlineStr">
        <is>
          <t>unknown</t>
        </is>
      </c>
      <c r="AK180" t="inlineStr">
        <is>
          <t>occupancy-unconfirmed</t>
        </is>
      </c>
      <c r="AL180" t="inlineStr">
        <is>
          <t>unknown</t>
        </is>
      </c>
      <c r="AM180" t="inlineStr">
        <is>
          <t>unknown</t>
        </is>
      </c>
      <c r="AN180" t="inlineStr">
        <is>
          <t>none</t>
        </is>
      </c>
      <c r="AO180" t="inlineStr">
        <is>
          <t>unknown</t>
        </is>
      </c>
      <c r="AP180" t="inlineStr">
        <is>
          <t>AO-C-076</t>
        </is>
      </c>
      <c r="AQ180" t="inlineStr">
        <is>
          <t>N</t>
        </is>
      </c>
      <c r="AT180">
        <f>IF(AND(AX180="pass",AQ180&lt;&gt;"Y",C180&lt;&gt;"",OR(AW180&lt;&gt;"Y",AV180="Y")),"Y","N")</f>
        <v/>
      </c>
      <c r="AU180">
        <f>_xlfn.TEXTJOIN("; ",TRUE,IF(AX180&lt;&gt;"pass","gated out",""),IF(AQ180="Y","on hold: "&amp;AR180,""),IF(C180="","no contact named on an opened page",""),IF(AND(AW180="Y",AV180&lt;&gt;"Y"),"Tuesday estimate band "&amp;L180&amp;": founder's call",""))</f>
        <v/>
      </c>
      <c r="AW180" t="inlineStr">
        <is>
          <t>N</t>
        </is>
      </c>
      <c r="AX180" t="inlineStr">
        <is>
          <t>pass</t>
        </is>
      </c>
      <c r="AY180" t="inlineStr">
        <is>
          <t>passes all hard gates</t>
        </is>
      </c>
      <c r="AZ180" t="inlineStr">
        <is>
          <t>company</t>
        </is>
      </c>
      <c r="BA180" t="inlineStr">
        <is>
          <t>B-C-076</t>
        </is>
      </c>
      <c r="BB180" t="inlineStr">
        <is>
          <t>unknown</t>
        </is>
      </c>
      <c r="BC180" t="inlineStr">
        <is>
          <t>investment management (family office)</t>
        </is>
      </c>
      <c r="BD180" t="inlineStr">
        <is>
          <t>unknown</t>
        </is>
      </c>
      <c r="BF180" t="inlineStr">
        <is>
          <t>unknown</t>
        </is>
      </c>
      <c r="BG180" t="inlineStr">
        <is>
          <t>unknown</t>
        </is>
      </c>
      <c r="BH180" t="inlineStr">
        <is>
          <t>no-count</t>
        </is>
      </c>
      <c r="BK180" t="inlineStr">
        <is>
          <t>unknown</t>
        </is>
      </c>
      <c r="BL180" t="inlineStr">
        <is>
          <t>unknown</t>
        </is>
      </c>
      <c r="BM180" t="inlineStr">
        <is>
          <t>unknown</t>
        </is>
      </c>
      <c r="BN180" t="inlineStr">
        <is>
          <t>unknown</t>
        </is>
      </c>
      <c r="BO180" t="inlineStr">
        <is>
          <t>unknown</t>
        </is>
      </c>
      <c r="BP180" t="inlineStr">
        <is>
          <t>10010</t>
        </is>
      </c>
      <c r="BQ180" t="n">
        <v>40.740407</v>
      </c>
      <c r="BR180" t="n">
        <v>-73.990193</v>
      </c>
      <c r="BS180" t="inlineStr">
        <is>
          <t>Y</t>
        </is>
      </c>
      <c r="BT180" t="n">
        <v>0</v>
      </c>
      <c r="BU180" t="inlineStr">
        <is>
          <t>B-B-035</t>
        </is>
      </c>
      <c r="BV180" t="inlineStr">
        <is>
          <t>149 Fifth Avenue</t>
        </is>
      </c>
      <c r="BW180" t="inlineStr">
        <is>
          <t>https://commercialobserver.com/2025/01/euclidean-capital-lease-149-fifth-avenue/</t>
        </is>
      </c>
      <c r="BX180" t="inlineStr">
        <is>
          <t>2025-01-08</t>
        </is>
      </c>
      <c r="BY180" t="inlineStr">
        <is>
          <t>leasing-press</t>
        </is>
      </c>
      <c r="CC180" t="inlineStr">
        <is>
          <t>medium</t>
        </is>
      </c>
      <c r="CE180" t="inlineStr">
        <is>
          <t>N</t>
        </is>
      </c>
      <c r="CH180" t="inlineStr">
        <is>
          <t>unknown</t>
        </is>
      </c>
      <c r="CJ180" t="inlineStr">
        <is>
          <t>unknown</t>
        </is>
      </c>
      <c r="CK180" t="inlineStr">
        <is>
          <t>N</t>
        </is>
      </c>
      <c r="CL180" t="inlineStr">
        <is>
          <t>unknown</t>
        </is>
      </c>
      <c r="CO180" t="inlineStr">
        <is>
          <t>unknown</t>
        </is>
      </c>
      <c r="CQ180" t="inlineStr">
        <is>
          <t>No sourced headcount, so no Tuesday estimate; ask the Tuesday count at intake.</t>
        </is>
      </c>
      <c r="CR180" t="inlineStr">
        <is>
          <t>estimate until intake replaces it</t>
        </is>
      </c>
      <c r="CS180" t="inlineStr">
        <is>
          <t>unknown</t>
        </is>
      </c>
      <c r="CT180" t="n">
        <v>29</v>
      </c>
      <c r="CU180" t="n">
        <v>7</v>
      </c>
      <c r="CV180" t="n">
        <v>8</v>
      </c>
      <c r="CW180" t="n">
        <v>6</v>
      </c>
      <c r="CX180" t="n">
        <v>8</v>
      </c>
      <c r="CY180">
        <f>IF(AH180="exact",10,IF(AH180="adjacent",5,0))</f>
        <v/>
      </c>
      <c r="CZ180">
        <f>IF(R180="Y",15,0)</f>
        <v/>
      </c>
      <c r="DF180" t="inlineStr">
        <is>
          <t>none</t>
        </is>
      </c>
      <c r="DG180" t="inlineStr">
        <is>
          <t>candidate</t>
        </is>
      </c>
      <c r="DJ180" t="inlineStr">
        <is>
          <t>23,000 sf</t>
        </is>
      </c>
      <c r="DK180" t="inlineStr">
        <is>
          <t>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is>
      </c>
      <c r="DS180" t="inlineStr">
        <is>
          <t>none</t>
        </is>
      </c>
      <c r="DX180" t="inlineStr">
        <is>
          <t>N</t>
        </is>
      </c>
      <c r="ER180">
        <f>IF(ISNUMBER(MATCH(U180,{"queued","contacted","replied","call_booked","call_done","yes_in_principle","materials_sent"},0)),"Y","N")</f>
        <v/>
      </c>
      <c r="ES180">
        <f>IF(COUNTIFS($AP$2:$AP$1000,AP180,$ER$2:$ER$1000,"Y")+COUNTIFS($AP$2:$AP$1000,AP180,$T$2:$T$1000,"Y")&gt;0,"Y","N")</f>
        <v/>
      </c>
      <c r="ET180">
        <f>IF(AND(U180="new",T180="N",AT180="Y",AS180="",ES180="N"),"Y","N")</f>
        <v/>
      </c>
      <c r="EU180">
        <f>IF(ET180&lt;&gt;"Y","N",IF(COUNTIFS($AP$2:$AP$1000,AP180,$ET$2:$ET$1000,"Y",$J$2:$J$1000,"&gt;"&amp;J180)+COUNTIFS($AP$2:$AP$1000,AP180,$ET$2:$ET$1000,"Y",$J$2:$J$1000,J180,$EW$2:$EW$1000,"&lt;"&amp;EW180)=0,"Y","N"))</f>
        <v/>
      </c>
      <c r="EV180">
        <f>IF(Y180="","N",IF(Y180&lt;=10,"Y","N"))</f>
        <v/>
      </c>
      <c r="EW180">
        <f>ROW()-1</f>
        <v/>
      </c>
    </row>
    <row r="181">
      <c r="A181" t="inlineStr">
        <is>
          <t>AO-C-092</t>
        </is>
      </c>
      <c r="B181" t="inlineStr">
        <is>
          <t>Flexible Finance (Flex)</t>
        </is>
      </c>
      <c r="H181" t="inlineStr">
        <is>
          <t>none</t>
        </is>
      </c>
      <c r="I181" t="inlineStr">
        <is>
          <t>linkedin</t>
        </is>
      </c>
      <c r="J181">
        <f>IF(AX181="pass",ROUND(CU181+CV181+CW181+CX181+CY181+CZ181,1),0)</f>
        <v/>
      </c>
      <c r="K181" t="inlineStr">
        <is>
          <t>Tuesday headcount unknown (no sourced count), company size unknown, no attendance signal, occupancy-unconfirmed at a medium-confidence address; contacts not researched yet (below the top 50).</t>
        </is>
      </c>
      <c r="L181" t="inlineStr">
        <is>
          <t>unknown</t>
        </is>
      </c>
      <c r="R181" t="inlineStr">
        <is>
          <t>N</t>
        </is>
      </c>
      <c r="S181" t="inlineStr">
        <is>
          <t>unknown</t>
        </is>
      </c>
      <c r="T181" t="inlineStr">
        <is>
          <t>N</t>
        </is>
      </c>
      <c r="U181" t="inlineStr">
        <is>
          <t>new</t>
        </is>
      </c>
      <c r="V181" t="inlineStr">
        <is>
          <t>https://commercialobserver.com/2025/08/flexible-finance-relocating-41k-sf-300-park-avenue-south/</t>
        </is>
      </c>
      <c r="W181" t="inlineStr">
        <is>
          <t>2026-10-23</t>
        </is>
      </c>
      <c r="X181" t="inlineStr">
        <is>
          <t>office</t>
        </is>
      </c>
      <c r="Y181">
        <f>IF(EU181&lt;&gt;"Y","",COUNTIFS($EU$2:$EU$1000,"Y",$J$2:$J$1000,"&gt;"&amp;J181)+COUNTIFS($EU$2:$EU$1000,"Y",$J$2:$J$1000,J181,$EW$2:$EW$1000,"&lt;"&amp;EW181)+1)</f>
        <v/>
      </c>
      <c r="Z181" t="n">
        <v>180</v>
      </c>
      <c r="AA181" t="inlineStr">
        <is>
          <t>N</t>
        </is>
      </c>
      <c r="AD181" t="inlineStr">
        <is>
          <t>none</t>
        </is>
      </c>
      <c r="AH181" t="inlineStr">
        <is>
          <t>none</t>
        </is>
      </c>
      <c r="AI181" t="inlineStr">
        <is>
          <t>300 Park Avenue South</t>
        </is>
      </c>
      <c r="AJ181" t="inlineStr">
        <is>
          <t>top three floors</t>
        </is>
      </c>
      <c r="AK181" t="inlineStr">
        <is>
          <t>occupancy-unconfirmed</t>
        </is>
      </c>
      <c r="AL181" t="inlineStr">
        <is>
          <t>unknown</t>
        </is>
      </c>
      <c r="AM181" t="inlineStr">
        <is>
          <t>unknown</t>
        </is>
      </c>
      <c r="AN181" t="inlineStr">
        <is>
          <t>none</t>
        </is>
      </c>
      <c r="AO181" t="inlineStr">
        <is>
          <t>unknown</t>
        </is>
      </c>
      <c r="AP181" t="inlineStr">
        <is>
          <t>AO-C-092</t>
        </is>
      </c>
      <c r="AQ181" t="inlineStr">
        <is>
          <t>N</t>
        </is>
      </c>
      <c r="AT181">
        <f>IF(AND(AX181="pass",AQ181&lt;&gt;"Y",C181&lt;&gt;"",OR(AW181&lt;&gt;"Y",AV181="Y")),"Y","N")</f>
        <v/>
      </c>
      <c r="AU181">
        <f>_xlfn.TEXTJOIN("; ",TRUE,IF(AX181&lt;&gt;"pass","gated out",""),IF(AQ181="Y","on hold: "&amp;AR181,""),IF(C181="","no contact named on an opened page",""),IF(AND(AW181="Y",AV181&lt;&gt;"Y"),"Tuesday estimate band "&amp;L181&amp;": founder's call",""))</f>
        <v/>
      </c>
      <c r="AW181" t="inlineStr">
        <is>
          <t>N</t>
        </is>
      </c>
      <c r="AX181" t="inlineStr">
        <is>
          <t>pass</t>
        </is>
      </c>
      <c r="AY181" t="inlineStr">
        <is>
          <t>passes all hard gates</t>
        </is>
      </c>
      <c r="AZ181" t="inlineStr">
        <is>
          <t>company</t>
        </is>
      </c>
      <c r="BA181" t="inlineStr">
        <is>
          <t>B-C-092</t>
        </is>
      </c>
      <c r="BB181" t="inlineStr">
        <is>
          <t>unknown</t>
        </is>
      </c>
      <c r="BC181" t="inlineStr">
        <is>
          <t>fintech (flexible rent payments)</t>
        </is>
      </c>
      <c r="BD181" t="inlineStr">
        <is>
          <t>unknown</t>
        </is>
      </c>
      <c r="BF181" t="inlineStr">
        <is>
          <t>unknown</t>
        </is>
      </c>
      <c r="BG181" t="inlineStr">
        <is>
          <t>unknown</t>
        </is>
      </c>
      <c r="BH181" t="inlineStr">
        <is>
          <t>no-count</t>
        </is>
      </c>
      <c r="BK181" t="inlineStr">
        <is>
          <t>unknown</t>
        </is>
      </c>
      <c r="BL181" t="inlineStr">
        <is>
          <t>unknown</t>
        </is>
      </c>
      <c r="BM181" t="inlineStr">
        <is>
          <t>unknown</t>
        </is>
      </c>
      <c r="BN181" t="inlineStr">
        <is>
          <t>unknown</t>
        </is>
      </c>
      <c r="BO181" t="inlineStr">
        <is>
          <t>unknown</t>
        </is>
      </c>
      <c r="BP181" t="inlineStr">
        <is>
          <t>10010</t>
        </is>
      </c>
      <c r="BQ181" t="n">
        <v>40.739819</v>
      </c>
      <c r="BR181" t="n">
        <v>-73.986885</v>
      </c>
      <c r="BS181" t="inlineStr">
        <is>
          <t>Y</t>
        </is>
      </c>
      <c r="BT181" t="n">
        <v>0</v>
      </c>
      <c r="BU181" t="inlineStr">
        <is>
          <t>B-B-044</t>
        </is>
      </c>
      <c r="BV181" t="inlineStr">
        <is>
          <t>300 Park Avenue South (Rockrose); also addressed 290 Park Avenue South</t>
        </is>
      </c>
      <c r="BW181" t="inlineStr">
        <is>
          <t>https://commercialobserver.com/2025/08/flexible-finance-relocating-41k-sf-300-park-avenue-south/</t>
        </is>
      </c>
      <c r="BX181" t="inlineStr">
        <is>
          <t>2025-08-18</t>
        </is>
      </c>
      <c r="BY181" t="inlineStr">
        <is>
          <t>leasing-press</t>
        </is>
      </c>
      <c r="BZ181" t="inlineStr">
        <is>
          <t>https://therealdeal.com/new-york/2025/09/02/top-office-leases-nyc-in-august-2025/</t>
        </is>
      </c>
      <c r="CA181" t="inlineStr">
        <is>
          <t>2025-09-02</t>
        </is>
      </c>
      <c r="CC181" t="inlineStr">
        <is>
          <t>medium</t>
        </is>
      </c>
      <c r="CE181" t="inlineStr">
        <is>
          <t>N</t>
        </is>
      </c>
      <c r="CH181" t="inlineStr">
        <is>
          <t>security desk</t>
        </is>
      </c>
      <c r="CI181" t="inlineStr">
        <is>
          <t>https://rockrose.com/office/300-park-ave-s/</t>
        </is>
      </c>
      <c r="CJ181" t="inlineStr">
        <is>
          <t>unknown</t>
        </is>
      </c>
      <c r="CK181" t="inlineStr">
        <is>
          <t>N</t>
        </is>
      </c>
      <c r="CL181" t="inlineStr">
        <is>
          <t>unknown</t>
        </is>
      </c>
      <c r="CO181" t="inlineStr">
        <is>
          <t>unknown</t>
        </is>
      </c>
      <c r="CQ181" t="inlineStr">
        <is>
          <t>No sourced headcount, so no Tuesday estimate; ask the Tuesday count at intake.</t>
        </is>
      </c>
      <c r="CR181" t="inlineStr">
        <is>
          <t>estimate until intake replaces it</t>
        </is>
      </c>
      <c r="CS181" t="inlineStr">
        <is>
          <t>unknown</t>
        </is>
      </c>
      <c r="CT181" t="n">
        <v>29</v>
      </c>
      <c r="CU181" t="n">
        <v>7</v>
      </c>
      <c r="CV181" t="n">
        <v>8</v>
      </c>
      <c r="CW181" t="n">
        <v>6</v>
      </c>
      <c r="CX181" t="n">
        <v>8</v>
      </c>
      <c r="CY181">
        <f>IF(AH181="exact",10,IF(AH181="adjacent",5,0))</f>
        <v/>
      </c>
      <c r="CZ181">
        <f>IF(R181="Y",15,0)</f>
        <v/>
      </c>
      <c r="DF181" t="inlineStr">
        <is>
          <t>none</t>
        </is>
      </c>
      <c r="DG181" t="inlineStr">
        <is>
          <t>candidate</t>
        </is>
      </c>
      <c r="DJ181" t="inlineStr">
        <is>
          <t>41,000 sf</t>
        </is>
      </c>
      <c r="DK181" t="inlineStr">
        <is>
          <t>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is>
      </c>
      <c r="DS181" t="inlineStr">
        <is>
          <t>none</t>
        </is>
      </c>
      <c r="DX181" t="inlineStr">
        <is>
          <t>N</t>
        </is>
      </c>
      <c r="ER181">
        <f>IF(ISNUMBER(MATCH(U181,{"queued","contacted","replied","call_booked","call_done","yes_in_principle","materials_sent"},0)),"Y","N")</f>
        <v/>
      </c>
      <c r="ES181">
        <f>IF(COUNTIFS($AP$2:$AP$1000,AP181,$ER$2:$ER$1000,"Y")+COUNTIFS($AP$2:$AP$1000,AP181,$T$2:$T$1000,"Y")&gt;0,"Y","N")</f>
        <v/>
      </c>
      <c r="ET181">
        <f>IF(AND(U181="new",T181="N",AT181="Y",AS181="",ES181="N"),"Y","N")</f>
        <v/>
      </c>
      <c r="EU181">
        <f>IF(ET181&lt;&gt;"Y","N",IF(COUNTIFS($AP$2:$AP$1000,AP181,$ET$2:$ET$1000,"Y",$J$2:$J$1000,"&gt;"&amp;J181)+COUNTIFS($AP$2:$AP$1000,AP181,$ET$2:$ET$1000,"Y",$J$2:$J$1000,J181,$EW$2:$EW$1000,"&lt;"&amp;EW181)=0,"Y","N"))</f>
        <v/>
      </c>
      <c r="EV181">
        <f>IF(Y181="","N",IF(Y181&lt;=10,"Y","N"))</f>
        <v/>
      </c>
      <c r="EW181">
        <f>ROW()-1</f>
        <v/>
      </c>
    </row>
    <row r="182">
      <c r="A182" t="inlineStr">
        <is>
          <t>AO-C-024</t>
        </is>
      </c>
      <c r="B182" t="inlineStr">
        <is>
          <t>Iterative Scopes</t>
        </is>
      </c>
      <c r="H182" t="inlineStr">
        <is>
          <t>none</t>
        </is>
      </c>
      <c r="I182" t="inlineStr">
        <is>
          <t>linkedin</t>
        </is>
      </c>
      <c r="J182">
        <f>IF(AX182="pass",ROUND(CU182+CV182+CW182+CX182+CY182+CZ182,1),0)</f>
        <v/>
      </c>
      <c r="K182" t="inlineStr">
        <is>
          <t>Tuesday headcount unknown (no sourced count), company size unknown, no attendance signal, occupancy-unconfirmed at a medium-confidence address; contacts not researched yet (below the top 50).</t>
        </is>
      </c>
      <c r="L182" t="inlineStr">
        <is>
          <t>unknown</t>
        </is>
      </c>
      <c r="R182" t="inlineStr">
        <is>
          <t>N</t>
        </is>
      </c>
      <c r="S182" t="inlineStr">
        <is>
          <t>unknown</t>
        </is>
      </c>
      <c r="T182" t="inlineStr">
        <is>
          <t>N</t>
        </is>
      </c>
      <c r="U182" t="inlineStr">
        <is>
          <t>new</t>
        </is>
      </c>
      <c r="V182" t="inlineStr">
        <is>
          <t>https://commercialobserver.com/2026/10/eagle-ai-lease-office-120-fifth-avenue/</t>
        </is>
      </c>
      <c r="W182" t="inlineStr">
        <is>
          <t>2026-10-23</t>
        </is>
      </c>
      <c r="X182" t="inlineStr">
        <is>
          <t>office</t>
        </is>
      </c>
      <c r="Y182">
        <f>IF(EU182&lt;&gt;"Y","",COUNTIFS($EU$2:$EU$1000,"Y",$J$2:$J$1000,"&gt;"&amp;J182)+COUNTIFS($EU$2:$EU$1000,"Y",$J$2:$J$1000,J182,$EW$2:$EW$1000,"&lt;"&amp;EW182)+1)</f>
        <v/>
      </c>
      <c r="Z182" t="n">
        <v>181</v>
      </c>
      <c r="AA182" t="inlineStr">
        <is>
          <t>N</t>
        </is>
      </c>
      <c r="AD182" t="inlineStr">
        <is>
          <t>none</t>
        </is>
      </c>
      <c r="AH182" t="inlineStr">
        <is>
          <t>none</t>
        </is>
      </c>
      <c r="AI182" t="inlineStr">
        <is>
          <t>120 Fifth Avenue</t>
        </is>
      </c>
      <c r="AJ182" t="inlineStr">
        <is>
          <t>unknown</t>
        </is>
      </c>
      <c r="AK182" t="inlineStr">
        <is>
          <t>occupancy-unconfirmed</t>
        </is>
      </c>
      <c r="AL182" t="inlineStr">
        <is>
          <t>unknown</t>
        </is>
      </c>
      <c r="AM182" t="inlineStr">
        <is>
          <t>unknown</t>
        </is>
      </c>
      <c r="AN182" t="inlineStr">
        <is>
          <t>none</t>
        </is>
      </c>
      <c r="AO182" t="inlineStr">
        <is>
          <t>unknown</t>
        </is>
      </c>
      <c r="AP182" t="inlineStr">
        <is>
          <t>AO-C-024</t>
        </is>
      </c>
      <c r="AQ182" t="inlineStr">
        <is>
          <t>N</t>
        </is>
      </c>
      <c r="AT182">
        <f>IF(AND(AX182="pass",AQ182&lt;&gt;"Y",C182&lt;&gt;"",OR(AW182&lt;&gt;"Y",AV182="Y")),"Y","N")</f>
        <v/>
      </c>
      <c r="AU182">
        <f>_xlfn.TEXTJOIN("; ",TRUE,IF(AX182&lt;&gt;"pass","gated out",""),IF(AQ182="Y","on hold: "&amp;AR182,""),IF(C182="","no contact named on an opened page",""),IF(AND(AW182="Y",AV182&lt;&gt;"Y"),"Tuesday estimate band "&amp;L182&amp;": founder's call",""))</f>
        <v/>
      </c>
      <c r="AW182" t="inlineStr">
        <is>
          <t>N</t>
        </is>
      </c>
      <c r="AX182" t="inlineStr">
        <is>
          <t>pass</t>
        </is>
      </c>
      <c r="AY182" t="inlineStr">
        <is>
          <t>passes all hard gates</t>
        </is>
      </c>
      <c r="AZ182" t="inlineStr">
        <is>
          <t>company</t>
        </is>
      </c>
      <c r="BA182" t="inlineStr">
        <is>
          <t>B-C-024</t>
        </is>
      </c>
      <c r="BB182" t="inlineStr">
        <is>
          <t>unknown</t>
        </is>
      </c>
      <c r="BC182" t="inlineStr">
        <is>
          <t>AI health care (gastroenterology software)</t>
        </is>
      </c>
      <c r="BD182" t="inlineStr">
        <is>
          <t>unknown</t>
        </is>
      </c>
      <c r="BF182" t="inlineStr">
        <is>
          <t>unknown</t>
        </is>
      </c>
      <c r="BG182" t="inlineStr">
        <is>
          <t>unknown</t>
        </is>
      </c>
      <c r="BH182" t="inlineStr">
        <is>
          <t>no-count</t>
        </is>
      </c>
      <c r="BK182" t="inlineStr">
        <is>
          <t>unknown</t>
        </is>
      </c>
      <c r="BL182" t="inlineStr">
        <is>
          <t>unknown</t>
        </is>
      </c>
      <c r="BM182" t="inlineStr">
        <is>
          <t>unknown</t>
        </is>
      </c>
      <c r="BN182" t="inlineStr">
        <is>
          <t>unknown</t>
        </is>
      </c>
      <c r="BO182" t="inlineStr">
        <is>
          <t>unknown</t>
        </is>
      </c>
      <c r="BP182" t="inlineStr">
        <is>
          <t>10011</t>
        </is>
      </c>
      <c r="BQ182" t="n">
        <v>40.738186</v>
      </c>
      <c r="BR182" t="n">
        <v>-73.992429</v>
      </c>
      <c r="BS182" t="inlineStr">
        <is>
          <t>Y</t>
        </is>
      </c>
      <c r="BT182" t="n">
        <v>0</v>
      </c>
      <c r="BU182" t="inlineStr">
        <is>
          <t>B-B-010</t>
        </is>
      </c>
      <c r="BV182" t="inlineStr">
        <is>
          <t>120 Fifth Avenue</t>
        </is>
      </c>
      <c r="BW182" t="inlineStr">
        <is>
          <t>https://commercialobserver.com/2026/10/eagle-ai-lease-office-120-fifth-avenue/</t>
        </is>
      </c>
      <c r="BX182" t="inlineStr">
        <is>
          <t>2026-10-19</t>
        </is>
      </c>
      <c r="BY182" t="inlineStr">
        <is>
          <t>leasing-press</t>
        </is>
      </c>
      <c r="CC182" t="inlineStr">
        <is>
          <t>medium</t>
        </is>
      </c>
      <c r="CE182" t="inlineStr">
        <is>
          <t>N</t>
        </is>
      </c>
      <c r="CH182" t="inlineStr">
        <is>
          <t>unknown</t>
        </is>
      </c>
      <c r="CJ182" t="inlineStr">
        <is>
          <t>unknown</t>
        </is>
      </c>
      <c r="CK182" t="inlineStr">
        <is>
          <t>N</t>
        </is>
      </c>
      <c r="CL182" t="inlineStr">
        <is>
          <t>unknown</t>
        </is>
      </c>
      <c r="CO182" t="inlineStr">
        <is>
          <t>unknown</t>
        </is>
      </c>
      <c r="CQ182" t="inlineStr">
        <is>
          <t>No sourced headcount, so no Tuesday estimate; ask the Tuesday count at intake.</t>
        </is>
      </c>
      <c r="CR182" t="inlineStr">
        <is>
          <t>estimate until intake replaces it</t>
        </is>
      </c>
      <c r="CS182" t="inlineStr">
        <is>
          <t>unknown</t>
        </is>
      </c>
      <c r="CT182" t="n">
        <v>29</v>
      </c>
      <c r="CU182" t="n">
        <v>7</v>
      </c>
      <c r="CV182" t="n">
        <v>8</v>
      </c>
      <c r="CW182" t="n">
        <v>6</v>
      </c>
      <c r="CX182" t="n">
        <v>8</v>
      </c>
      <c r="CY182">
        <f>IF(AH182="exact",10,IF(AH182="adjacent",5,0))</f>
        <v/>
      </c>
      <c r="CZ182">
        <f>IF(R182="Y",15,0)</f>
        <v/>
      </c>
      <c r="DF182" t="inlineStr">
        <is>
          <t>none</t>
        </is>
      </c>
      <c r="DG182" t="inlineStr">
        <is>
          <t>candidate</t>
        </is>
      </c>
      <c r="DJ182" t="inlineStr">
        <is>
          <t>6,500 sf</t>
        </is>
      </c>
      <c r="DK182" t="inlineStr">
        <is>
          <t>CO 2026-10-19: took 6,500 sf at 120 Fifth Ave in April 2026. Website and headcount not confirmed.</t>
        </is>
      </c>
      <c r="DS182" t="inlineStr">
        <is>
          <t>none</t>
        </is>
      </c>
      <c r="DX182" t="inlineStr">
        <is>
          <t>N</t>
        </is>
      </c>
      <c r="ER182">
        <f>IF(ISNUMBER(MATCH(U182,{"queued","contacted","replied","call_booked","call_done","yes_in_principle","materials_sent"},0)),"Y","N")</f>
        <v/>
      </c>
      <c r="ES182">
        <f>IF(COUNTIFS($AP$2:$AP$1000,AP182,$ER$2:$ER$1000,"Y")+COUNTIFS($AP$2:$AP$1000,AP182,$T$2:$T$1000,"Y")&gt;0,"Y","N")</f>
        <v/>
      </c>
      <c r="ET182">
        <f>IF(AND(U182="new",T182="N",AT182="Y",AS182="",ES182="N"),"Y","N")</f>
        <v/>
      </c>
      <c r="EU182">
        <f>IF(ET182&lt;&gt;"Y","N",IF(COUNTIFS($AP$2:$AP$1000,AP182,$ET$2:$ET$1000,"Y",$J$2:$J$1000,"&gt;"&amp;J182)+COUNTIFS($AP$2:$AP$1000,AP182,$ET$2:$ET$1000,"Y",$J$2:$J$1000,J182,$EW$2:$EW$1000,"&lt;"&amp;EW182)=0,"Y","N"))</f>
        <v/>
      </c>
      <c r="EV182">
        <f>IF(Y182="","N",IF(Y182&lt;=10,"Y","N"))</f>
        <v/>
      </c>
      <c r="EW182">
        <f>ROW()-1</f>
        <v/>
      </c>
    </row>
    <row r="183">
      <c r="A183" t="inlineStr">
        <is>
          <t>AO-C-062</t>
        </is>
      </c>
      <c r="B183" t="inlineStr">
        <is>
          <t>Manifest Law</t>
        </is>
      </c>
      <c r="H183" t="inlineStr">
        <is>
          <t>none</t>
        </is>
      </c>
      <c r="I183" t="inlineStr">
        <is>
          <t>linkedin</t>
        </is>
      </c>
      <c r="J183">
        <f>IF(AX183="pass",ROUND(CU183+CV183+CW183+CX183+CY183+CZ183,1),0)</f>
        <v/>
      </c>
      <c r="K183" t="inlineStr">
        <is>
          <t>Tuesday headcount unknown (no sourced count), company size unknown, no attendance signal, occupancy-unconfirmed at a medium-confidence address; contacts not researched yet (below the top 50).</t>
        </is>
      </c>
      <c r="L183" t="inlineStr">
        <is>
          <t>unknown</t>
        </is>
      </c>
      <c r="O183" t="inlineStr">
        <is>
          <t>New or renewed lease at 902 Broadway reported 2026-08-06</t>
        </is>
      </c>
      <c r="P183" t="inlineStr">
        <is>
          <t>https://commercialobserver.com/2026/08/manifest-law-sublease-koeppel-rosen-902-broadway/</t>
        </is>
      </c>
      <c r="Q183" t="inlineStr">
        <is>
          <t>2026-08-06</t>
        </is>
      </c>
      <c r="R183" t="inlineStr">
        <is>
          <t>N</t>
        </is>
      </c>
      <c r="S183" t="inlineStr">
        <is>
          <t>unknown</t>
        </is>
      </c>
      <c r="T183" t="inlineStr">
        <is>
          <t>N</t>
        </is>
      </c>
      <c r="U183" t="inlineStr">
        <is>
          <t>new</t>
        </is>
      </c>
      <c r="V183" t="inlineStr">
        <is>
          <t>https://commercialobserver.com/2026/08/manifest-law-sublease-koeppel-rosen-902-broadway/</t>
        </is>
      </c>
      <c r="W183" t="inlineStr">
        <is>
          <t>2026-10-23</t>
        </is>
      </c>
      <c r="X183" t="inlineStr">
        <is>
          <t>office</t>
        </is>
      </c>
      <c r="Y183">
        <f>IF(EU183&lt;&gt;"Y","",COUNTIFS($EU$2:$EU$1000,"Y",$J$2:$J$1000,"&gt;"&amp;J183)+COUNTIFS($EU$2:$EU$1000,"Y",$J$2:$J$1000,J183,$EW$2:$EW$1000,"&lt;"&amp;EW183)+1)</f>
        <v/>
      </c>
      <c r="Z183" t="n">
        <v>182</v>
      </c>
      <c r="AA183" t="inlineStr">
        <is>
          <t>N</t>
        </is>
      </c>
      <c r="AD183" t="inlineStr">
        <is>
          <t>none</t>
        </is>
      </c>
      <c r="AH183" t="inlineStr">
        <is>
          <t>none</t>
        </is>
      </c>
      <c r="AI183" t="inlineStr">
        <is>
          <t>902 Broadway</t>
        </is>
      </c>
      <c r="AJ183" t="inlineStr">
        <is>
          <t>8</t>
        </is>
      </c>
      <c r="AK183" t="inlineStr">
        <is>
          <t>occupancy-unconfirmed</t>
        </is>
      </c>
      <c r="AL183" t="inlineStr">
        <is>
          <t>unknown</t>
        </is>
      </c>
      <c r="AM183" t="inlineStr">
        <is>
          <t>unknown</t>
        </is>
      </c>
      <c r="AN183" t="inlineStr">
        <is>
          <t>none</t>
        </is>
      </c>
      <c r="AO183" t="inlineStr">
        <is>
          <t>unknown</t>
        </is>
      </c>
      <c r="AP183" t="inlineStr">
        <is>
          <t>AO-C-062</t>
        </is>
      </c>
      <c r="AQ183" t="inlineStr">
        <is>
          <t>N</t>
        </is>
      </c>
      <c r="AT183">
        <f>IF(AND(AX183="pass",AQ183&lt;&gt;"Y",C183&lt;&gt;"",OR(AW183&lt;&gt;"Y",AV183="Y")),"Y","N")</f>
        <v/>
      </c>
      <c r="AU183">
        <f>_xlfn.TEXTJOIN("; ",TRUE,IF(AX183&lt;&gt;"pass","gated out",""),IF(AQ183="Y","on hold: "&amp;AR183,""),IF(C183="","no contact named on an opened page",""),IF(AND(AW183="Y",AV183&lt;&gt;"Y"),"Tuesday estimate band "&amp;L183&amp;": founder's call",""))</f>
        <v/>
      </c>
      <c r="AW183" t="inlineStr">
        <is>
          <t>N</t>
        </is>
      </c>
      <c r="AX183" t="inlineStr">
        <is>
          <t>pass</t>
        </is>
      </c>
      <c r="AY183" t="inlineStr">
        <is>
          <t>passes all hard gates</t>
        </is>
      </c>
      <c r="AZ183" t="inlineStr">
        <is>
          <t>company</t>
        </is>
      </c>
      <c r="BA183" t="inlineStr">
        <is>
          <t>B-C-062</t>
        </is>
      </c>
      <c r="BB183" t="inlineStr">
        <is>
          <t>https://www.manifestlaw.com</t>
        </is>
      </c>
      <c r="BC183" t="inlineStr">
        <is>
          <t>law firm (immigration, tech-enabled)</t>
        </is>
      </c>
      <c r="BD183" t="inlineStr">
        <is>
          <t>unknown</t>
        </is>
      </c>
      <c r="BF183" t="inlineStr">
        <is>
          <t>unknown</t>
        </is>
      </c>
      <c r="BG183" t="inlineStr">
        <is>
          <t>unknown</t>
        </is>
      </c>
      <c r="BH183" t="inlineStr">
        <is>
          <t>no-count</t>
        </is>
      </c>
      <c r="BK183" t="inlineStr">
        <is>
          <t>unknown</t>
        </is>
      </c>
      <c r="BL183" t="inlineStr">
        <is>
          <t>unknown</t>
        </is>
      </c>
      <c r="BM183" t="inlineStr">
        <is>
          <t>unknown</t>
        </is>
      </c>
      <c r="BN183" t="inlineStr">
        <is>
          <t>unknown</t>
        </is>
      </c>
      <c r="BO183" t="inlineStr">
        <is>
          <t>unknown</t>
        </is>
      </c>
      <c r="BP183" t="inlineStr">
        <is>
          <t>10010</t>
        </is>
      </c>
      <c r="BQ183" t="n">
        <v>40.739363</v>
      </c>
      <c r="BR183" t="n">
        <v>-73.98953400000001</v>
      </c>
      <c r="BS183" t="inlineStr">
        <is>
          <t>Y</t>
        </is>
      </c>
      <c r="BT183" t="n">
        <v>0</v>
      </c>
      <c r="BU183" t="inlineStr">
        <is>
          <t>B-B-031</t>
        </is>
      </c>
      <c r="BV183" t="inlineStr">
        <is>
          <t>902 Broadway (Rosen family / Koeppel Rosen)</t>
        </is>
      </c>
      <c r="BW183" t="inlineStr">
        <is>
          <t>https://commercialobserver.com/2026/08/manifest-law-sublease-koeppel-rosen-902-broadway/</t>
        </is>
      </c>
      <c r="BX183" t="inlineStr">
        <is>
          <t>2026-08-06</t>
        </is>
      </c>
      <c r="BY183" t="inlineStr">
        <is>
          <t>leasing-press</t>
        </is>
      </c>
      <c r="CC183" t="inlineStr">
        <is>
          <t>medium</t>
        </is>
      </c>
      <c r="CE183" t="inlineStr">
        <is>
          <t>N</t>
        </is>
      </c>
      <c r="CH183" t="inlineStr">
        <is>
          <t>security desk</t>
        </is>
      </c>
      <c r="CI183" t="inlineStr">
        <is>
          <t>https://www.metro-manhattan.com/buildings/902-broadway/</t>
        </is>
      </c>
      <c r="CJ183" t="inlineStr">
        <is>
          <t>unknown</t>
        </is>
      </c>
      <c r="CK183" t="inlineStr">
        <is>
          <t>N</t>
        </is>
      </c>
      <c r="CL183" t="inlineStr">
        <is>
          <t>unknown</t>
        </is>
      </c>
      <c r="CO183" t="inlineStr">
        <is>
          <t>unknown</t>
        </is>
      </c>
      <c r="CQ183" t="inlineStr">
        <is>
          <t>No sourced headcount, so no Tuesday estimate; ask the Tuesday count at intake.</t>
        </is>
      </c>
      <c r="CR183" t="inlineStr">
        <is>
          <t>estimate until intake replaces it</t>
        </is>
      </c>
      <c r="CS183" t="inlineStr">
        <is>
          <t>unknown</t>
        </is>
      </c>
      <c r="CT183" t="n">
        <v>29</v>
      </c>
      <c r="CU183" t="n">
        <v>7</v>
      </c>
      <c r="CV183" t="n">
        <v>8</v>
      </c>
      <c r="CW183" t="n">
        <v>6</v>
      </c>
      <c r="CX183" t="n">
        <v>8</v>
      </c>
      <c r="CY183">
        <f>IF(AH183="exact",10,IF(AH183="adjacent",5,0))</f>
        <v/>
      </c>
      <c r="CZ183">
        <f>IF(R183="Y",15,0)</f>
        <v/>
      </c>
      <c r="DF183" t="inlineStr">
        <is>
          <t>none</t>
        </is>
      </c>
      <c r="DG183" t="inlineStr">
        <is>
          <t>candidate</t>
        </is>
      </c>
      <c r="DJ183" t="inlineStr">
        <is>
          <t>18,200 sf</t>
        </is>
      </c>
      <c r="DK183" t="inlineStr">
        <is>
          <t>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is>
      </c>
      <c r="DS183" t="inlineStr">
        <is>
          <t>none</t>
        </is>
      </c>
      <c r="DX183" t="inlineStr">
        <is>
          <t>N</t>
        </is>
      </c>
      <c r="ER183">
        <f>IF(ISNUMBER(MATCH(U183,{"queued","contacted","replied","call_booked","call_done","yes_in_principle","materials_sent"},0)),"Y","N")</f>
        <v/>
      </c>
      <c r="ES183">
        <f>IF(COUNTIFS($AP$2:$AP$1000,AP183,$ER$2:$ER$1000,"Y")+COUNTIFS($AP$2:$AP$1000,AP183,$T$2:$T$1000,"Y")&gt;0,"Y","N")</f>
        <v/>
      </c>
      <c r="ET183">
        <f>IF(AND(U183="new",T183="N",AT183="Y",AS183="",ES183="N"),"Y","N")</f>
        <v/>
      </c>
      <c r="EU183">
        <f>IF(ET183&lt;&gt;"Y","N",IF(COUNTIFS($AP$2:$AP$1000,AP183,$ET$2:$ET$1000,"Y",$J$2:$J$1000,"&gt;"&amp;J183)+COUNTIFS($AP$2:$AP$1000,AP183,$ET$2:$ET$1000,"Y",$J$2:$J$1000,J183,$EW$2:$EW$1000,"&lt;"&amp;EW183)=0,"Y","N"))</f>
        <v/>
      </c>
      <c r="EV183">
        <f>IF(Y183="","N",IF(Y183&lt;=10,"Y","N"))</f>
        <v/>
      </c>
      <c r="EW183">
        <f>ROW()-1</f>
        <v/>
      </c>
    </row>
    <row r="184">
      <c r="A184" t="inlineStr">
        <is>
          <t>AO-C-156</t>
        </is>
      </c>
      <c r="B184" t="inlineStr">
        <is>
          <t>Modern FL</t>
        </is>
      </c>
      <c r="H184" t="inlineStr">
        <is>
          <t>none</t>
        </is>
      </c>
      <c r="I184" t="inlineStr">
        <is>
          <t>linkedin</t>
        </is>
      </c>
      <c r="J184">
        <f>IF(AX184="pass",ROUND(CU184+CV184+CW184+CX184+CY184+CZ184,1),0)</f>
        <v/>
      </c>
      <c r="K184" t="inlineStr">
        <is>
          <t>Tuesday headcount unknown (no sourced count), company size unknown, no attendance signal, occupancy-unconfirmed at a medium-confidence address; contacts not researched yet (below the top 50).</t>
        </is>
      </c>
      <c r="L184" t="inlineStr">
        <is>
          <t>unknown</t>
        </is>
      </c>
      <c r="R184" t="inlineStr">
        <is>
          <t>N</t>
        </is>
      </c>
      <c r="S184" t="inlineStr">
        <is>
          <t>unknown</t>
        </is>
      </c>
      <c r="T184" t="inlineStr">
        <is>
          <t>N</t>
        </is>
      </c>
      <c r="U184" t="inlineStr">
        <is>
          <t>new</t>
        </is>
      </c>
      <c r="V184" t="inlineStr">
        <is>
          <t>https://commercialobserver.com/2026/02/primary-ventures-sigma-computing-leases-386-park-avenue-south/</t>
        </is>
      </c>
      <c r="W184" t="inlineStr">
        <is>
          <t>2026-10-23</t>
        </is>
      </c>
      <c r="X184" t="inlineStr">
        <is>
          <t>office</t>
        </is>
      </c>
      <c r="Y184">
        <f>IF(EU184&lt;&gt;"Y","",COUNTIFS($EU$2:$EU$1000,"Y",$J$2:$J$1000,"&gt;"&amp;J184)+COUNTIFS($EU$2:$EU$1000,"Y",$J$2:$J$1000,J184,$EW$2:$EW$1000,"&lt;"&amp;EW184)+1)</f>
        <v/>
      </c>
      <c r="Z184" t="n">
        <v>183</v>
      </c>
      <c r="AA184" t="inlineStr">
        <is>
          <t>N</t>
        </is>
      </c>
      <c r="AD184" t="inlineStr">
        <is>
          <t>none</t>
        </is>
      </c>
      <c r="AH184" t="inlineStr">
        <is>
          <t>none</t>
        </is>
      </c>
      <c r="AI184" t="inlineStr">
        <is>
          <t>386 Park Avenue South</t>
        </is>
      </c>
      <c r="AJ184" t="inlineStr">
        <is>
          <t>9</t>
        </is>
      </c>
      <c r="AK184" t="inlineStr">
        <is>
          <t>occupancy-unconfirmed</t>
        </is>
      </c>
      <c r="AL184" t="inlineStr">
        <is>
          <t>unknown</t>
        </is>
      </c>
      <c r="AM184" t="inlineStr">
        <is>
          <t>unknown</t>
        </is>
      </c>
      <c r="AN184" t="inlineStr">
        <is>
          <t>none</t>
        </is>
      </c>
      <c r="AO184" t="inlineStr">
        <is>
          <t>unknown</t>
        </is>
      </c>
      <c r="AP184" t="inlineStr">
        <is>
          <t>AO-C-156</t>
        </is>
      </c>
      <c r="AQ184" t="inlineStr">
        <is>
          <t>N</t>
        </is>
      </c>
      <c r="AT184">
        <f>IF(AND(AX184="pass",AQ184&lt;&gt;"Y",C184&lt;&gt;"",OR(AW184&lt;&gt;"Y",AV184="Y")),"Y","N")</f>
        <v/>
      </c>
      <c r="AU184">
        <f>_xlfn.TEXTJOIN("; ",TRUE,IF(AX184&lt;&gt;"pass","gated out",""),IF(AQ184="Y","on hold: "&amp;AR184,""),IF(C184="","no contact named on an opened page",""),IF(AND(AW184="Y",AV184&lt;&gt;"Y"),"Tuesday estimate band "&amp;L184&amp;": founder's call",""))</f>
        <v/>
      </c>
      <c r="AW184" t="inlineStr">
        <is>
          <t>N</t>
        </is>
      </c>
      <c r="AX184" t="inlineStr">
        <is>
          <t>pass</t>
        </is>
      </c>
      <c r="AY184" t="inlineStr">
        <is>
          <t>passes all hard gates</t>
        </is>
      </c>
      <c r="AZ184" t="inlineStr">
        <is>
          <t>company</t>
        </is>
      </c>
      <c r="BA184" t="inlineStr">
        <is>
          <t>B-C-156</t>
        </is>
      </c>
      <c r="BB184" t="inlineStr">
        <is>
          <t>unknown</t>
        </is>
      </c>
      <c r="BC184" t="inlineStr">
        <is>
          <t>furniture and lighting</t>
        </is>
      </c>
      <c r="BD184" t="inlineStr">
        <is>
          <t>unknown</t>
        </is>
      </c>
      <c r="BF184" t="inlineStr">
        <is>
          <t>unknown</t>
        </is>
      </c>
      <c r="BG184" t="inlineStr">
        <is>
          <t>unknown</t>
        </is>
      </c>
      <c r="BH184" t="inlineStr">
        <is>
          <t>no-count</t>
        </is>
      </c>
      <c r="BK184" t="inlineStr">
        <is>
          <t>unknown</t>
        </is>
      </c>
      <c r="BL184" t="inlineStr">
        <is>
          <t>unknown</t>
        </is>
      </c>
      <c r="BM184" t="inlineStr">
        <is>
          <t>unknown</t>
        </is>
      </c>
      <c r="BN184" t="inlineStr">
        <is>
          <t>unknown</t>
        </is>
      </c>
      <c r="BO184" t="inlineStr">
        <is>
          <t>unknown</t>
        </is>
      </c>
      <c r="BP184" t="inlineStr">
        <is>
          <t>10016</t>
        </is>
      </c>
      <c r="BQ184" t="n">
        <v>40.74291</v>
      </c>
      <c r="BR184" t="n">
        <v>-73.984627</v>
      </c>
      <c r="BS184" t="inlineStr">
        <is>
          <t>Y</t>
        </is>
      </c>
      <c r="BT184" t="n">
        <v>0</v>
      </c>
      <c r="BU184" t="inlineStr">
        <is>
          <t>B-B-072</t>
        </is>
      </c>
      <c r="BV184" t="inlineStr">
        <is>
          <t>386 Park Avenue South (HSR Corporation)</t>
        </is>
      </c>
      <c r="BW184" t="inlineStr">
        <is>
          <t>https://commercialobserver.com/2026/02/primary-ventures-sigma-computing-leases-386-park-avenue-south/</t>
        </is>
      </c>
      <c r="BX184" t="inlineStr">
        <is>
          <t>2026-02-27</t>
        </is>
      </c>
      <c r="BY184" t="inlineStr">
        <is>
          <t>leasing-press</t>
        </is>
      </c>
      <c r="CC184" t="inlineStr">
        <is>
          <t>medium</t>
        </is>
      </c>
      <c r="CE184" t="inlineStr">
        <is>
          <t>N</t>
        </is>
      </c>
      <c r="CH184" t="inlineStr">
        <is>
          <t>unknown</t>
        </is>
      </c>
      <c r="CJ184" t="inlineStr">
        <is>
          <t>unknown</t>
        </is>
      </c>
      <c r="CK184" t="inlineStr">
        <is>
          <t>N</t>
        </is>
      </c>
      <c r="CL184" t="inlineStr">
        <is>
          <t>unknown</t>
        </is>
      </c>
      <c r="CO184" t="inlineStr">
        <is>
          <t>unknown</t>
        </is>
      </c>
      <c r="CQ184" t="inlineStr">
        <is>
          <t>No sourced headcount, so no Tuesday estimate; ask the Tuesday count at intake.</t>
        </is>
      </c>
      <c r="CR184" t="inlineStr">
        <is>
          <t>estimate until intake replaces it</t>
        </is>
      </c>
      <c r="CS184" t="inlineStr">
        <is>
          <t>unknown</t>
        </is>
      </c>
      <c r="CT184" t="n">
        <v>29</v>
      </c>
      <c r="CU184" t="n">
        <v>7</v>
      </c>
      <c r="CV184" t="n">
        <v>8</v>
      </c>
      <c r="CW184" t="n">
        <v>6</v>
      </c>
      <c r="CX184" t="n">
        <v>8</v>
      </c>
      <c r="CY184">
        <f>IF(AH184="exact",10,IF(AH184="adjacent",5,0))</f>
        <v/>
      </c>
      <c r="CZ184">
        <f>IF(R184="Y",15,0)</f>
        <v/>
      </c>
      <c r="DF184" t="inlineStr">
        <is>
          <t>none</t>
        </is>
      </c>
      <c r="DG184" t="inlineStr">
        <is>
          <t>candidate</t>
        </is>
      </c>
      <c r="DJ184" t="inlineStr">
        <is>
          <t>13,121 sf</t>
        </is>
      </c>
      <c r="DK184" t="inlineStr">
        <is>
          <t>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DS184" t="inlineStr">
        <is>
          <t>none</t>
        </is>
      </c>
      <c r="DX184" t="inlineStr">
        <is>
          <t>N</t>
        </is>
      </c>
      <c r="ER184">
        <f>IF(ISNUMBER(MATCH(U184,{"queued","contacted","replied","call_booked","call_done","yes_in_principle","materials_sent"},0)),"Y","N")</f>
        <v/>
      </c>
      <c r="ES184">
        <f>IF(COUNTIFS($AP$2:$AP$1000,AP184,$ER$2:$ER$1000,"Y")+COUNTIFS($AP$2:$AP$1000,AP184,$T$2:$T$1000,"Y")&gt;0,"Y","N")</f>
        <v/>
      </c>
      <c r="ET184">
        <f>IF(AND(U184="new",T184="N",AT184="Y",AS184="",ES184="N"),"Y","N")</f>
        <v/>
      </c>
      <c r="EU184">
        <f>IF(ET184&lt;&gt;"Y","N",IF(COUNTIFS($AP$2:$AP$1000,AP184,$ET$2:$ET$1000,"Y",$J$2:$J$1000,"&gt;"&amp;J184)+COUNTIFS($AP$2:$AP$1000,AP184,$ET$2:$ET$1000,"Y",$J$2:$J$1000,J184,$EW$2:$EW$1000,"&lt;"&amp;EW184)=0,"Y","N"))</f>
        <v/>
      </c>
      <c r="EV184">
        <f>IF(Y184="","N",IF(Y184&lt;=10,"Y","N"))</f>
        <v/>
      </c>
      <c r="EW184">
        <f>ROW()-1</f>
        <v/>
      </c>
    </row>
    <row r="185">
      <c r="A185" t="inlineStr">
        <is>
          <t>AO-C-049</t>
        </is>
      </c>
      <c r="B185" t="inlineStr">
        <is>
          <t>Phia</t>
        </is>
      </c>
      <c r="H185" t="inlineStr">
        <is>
          <t>none</t>
        </is>
      </c>
      <c r="I185" t="inlineStr">
        <is>
          <t>linkedin</t>
        </is>
      </c>
      <c r="J185">
        <f>IF(AX185="pass",ROUND(CU185+CV185+CW185+CX185+CY185+CZ185,1),0)</f>
        <v/>
      </c>
      <c r="K185" t="inlineStr">
        <is>
          <t>Tuesday headcount unknown (no sourced count), company size unknown, no attendance signal, occupancy-unconfirmed at a medium-confidence address; contacts not researched yet (below the top 50).</t>
        </is>
      </c>
      <c r="L185" t="inlineStr">
        <is>
          <t>unknown</t>
        </is>
      </c>
      <c r="O185" t="inlineStr">
        <is>
          <t>New or renewed lease at 37 East 18th Street reported 2026-06-03</t>
        </is>
      </c>
      <c r="P185" t="inlineStr">
        <is>
          <t>https://commercialobserver.com/2026/06/phia-lease-zar-property-37-east-18th-street/</t>
        </is>
      </c>
      <c r="Q185" t="inlineStr">
        <is>
          <t>2026-06-03</t>
        </is>
      </c>
      <c r="R185" t="inlineStr">
        <is>
          <t>N</t>
        </is>
      </c>
      <c r="S185" t="inlineStr">
        <is>
          <t>unknown</t>
        </is>
      </c>
      <c r="T185" t="inlineStr">
        <is>
          <t>N</t>
        </is>
      </c>
      <c r="U185" t="inlineStr">
        <is>
          <t>new</t>
        </is>
      </c>
      <c r="V185" t="inlineStr">
        <is>
          <t>https://commercialobserver.com/2026/06/phia-lease-zar-property-37-east-18th-street/</t>
        </is>
      </c>
      <c r="W185" t="inlineStr">
        <is>
          <t>2026-10-23</t>
        </is>
      </c>
      <c r="X185" t="inlineStr">
        <is>
          <t>office</t>
        </is>
      </c>
      <c r="Y185">
        <f>IF(EU185&lt;&gt;"Y","",COUNTIFS($EU$2:$EU$1000,"Y",$J$2:$J$1000,"&gt;"&amp;J185)+COUNTIFS($EU$2:$EU$1000,"Y",$J$2:$J$1000,J185,$EW$2:$EW$1000,"&lt;"&amp;EW185)+1)</f>
        <v/>
      </c>
      <c r="Z185" t="n">
        <v>184</v>
      </c>
      <c r="AA185" t="inlineStr">
        <is>
          <t>N</t>
        </is>
      </c>
      <c r="AD185" t="inlineStr">
        <is>
          <t>none</t>
        </is>
      </c>
      <c r="AH185" t="inlineStr">
        <is>
          <t>none</t>
        </is>
      </c>
      <c r="AI185" t="inlineStr">
        <is>
          <t>37 East 18th Street</t>
        </is>
      </c>
      <c r="AJ185" t="inlineStr">
        <is>
          <t>penthouse</t>
        </is>
      </c>
      <c r="AK185" t="inlineStr">
        <is>
          <t>occupancy-unconfirmed</t>
        </is>
      </c>
      <c r="AL185" t="inlineStr">
        <is>
          <t>unknown</t>
        </is>
      </c>
      <c r="AM185" t="inlineStr">
        <is>
          <t>unknown</t>
        </is>
      </c>
      <c r="AN185" t="inlineStr">
        <is>
          <t>none</t>
        </is>
      </c>
      <c r="AO185" t="inlineStr">
        <is>
          <t>unknown</t>
        </is>
      </c>
      <c r="AP185" t="inlineStr">
        <is>
          <t>AO-C-049</t>
        </is>
      </c>
      <c r="AQ185" t="inlineStr">
        <is>
          <t>N</t>
        </is>
      </c>
      <c r="AT185">
        <f>IF(AND(AX185="pass",AQ185&lt;&gt;"Y",C185&lt;&gt;"",OR(AW185&lt;&gt;"Y",AV185="Y")),"Y","N")</f>
        <v/>
      </c>
      <c r="AU185">
        <f>_xlfn.TEXTJOIN("; ",TRUE,IF(AX185&lt;&gt;"pass","gated out",""),IF(AQ185="Y","on hold: "&amp;AR185,""),IF(C185="","no contact named on an opened page",""),IF(AND(AW185="Y",AV185&lt;&gt;"Y"),"Tuesday estimate band "&amp;L185&amp;": founder's call",""))</f>
        <v/>
      </c>
      <c r="AW185" t="inlineStr">
        <is>
          <t>N</t>
        </is>
      </c>
      <c r="AX185" t="inlineStr">
        <is>
          <t>pass</t>
        </is>
      </c>
      <c r="AY185" t="inlineStr">
        <is>
          <t>passes all hard gates</t>
        </is>
      </c>
      <c r="AZ185" t="inlineStr">
        <is>
          <t>company</t>
        </is>
      </c>
      <c r="BA185" t="inlineStr">
        <is>
          <t>B-C-049</t>
        </is>
      </c>
      <c r="BB185" t="inlineStr">
        <is>
          <t>https://phia.com</t>
        </is>
      </c>
      <c r="BC185" t="inlineStr">
        <is>
          <t>AI shopping assistant (consumer tech)</t>
        </is>
      </c>
      <c r="BD185" t="inlineStr">
        <is>
          <t>unknown</t>
        </is>
      </c>
      <c r="BF185" t="inlineStr">
        <is>
          <t>unknown</t>
        </is>
      </c>
      <c r="BG185" t="inlineStr">
        <is>
          <t>unknown</t>
        </is>
      </c>
      <c r="BH185" t="inlineStr">
        <is>
          <t>no-count</t>
        </is>
      </c>
      <c r="BK185" t="inlineStr">
        <is>
          <t>unknown</t>
        </is>
      </c>
      <c r="BL185" t="inlineStr">
        <is>
          <t>unknown</t>
        </is>
      </c>
      <c r="BM185" t="inlineStr">
        <is>
          <t>unknown</t>
        </is>
      </c>
      <c r="BN185" t="inlineStr">
        <is>
          <t>unknown</t>
        </is>
      </c>
      <c r="BO185" t="inlineStr">
        <is>
          <t>unknown</t>
        </is>
      </c>
      <c r="BP185" t="inlineStr">
        <is>
          <t>10003</t>
        </is>
      </c>
      <c r="BQ185" t="n">
        <v>40.737722</v>
      </c>
      <c r="BR185" t="n">
        <v>-73.989367</v>
      </c>
      <c r="BS185" t="inlineStr">
        <is>
          <t>Y</t>
        </is>
      </c>
      <c r="BT185" t="n">
        <v>0</v>
      </c>
      <c r="BU185" t="inlineStr">
        <is>
          <t>B-B-019</t>
        </is>
      </c>
      <c r="BV185" t="inlineStr">
        <is>
          <t>37 East 18th Street (Zar Property NY)</t>
        </is>
      </c>
      <c r="BW185" t="inlineStr">
        <is>
          <t>https://commercialobserver.com/2026/06/phia-lease-zar-property-37-east-18th-street/</t>
        </is>
      </c>
      <c r="BX185" t="inlineStr">
        <is>
          <t>2026-06-03</t>
        </is>
      </c>
      <c r="BY185" t="inlineStr">
        <is>
          <t>leasing-press</t>
        </is>
      </c>
      <c r="CC185" t="inlineStr">
        <is>
          <t>medium</t>
        </is>
      </c>
      <c r="CE185" t="inlineStr">
        <is>
          <t>N</t>
        </is>
      </c>
      <c r="CH185" t="inlineStr">
        <is>
          <t>unknown</t>
        </is>
      </c>
      <c r="CJ185" t="inlineStr">
        <is>
          <t>unknown</t>
        </is>
      </c>
      <c r="CK185" t="inlineStr">
        <is>
          <t>N</t>
        </is>
      </c>
      <c r="CL185" t="inlineStr">
        <is>
          <t>unknown</t>
        </is>
      </c>
      <c r="CO185" t="inlineStr">
        <is>
          <t>unknown</t>
        </is>
      </c>
      <c r="CQ185" t="inlineStr">
        <is>
          <t>No sourced headcount, so no Tuesday estimate; ask the Tuesday count at intake.</t>
        </is>
      </c>
      <c r="CR185" t="inlineStr">
        <is>
          <t>estimate until intake replaces it</t>
        </is>
      </c>
      <c r="CS185" t="inlineStr">
        <is>
          <t>unknown</t>
        </is>
      </c>
      <c r="CT185" t="n">
        <v>29</v>
      </c>
      <c r="CU185" t="n">
        <v>7</v>
      </c>
      <c r="CV185" t="n">
        <v>8</v>
      </c>
      <c r="CW185" t="n">
        <v>6</v>
      </c>
      <c r="CX185" t="n">
        <v>8</v>
      </c>
      <c r="CY185">
        <f>IF(AH185="exact",10,IF(AH185="adjacent",5,0))</f>
        <v/>
      </c>
      <c r="CZ185">
        <f>IF(R185="Y",15,0)</f>
        <v/>
      </c>
      <c r="DF185" t="inlineStr">
        <is>
          <t>none</t>
        </is>
      </c>
      <c r="DG185" t="inlineStr">
        <is>
          <t>candidate</t>
        </is>
      </c>
      <c r="DJ185" t="inlineStr">
        <is>
          <t>8,900 sf</t>
        </is>
      </c>
      <c r="DK185" t="inlineStr">
        <is>
          <t>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is>
      </c>
      <c r="DS185" t="inlineStr">
        <is>
          <t>none</t>
        </is>
      </c>
      <c r="DX185" t="inlineStr">
        <is>
          <t>N</t>
        </is>
      </c>
      <c r="ER185">
        <f>IF(ISNUMBER(MATCH(U185,{"queued","contacted","replied","call_booked","call_done","yes_in_principle","materials_sent"},0)),"Y","N")</f>
        <v/>
      </c>
      <c r="ES185">
        <f>IF(COUNTIFS($AP$2:$AP$1000,AP185,$ER$2:$ER$1000,"Y")+COUNTIFS($AP$2:$AP$1000,AP185,$T$2:$T$1000,"Y")&gt;0,"Y","N")</f>
        <v/>
      </c>
      <c r="ET185">
        <f>IF(AND(U185="new",T185="N",AT185="Y",AS185="",ES185="N"),"Y","N")</f>
        <v/>
      </c>
      <c r="EU185">
        <f>IF(ET185&lt;&gt;"Y","N",IF(COUNTIFS($AP$2:$AP$1000,AP185,$ET$2:$ET$1000,"Y",$J$2:$J$1000,"&gt;"&amp;J185)+COUNTIFS($AP$2:$AP$1000,AP185,$ET$2:$ET$1000,"Y",$J$2:$J$1000,J185,$EW$2:$EW$1000,"&lt;"&amp;EW185)=0,"Y","N"))</f>
        <v/>
      </c>
      <c r="EV185">
        <f>IF(Y185="","N",IF(Y185&lt;=10,"Y","N"))</f>
        <v/>
      </c>
      <c r="EW185">
        <f>ROW()-1</f>
        <v/>
      </c>
    </row>
    <row r="186">
      <c r="A186" t="inlineStr">
        <is>
          <t>AO-C-110</t>
        </is>
      </c>
      <c r="B186" t="inlineStr">
        <is>
          <t>Purple (PR)</t>
        </is>
      </c>
      <c r="H186" t="inlineStr">
        <is>
          <t>none</t>
        </is>
      </c>
      <c r="I186" t="inlineStr">
        <is>
          <t>linkedin</t>
        </is>
      </c>
      <c r="J186">
        <f>IF(AX186="pass",ROUND(CU186+CV186+CW186+CX186+CY186+CZ186,1),0)</f>
        <v/>
      </c>
      <c r="K186" t="inlineStr">
        <is>
          <t>Tuesday headcount unknown (no sourced count), company size unknown, no attendance signal, occupancy-unconfirmed at a medium-confidence address; contacts not researched yet (below the top 50).</t>
        </is>
      </c>
      <c r="L186" t="inlineStr">
        <is>
          <t>unknown</t>
        </is>
      </c>
      <c r="O186" t="inlineStr">
        <is>
          <t>New or renewed lease at 16 Madison Square West reported 2026-01-08</t>
        </is>
      </c>
      <c r="P186" t="inlineStr">
        <is>
          <t>https://commercialobserver.com/2026/01/purple-lease-16-madison-square-west/</t>
        </is>
      </c>
      <c r="Q186" t="inlineStr">
        <is>
          <t>2026-01-08</t>
        </is>
      </c>
      <c r="R186" t="inlineStr">
        <is>
          <t>N</t>
        </is>
      </c>
      <c r="S186" t="inlineStr">
        <is>
          <t>unknown</t>
        </is>
      </c>
      <c r="T186" t="inlineStr">
        <is>
          <t>N</t>
        </is>
      </c>
      <c r="U186" t="inlineStr">
        <is>
          <t>new</t>
        </is>
      </c>
      <c r="V186" t="inlineStr">
        <is>
          <t>https://commercialobserver.com/2026/01/purple-lease-16-madison-square-west/</t>
        </is>
      </c>
      <c r="W186" t="inlineStr">
        <is>
          <t>2026-10-23</t>
        </is>
      </c>
      <c r="X186" t="inlineStr">
        <is>
          <t>office</t>
        </is>
      </c>
      <c r="Y186">
        <f>IF(EU186&lt;&gt;"Y","",COUNTIFS($EU$2:$EU$1000,"Y",$J$2:$J$1000,"&gt;"&amp;J186)+COUNTIFS($EU$2:$EU$1000,"Y",$J$2:$J$1000,J186,$EW$2:$EW$1000,"&lt;"&amp;EW186)+1)</f>
        <v/>
      </c>
      <c r="Z186" t="n">
        <v>185</v>
      </c>
      <c r="AA186" t="inlineStr">
        <is>
          <t>N</t>
        </is>
      </c>
      <c r="AD186" t="inlineStr">
        <is>
          <t>none</t>
        </is>
      </c>
      <c r="AH186" t="inlineStr">
        <is>
          <t>none</t>
        </is>
      </c>
      <c r="AI186" t="inlineStr">
        <is>
          <t>16 Madison Square West</t>
        </is>
      </c>
      <c r="AJ186" t="inlineStr">
        <is>
          <t>full floor (number not stated)</t>
        </is>
      </c>
      <c r="AK186" t="inlineStr">
        <is>
          <t>occupancy-unconfirmed</t>
        </is>
      </c>
      <c r="AL186" t="inlineStr">
        <is>
          <t>unknown</t>
        </is>
      </c>
      <c r="AM186" t="inlineStr">
        <is>
          <t>unknown</t>
        </is>
      </c>
      <c r="AN186" t="inlineStr">
        <is>
          <t>none</t>
        </is>
      </c>
      <c r="AO186" t="inlineStr">
        <is>
          <t>unknown</t>
        </is>
      </c>
      <c r="AP186" t="inlineStr">
        <is>
          <t>AO-C-110</t>
        </is>
      </c>
      <c r="AQ186" t="inlineStr">
        <is>
          <t>N</t>
        </is>
      </c>
      <c r="AT186">
        <f>IF(AND(AX186="pass",AQ186&lt;&gt;"Y",C186&lt;&gt;"",OR(AW186&lt;&gt;"Y",AV186="Y")),"Y","N")</f>
        <v/>
      </c>
      <c r="AU186">
        <f>_xlfn.TEXTJOIN("; ",TRUE,IF(AX186&lt;&gt;"pass","gated out",""),IF(AQ186="Y","on hold: "&amp;AR186,""),IF(C186="","no contact named on an opened page",""),IF(AND(AW186="Y",AV186&lt;&gt;"Y"),"Tuesday estimate band "&amp;L186&amp;": founder's call",""))</f>
        <v/>
      </c>
      <c r="AW186" t="inlineStr">
        <is>
          <t>N</t>
        </is>
      </c>
      <c r="AX186" t="inlineStr">
        <is>
          <t>pass</t>
        </is>
      </c>
      <c r="AY186" t="inlineStr">
        <is>
          <t>passes all hard gates</t>
        </is>
      </c>
      <c r="AZ186" t="inlineStr">
        <is>
          <t>company</t>
        </is>
      </c>
      <c r="BA186" t="inlineStr">
        <is>
          <t>B-C-110</t>
        </is>
      </c>
      <c r="BB186" t="inlineStr">
        <is>
          <t>https://purplepr.com/</t>
        </is>
      </c>
      <c r="BC186" t="inlineStr">
        <is>
          <t>Public relations / lifestyle communications</t>
        </is>
      </c>
      <c r="BD186" t="inlineStr">
        <is>
          <t>unknown</t>
        </is>
      </c>
      <c r="BF186" t="inlineStr">
        <is>
          <t>unknown</t>
        </is>
      </c>
      <c r="BG186" t="inlineStr">
        <is>
          <t>unknown</t>
        </is>
      </c>
      <c r="BH186" t="inlineStr">
        <is>
          <t>no-count</t>
        </is>
      </c>
      <c r="BK186" t="inlineStr">
        <is>
          <t>unknown</t>
        </is>
      </c>
      <c r="BL186" t="inlineStr">
        <is>
          <t>unknown</t>
        </is>
      </c>
      <c r="BM186" t="inlineStr">
        <is>
          <t>unknown</t>
        </is>
      </c>
      <c r="BN186" t="inlineStr">
        <is>
          <t>unknown</t>
        </is>
      </c>
      <c r="BO186" t="inlineStr">
        <is>
          <t>unknown</t>
        </is>
      </c>
      <c r="BP186" t="inlineStr">
        <is>
          <t>10010</t>
        </is>
      </c>
      <c r="BQ186" t="n">
        <v>40.743006</v>
      </c>
      <c r="BR186" t="n">
        <v>-73.98947</v>
      </c>
      <c r="BS186" t="inlineStr">
        <is>
          <t>Y</t>
        </is>
      </c>
      <c r="BT186" t="n">
        <v>0</v>
      </c>
      <c r="BU186" t="inlineStr">
        <is>
          <t>B-B-056</t>
        </is>
      </c>
      <c r="BV186" t="inlineStr">
        <is>
          <t>16 Madison Square West / 1115 Broadway (Adams &amp; Company)</t>
        </is>
      </c>
      <c r="BW186" t="inlineStr">
        <is>
          <t>https://commercialobserver.com/2026/01/purple-lease-16-madison-square-west/</t>
        </is>
      </c>
      <c r="BX186" t="inlineStr">
        <is>
          <t>2026-01-08</t>
        </is>
      </c>
      <c r="BY186" t="inlineStr">
        <is>
          <t>leasing-press</t>
        </is>
      </c>
      <c r="BZ186" t="inlineStr">
        <is>
          <t>https://flatironnomad.nyc/2026/02/18/january-news-roundup-7/</t>
        </is>
      </c>
      <c r="CA186" t="inlineStr">
        <is>
          <t>2026-02-18</t>
        </is>
      </c>
      <c r="CC186" t="inlineStr">
        <is>
          <t>medium</t>
        </is>
      </c>
      <c r="CE186" t="inlineStr">
        <is>
          <t>N</t>
        </is>
      </c>
      <c r="CH186" t="inlineStr">
        <is>
          <t>security desk</t>
        </is>
      </c>
      <c r="CI186" t="inlineStr">
        <is>
          <t>https://www.adamsre.com/collections/madison-square-park/products/16-madison-square-west</t>
        </is>
      </c>
      <c r="CJ186" t="inlineStr">
        <is>
          <t>unknown</t>
        </is>
      </c>
      <c r="CK186" t="inlineStr">
        <is>
          <t>N</t>
        </is>
      </c>
      <c r="CL186" t="inlineStr">
        <is>
          <t>unknown</t>
        </is>
      </c>
      <c r="CO186" t="inlineStr">
        <is>
          <t>unknown</t>
        </is>
      </c>
      <c r="CQ186" t="inlineStr">
        <is>
          <t>No sourced headcount, so no Tuesday estimate; ask the Tuesday count at intake.</t>
        </is>
      </c>
      <c r="CR186" t="inlineStr">
        <is>
          <t>estimate until intake replaces it</t>
        </is>
      </c>
      <c r="CS186" t="inlineStr">
        <is>
          <t>unknown</t>
        </is>
      </c>
      <c r="CT186" t="n">
        <v>29</v>
      </c>
      <c r="CU186" t="n">
        <v>7</v>
      </c>
      <c r="CV186" t="n">
        <v>8</v>
      </c>
      <c r="CW186" t="n">
        <v>6</v>
      </c>
      <c r="CX186" t="n">
        <v>8</v>
      </c>
      <c r="CY186">
        <f>IF(AH186="exact",10,IF(AH186="adjacent",5,0))</f>
        <v/>
      </c>
      <c r="CZ186">
        <f>IF(R186="Y",15,0)</f>
        <v/>
      </c>
      <c r="DF186" t="inlineStr">
        <is>
          <t>none</t>
        </is>
      </c>
      <c r="DG186" t="inlineStr">
        <is>
          <t>candidate</t>
        </is>
      </c>
      <c r="DJ186" t="inlineStr">
        <is>
          <t>24,000 sf</t>
        </is>
      </c>
      <c r="DK186" t="inlineStr">
        <is>
          <t>CO Jan 2026: 10-yr lease, about 24,000 sf full floor, relocating from 322 Eighth Ave. London-based with offices in LA, Miami, Hong Kong. Move-in date not stated. FNP roundup repeats the CO report. Not the mattress company Purple.</t>
        </is>
      </c>
      <c r="DS186" t="inlineStr">
        <is>
          <t>none</t>
        </is>
      </c>
      <c r="DX186" t="inlineStr">
        <is>
          <t>N</t>
        </is>
      </c>
      <c r="ER186">
        <f>IF(ISNUMBER(MATCH(U186,{"queued","contacted","replied","call_booked","call_done","yes_in_principle","materials_sent"},0)),"Y","N")</f>
        <v/>
      </c>
      <c r="ES186">
        <f>IF(COUNTIFS($AP$2:$AP$1000,AP186,$ER$2:$ER$1000,"Y")+COUNTIFS($AP$2:$AP$1000,AP186,$T$2:$T$1000,"Y")&gt;0,"Y","N")</f>
        <v/>
      </c>
      <c r="ET186">
        <f>IF(AND(U186="new",T186="N",AT186="Y",AS186="",ES186="N"),"Y","N")</f>
        <v/>
      </c>
      <c r="EU186">
        <f>IF(ET186&lt;&gt;"Y","N",IF(COUNTIFS($AP$2:$AP$1000,AP186,$ET$2:$ET$1000,"Y",$J$2:$J$1000,"&gt;"&amp;J186)+COUNTIFS($AP$2:$AP$1000,AP186,$ET$2:$ET$1000,"Y",$J$2:$J$1000,J186,$EW$2:$EW$1000,"&lt;"&amp;EW186)=0,"Y","N"))</f>
        <v/>
      </c>
      <c r="EV186">
        <f>IF(Y186="","N",IF(Y186&lt;=10,"Y","N"))</f>
        <v/>
      </c>
      <c r="EW186">
        <f>ROW()-1</f>
        <v/>
      </c>
    </row>
    <row r="187">
      <c r="A187" t="inlineStr">
        <is>
          <t>AO-C-134</t>
        </is>
      </c>
      <c r="B187" t="inlineStr">
        <is>
          <t>Reckoner Capital Management</t>
        </is>
      </c>
      <c r="H187" t="inlineStr">
        <is>
          <t>none</t>
        </is>
      </c>
      <c r="I187" t="inlineStr">
        <is>
          <t>linkedin</t>
        </is>
      </c>
      <c r="J187">
        <f>IF(AX187="pass",ROUND(CU187+CV187+CW187+CX187+CY187+CZ187,1),0)</f>
        <v/>
      </c>
      <c r="K187" t="inlineStr">
        <is>
          <t>Tuesday headcount unknown (no sourced count), company size unknown, no attendance signal, occupancy-unconfirmed at a medium-confidence address; contacts not researched yet (below the top 50).</t>
        </is>
      </c>
      <c r="L187" t="inlineStr">
        <is>
          <t>unknown</t>
        </is>
      </c>
      <c r="R187" t="inlineStr">
        <is>
          <t>N</t>
        </is>
      </c>
      <c r="S187" t="inlineStr">
        <is>
          <t>unknown</t>
        </is>
      </c>
      <c r="T187" t="inlineStr">
        <is>
          <t>N</t>
        </is>
      </c>
      <c r="U187" t="inlineStr">
        <is>
          <t>new</t>
        </is>
      </c>
      <c r="V187" t="inlineStr">
        <is>
          <t>https://commercialobserver.com/2025/03/reckoner-capital-management-lease-11-east-26th-street/</t>
        </is>
      </c>
      <c r="W187" t="inlineStr">
        <is>
          <t>2026-10-23</t>
        </is>
      </c>
      <c r="X187" t="inlineStr">
        <is>
          <t>office</t>
        </is>
      </c>
      <c r="Y187">
        <f>IF(EU187&lt;&gt;"Y","",COUNTIFS($EU$2:$EU$1000,"Y",$J$2:$J$1000,"&gt;"&amp;J187)+COUNTIFS($EU$2:$EU$1000,"Y",$J$2:$J$1000,J187,$EW$2:$EW$1000,"&lt;"&amp;EW187)+1)</f>
        <v/>
      </c>
      <c r="Z187" t="n">
        <v>186</v>
      </c>
      <c r="AA187" t="inlineStr">
        <is>
          <t>N</t>
        </is>
      </c>
      <c r="AD187" t="inlineStr">
        <is>
          <t>none</t>
        </is>
      </c>
      <c r="AH187" t="inlineStr">
        <is>
          <t>none</t>
        </is>
      </c>
      <c r="AI187" t="inlineStr">
        <is>
          <t>11 East 26th Street</t>
        </is>
      </c>
      <c r="AJ187" t="inlineStr">
        <is>
          <t>10</t>
        </is>
      </c>
      <c r="AK187" t="inlineStr">
        <is>
          <t>occupancy-unconfirmed</t>
        </is>
      </c>
      <c r="AL187" t="inlineStr">
        <is>
          <t>unknown</t>
        </is>
      </c>
      <c r="AM187" t="inlineStr">
        <is>
          <t>unknown</t>
        </is>
      </c>
      <c r="AN187" t="inlineStr">
        <is>
          <t>none</t>
        </is>
      </c>
      <c r="AO187" t="inlineStr">
        <is>
          <t>unknown</t>
        </is>
      </c>
      <c r="AP187" t="inlineStr">
        <is>
          <t>AO-C-134</t>
        </is>
      </c>
      <c r="AQ187" t="inlineStr">
        <is>
          <t>N</t>
        </is>
      </c>
      <c r="AT187">
        <f>IF(AND(AX187="pass",AQ187&lt;&gt;"Y",C187&lt;&gt;"",OR(AW187&lt;&gt;"Y",AV187="Y")),"Y","N")</f>
        <v/>
      </c>
      <c r="AU187">
        <f>_xlfn.TEXTJOIN("; ",TRUE,IF(AX187&lt;&gt;"pass","gated out",""),IF(AQ187="Y","on hold: "&amp;AR187,""),IF(C187="","no contact named on an opened page",""),IF(AND(AW187="Y",AV187&lt;&gt;"Y"),"Tuesday estimate band "&amp;L187&amp;": founder's call",""))</f>
        <v/>
      </c>
      <c r="AW187" t="inlineStr">
        <is>
          <t>N</t>
        </is>
      </c>
      <c r="AX187" t="inlineStr">
        <is>
          <t>pass</t>
        </is>
      </c>
      <c r="AY187" t="inlineStr">
        <is>
          <t>passes all hard gates</t>
        </is>
      </c>
      <c r="AZ187" t="inlineStr">
        <is>
          <t>company</t>
        </is>
      </c>
      <c r="BA187" t="inlineStr">
        <is>
          <t>B-C-134</t>
        </is>
      </c>
      <c r="BB187" t="inlineStr">
        <is>
          <t>https://reckoner.com</t>
        </is>
      </c>
      <c r="BC187" t="inlineStr">
        <is>
          <t>asset management (alternative credit)</t>
        </is>
      </c>
      <c r="BD187" t="inlineStr">
        <is>
          <t>unknown</t>
        </is>
      </c>
      <c r="BF187" t="inlineStr">
        <is>
          <t>unknown</t>
        </is>
      </c>
      <c r="BG187" t="inlineStr">
        <is>
          <t>unknown</t>
        </is>
      </c>
      <c r="BH187" t="inlineStr">
        <is>
          <t>no-count</t>
        </is>
      </c>
      <c r="BK187" t="inlineStr">
        <is>
          <t>unknown</t>
        </is>
      </c>
      <c r="BL187" t="inlineStr">
        <is>
          <t>unknown</t>
        </is>
      </c>
      <c r="BM187" t="inlineStr">
        <is>
          <t>unknown</t>
        </is>
      </c>
      <c r="BN187" t="inlineStr">
        <is>
          <t>unknown</t>
        </is>
      </c>
      <c r="BO187" t="inlineStr">
        <is>
          <t>unknown</t>
        </is>
      </c>
      <c r="BP187" t="inlineStr">
        <is>
          <t>10010</t>
        </is>
      </c>
      <c r="BQ187" t="n">
        <v>40.743309</v>
      </c>
      <c r="BR187" t="n">
        <v>-73.987329</v>
      </c>
      <c r="BS187" t="inlineStr">
        <is>
          <t>Y</t>
        </is>
      </c>
      <c r="BT187" t="n">
        <v>0</v>
      </c>
      <c r="BU187" t="inlineStr">
        <is>
          <t>B-B-065</t>
        </is>
      </c>
      <c r="BV187" t="inlineStr">
        <is>
          <t>11 East 26th Street (Rockrose; joined to 15 East 26th Street)</t>
        </is>
      </c>
      <c r="BW187" t="inlineStr">
        <is>
          <t>https://commercialobserver.com/2025/03/reckoner-capital-management-lease-11-east-26th-street/</t>
        </is>
      </c>
      <c r="BX187" t="inlineStr">
        <is>
          <t>2025-03-12</t>
        </is>
      </c>
      <c r="BY187" t="inlineStr">
        <is>
          <t>leasing-press</t>
        </is>
      </c>
      <c r="BZ187" t="inlineStr">
        <is>
          <t>https://commercialobserver.com/2025/10/lutron-electronics-office-lease-11-east-26th-street/</t>
        </is>
      </c>
      <c r="CA187" t="inlineStr">
        <is>
          <t>2025-10-22</t>
        </is>
      </c>
      <c r="CC187" t="inlineStr">
        <is>
          <t>medium</t>
        </is>
      </c>
      <c r="CE187" t="inlineStr">
        <is>
          <t>N</t>
        </is>
      </c>
      <c r="CH187" t="inlineStr">
        <is>
          <t>unknown</t>
        </is>
      </c>
      <c r="CJ187" t="inlineStr">
        <is>
          <t>unknown</t>
        </is>
      </c>
      <c r="CK187" t="inlineStr">
        <is>
          <t>N</t>
        </is>
      </c>
      <c r="CL187" t="inlineStr">
        <is>
          <t>unknown</t>
        </is>
      </c>
      <c r="CO187" t="inlineStr">
        <is>
          <t>unknown</t>
        </is>
      </c>
      <c r="CQ187" t="inlineStr">
        <is>
          <t>No sourced headcount, so no Tuesday estimate; ask the Tuesday count at intake.</t>
        </is>
      </c>
      <c r="CR187" t="inlineStr">
        <is>
          <t>estimate until intake replaces it</t>
        </is>
      </c>
      <c r="CS187" t="inlineStr">
        <is>
          <t>unknown</t>
        </is>
      </c>
      <c r="CT187" t="n">
        <v>29</v>
      </c>
      <c r="CU187" t="n">
        <v>7</v>
      </c>
      <c r="CV187" t="n">
        <v>8</v>
      </c>
      <c r="CW187" t="n">
        <v>6</v>
      </c>
      <c r="CX187" t="n">
        <v>8</v>
      </c>
      <c r="CY187">
        <f>IF(AH187="exact",10,IF(AH187="adjacent",5,0))</f>
        <v/>
      </c>
      <c r="CZ187">
        <f>IF(R187="Y",15,0)</f>
        <v/>
      </c>
      <c r="DF187" t="inlineStr">
        <is>
          <t>none</t>
        </is>
      </c>
      <c r="DG187" t="inlineStr">
        <is>
          <t>candidate</t>
        </is>
      </c>
      <c r="DJ187" t="inlineStr">
        <is>
          <t>12,124 sf</t>
        </is>
      </c>
      <c r="DK187" t="inlineStr">
        <is>
          <t>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187" t="inlineStr">
        <is>
          <t>none</t>
        </is>
      </c>
      <c r="DX187" t="inlineStr">
        <is>
          <t>N</t>
        </is>
      </c>
      <c r="ER187">
        <f>IF(ISNUMBER(MATCH(U187,{"queued","contacted","replied","call_booked","call_done","yes_in_principle","materials_sent"},0)),"Y","N")</f>
        <v/>
      </c>
      <c r="ES187">
        <f>IF(COUNTIFS($AP$2:$AP$1000,AP187,$ER$2:$ER$1000,"Y")+COUNTIFS($AP$2:$AP$1000,AP187,$T$2:$T$1000,"Y")&gt;0,"Y","N")</f>
        <v/>
      </c>
      <c r="ET187">
        <f>IF(AND(U187="new",T187="N",AT187="Y",AS187="",ES187="N"),"Y","N")</f>
        <v/>
      </c>
      <c r="EU187">
        <f>IF(ET187&lt;&gt;"Y","N",IF(COUNTIFS($AP$2:$AP$1000,AP187,$ET$2:$ET$1000,"Y",$J$2:$J$1000,"&gt;"&amp;J187)+COUNTIFS($AP$2:$AP$1000,AP187,$ET$2:$ET$1000,"Y",$J$2:$J$1000,J187,$EW$2:$EW$1000,"&lt;"&amp;EW187)=0,"Y","N"))</f>
        <v/>
      </c>
      <c r="EV187">
        <f>IF(Y187="","N",IF(Y187&lt;=10,"Y","N"))</f>
        <v/>
      </c>
      <c r="EW187">
        <f>ROW()-1</f>
        <v/>
      </c>
    </row>
    <row r="188">
      <c r="A188" t="inlineStr">
        <is>
          <t>AO-C-149</t>
        </is>
      </c>
      <c r="B188" t="inlineStr">
        <is>
          <t>SWA Group</t>
        </is>
      </c>
      <c r="H188" t="inlineStr">
        <is>
          <t>none</t>
        </is>
      </c>
      <c r="I188" t="inlineStr">
        <is>
          <t>linkedin</t>
        </is>
      </c>
      <c r="J188">
        <f>IF(AX188="pass",ROUND(CU188+CV188+CW188+CX188+CY188+CZ188,1),0)</f>
        <v/>
      </c>
      <c r="K188" t="inlineStr">
        <is>
          <t>Tuesday headcount unknown (no sourced count), company size unknown, no attendance signal, occupancy-unconfirmed at a medium-confidence address; contacts not researched yet (below the top 50).</t>
        </is>
      </c>
      <c r="L188" t="inlineStr">
        <is>
          <t>unknown</t>
        </is>
      </c>
      <c r="R188" t="inlineStr">
        <is>
          <t>N</t>
        </is>
      </c>
      <c r="S188" t="inlineStr">
        <is>
          <t>unknown</t>
        </is>
      </c>
      <c r="T188" t="inlineStr">
        <is>
          <t>N</t>
        </is>
      </c>
      <c r="U188" t="inlineStr">
        <is>
          <t>new</t>
        </is>
      </c>
      <c r="V188" t="inlineStr">
        <is>
          <t>https://commercialobserver.com/2026/08/swa-group-lease-381-park-avenue-south/</t>
        </is>
      </c>
      <c r="W188" t="inlineStr">
        <is>
          <t>2026-10-23</t>
        </is>
      </c>
      <c r="X188" t="inlineStr">
        <is>
          <t>office</t>
        </is>
      </c>
      <c r="Y188">
        <f>IF(EU188&lt;&gt;"Y","",COUNTIFS($EU$2:$EU$1000,"Y",$J$2:$J$1000,"&gt;"&amp;J188)+COUNTIFS($EU$2:$EU$1000,"Y",$J$2:$J$1000,J188,$EW$2:$EW$1000,"&lt;"&amp;EW188)+1)</f>
        <v/>
      </c>
      <c r="Z188" t="n">
        <v>187</v>
      </c>
      <c r="AA188" t="inlineStr">
        <is>
          <t>N</t>
        </is>
      </c>
      <c r="AD188" t="inlineStr">
        <is>
          <t>none</t>
        </is>
      </c>
      <c r="AH188" t="inlineStr">
        <is>
          <t>none</t>
        </is>
      </c>
      <c r="AI188" t="inlineStr">
        <is>
          <t>381 Park Avenue South</t>
        </is>
      </c>
      <c r="AJ188" t="inlineStr">
        <is>
          <t>12 (part)</t>
        </is>
      </c>
      <c r="AK188" t="inlineStr">
        <is>
          <t>occupancy-unconfirmed</t>
        </is>
      </c>
      <c r="AL188" t="inlineStr">
        <is>
          <t>unknown</t>
        </is>
      </c>
      <c r="AM188" t="inlineStr">
        <is>
          <t>unknown</t>
        </is>
      </c>
      <c r="AN188" t="inlineStr">
        <is>
          <t>none</t>
        </is>
      </c>
      <c r="AO188" t="inlineStr">
        <is>
          <t>unknown</t>
        </is>
      </c>
      <c r="AP188" t="inlineStr">
        <is>
          <t>AO-C-149</t>
        </is>
      </c>
      <c r="AQ188" t="inlineStr">
        <is>
          <t>N</t>
        </is>
      </c>
      <c r="AT188">
        <f>IF(AND(AX188="pass",AQ188&lt;&gt;"Y",C188&lt;&gt;"",OR(AW188&lt;&gt;"Y",AV188="Y")),"Y","N")</f>
        <v/>
      </c>
      <c r="AU188">
        <f>_xlfn.TEXTJOIN("; ",TRUE,IF(AX188&lt;&gt;"pass","gated out",""),IF(AQ188="Y","on hold: "&amp;AR188,""),IF(C188="","no contact named on an opened page",""),IF(AND(AW188="Y",AV188&lt;&gt;"Y"),"Tuesday estimate band "&amp;L188&amp;": founder's call",""))</f>
        <v/>
      </c>
      <c r="AW188" t="inlineStr">
        <is>
          <t>N</t>
        </is>
      </c>
      <c r="AX188" t="inlineStr">
        <is>
          <t>pass</t>
        </is>
      </c>
      <c r="AY188" t="inlineStr">
        <is>
          <t>passes all hard gates</t>
        </is>
      </c>
      <c r="AZ188" t="inlineStr">
        <is>
          <t>company</t>
        </is>
      </c>
      <c r="BA188" t="inlineStr">
        <is>
          <t>B-C-149</t>
        </is>
      </c>
      <c r="BB188" t="inlineStr">
        <is>
          <t>unknown</t>
        </is>
      </c>
      <c r="BC188" t="inlineStr">
        <is>
          <t>landscape architecture and urban design</t>
        </is>
      </c>
      <c r="BD188" t="inlineStr">
        <is>
          <t>unknown</t>
        </is>
      </c>
      <c r="BF188" t="inlineStr">
        <is>
          <t>unknown</t>
        </is>
      </c>
      <c r="BG188" t="inlineStr">
        <is>
          <t>unknown</t>
        </is>
      </c>
      <c r="BH188" t="inlineStr">
        <is>
          <t>no-count</t>
        </is>
      </c>
      <c r="BK188" t="inlineStr">
        <is>
          <t>unknown</t>
        </is>
      </c>
      <c r="BL188" t="inlineStr">
        <is>
          <t>unknown</t>
        </is>
      </c>
      <c r="BM188" t="inlineStr">
        <is>
          <t>unknown</t>
        </is>
      </c>
      <c r="BN188" t="inlineStr">
        <is>
          <t>unknown</t>
        </is>
      </c>
      <c r="BO188" t="inlineStr">
        <is>
          <t>unknown</t>
        </is>
      </c>
      <c r="BP188" t="inlineStr">
        <is>
          <t>10016</t>
        </is>
      </c>
      <c r="BQ188" t="n">
        <v>40.7425</v>
      </c>
      <c r="BR188" t="n">
        <v>-73.98444600000001</v>
      </c>
      <c r="BS188" t="inlineStr">
        <is>
          <t>Y</t>
        </is>
      </c>
      <c r="BT188" t="n">
        <v>0</v>
      </c>
      <c r="BU188" t="inlineStr">
        <is>
          <t>B-B-068</t>
        </is>
      </c>
      <c r="BV188" t="inlineStr">
        <is>
          <t>381 Park Avenue South (Olmstead Properties and Vertex)</t>
        </is>
      </c>
      <c r="BW188" t="inlineStr">
        <is>
          <t>https://commercialobserver.com/2026/08/swa-group-lease-381-park-avenue-south/</t>
        </is>
      </c>
      <c r="BX188" t="inlineStr">
        <is>
          <t>2026-08-11</t>
        </is>
      </c>
      <c r="BY188" t="inlineStr">
        <is>
          <t>leasing-press</t>
        </is>
      </c>
      <c r="CC188" t="inlineStr">
        <is>
          <t>medium</t>
        </is>
      </c>
      <c r="CE188" t="inlineStr">
        <is>
          <t>N</t>
        </is>
      </c>
      <c r="CH188" t="inlineStr">
        <is>
          <t>unknown</t>
        </is>
      </c>
      <c r="CJ188" t="inlineStr">
        <is>
          <t>unknown</t>
        </is>
      </c>
      <c r="CK188" t="inlineStr">
        <is>
          <t>N</t>
        </is>
      </c>
      <c r="CL188" t="inlineStr">
        <is>
          <t>unknown</t>
        </is>
      </c>
      <c r="CO188" t="inlineStr">
        <is>
          <t>unknown</t>
        </is>
      </c>
      <c r="CQ188" t="inlineStr">
        <is>
          <t>No sourced headcount, so no Tuesday estimate; ask the Tuesday count at intake.</t>
        </is>
      </c>
      <c r="CR188" t="inlineStr">
        <is>
          <t>estimate until intake replaces it</t>
        </is>
      </c>
      <c r="CS188" t="inlineStr">
        <is>
          <t>unknown</t>
        </is>
      </c>
      <c r="CT188" t="n">
        <v>29</v>
      </c>
      <c r="CU188" t="n">
        <v>7</v>
      </c>
      <c r="CV188" t="n">
        <v>8</v>
      </c>
      <c r="CW188" t="n">
        <v>6</v>
      </c>
      <c r="CX188" t="n">
        <v>8</v>
      </c>
      <c r="CY188">
        <f>IF(AH188="exact",10,IF(AH188="adjacent",5,0))</f>
        <v/>
      </c>
      <c r="CZ188">
        <f>IF(R188="Y",15,0)</f>
        <v/>
      </c>
      <c r="DF188" t="inlineStr">
        <is>
          <t>none</t>
        </is>
      </c>
      <c r="DG188" t="inlineStr">
        <is>
          <t>candidate</t>
        </is>
      </c>
      <c r="DJ188" t="inlineStr">
        <is>
          <t>5,789 sf</t>
        </is>
      </c>
      <c r="DK188" t="inlineStr">
        <is>
          <t>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S188" t="inlineStr">
        <is>
          <t>none</t>
        </is>
      </c>
      <c r="DX188" t="inlineStr">
        <is>
          <t>N</t>
        </is>
      </c>
      <c r="ER188">
        <f>IF(ISNUMBER(MATCH(U188,{"queued","contacted","replied","call_booked","call_done","yes_in_principle","materials_sent"},0)),"Y","N")</f>
        <v/>
      </c>
      <c r="ES188">
        <f>IF(COUNTIFS($AP$2:$AP$1000,AP188,$ER$2:$ER$1000,"Y")+COUNTIFS($AP$2:$AP$1000,AP188,$T$2:$T$1000,"Y")&gt;0,"Y","N")</f>
        <v/>
      </c>
      <c r="ET188">
        <f>IF(AND(U188="new",T188="N",AT188="Y",AS188="",ES188="N"),"Y","N")</f>
        <v/>
      </c>
      <c r="EU188">
        <f>IF(ET188&lt;&gt;"Y","N",IF(COUNTIFS($AP$2:$AP$1000,AP188,$ET$2:$ET$1000,"Y",$J$2:$J$1000,"&gt;"&amp;J188)+COUNTIFS($AP$2:$AP$1000,AP188,$ET$2:$ET$1000,"Y",$J$2:$J$1000,J188,$EW$2:$EW$1000,"&lt;"&amp;EW188)=0,"Y","N"))</f>
        <v/>
      </c>
      <c r="EV188">
        <f>IF(Y188="","N",IF(Y188&lt;=10,"Y","N"))</f>
        <v/>
      </c>
      <c r="EW188">
        <f>ROW()-1</f>
        <v/>
      </c>
    </row>
    <row r="189">
      <c r="A189" t="inlineStr">
        <is>
          <t>AO-C-117</t>
        </is>
      </c>
      <c r="B189" t="inlineStr">
        <is>
          <t>Urban Atelier Group</t>
        </is>
      </c>
      <c r="H189" t="inlineStr">
        <is>
          <t>none</t>
        </is>
      </c>
      <c r="I189" t="inlineStr">
        <is>
          <t>linkedin</t>
        </is>
      </c>
      <c r="J189">
        <f>IF(AX189="pass",ROUND(CU189+CV189+CW189+CX189+CY189+CZ189,1),0)</f>
        <v/>
      </c>
      <c r="K189" t="inlineStr">
        <is>
          <t>Tuesday headcount unknown (no sourced count), company size unknown, no attendance signal, occupancy-unconfirmed at a medium-confidence address; contacts not researched yet (below the top 50).</t>
        </is>
      </c>
      <c r="L189" t="inlineStr">
        <is>
          <t>unknown</t>
        </is>
      </c>
      <c r="R189" t="inlineStr">
        <is>
          <t>N</t>
        </is>
      </c>
      <c r="S189" t="inlineStr">
        <is>
          <t>unknown</t>
        </is>
      </c>
      <c r="T189" t="inlineStr">
        <is>
          <t>N</t>
        </is>
      </c>
      <c r="U189" t="inlineStr">
        <is>
          <t>new</t>
        </is>
      </c>
      <c r="V189" t="inlineStr">
        <is>
          <t>https://commercialobserver.com/2024/11/urban-atelier-group-lease-41-madison-avenue/</t>
        </is>
      </c>
      <c r="W189" t="inlineStr">
        <is>
          <t>2026-10-23</t>
        </is>
      </c>
      <c r="X189" t="inlineStr">
        <is>
          <t>office</t>
        </is>
      </c>
      <c r="Y189">
        <f>IF(EU189&lt;&gt;"Y","",COUNTIFS($EU$2:$EU$1000,"Y",$J$2:$J$1000,"&gt;"&amp;J189)+COUNTIFS($EU$2:$EU$1000,"Y",$J$2:$J$1000,J189,$EW$2:$EW$1000,"&lt;"&amp;EW189)+1)</f>
        <v/>
      </c>
      <c r="Z189" t="n">
        <v>188</v>
      </c>
      <c r="AA189" t="inlineStr">
        <is>
          <t>N</t>
        </is>
      </c>
      <c r="AD189" t="inlineStr">
        <is>
          <t>none</t>
        </is>
      </c>
      <c r="AH189" t="inlineStr">
        <is>
          <t>none</t>
        </is>
      </c>
      <c r="AI189" t="inlineStr">
        <is>
          <t>41 Madison Avenue</t>
        </is>
      </c>
      <c r="AJ189" t="inlineStr">
        <is>
          <t>12-13</t>
        </is>
      </c>
      <c r="AK189" t="inlineStr">
        <is>
          <t>occupancy-unconfirmed</t>
        </is>
      </c>
      <c r="AL189" t="inlineStr">
        <is>
          <t>unknown</t>
        </is>
      </c>
      <c r="AM189" t="inlineStr">
        <is>
          <t>unknown</t>
        </is>
      </c>
      <c r="AN189" t="inlineStr">
        <is>
          <t>none</t>
        </is>
      </c>
      <c r="AO189" t="inlineStr">
        <is>
          <t>unknown</t>
        </is>
      </c>
      <c r="AP189" t="inlineStr">
        <is>
          <t>AO-C-117</t>
        </is>
      </c>
      <c r="AQ189" t="inlineStr">
        <is>
          <t>N</t>
        </is>
      </c>
      <c r="AT189">
        <f>IF(AND(AX189="pass",AQ189&lt;&gt;"Y",C189&lt;&gt;"",OR(AW189&lt;&gt;"Y",AV189="Y")),"Y","N")</f>
        <v/>
      </c>
      <c r="AU189">
        <f>_xlfn.TEXTJOIN("; ",TRUE,IF(AX189&lt;&gt;"pass","gated out",""),IF(AQ189="Y","on hold: "&amp;AR189,""),IF(C189="","no contact named on an opened page",""),IF(AND(AW189="Y",AV189&lt;&gt;"Y"),"Tuesday estimate band "&amp;L189&amp;": founder's call",""))</f>
        <v/>
      </c>
      <c r="AW189" t="inlineStr">
        <is>
          <t>N</t>
        </is>
      </c>
      <c r="AX189" t="inlineStr">
        <is>
          <t>pass</t>
        </is>
      </c>
      <c r="AY189" t="inlineStr">
        <is>
          <t>passes all hard gates</t>
        </is>
      </c>
      <c r="AZ189" t="inlineStr">
        <is>
          <t>company</t>
        </is>
      </c>
      <c r="BA189" t="inlineStr">
        <is>
          <t>B-C-117</t>
        </is>
      </c>
      <c r="BB189" t="inlineStr">
        <is>
          <t>unknown</t>
        </is>
      </c>
      <c r="BC189" t="inlineStr">
        <is>
          <t>construction management and design-build</t>
        </is>
      </c>
      <c r="BD189" t="inlineStr">
        <is>
          <t>unknown</t>
        </is>
      </c>
      <c r="BF189" t="inlineStr">
        <is>
          <t>unknown</t>
        </is>
      </c>
      <c r="BG189" t="inlineStr">
        <is>
          <t>unknown</t>
        </is>
      </c>
      <c r="BH189" t="inlineStr">
        <is>
          <t>no-count</t>
        </is>
      </c>
      <c r="BK189" t="inlineStr">
        <is>
          <t>unknown</t>
        </is>
      </c>
      <c r="BL189" t="inlineStr">
        <is>
          <t>unknown</t>
        </is>
      </c>
      <c r="BM189" t="inlineStr">
        <is>
          <t>unknown</t>
        </is>
      </c>
      <c r="BN189" t="inlineStr">
        <is>
          <t>unknown</t>
        </is>
      </c>
      <c r="BO189" t="inlineStr">
        <is>
          <t>unknown</t>
        </is>
      </c>
      <c r="BP189" t="inlineStr">
        <is>
          <t>10010</t>
        </is>
      </c>
      <c r="BQ189" t="n">
        <v>40.742477</v>
      </c>
      <c r="BR189" t="n">
        <v>-73.986608</v>
      </c>
      <c r="BS189" t="inlineStr">
        <is>
          <t>Y</t>
        </is>
      </c>
      <c r="BT189" t="n">
        <v>0</v>
      </c>
      <c r="BU189" t="inlineStr">
        <is>
          <t>B-B-057</t>
        </is>
      </c>
      <c r="BV189" t="inlineStr">
        <is>
          <t>41 Madison Avenue (Rudin)</t>
        </is>
      </c>
      <c r="BW189" t="inlineStr">
        <is>
          <t>https://commercialobserver.com/2024/11/urban-atelier-group-lease-41-madison-avenue/</t>
        </is>
      </c>
      <c r="BX189" t="inlineStr">
        <is>
          <t>2024-11-04</t>
        </is>
      </c>
      <c r="BY189" t="inlineStr">
        <is>
          <t>leasing-press</t>
        </is>
      </c>
      <c r="CC189" t="inlineStr">
        <is>
          <t>medium</t>
        </is>
      </c>
      <c r="CE189" t="inlineStr">
        <is>
          <t>N</t>
        </is>
      </c>
      <c r="CH189" t="inlineStr">
        <is>
          <t>security desk</t>
        </is>
      </c>
      <c r="CI189" t="inlineStr">
        <is>
          <t>https://www.metro-manhattan.com/buildings/41-madison-avenue-forty-one-madison-office-space/</t>
        </is>
      </c>
      <c r="CJ189" t="inlineStr">
        <is>
          <t>unknown</t>
        </is>
      </c>
      <c r="CK189" t="inlineStr">
        <is>
          <t>N</t>
        </is>
      </c>
      <c r="CL189" t="inlineStr">
        <is>
          <t>unknown</t>
        </is>
      </c>
      <c r="CO189" t="inlineStr">
        <is>
          <t>unknown</t>
        </is>
      </c>
      <c r="CQ189" t="inlineStr">
        <is>
          <t>No sourced headcount, so no Tuesday estimate; ask the Tuesday count at intake.</t>
        </is>
      </c>
      <c r="CR189" t="inlineStr">
        <is>
          <t>estimate until intake replaces it</t>
        </is>
      </c>
      <c r="CS189" t="inlineStr">
        <is>
          <t>unknown</t>
        </is>
      </c>
      <c r="CT189" t="n">
        <v>29</v>
      </c>
      <c r="CU189" t="n">
        <v>7</v>
      </c>
      <c r="CV189" t="n">
        <v>8</v>
      </c>
      <c r="CW189" t="n">
        <v>6</v>
      </c>
      <c r="CX189" t="n">
        <v>8</v>
      </c>
      <c r="CY189">
        <f>IF(AH189="exact",10,IF(AH189="adjacent",5,0))</f>
        <v/>
      </c>
      <c r="CZ189">
        <f>IF(R189="Y",15,0)</f>
        <v/>
      </c>
      <c r="DF189" t="inlineStr">
        <is>
          <t>none</t>
        </is>
      </c>
      <c r="DG189" t="inlineStr">
        <is>
          <t>candidate</t>
        </is>
      </c>
      <c r="DJ189" t="inlineStr">
        <is>
          <t>25,268 sf</t>
        </is>
      </c>
      <c r="DK189" t="inlineStr">
        <is>
          <t>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is>
      </c>
      <c r="DS189" t="inlineStr">
        <is>
          <t>none</t>
        </is>
      </c>
      <c r="DX189" t="inlineStr">
        <is>
          <t>N</t>
        </is>
      </c>
      <c r="ER189">
        <f>IF(ISNUMBER(MATCH(U189,{"queued","contacted","replied","call_booked","call_done","yes_in_principle","materials_sent"},0)),"Y","N")</f>
        <v/>
      </c>
      <c r="ES189">
        <f>IF(COUNTIFS($AP$2:$AP$1000,AP189,$ER$2:$ER$1000,"Y")+COUNTIFS($AP$2:$AP$1000,AP189,$T$2:$T$1000,"Y")&gt;0,"Y","N")</f>
        <v/>
      </c>
      <c r="ET189">
        <f>IF(AND(U189="new",T189="N",AT189="Y",AS189="",ES189="N"),"Y","N")</f>
        <v/>
      </c>
      <c r="EU189">
        <f>IF(ET189&lt;&gt;"Y","N",IF(COUNTIFS($AP$2:$AP$1000,AP189,$ET$2:$ET$1000,"Y",$J$2:$J$1000,"&gt;"&amp;J189)+COUNTIFS($AP$2:$AP$1000,AP189,$ET$2:$ET$1000,"Y",$J$2:$J$1000,J189,$EW$2:$EW$1000,"&lt;"&amp;EW189)=0,"Y","N"))</f>
        <v/>
      </c>
      <c r="EV189">
        <f>IF(Y189="","N",IF(Y189&lt;=10,"Y","N"))</f>
        <v/>
      </c>
      <c r="EW189">
        <f>ROW()-1</f>
        <v/>
      </c>
    </row>
    <row r="190">
      <c r="A190" t="inlineStr">
        <is>
          <t>AO-C-081</t>
        </is>
      </c>
      <c r="B190" t="inlineStr">
        <is>
          <t>Vitesse PSP</t>
        </is>
      </c>
      <c r="H190" t="inlineStr">
        <is>
          <t>none</t>
        </is>
      </c>
      <c r="I190" t="inlineStr">
        <is>
          <t>linkedin</t>
        </is>
      </c>
      <c r="J190">
        <f>IF(AX190="pass",ROUND(CU190+CV190+CW190+CX190+CY190+CZ190,1),0)</f>
        <v/>
      </c>
      <c r="K190" t="inlineStr">
        <is>
          <t>Tuesday headcount unknown (no sourced count), company size unknown, no attendance signal, occupancy-unconfirmed at a medium-confidence address; contacts not researched yet (below the top 50).</t>
        </is>
      </c>
      <c r="L190" t="inlineStr">
        <is>
          <t>unknown</t>
        </is>
      </c>
      <c r="R190" t="inlineStr">
        <is>
          <t>N</t>
        </is>
      </c>
      <c r="S190" t="inlineStr">
        <is>
          <t>unknown</t>
        </is>
      </c>
      <c r="T190" t="inlineStr">
        <is>
          <t>N</t>
        </is>
      </c>
      <c r="U190" t="inlineStr">
        <is>
          <t>new</t>
        </is>
      </c>
      <c r="V190" t="inlineStr">
        <is>
          <t>https://commercialobserver.com/2025/04/vitesse-psp-lease-155-fifth-avenue/</t>
        </is>
      </c>
      <c r="W190" t="inlineStr">
        <is>
          <t>2026-10-23</t>
        </is>
      </c>
      <c r="X190" t="inlineStr">
        <is>
          <t>office</t>
        </is>
      </c>
      <c r="Y190">
        <f>IF(EU190&lt;&gt;"Y","",COUNTIFS($EU$2:$EU$1000,"Y",$J$2:$J$1000,"&gt;"&amp;J190)+COUNTIFS($EU$2:$EU$1000,"Y",$J$2:$J$1000,J190,$EW$2:$EW$1000,"&lt;"&amp;EW190)+1)</f>
        <v/>
      </c>
      <c r="Z190" t="n">
        <v>189</v>
      </c>
      <c r="AA190" t="inlineStr">
        <is>
          <t>N</t>
        </is>
      </c>
      <c r="AD190" t="inlineStr">
        <is>
          <t>none</t>
        </is>
      </c>
      <c r="AH190" t="inlineStr">
        <is>
          <t>none</t>
        </is>
      </c>
      <c r="AI190" t="inlineStr">
        <is>
          <t>155 Fifth Avenue</t>
        </is>
      </c>
      <c r="AJ190" t="inlineStr">
        <is>
          <t>unknown</t>
        </is>
      </c>
      <c r="AK190" t="inlineStr">
        <is>
          <t>occupancy-unconfirmed</t>
        </is>
      </c>
      <c r="AL190" t="inlineStr">
        <is>
          <t>unknown</t>
        </is>
      </c>
      <c r="AM190" t="inlineStr">
        <is>
          <t>unknown</t>
        </is>
      </c>
      <c r="AN190" t="inlineStr">
        <is>
          <t>none</t>
        </is>
      </c>
      <c r="AO190" t="inlineStr">
        <is>
          <t>unknown</t>
        </is>
      </c>
      <c r="AP190" t="inlineStr">
        <is>
          <t>AO-C-081</t>
        </is>
      </c>
      <c r="AQ190" t="inlineStr">
        <is>
          <t>N</t>
        </is>
      </c>
      <c r="AT190">
        <f>IF(AND(AX190="pass",AQ190&lt;&gt;"Y",C190&lt;&gt;"",OR(AW190&lt;&gt;"Y",AV190="Y")),"Y","N")</f>
        <v/>
      </c>
      <c r="AU190">
        <f>_xlfn.TEXTJOIN("; ",TRUE,IF(AX190&lt;&gt;"pass","gated out",""),IF(AQ190="Y","on hold: "&amp;AR190,""),IF(C190="","no contact named on an opened page",""),IF(AND(AW190="Y",AV190&lt;&gt;"Y"),"Tuesday estimate band "&amp;L190&amp;": founder's call",""))</f>
        <v/>
      </c>
      <c r="AW190" t="inlineStr">
        <is>
          <t>N</t>
        </is>
      </c>
      <c r="AX190" t="inlineStr">
        <is>
          <t>pass</t>
        </is>
      </c>
      <c r="AY190" t="inlineStr">
        <is>
          <t>passes all hard gates</t>
        </is>
      </c>
      <c r="AZ190" t="inlineStr">
        <is>
          <t>company</t>
        </is>
      </c>
      <c r="BA190" t="inlineStr">
        <is>
          <t>B-C-081</t>
        </is>
      </c>
      <c r="BB190" t="inlineStr">
        <is>
          <t>https://www.vitesse.io</t>
        </is>
      </c>
      <c r="BC190" t="inlineStr">
        <is>
          <t>fintech (payments and treasury)</t>
        </is>
      </c>
      <c r="BD190" t="inlineStr">
        <is>
          <t>unknown</t>
        </is>
      </c>
      <c r="BF190" t="inlineStr">
        <is>
          <t>unknown</t>
        </is>
      </c>
      <c r="BG190" t="inlineStr">
        <is>
          <t>unknown</t>
        </is>
      </c>
      <c r="BH190" t="inlineStr">
        <is>
          <t>no-count</t>
        </is>
      </c>
      <c r="BK190" t="inlineStr">
        <is>
          <t>unknown</t>
        </is>
      </c>
      <c r="BL190" t="inlineStr">
        <is>
          <t>unknown</t>
        </is>
      </c>
      <c r="BM190" t="inlineStr">
        <is>
          <t>unknown</t>
        </is>
      </c>
      <c r="BN190" t="inlineStr">
        <is>
          <t>unknown</t>
        </is>
      </c>
      <c r="BO190" t="inlineStr">
        <is>
          <t>unknown</t>
        </is>
      </c>
      <c r="BP190" t="inlineStr">
        <is>
          <t>10010</t>
        </is>
      </c>
      <c r="BQ190" t="n">
        <v>40.740438</v>
      </c>
      <c r="BR190" t="n">
        <v>-73.99003399999999</v>
      </c>
      <c r="BS190" t="inlineStr">
        <is>
          <t>Y</t>
        </is>
      </c>
      <c r="BT190" t="n">
        <v>0</v>
      </c>
      <c r="BU190" t="inlineStr">
        <is>
          <t>B-B-037</t>
        </is>
      </c>
      <c r="BV190" t="inlineStr">
        <is>
          <t>Scribner Building</t>
        </is>
      </c>
      <c r="BW190" t="inlineStr">
        <is>
          <t>https://commercialobserver.com/2025/04/vitesse-psp-lease-155-fifth-avenue/</t>
        </is>
      </c>
      <c r="BX190" t="inlineStr">
        <is>
          <t>2025-04-25</t>
        </is>
      </c>
      <c r="BY190" t="inlineStr">
        <is>
          <t>leasing-press</t>
        </is>
      </c>
      <c r="CC190" t="inlineStr">
        <is>
          <t>medium</t>
        </is>
      </c>
      <c r="CE190" t="inlineStr">
        <is>
          <t>N</t>
        </is>
      </c>
      <c r="CH190" t="inlineStr">
        <is>
          <t>unknown</t>
        </is>
      </c>
      <c r="CJ190" t="inlineStr">
        <is>
          <t>unknown</t>
        </is>
      </c>
      <c r="CK190" t="inlineStr">
        <is>
          <t>N</t>
        </is>
      </c>
      <c r="CL190" t="inlineStr">
        <is>
          <t>unknown</t>
        </is>
      </c>
      <c r="CO190" t="inlineStr">
        <is>
          <t>unknown</t>
        </is>
      </c>
      <c r="CQ190" t="inlineStr">
        <is>
          <t>No sourced headcount, so no Tuesday estimate; ask the Tuesday count at intake.</t>
        </is>
      </c>
      <c r="CR190" t="inlineStr">
        <is>
          <t>estimate until intake replaces it</t>
        </is>
      </c>
      <c r="CS190" t="inlineStr">
        <is>
          <t>unknown</t>
        </is>
      </c>
      <c r="CT190" t="n">
        <v>29</v>
      </c>
      <c r="CU190" t="n">
        <v>7</v>
      </c>
      <c r="CV190" t="n">
        <v>8</v>
      </c>
      <c r="CW190" t="n">
        <v>6</v>
      </c>
      <c r="CX190" t="n">
        <v>8</v>
      </c>
      <c r="CY190">
        <f>IF(AH190="exact",10,IF(AH190="adjacent",5,0))</f>
        <v/>
      </c>
      <c r="CZ190">
        <f>IF(R190="Y",15,0)</f>
        <v/>
      </c>
      <c r="DF190" t="inlineStr">
        <is>
          <t>none</t>
        </is>
      </c>
      <c r="DG190" t="inlineStr">
        <is>
          <t>candidate</t>
        </is>
      </c>
      <c r="DJ190" t="inlineStr">
        <is>
          <t>5,200 sf</t>
        </is>
      </c>
      <c r="DK190" t="inlineStr">
        <is>
          <t>5,200 sf lease (CO citing Crain's). London-based; NYC headcount not sourced.</t>
        </is>
      </c>
      <c r="DS190" t="inlineStr">
        <is>
          <t>none</t>
        </is>
      </c>
      <c r="DX190" t="inlineStr">
        <is>
          <t>N</t>
        </is>
      </c>
      <c r="ER190">
        <f>IF(ISNUMBER(MATCH(U190,{"queued","contacted","replied","call_booked","call_done","yes_in_principle","materials_sent"},0)),"Y","N")</f>
        <v/>
      </c>
      <c r="ES190">
        <f>IF(COUNTIFS($AP$2:$AP$1000,AP190,$ER$2:$ER$1000,"Y")+COUNTIFS($AP$2:$AP$1000,AP190,$T$2:$T$1000,"Y")&gt;0,"Y","N")</f>
        <v/>
      </c>
      <c r="ET190">
        <f>IF(AND(U190="new",T190="N",AT190="Y",AS190="",ES190="N"),"Y","N")</f>
        <v/>
      </c>
      <c r="EU190">
        <f>IF(ET190&lt;&gt;"Y","N",IF(COUNTIFS($AP$2:$AP$1000,AP190,$ET$2:$ET$1000,"Y",$J$2:$J$1000,"&gt;"&amp;J190)+COUNTIFS($AP$2:$AP$1000,AP190,$ET$2:$ET$1000,"Y",$J$2:$J$1000,J190,$EW$2:$EW$1000,"&lt;"&amp;EW190)=0,"Y","N"))</f>
        <v/>
      </c>
      <c r="EV190">
        <f>IF(Y190="","N",IF(Y190&lt;=10,"Y","N"))</f>
        <v/>
      </c>
      <c r="EW190">
        <f>ROW()-1</f>
        <v/>
      </c>
    </row>
    <row r="191">
      <c r="A191" t="inlineStr">
        <is>
          <t>AO-W-018</t>
        </is>
      </c>
      <c r="B191" t="inlineStr">
        <is>
          <t>WeWork 245 5th Ave</t>
        </is>
      </c>
      <c r="H191" t="inlineStr">
        <is>
          <t>none</t>
        </is>
      </c>
      <c r="I191" t="inlineStr">
        <is>
          <t>linkedin</t>
        </is>
      </c>
      <c r="J191">
        <f>IF(AX191="pass",ROUND(CU191+CV191+CW191+CX191+CY191+CZ191,1),0)</f>
        <v/>
      </c>
      <c r="K191" t="inlineStr">
        <is>
          <t>Tuesday headcount unknown (no sourced count), coworking operator site (one office if it controls the pantry), no attendance signal, open-unverified at a medium-confidence address; contacts not researched yet (below the top 50).</t>
        </is>
      </c>
      <c r="L191" t="inlineStr">
        <is>
          <t>unknown</t>
        </is>
      </c>
      <c r="R191" t="inlineStr">
        <is>
          <t>N</t>
        </is>
      </c>
      <c r="S191" t="inlineStr">
        <is>
          <t>unknown</t>
        </is>
      </c>
      <c r="T191" t="inlineStr">
        <is>
          <t>N</t>
        </is>
      </c>
      <c r="U191" t="inlineStr">
        <is>
          <t>new</t>
        </is>
      </c>
      <c r="V191" t="inlineStr">
        <is>
          <t>https://www.wework.com/buildings/245-5th-ave--new-york-city--NY</t>
        </is>
      </c>
      <c r="W191" t="inlineStr">
        <is>
          <t>2026-10-23</t>
        </is>
      </c>
      <c r="X191" t="inlineStr">
        <is>
          <t>office</t>
        </is>
      </c>
      <c r="Y191">
        <f>IF(EU191&lt;&gt;"Y","",COUNTIFS($EU$2:$EU$1000,"Y",$J$2:$J$1000,"&gt;"&amp;J191)+COUNTIFS($EU$2:$EU$1000,"Y",$J$2:$J$1000,J191,$EW$2:$EW$1000,"&lt;"&amp;EW191)+1)</f>
        <v/>
      </c>
      <c r="Z191" t="n">
        <v>190</v>
      </c>
      <c r="AA191" t="inlineStr">
        <is>
          <t>N</t>
        </is>
      </c>
      <c r="AD191" t="inlineStr">
        <is>
          <t>none</t>
        </is>
      </c>
      <c r="AH191" t="inlineStr">
        <is>
          <t>none</t>
        </is>
      </c>
      <c r="AI191" t="inlineStr">
        <is>
          <t>245 Fifth Avenue, New York, NY 10016</t>
        </is>
      </c>
      <c r="AJ191" t="inlineStr">
        <is>
          <t>unknown</t>
        </is>
      </c>
      <c r="AK191" t="inlineStr">
        <is>
          <t>open-unverified</t>
        </is>
      </c>
      <c r="AL191" t="inlineStr">
        <is>
          <t>unknown</t>
        </is>
      </c>
      <c r="AM191" t="inlineStr">
        <is>
          <t>unknown</t>
        </is>
      </c>
      <c r="AN191" t="inlineStr">
        <is>
          <t>none</t>
        </is>
      </c>
      <c r="AO191" t="inlineStr">
        <is>
          <t>unknown</t>
        </is>
      </c>
      <c r="AP191" t="inlineStr">
        <is>
          <t>grp-W004-W018-W020-W024-W026-W029</t>
        </is>
      </c>
      <c r="AQ191" t="inlineStr">
        <is>
          <t>N</t>
        </is>
      </c>
      <c r="AT191">
        <f>IF(AND(AX191="pass",AQ191&lt;&gt;"Y",C191&lt;&gt;"",OR(AW191&lt;&gt;"Y",AV191="Y")),"Y","N")</f>
        <v/>
      </c>
      <c r="AU191">
        <f>_xlfn.TEXTJOIN("; ",TRUE,IF(AX191&lt;&gt;"pass","gated out",""),IF(AQ191="Y","on hold: "&amp;AR191,""),IF(C191="","no contact named on an opened page",""),IF(AND(AW191="Y",AV191&lt;&gt;"Y"),"Tuesday estimate band "&amp;L191&amp;": founder's call",""))</f>
        <v/>
      </c>
      <c r="AW191" t="inlineStr">
        <is>
          <t>N</t>
        </is>
      </c>
      <c r="AX191" t="inlineStr">
        <is>
          <t>pass</t>
        </is>
      </c>
      <c r="AY191" t="inlineStr">
        <is>
          <t>passes all hard gates</t>
        </is>
      </c>
      <c r="AZ191" t="inlineStr">
        <is>
          <t>coworking-operator</t>
        </is>
      </c>
      <c r="BA191" t="inlineStr">
        <is>
          <t>B-W-018</t>
        </is>
      </c>
      <c r="BB191" t="inlineStr">
        <is>
          <t>https://www.wework.com</t>
        </is>
      </c>
      <c r="BC191" t="inlineStr">
        <is>
          <t>coworking operator</t>
        </is>
      </c>
      <c r="BD191" t="inlineStr">
        <is>
          <t>unknown</t>
        </is>
      </c>
      <c r="BF191" t="inlineStr">
        <is>
          <t>unknown</t>
        </is>
      </c>
      <c r="BG191" t="inlineStr">
        <is>
          <t>unknown</t>
        </is>
      </c>
      <c r="BK191" t="inlineStr">
        <is>
          <t>unknown</t>
        </is>
      </c>
      <c r="BL191" t="inlineStr">
        <is>
          <t>n/a (operator site)</t>
        </is>
      </c>
      <c r="BM191" t="inlineStr">
        <is>
          <t>unknown</t>
        </is>
      </c>
      <c r="BN191" t="inlineStr">
        <is>
          <t>WeWork</t>
        </is>
      </c>
      <c r="BP191" t="inlineStr">
        <is>
          <t>10016</t>
        </is>
      </c>
      <c r="BQ191" t="n">
        <v>40.74441</v>
      </c>
      <c r="BR191" t="n">
        <v>-73.987275</v>
      </c>
      <c r="BS191" t="inlineStr">
        <is>
          <t>Y</t>
        </is>
      </c>
      <c r="BT191" t="n">
        <v>0</v>
      </c>
      <c r="BU191" t="inlineStr">
        <is>
          <t>B-B-074</t>
        </is>
      </c>
      <c r="BV191" t="inlineStr">
        <is>
          <t>245 Fifth Avenue (Moinian Group)</t>
        </is>
      </c>
      <c r="BW191" t="inlineStr">
        <is>
          <t>https://www.wework.com/buildings/245-5th-ave--new-york-city--NY</t>
        </is>
      </c>
      <c r="BX191" t="inlineStr">
        <is>
          <t>2026-10-23</t>
        </is>
      </c>
      <c r="BY191" t="inlineStr">
        <is>
          <t>operator-site</t>
        </is>
      </c>
      <c r="CC191" t="inlineStr">
        <is>
          <t>medium</t>
        </is>
      </c>
      <c r="CE191" t="inlineStr">
        <is>
          <t>N</t>
        </is>
      </c>
      <c r="CF191" t="inlineStr">
        <is>
          <t>B-W-018</t>
        </is>
      </c>
      <c r="CG191" t="inlineStr">
        <is>
          <t>operator</t>
        </is>
      </c>
      <c r="CH191" t="inlineStr">
        <is>
          <t>security desk</t>
        </is>
      </c>
      <c r="CI191" t="inlineStr">
        <is>
          <t>https://www.metro-manhattan.com/buildings/245-fifth-avenue-office-space-for-lease/</t>
        </is>
      </c>
      <c r="CJ191" t="inlineStr">
        <is>
          <t>unknown</t>
        </is>
      </c>
      <c r="CK191" t="inlineStr">
        <is>
          <t>N</t>
        </is>
      </c>
      <c r="CL191" t="inlineStr">
        <is>
          <t>unknown</t>
        </is>
      </c>
      <c r="CO191" t="inlineStr">
        <is>
          <t>unknown</t>
        </is>
      </c>
      <c r="CQ191" t="inlineStr">
        <is>
          <t>Coworking site: member headcount not sourced; treat as one office if the operator controls the pantry and ask the Tuesday count at intake.</t>
        </is>
      </c>
      <c r="CR191" t="inlineStr">
        <is>
          <t>estimate until intake replaces it</t>
        </is>
      </c>
      <c r="CS191" t="inlineStr">
        <is>
          <t>unknown</t>
        </is>
      </c>
      <c r="CT191" t="n">
        <v>29</v>
      </c>
      <c r="CU191" t="n">
        <v>7</v>
      </c>
      <c r="CV191" t="n">
        <v>8</v>
      </c>
      <c r="CW191" t="n">
        <v>6</v>
      </c>
      <c r="CX191" t="n">
        <v>8</v>
      </c>
      <c r="CY191">
        <f>IF(AH191="exact",10,IF(AH191="adjacent",5,0))</f>
        <v/>
      </c>
      <c r="CZ191">
        <f>IF(R191="Y",15,0)</f>
        <v/>
      </c>
      <c r="DF191" t="inlineStr">
        <is>
          <t>none</t>
        </is>
      </c>
      <c r="DG191" t="inlineStr">
        <is>
          <t>coworking-operator</t>
        </is>
      </c>
      <c r="DK191" t="inlineStr">
        <is>
          <t>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is>
      </c>
      <c r="DS191" t="inlineStr">
        <is>
          <t>none</t>
        </is>
      </c>
      <c r="DX191" t="inlineStr">
        <is>
          <t>N</t>
        </is>
      </c>
      <c r="DZ191" t="inlineStr">
        <is>
          <t>parent 'wework' shared with AO-W-004, AO-W-024, AO-W-029, AO-W-026, AO-W-020</t>
        </is>
      </c>
      <c r="ER191">
        <f>IF(ISNUMBER(MATCH(U191,{"queued","contacted","replied","call_booked","call_done","yes_in_principle","materials_sent"},0)),"Y","N")</f>
        <v/>
      </c>
      <c r="ES191">
        <f>IF(COUNTIFS($AP$2:$AP$1000,AP191,$ER$2:$ER$1000,"Y")+COUNTIFS($AP$2:$AP$1000,AP191,$T$2:$T$1000,"Y")&gt;0,"Y","N")</f>
        <v/>
      </c>
      <c r="ET191">
        <f>IF(AND(U191="new",T191="N",AT191="Y",AS191="",ES191="N"),"Y","N")</f>
        <v/>
      </c>
      <c r="EU191">
        <f>IF(ET191&lt;&gt;"Y","N",IF(COUNTIFS($AP$2:$AP$1000,AP191,$ET$2:$ET$1000,"Y",$J$2:$J$1000,"&gt;"&amp;J191)+COUNTIFS($AP$2:$AP$1000,AP191,$ET$2:$ET$1000,"Y",$J$2:$J$1000,J191,$EW$2:$EW$1000,"&lt;"&amp;EW191)=0,"Y","N"))</f>
        <v/>
      </c>
      <c r="EV191">
        <f>IF(Y191="","N",IF(Y191&lt;=10,"Y","N"))</f>
        <v/>
      </c>
      <c r="EW191">
        <f>ROW()-1</f>
        <v/>
      </c>
    </row>
    <row r="192">
      <c r="A192" t="inlineStr">
        <is>
          <t>AO-C-200</t>
        </is>
      </c>
      <c r="B192" t="inlineStr">
        <is>
          <t>Ro</t>
        </is>
      </c>
      <c r="H192" t="inlineStr">
        <is>
          <t>none</t>
        </is>
      </c>
      <c r="I192" t="inlineStr">
        <is>
          <t>linkedin</t>
        </is>
      </c>
      <c r="J192">
        <f>IF(AX192="pass",ROUND(CU192+CV192+CW192+CX192+CY192+CZ192,1),0)</f>
        <v/>
      </c>
      <c r="K192" t="inlineStr">
        <is>
          <t>Tuesday estimate 235 to 470 (low confidence), 501 to 1,000 staff company-wide, hybrid 2 days or fewer, occupied at a high-confidence address; contacts not researched yet (below the top 50).</t>
        </is>
      </c>
      <c r="L192" t="inlineStr">
        <is>
          <t>251-500</t>
        </is>
      </c>
      <c r="R192" t="inlineStr">
        <is>
          <t>N</t>
        </is>
      </c>
      <c r="S192" t="inlineStr">
        <is>
          <t>unknown</t>
        </is>
      </c>
      <c r="T192" t="inlineStr">
        <is>
          <t>N</t>
        </is>
      </c>
      <c r="U192" t="inlineStr">
        <is>
          <t>new</t>
        </is>
      </c>
      <c r="V192" t="inlineStr">
        <is>
          <t>https://www.builtinnyc.com/company/ro/offices</t>
        </is>
      </c>
      <c r="W192" t="inlineStr">
        <is>
          <t>2026-10-23</t>
        </is>
      </c>
      <c r="X192" t="inlineStr">
        <is>
          <t>office</t>
        </is>
      </c>
      <c r="Y192">
        <f>IF(EU192&lt;&gt;"Y","",COUNTIFS($EU$2:$EU$1000,"Y",$J$2:$J$1000,"&gt;"&amp;J192)+COUNTIFS($EU$2:$EU$1000,"Y",$J$2:$J$1000,J192,$EW$2:$EW$1000,"&lt;"&amp;EW192)+1)</f>
        <v/>
      </c>
      <c r="Z192" t="n">
        <v>191</v>
      </c>
      <c r="AA192" t="inlineStr">
        <is>
          <t>N</t>
        </is>
      </c>
      <c r="AB192" t="inlineStr">
        <is>
          <t>Tuesday estimate band 251-500: founder's call (set founder_ok_to_queue = Y to queue)</t>
        </is>
      </c>
      <c r="AD192" t="inlineStr">
        <is>
          <t>none</t>
        </is>
      </c>
      <c r="AH192" t="inlineStr">
        <is>
          <t>none</t>
        </is>
      </c>
      <c r="AI192" t="inlineStr">
        <is>
          <t>625 Avenue of the Americas</t>
        </is>
      </c>
      <c r="AJ192" t="inlineStr">
        <is>
          <t>4</t>
        </is>
      </c>
      <c r="AK192" t="inlineStr">
        <is>
          <t>occupied</t>
        </is>
      </c>
      <c r="AL192" t="n">
        <v>235</v>
      </c>
      <c r="AM192" t="n">
        <v>470</v>
      </c>
      <c r="AN192" t="inlineStr">
        <is>
          <t>low</t>
        </is>
      </c>
      <c r="AO192" t="inlineStr">
        <is>
          <t>hybrid-2-or-less</t>
        </is>
      </c>
      <c r="AP192" t="inlineStr">
        <is>
          <t>AO-C-200</t>
        </is>
      </c>
      <c r="AQ192" t="inlineStr">
        <is>
          <t>N</t>
        </is>
      </c>
      <c r="AT192">
        <f>IF(AND(AX192="pass",AQ192&lt;&gt;"Y",C192&lt;&gt;"",OR(AW192&lt;&gt;"Y",AV192="Y")),"Y","N")</f>
        <v/>
      </c>
      <c r="AU192">
        <f>_xlfn.TEXTJOIN("; ",TRUE,IF(AX192&lt;&gt;"pass","gated out",""),IF(AQ192="Y","on hold: "&amp;AR192,""),IF(C192="","no contact named on an opened page",""),IF(AND(AW192="Y",AV192&lt;&gt;"Y"),"Tuesday estimate band "&amp;L192&amp;": founder's call",""))</f>
        <v/>
      </c>
      <c r="AW192" t="inlineStr">
        <is>
          <t>Y</t>
        </is>
      </c>
      <c r="AX192" t="inlineStr">
        <is>
          <t>pass</t>
        </is>
      </c>
      <c r="AY192" t="inlineStr">
        <is>
          <t>passes all hard gates</t>
        </is>
      </c>
      <c r="AZ192" t="inlineStr">
        <is>
          <t>company</t>
        </is>
      </c>
      <c r="BA192" t="inlineStr">
        <is>
          <t>B-C-200</t>
        </is>
      </c>
      <c r="BB192" t="inlineStr">
        <is>
          <t>https://ro.co</t>
        </is>
      </c>
      <c r="BC192" t="inlineStr">
        <is>
          <t>telehealth</t>
        </is>
      </c>
      <c r="BD192" t="inlineStr">
        <is>
          <t>824</t>
        </is>
      </c>
      <c r="BF192" t="inlineStr">
        <is>
          <t>over-500</t>
        </is>
      </c>
      <c r="BG192" t="inlineStr">
        <is>
          <t>whole-company</t>
        </is>
      </c>
      <c r="BH192" t="inlineStr">
        <is>
          <t>single-source</t>
        </is>
      </c>
      <c r="BI192" t="inlineStr">
        <is>
          <t>https://www.builtinnyc.com/company/ro</t>
        </is>
      </c>
      <c r="BK192" t="inlineStr">
        <is>
          <t>501-1000</t>
        </is>
      </c>
      <c r="BL192" t="inlineStr">
        <is>
          <t>New York</t>
        </is>
      </c>
      <c r="BM192" t="inlineStr">
        <is>
          <t>Y</t>
        </is>
      </c>
      <c r="BN192" t="inlineStr">
        <is>
          <t>unknown</t>
        </is>
      </c>
      <c r="BO192" t="inlineStr">
        <is>
          <t>unknown</t>
        </is>
      </c>
      <c r="BP192" t="inlineStr">
        <is>
          <t>10011</t>
        </is>
      </c>
      <c r="BQ192" t="n">
        <v>40.74024</v>
      </c>
      <c r="BR192" t="n">
        <v>-73.994996</v>
      </c>
      <c r="BS192" t="inlineStr">
        <is>
          <t>Y</t>
        </is>
      </c>
      <c r="BT192" t="n">
        <v>0</v>
      </c>
      <c r="BU192" t="inlineStr">
        <is>
          <t>B-B-020</t>
        </is>
      </c>
      <c r="BV192" t="inlineStr">
        <is>
          <t>625 Avenue of the Americas (Taub family)</t>
        </is>
      </c>
      <c r="BW192" t="inlineStr">
        <is>
          <t>https://www.builtinnyc.com/company/ro/offices</t>
        </is>
      </c>
      <c r="BX192" t="inlineStr">
        <is>
          <t>2026-10-23</t>
        </is>
      </c>
      <c r="BY192" t="inlineStr">
        <is>
          <t>builtin</t>
        </is>
      </c>
      <c r="BZ192" t="inlineStr">
        <is>
          <t>https://commercialobserver.com/2024/11/trading-firm-gts-lease-625-avenue-of-the-americas/</t>
        </is>
      </c>
      <c r="CA192" t="inlineStr">
        <is>
          <t>2024-11-21</t>
        </is>
      </c>
      <c r="CC192" t="inlineStr">
        <is>
          <t>high</t>
        </is>
      </c>
      <c r="CE192" t="inlineStr">
        <is>
          <t>N</t>
        </is>
      </c>
      <c r="CH192" t="inlineStr">
        <is>
          <t>unknown</t>
        </is>
      </c>
      <c r="CJ192" t="inlineStr">
        <is>
          <t>unknown</t>
        </is>
      </c>
      <c r="CK192" t="inlineStr">
        <is>
          <t>N</t>
        </is>
      </c>
      <c r="CL192" t="inlineStr">
        <is>
          <t>Built In workplace type: Hybrid Workplace; typical time on-site: 2 days a week</t>
        </is>
      </c>
      <c r="CM192" t="inlineStr">
        <is>
          <t>https://www.builtinnyc.com/company/ro/offices</t>
        </is>
      </c>
      <c r="CN192" t="inlineStr">
        <is>
          <t>2026-10-24</t>
        </is>
      </c>
      <c r="CO192" t="n">
        <v>332</v>
      </c>
      <c r="CP192" t="inlineStr">
        <is>
          <t>may exceed 250</t>
        </is>
      </c>
      <c r="CQ192" t="inlineStr">
        <is>
          <t>824 (Built In) staff (whole-company count) x 50% to 100% of them in the New York office (HQ New York; share assumed) x 57% (Partnership for NYC, all Manhattan firms; no figure for 500 to 4,999) in on a weekday = 235 to 470, central 332; low confidence; estimate until intake replaces it.</t>
        </is>
      </c>
      <c r="CR192" t="inlineStr">
        <is>
          <t>estimate until intake replaces it</t>
        </is>
      </c>
      <c r="CS192" t="n">
        <v>0.09</v>
      </c>
      <c r="CT192" t="n">
        <v>28.2</v>
      </c>
      <c r="CU192" t="n">
        <v>2.2</v>
      </c>
      <c r="CV192" t="n">
        <v>6</v>
      </c>
      <c r="CW192" t="n">
        <v>5</v>
      </c>
      <c r="CX192" t="n">
        <v>15</v>
      </c>
      <c r="CY192">
        <f>IF(AH192="exact",10,IF(AH192="adjacent",5,0))</f>
        <v/>
      </c>
      <c r="CZ192">
        <f>IF(R192="Y",15,0)</f>
        <v/>
      </c>
      <c r="DF192" t="inlineStr">
        <is>
          <t>none</t>
        </is>
      </c>
      <c r="DG192" t="inlineStr">
        <is>
          <t>near-miss-over-500</t>
        </is>
      </c>
      <c r="DH192" t="inlineStr">
        <is>
          <t>just-over-500 (501 to 1,000)</t>
        </is>
      </c>
      <c r="DI192" t="inlineStr">
        <is>
          <t>N</t>
        </is>
      </c>
      <c r="DJ192" t="inlineStr">
        <is>
          <t>35,156 sf</t>
        </is>
      </c>
      <c r="DK192" t="inlineStr">
        <is>
          <t>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DS192" t="inlineStr">
        <is>
          <t>none</t>
        </is>
      </c>
      <c r="DX192" t="inlineStr">
        <is>
          <t>N</t>
        </is>
      </c>
      <c r="ER192">
        <f>IF(ISNUMBER(MATCH(U192,{"queued","contacted","replied","call_booked","call_done","yes_in_principle","materials_sent"},0)),"Y","N")</f>
        <v/>
      </c>
      <c r="ES192">
        <f>IF(COUNTIFS($AP$2:$AP$1000,AP192,$ER$2:$ER$1000,"Y")+COUNTIFS($AP$2:$AP$1000,AP192,$T$2:$T$1000,"Y")&gt;0,"Y","N")</f>
        <v/>
      </c>
      <c r="ET192">
        <f>IF(AND(U192="new",T192="N",AT192="Y",AS192="",ES192="N"),"Y","N")</f>
        <v/>
      </c>
      <c r="EU192">
        <f>IF(ET192&lt;&gt;"Y","N",IF(COUNTIFS($AP$2:$AP$1000,AP192,$ET$2:$ET$1000,"Y",$J$2:$J$1000,"&gt;"&amp;J192)+COUNTIFS($AP$2:$AP$1000,AP192,$ET$2:$ET$1000,"Y",$J$2:$J$1000,J192,$EW$2:$EW$1000,"&lt;"&amp;EW192)=0,"Y","N"))</f>
        <v/>
      </c>
      <c r="EV192">
        <f>IF(Y192="","N",IF(Y192&lt;=10,"Y","N"))</f>
        <v/>
      </c>
      <c r="EW192">
        <f>ROW()-1</f>
        <v/>
      </c>
    </row>
    <row r="193">
      <c r="A193" t="inlineStr">
        <is>
          <t>AO-C-190</t>
        </is>
      </c>
      <c r="B193" t="inlineStr">
        <is>
          <t>U.S. News &amp; World Report</t>
        </is>
      </c>
      <c r="H193" t="inlineStr">
        <is>
          <t>none</t>
        </is>
      </c>
      <c r="I193" t="inlineStr">
        <is>
          <t>linkedin</t>
        </is>
      </c>
      <c r="J193">
        <f>IF(AX193="pass",ROUND(CU193+CV193+CW193+CX193+CY193+CZ193,1),0)</f>
        <v/>
      </c>
      <c r="K193" t="inlineStr">
        <is>
          <t>Tuesday estimate 15 to 309 (low confidence), 501 to 1,000 staff company-wide, hybrid (days not stated), moving-out at a low-confidence address (hold: moving out of this address); contacts not researched yet (below the top 50).</t>
        </is>
      </c>
      <c r="L193" t="inlineStr">
        <is>
          <t>40-75</t>
        </is>
      </c>
      <c r="R193" t="inlineStr">
        <is>
          <t>N</t>
        </is>
      </c>
      <c r="S193" t="inlineStr">
        <is>
          <t>unknown</t>
        </is>
      </c>
      <c r="T193" t="inlineStr">
        <is>
          <t>N</t>
        </is>
      </c>
      <c r="U193" t="inlineStr">
        <is>
          <t>new</t>
        </is>
      </c>
      <c r="V193" t="inlineStr">
        <is>
          <t>https://commercialobserver.com/2026/10/eagle-ai-lease-office-120-fifth-avenue/</t>
        </is>
      </c>
      <c r="W193" t="inlineStr">
        <is>
          <t>2026-10-23</t>
        </is>
      </c>
      <c r="X193" t="inlineStr">
        <is>
          <t>office</t>
        </is>
      </c>
      <c r="Y193">
        <f>IF(EU193&lt;&gt;"Y","",COUNTIFS($EU$2:$EU$1000,"Y",$J$2:$J$1000,"&gt;"&amp;J193)+COUNTIFS($EU$2:$EU$1000,"Y",$J$2:$J$1000,J193,$EW$2:$EW$1000,"&lt;"&amp;EW193)+1)</f>
        <v/>
      </c>
      <c r="Z193" t="n">
        <v>192</v>
      </c>
      <c r="AA193" t="inlineStr">
        <is>
          <t>N</t>
        </is>
      </c>
      <c r="AD193" t="inlineStr">
        <is>
          <t>none</t>
        </is>
      </c>
      <c r="AH193" t="inlineStr">
        <is>
          <t>none</t>
        </is>
      </c>
      <c r="AI193" t="inlineStr">
        <is>
          <t>120 Fifth Avenue</t>
        </is>
      </c>
      <c r="AJ193" t="inlineStr">
        <is>
          <t>unknown</t>
        </is>
      </c>
      <c r="AK193" t="inlineStr">
        <is>
          <t>moving-out</t>
        </is>
      </c>
      <c r="AL193" t="n">
        <v>15</v>
      </c>
      <c r="AM193" t="n">
        <v>309</v>
      </c>
      <c r="AN193" t="inlineStr">
        <is>
          <t>low</t>
        </is>
      </c>
      <c r="AO193" t="inlineStr">
        <is>
          <t>hybrid-unspecified</t>
        </is>
      </c>
      <c r="AP193" t="inlineStr">
        <is>
          <t>AO-C-190</t>
        </is>
      </c>
      <c r="AQ193" t="inlineStr">
        <is>
          <t>Y</t>
        </is>
      </c>
      <c r="AR193" t="inlineStr">
        <is>
          <t>moving out of this address: confirm where the office will be before outreach (B)</t>
        </is>
      </c>
      <c r="AT193">
        <f>IF(AND(AX193="pass",AQ193&lt;&gt;"Y",C193&lt;&gt;"",OR(AW193&lt;&gt;"Y",AV193="Y")),"Y","N")</f>
        <v/>
      </c>
      <c r="AU193">
        <f>_xlfn.TEXTJOIN("; ",TRUE,IF(AX193&lt;&gt;"pass","gated out",""),IF(AQ193="Y","on hold: "&amp;AR193,""),IF(C193="","no contact named on an opened page",""),IF(AND(AW193="Y",AV193&lt;&gt;"Y"),"Tuesday estimate band "&amp;L193&amp;": founder's call",""))</f>
        <v/>
      </c>
      <c r="AW193" t="inlineStr">
        <is>
          <t>N</t>
        </is>
      </c>
      <c r="AX193" t="inlineStr">
        <is>
          <t>pass</t>
        </is>
      </c>
      <c r="AY193" t="inlineStr">
        <is>
          <t>passes all hard gates</t>
        </is>
      </c>
      <c r="AZ193" t="inlineStr">
        <is>
          <t>company</t>
        </is>
      </c>
      <c r="BA193" t="inlineStr">
        <is>
          <t>B-C-190</t>
        </is>
      </c>
      <c r="BB193" t="inlineStr">
        <is>
          <t>unknown</t>
        </is>
      </c>
      <c r="BC193" t="inlineStr">
        <is>
          <t>media and rankings</t>
        </is>
      </c>
      <c r="BD193" t="inlineStr">
        <is>
          <t>542</t>
        </is>
      </c>
      <c r="BF193" t="inlineStr">
        <is>
          <t>over-500</t>
        </is>
      </c>
      <c r="BG193" t="inlineStr">
        <is>
          <t>whole-company</t>
        </is>
      </c>
      <c r="BH193" t="inlineStr">
        <is>
          <t>single-source</t>
        </is>
      </c>
      <c r="BI193" t="inlineStr">
        <is>
          <t>https://www.builtinnyc.com/company/us-news-world-report</t>
        </is>
      </c>
      <c r="BK193" t="inlineStr">
        <is>
          <t>501-1000</t>
        </is>
      </c>
      <c r="BL193" t="inlineStr">
        <is>
          <t>Washington</t>
        </is>
      </c>
      <c r="BM193" t="inlineStr">
        <is>
          <t>N</t>
        </is>
      </c>
      <c r="BN193" t="inlineStr">
        <is>
          <t>unknown</t>
        </is>
      </c>
      <c r="BO193" t="inlineStr">
        <is>
          <t>unknown</t>
        </is>
      </c>
      <c r="BP193" t="inlineStr">
        <is>
          <t>10011</t>
        </is>
      </c>
      <c r="BQ193" t="n">
        <v>40.738186</v>
      </c>
      <c r="BR193" t="n">
        <v>-73.992429</v>
      </c>
      <c r="BS193" t="inlineStr">
        <is>
          <t>Y</t>
        </is>
      </c>
      <c r="BT193" t="n">
        <v>0</v>
      </c>
      <c r="BU193" t="inlineStr">
        <is>
          <t>B-B-010</t>
        </is>
      </c>
      <c r="BV193" t="inlineStr">
        <is>
          <t>120 Fifth Avenue</t>
        </is>
      </c>
      <c r="BW193" t="inlineStr">
        <is>
          <t>https://commercialobserver.com/2026/10/eagle-ai-lease-office-120-fifth-avenue/</t>
        </is>
      </c>
      <c r="BX193" t="inlineStr">
        <is>
          <t>2026-10-19</t>
        </is>
      </c>
      <c r="BY193" t="inlineStr">
        <is>
          <t>leasing-press</t>
        </is>
      </c>
      <c r="CC193" t="inlineStr">
        <is>
          <t>low</t>
        </is>
      </c>
      <c r="CD193" t="inlineStr">
        <is>
          <t>unknown</t>
        </is>
      </c>
      <c r="CE193" t="inlineStr">
        <is>
          <t>N</t>
        </is>
      </c>
      <c r="CH193" t="inlineStr">
        <is>
          <t>unknown</t>
        </is>
      </c>
      <c r="CJ193" t="inlineStr">
        <is>
          <t>unknown</t>
        </is>
      </c>
      <c r="CK193" t="inlineStr">
        <is>
          <t>N</t>
        </is>
      </c>
      <c r="CL193" t="inlineStr">
        <is>
          <t>Built In workplace type: Hybrid Workplace; typical time on-site: Flexible; recent job tags: 3 Hybrid</t>
        </is>
      </c>
      <c r="CM193" t="inlineStr">
        <is>
          <t>https://www.builtinnyc.com/company/us-news-world-report/offices</t>
        </is>
      </c>
      <c r="CN193" t="inlineStr">
        <is>
          <t>2026-10-24</t>
        </is>
      </c>
      <c r="CO193" t="n">
        <v>68</v>
      </c>
      <c r="CP193" t="inlineStr">
        <is>
          <t>may be under 30;may exceed 250</t>
        </is>
      </c>
      <c r="CQ193" t="inlineStr">
        <is>
          <t>542 (Built In) staff (whole-company count) x 5% to 100% of them in the New York office (HQ outside New York; share assumed) x 57% (Partnership for NYC, all Manhattan firms; no figure for 500 to 4,999) in on a weekday = 15 to 309, central 68; low confidence; estimate until intake replaces it.</t>
        </is>
      </c>
      <c r="CR193" t="inlineStr">
        <is>
          <t>estimate until intake replaces it</t>
        </is>
      </c>
      <c r="CS193" t="n">
        <v>0.61</v>
      </c>
      <c r="CT193" t="n">
        <v>28.1</v>
      </c>
      <c r="CU193" t="n">
        <v>15.1</v>
      </c>
      <c r="CV193" t="n">
        <v>6</v>
      </c>
      <c r="CW193" t="n">
        <v>7</v>
      </c>
      <c r="CX193" t="n">
        <v>0</v>
      </c>
      <c r="CY193">
        <f>IF(AH193="exact",10,IF(AH193="adjacent",5,0))</f>
        <v/>
      </c>
      <c r="CZ193">
        <f>IF(R193="Y",15,0)</f>
        <v/>
      </c>
      <c r="DF193" t="inlineStr">
        <is>
          <t>none</t>
        </is>
      </c>
      <c r="DG193" t="inlineStr">
        <is>
          <t>near-miss-over-500</t>
        </is>
      </c>
      <c r="DH193" t="inlineStr">
        <is>
          <t>just-over-500 (501 to 1,000)</t>
        </is>
      </c>
      <c r="DI193" t="inlineStr">
        <is>
          <t>N</t>
        </is>
      </c>
      <c r="DJ193" t="inlineStr">
        <is>
          <t>10,236 sf</t>
        </is>
      </c>
      <c r="DK193" t="inlineStr">
        <is>
          <t>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is>
      </c>
      <c r="DS193" t="inlineStr">
        <is>
          <t>none</t>
        </is>
      </c>
      <c r="DX193" t="inlineStr">
        <is>
          <t>N</t>
        </is>
      </c>
      <c r="ER193">
        <f>IF(ISNUMBER(MATCH(U193,{"queued","contacted","replied","call_booked","call_done","yes_in_principle","materials_sent"},0)),"Y","N")</f>
        <v/>
      </c>
      <c r="ES193">
        <f>IF(COUNTIFS($AP$2:$AP$1000,AP193,$ER$2:$ER$1000,"Y")+COUNTIFS($AP$2:$AP$1000,AP193,$T$2:$T$1000,"Y")&gt;0,"Y","N")</f>
        <v/>
      </c>
      <c r="ET193">
        <f>IF(AND(U193="new",T193="N",AT193="Y",AS193="",ES193="N"),"Y","N")</f>
        <v/>
      </c>
      <c r="EU193">
        <f>IF(ET193&lt;&gt;"Y","N",IF(COUNTIFS($AP$2:$AP$1000,AP193,$ET$2:$ET$1000,"Y",$J$2:$J$1000,"&gt;"&amp;J193)+COUNTIFS($AP$2:$AP$1000,AP193,$ET$2:$ET$1000,"Y",$J$2:$J$1000,J193,$EW$2:$EW$1000,"&lt;"&amp;EW193)=0,"Y","N"))</f>
        <v/>
      </c>
      <c r="EV193">
        <f>IF(Y193="","N",IF(Y193&lt;=10,"Y","N"))</f>
        <v/>
      </c>
      <c r="EW193">
        <f>ROW()-1</f>
        <v/>
      </c>
    </row>
    <row r="194">
      <c r="A194" t="inlineStr">
        <is>
          <t>AO-C-234</t>
        </is>
      </c>
      <c r="B194" t="inlineStr">
        <is>
          <t>Coinbase</t>
        </is>
      </c>
      <c r="H194" t="inlineStr">
        <is>
          <t>none</t>
        </is>
      </c>
      <c r="I194" t="inlineStr">
        <is>
          <t>linkedin</t>
        </is>
      </c>
      <c r="J194">
        <f>IF(AX194="pass",ROUND(CU194+CV194+CW194+CX194+CY194+CZ194,1),0)</f>
        <v/>
      </c>
      <c r="K194" t="inlineStr">
        <is>
          <t>Tuesday estimate 108 to 2150 (low confidence), 1,001 to 4,999 staff company-wide, no attendance signal, occupied at a medium-confidence address; contacts not researched yet (below the top 50).</t>
        </is>
      </c>
      <c r="L194" t="inlineStr">
        <is>
          <t>251-500</t>
        </is>
      </c>
      <c r="R194" t="inlineStr">
        <is>
          <t>N</t>
        </is>
      </c>
      <c r="S194" t="inlineStr">
        <is>
          <t>unknown</t>
        </is>
      </c>
      <c r="T194" t="inlineStr">
        <is>
          <t>N</t>
        </is>
      </c>
      <c r="U194" t="inlineStr">
        <is>
          <t>new</t>
        </is>
      </c>
      <c r="V194" t="inlineStr">
        <is>
          <t>https://slgreen.com/sl-green-signs-new-64000-square-foot-lease-with-sigma-computing-at-one-madison-avenue/</t>
        </is>
      </c>
      <c r="W194" t="inlineStr">
        <is>
          <t>2026-10-23</t>
        </is>
      </c>
      <c r="X194" t="inlineStr">
        <is>
          <t>office</t>
        </is>
      </c>
      <c r="Y194">
        <f>IF(EU194&lt;&gt;"Y","",COUNTIFS($EU$2:$EU$1000,"Y",$J$2:$J$1000,"&gt;"&amp;J194)+COUNTIFS($EU$2:$EU$1000,"Y",$J$2:$J$1000,J194,$EW$2:$EW$1000,"&lt;"&amp;EW194)+1)</f>
        <v/>
      </c>
      <c r="Z194" t="n">
        <v>193</v>
      </c>
      <c r="AA194" t="inlineStr">
        <is>
          <t>N</t>
        </is>
      </c>
      <c r="AB194" t="inlineStr">
        <is>
          <t>Tuesday estimate band 251-500: founder's call (set founder_ok_to_queue = Y to queue)</t>
        </is>
      </c>
      <c r="AD194" t="inlineStr">
        <is>
          <t>none</t>
        </is>
      </c>
      <c r="AH194" t="inlineStr">
        <is>
          <t>none</t>
        </is>
      </c>
      <c r="AI194" t="inlineStr">
        <is>
          <t>1 Madison Avenue</t>
        </is>
      </c>
      <c r="AJ194" t="inlineStr">
        <is>
          <t>unknown</t>
        </is>
      </c>
      <c r="AK194" t="inlineStr">
        <is>
          <t>occupied</t>
        </is>
      </c>
      <c r="AL194" t="n">
        <v>108</v>
      </c>
      <c r="AM194" t="n">
        <v>2150</v>
      </c>
      <c r="AN194" t="inlineStr">
        <is>
          <t>low</t>
        </is>
      </c>
      <c r="AO194" t="inlineStr">
        <is>
          <t>unknown</t>
        </is>
      </c>
      <c r="AP194" t="inlineStr">
        <is>
          <t>AO-C-234</t>
        </is>
      </c>
      <c r="AQ194" t="inlineStr">
        <is>
          <t>N</t>
        </is>
      </c>
      <c r="AT194">
        <f>IF(AND(AX194="pass",AQ194&lt;&gt;"Y",C194&lt;&gt;"",OR(AW194&lt;&gt;"Y",AV194="Y")),"Y","N")</f>
        <v/>
      </c>
      <c r="AU194">
        <f>_xlfn.TEXTJOIN("; ",TRUE,IF(AX194&lt;&gt;"pass","gated out",""),IF(AQ194="Y","on hold: "&amp;AR194,""),IF(C194="","no contact named on an opened page",""),IF(AND(AW194="Y",AV194&lt;&gt;"Y"),"Tuesday estimate band "&amp;L194&amp;": founder's call",""))</f>
        <v/>
      </c>
      <c r="AW194" t="inlineStr">
        <is>
          <t>Y</t>
        </is>
      </c>
      <c r="AX194" t="inlineStr">
        <is>
          <t>pass</t>
        </is>
      </c>
      <c r="AY194" t="inlineStr">
        <is>
          <t>passes all hard gates</t>
        </is>
      </c>
      <c r="AZ194" t="inlineStr">
        <is>
          <t>company</t>
        </is>
      </c>
      <c r="BA194" t="inlineStr">
        <is>
          <t>B-C-234</t>
        </is>
      </c>
      <c r="BB194" t="inlineStr">
        <is>
          <t>https://www.coinbase.com/</t>
        </is>
      </c>
      <c r="BC194" t="inlineStr">
        <is>
          <t>Crypto exchange / fintech</t>
        </is>
      </c>
      <c r="BD194" t="inlineStr">
        <is>
          <t>3772</t>
        </is>
      </c>
      <c r="BF194" t="inlineStr">
        <is>
          <t>over-500</t>
        </is>
      </c>
      <c r="BG194" t="inlineStr">
        <is>
          <t>whole-company</t>
        </is>
      </c>
      <c r="BH194" t="inlineStr">
        <is>
          <t>single-source</t>
        </is>
      </c>
      <c r="BI194" t="inlineStr">
        <is>
          <t>https://en.wikipedia.org/wiki/Coinbase</t>
        </is>
      </c>
      <c r="BK194" t="inlineStr">
        <is>
          <t>1001-4999</t>
        </is>
      </c>
      <c r="BL194" t="inlineStr">
        <is>
          <t>unknown</t>
        </is>
      </c>
      <c r="BM194" t="inlineStr">
        <is>
          <t>unknown</t>
        </is>
      </c>
      <c r="BN194" t="inlineStr">
        <is>
          <t>unknown</t>
        </is>
      </c>
      <c r="BO194" t="inlineStr">
        <is>
          <t>unknown</t>
        </is>
      </c>
      <c r="BP194" t="inlineStr">
        <is>
          <t>10010</t>
        </is>
      </c>
      <c r="BQ194" t="n">
        <v>40.741141</v>
      </c>
      <c r="BR194" t="n">
        <v>-73.987489</v>
      </c>
      <c r="BS194" t="inlineStr">
        <is>
          <t>Y</t>
        </is>
      </c>
      <c r="BT194" t="n">
        <v>0</v>
      </c>
      <c r="BV194" t="inlineStr">
        <is>
          <t>unknown</t>
        </is>
      </c>
      <c r="BW194" t="inlineStr">
        <is>
          <t>https://slgreen.com/sl-green-signs-new-64000-square-foot-lease-with-sigma-computing-at-one-madison-avenue/</t>
        </is>
      </c>
      <c r="BX194" t="inlineStr">
        <is>
          <t>2025-07-16</t>
        </is>
      </c>
      <c r="BY194" t="inlineStr">
        <is>
          <t>press-release</t>
        </is>
      </c>
      <c r="CC194" t="inlineStr">
        <is>
          <t>medium</t>
        </is>
      </c>
      <c r="CE194" t="inlineStr">
        <is>
          <t>N</t>
        </is>
      </c>
      <c r="CH194" t="inlineStr">
        <is>
          <t>unknown</t>
        </is>
      </c>
      <c r="CJ194" t="inlineStr">
        <is>
          <t>unknown</t>
        </is>
      </c>
      <c r="CK194" t="inlineStr">
        <is>
          <t>N</t>
        </is>
      </c>
      <c r="CL194" t="inlineStr">
        <is>
          <t>unknown</t>
        </is>
      </c>
      <c r="CO194" t="n">
        <v>482</v>
      </c>
      <c r="CP194" t="inlineStr">
        <is>
          <t>may exceed 250</t>
        </is>
      </c>
      <c r="CQ194" t="inlineStr">
        <is>
          <t>3772 (Wikipedia) staff (whole-company count) x 5% to 100% of them in the New York office (HQ city unknown; share assumed) x 57% (Partnership for NYC, all Manhattan firms; no figure for 500 to 4,999) in on a weekday = 108 to 2150, central 482; low confidence; estimate until intake replaces it.</t>
        </is>
      </c>
      <c r="CR194" t="inlineStr">
        <is>
          <t>estimate until intake replaces it</t>
        </is>
      </c>
      <c r="CS194" t="n">
        <v>0.28</v>
      </c>
      <c r="CT194" t="n">
        <v>28</v>
      </c>
      <c r="CU194" t="n">
        <v>7</v>
      </c>
      <c r="CV194" t="n">
        <v>2</v>
      </c>
      <c r="CW194" t="n">
        <v>6</v>
      </c>
      <c r="CX194" t="n">
        <v>13</v>
      </c>
      <c r="CY194">
        <f>IF(AH194="exact",10,IF(AH194="adjacent",5,0))</f>
        <v/>
      </c>
      <c r="CZ194">
        <f>IF(R194="Y",15,0)</f>
        <v/>
      </c>
      <c r="DF194" t="inlineStr">
        <is>
          <t>none</t>
        </is>
      </c>
      <c r="DG194" t="inlineStr">
        <is>
          <t>near-miss-over-500</t>
        </is>
      </c>
      <c r="DH194" t="inlineStr">
        <is>
          <t>over-1,000 (1,001 to 4,999)</t>
        </is>
      </c>
      <c r="DI194" t="inlineStr">
        <is>
          <t>N</t>
        </is>
      </c>
      <c r="DK194" t="inlineStr">
        <is>
          <t>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S194" t="inlineStr">
        <is>
          <t>none</t>
        </is>
      </c>
      <c r="DX194" t="inlineStr">
        <is>
          <t>N</t>
        </is>
      </c>
      <c r="ER194">
        <f>IF(ISNUMBER(MATCH(U194,{"queued","contacted","replied","call_booked","call_done","yes_in_principle","materials_sent"},0)),"Y","N")</f>
        <v/>
      </c>
      <c r="ES194">
        <f>IF(COUNTIFS($AP$2:$AP$1000,AP194,$ER$2:$ER$1000,"Y")+COUNTIFS($AP$2:$AP$1000,AP194,$T$2:$T$1000,"Y")&gt;0,"Y","N")</f>
        <v/>
      </c>
      <c r="ET194">
        <f>IF(AND(U194="new",T194="N",AT194="Y",AS194="",ES194="N"),"Y","N")</f>
        <v/>
      </c>
      <c r="EU194">
        <f>IF(ET194&lt;&gt;"Y","N",IF(COUNTIFS($AP$2:$AP$1000,AP194,$ET$2:$ET$1000,"Y",$J$2:$J$1000,"&gt;"&amp;J194)+COUNTIFS($AP$2:$AP$1000,AP194,$ET$2:$ET$1000,"Y",$J$2:$J$1000,J194,$EW$2:$EW$1000,"&lt;"&amp;EW194)=0,"Y","N"))</f>
        <v/>
      </c>
      <c r="EV194">
        <f>IF(Y194="","N",IF(Y194&lt;=10,"Y","N"))</f>
        <v/>
      </c>
      <c r="EW194">
        <f>ROW()-1</f>
        <v/>
      </c>
    </row>
    <row r="195">
      <c r="A195" t="inlineStr">
        <is>
          <t>AO-C-119</t>
        </is>
      </c>
      <c r="B195" t="inlineStr">
        <is>
          <t>Betches Media</t>
        </is>
      </c>
      <c r="H195" t="inlineStr">
        <is>
          <t>none</t>
        </is>
      </c>
      <c r="I195" t="inlineStr">
        <is>
          <t>linkedin</t>
        </is>
      </c>
      <c r="J195">
        <f>IF(AX195="pass",ROUND(CU195+CV195+CW195+CX195+CY195+CZ195,1),0)</f>
        <v/>
      </c>
      <c r="K195" t="inlineStr">
        <is>
          <t>Tuesday headcount unknown (no sourced count), company size unknown, no attendance signal, signed-not-occupied at a high-confidence address (hold: lease signed, move not confirmed); contacts not researched yet (below the top 50).</t>
        </is>
      </c>
      <c r="L195" t="inlineStr">
        <is>
          <t>unknown</t>
        </is>
      </c>
      <c r="O195" t="inlineStr">
        <is>
          <t>New or renewed lease at 360 Park Avenue South reported 2026-01-22</t>
        </is>
      </c>
      <c r="P195" t="inlineStr">
        <is>
          <t>https://commercialobserver.com/2026/01/betches-coming-360-park-avenue-south/</t>
        </is>
      </c>
      <c r="Q195" t="inlineStr">
        <is>
          <t>2026-01-22</t>
        </is>
      </c>
      <c r="R195" t="inlineStr">
        <is>
          <t>N</t>
        </is>
      </c>
      <c r="S195" t="inlineStr">
        <is>
          <t>unknown</t>
        </is>
      </c>
      <c r="T195" t="inlineStr">
        <is>
          <t>N</t>
        </is>
      </c>
      <c r="U195" t="inlineStr">
        <is>
          <t>new</t>
        </is>
      </c>
      <c r="V195" t="inlineStr">
        <is>
          <t>https://commercialobserver.com/2026/01/betches-coming-360-park-avenue-south/</t>
        </is>
      </c>
      <c r="W195" t="inlineStr">
        <is>
          <t>2026-10-23</t>
        </is>
      </c>
      <c r="X195" t="inlineStr">
        <is>
          <t>office</t>
        </is>
      </c>
      <c r="Y195">
        <f>IF(EU195&lt;&gt;"Y","",COUNTIFS($EU$2:$EU$1000,"Y",$J$2:$J$1000,"&gt;"&amp;J195)+COUNTIFS($EU$2:$EU$1000,"Y",$J$2:$J$1000,J195,$EW$2:$EW$1000,"&lt;"&amp;EW195)+1)</f>
        <v/>
      </c>
      <c r="Z195" t="n">
        <v>194</v>
      </c>
      <c r="AA195" t="inlineStr">
        <is>
          <t>N</t>
        </is>
      </c>
      <c r="AD195" t="inlineStr">
        <is>
          <t>none</t>
        </is>
      </c>
      <c r="AH195" t="inlineStr">
        <is>
          <t>none</t>
        </is>
      </c>
      <c r="AI195" t="inlineStr">
        <is>
          <t>360 Park Avenue South</t>
        </is>
      </c>
      <c r="AJ195" t="inlineStr">
        <is>
          <t>6</t>
        </is>
      </c>
      <c r="AK195" t="inlineStr">
        <is>
          <t>signed-not-occupied</t>
        </is>
      </c>
      <c r="AL195" t="inlineStr">
        <is>
          <t>unknown</t>
        </is>
      </c>
      <c r="AM195" t="inlineStr">
        <is>
          <t>unknown</t>
        </is>
      </c>
      <c r="AN195" t="inlineStr">
        <is>
          <t>none</t>
        </is>
      </c>
      <c r="AO195" t="inlineStr">
        <is>
          <t>unknown</t>
        </is>
      </c>
      <c r="AP195" t="inlineStr">
        <is>
          <t>AO-C-119</t>
        </is>
      </c>
      <c r="AQ195" t="inlineStr">
        <is>
          <t>Y</t>
        </is>
      </c>
      <c r="AR195" t="inlineStr">
        <is>
          <t>lease signed, move not confirmed: check the lobby directory before outreach (B)</t>
        </is>
      </c>
      <c r="AT195">
        <f>IF(AND(AX195="pass",AQ195&lt;&gt;"Y",C195&lt;&gt;"",OR(AW195&lt;&gt;"Y",AV195="Y")),"Y","N")</f>
        <v/>
      </c>
      <c r="AU195">
        <f>_xlfn.TEXTJOIN("; ",TRUE,IF(AX195&lt;&gt;"pass","gated out",""),IF(AQ195="Y","on hold: "&amp;AR195,""),IF(C195="","no contact named on an opened page",""),IF(AND(AW195="Y",AV195&lt;&gt;"Y"),"Tuesday estimate band "&amp;L195&amp;": founder's call",""))</f>
        <v/>
      </c>
      <c r="AW195" t="inlineStr">
        <is>
          <t>N</t>
        </is>
      </c>
      <c r="AX195" t="inlineStr">
        <is>
          <t>pass</t>
        </is>
      </c>
      <c r="AY195" t="inlineStr">
        <is>
          <t>passes all hard gates</t>
        </is>
      </c>
      <c r="AZ195" t="inlineStr">
        <is>
          <t>company</t>
        </is>
      </c>
      <c r="BA195" t="inlineStr">
        <is>
          <t>B-C-119</t>
        </is>
      </c>
      <c r="BB195" t="inlineStr">
        <is>
          <t>https://betches.com/</t>
        </is>
      </c>
      <c r="BC195" t="inlineStr">
        <is>
          <t>Digital media (women's humor and lifestyle brand)</t>
        </is>
      </c>
      <c r="BD195" t="inlineStr">
        <is>
          <t>unknown</t>
        </is>
      </c>
      <c r="BF195" t="inlineStr">
        <is>
          <t>unknown</t>
        </is>
      </c>
      <c r="BG195" t="inlineStr">
        <is>
          <t>unknown</t>
        </is>
      </c>
      <c r="BH195" t="inlineStr">
        <is>
          <t>no-count</t>
        </is>
      </c>
      <c r="BK195" t="inlineStr">
        <is>
          <t>unknown</t>
        </is>
      </c>
      <c r="BL195" t="inlineStr">
        <is>
          <t>unknown</t>
        </is>
      </c>
      <c r="BM195" t="inlineStr">
        <is>
          <t>unknown</t>
        </is>
      </c>
      <c r="BN195" t="inlineStr">
        <is>
          <t>unknown</t>
        </is>
      </c>
      <c r="BO195" t="inlineStr">
        <is>
          <t>unknown</t>
        </is>
      </c>
      <c r="BP195" t="inlineStr">
        <is>
          <t>10010</t>
        </is>
      </c>
      <c r="BQ195" t="n">
        <v>40.741968</v>
      </c>
      <c r="BR195" t="n">
        <v>-73.985327</v>
      </c>
      <c r="BS195" t="inlineStr">
        <is>
          <t>Y</t>
        </is>
      </c>
      <c r="BT195" t="n">
        <v>0</v>
      </c>
      <c r="BU195" t="inlineStr">
        <is>
          <t>B-B-059</t>
        </is>
      </c>
      <c r="BV195" t="inlineStr">
        <is>
          <t>360 Park Avenue South (BXP)</t>
        </is>
      </c>
      <c r="BW195" t="inlineStr">
        <is>
          <t>https://commercialobserver.com/2026/01/betches-coming-360-park-avenue-south/</t>
        </is>
      </c>
      <c r="BX195" t="inlineStr">
        <is>
          <t>2026-01-22</t>
        </is>
      </c>
      <c r="BY195" t="inlineStr">
        <is>
          <t>leasing-press</t>
        </is>
      </c>
      <c r="BZ195" t="inlineStr">
        <is>
          <t>https://www.connectcre.com/stories/bxp-secures-230k-sf-of-leases-at-360-park-ave-south/</t>
        </is>
      </c>
      <c r="CA195" t="inlineStr">
        <is>
          <t>2026-03-16</t>
        </is>
      </c>
      <c r="CC195" t="inlineStr">
        <is>
          <t>high</t>
        </is>
      </c>
      <c r="CD195" t="inlineStr">
        <is>
          <t>unknown</t>
        </is>
      </c>
      <c r="CE195" t="inlineStr">
        <is>
          <t>N</t>
        </is>
      </c>
      <c r="CH195" t="inlineStr">
        <is>
          <t>unknown</t>
        </is>
      </c>
      <c r="CJ195" t="inlineStr">
        <is>
          <t>unknown</t>
        </is>
      </c>
      <c r="CK195" t="inlineStr">
        <is>
          <t>N</t>
        </is>
      </c>
      <c r="CL195" t="inlineStr">
        <is>
          <t>unknown</t>
        </is>
      </c>
      <c r="CO195" t="inlineStr">
        <is>
          <t>unknown</t>
        </is>
      </c>
      <c r="CQ195" t="inlineStr">
        <is>
          <t>No sourced headcount, so no Tuesday estimate; ask the Tuesday count at intake.</t>
        </is>
      </c>
      <c r="CR195" t="inlineStr">
        <is>
          <t>estimate until intake replaces it</t>
        </is>
      </c>
      <c r="CS195" t="inlineStr">
        <is>
          <t>unknown</t>
        </is>
      </c>
      <c r="CT195" t="n">
        <v>28</v>
      </c>
      <c r="CU195" t="n">
        <v>7</v>
      </c>
      <c r="CV195" t="n">
        <v>8</v>
      </c>
      <c r="CW195" t="n">
        <v>6</v>
      </c>
      <c r="CX195" t="n">
        <v>7</v>
      </c>
      <c r="CY195">
        <f>IF(AH195="exact",10,IF(AH195="adjacent",5,0))</f>
        <v/>
      </c>
      <c r="CZ195">
        <f>IF(R195="Y",15,0)</f>
        <v/>
      </c>
      <c r="DF195" t="inlineStr">
        <is>
          <t>none</t>
        </is>
      </c>
      <c r="DG195" t="inlineStr">
        <is>
          <t>candidate</t>
        </is>
      </c>
      <c r="DJ195" t="inlineStr">
        <is>
          <t>23,000 sf</t>
        </is>
      </c>
      <c r="DK195" t="inlineStr">
        <is>
          <t>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is>
      </c>
      <c r="DS195" t="inlineStr">
        <is>
          <t>none</t>
        </is>
      </c>
      <c r="DX195" t="inlineStr">
        <is>
          <t>N</t>
        </is>
      </c>
      <c r="ER195">
        <f>IF(ISNUMBER(MATCH(U195,{"queued","contacted","replied","call_booked","call_done","yes_in_principle","materials_sent"},0)),"Y","N")</f>
        <v/>
      </c>
      <c r="ES195">
        <f>IF(COUNTIFS($AP$2:$AP$1000,AP195,$ER$2:$ER$1000,"Y")+COUNTIFS($AP$2:$AP$1000,AP195,$T$2:$T$1000,"Y")&gt;0,"Y","N")</f>
        <v/>
      </c>
      <c r="ET195">
        <f>IF(AND(U195="new",T195="N",AT195="Y",AS195="",ES195="N"),"Y","N")</f>
        <v/>
      </c>
      <c r="EU195">
        <f>IF(ET195&lt;&gt;"Y","N",IF(COUNTIFS($AP$2:$AP$1000,AP195,$ET$2:$ET$1000,"Y",$J$2:$J$1000,"&gt;"&amp;J195)+COUNTIFS($AP$2:$AP$1000,AP195,$ET$2:$ET$1000,"Y",$J$2:$J$1000,J195,$EW$2:$EW$1000,"&lt;"&amp;EW195)=0,"Y","N"))</f>
        <v/>
      </c>
      <c r="EV195">
        <f>IF(Y195="","N",IF(Y195&lt;=10,"Y","N"))</f>
        <v/>
      </c>
      <c r="EW195">
        <f>ROW()-1</f>
        <v/>
      </c>
    </row>
    <row r="196">
      <c r="A196" t="inlineStr">
        <is>
          <t>AO-C-246</t>
        </is>
      </c>
      <c r="B196" t="inlineStr">
        <is>
          <t>Tempus AI</t>
        </is>
      </c>
      <c r="H196" t="inlineStr">
        <is>
          <t>none</t>
        </is>
      </c>
      <c r="I196" t="inlineStr">
        <is>
          <t>linkedin</t>
        </is>
      </c>
      <c r="J196">
        <f>IF(AX196="pass",ROUND(CU196+CV196+CW196+CX196+CY196+CZ196,1),0)</f>
        <v/>
      </c>
      <c r="K196" t="inlineStr">
        <is>
          <t>Tuesday estimate 66 to 1311 (low confidence), 1,001 to 4,999 staff company-wide, no attendance signal, occupancy-unconfirmed at a medium-confidence address; contacts not researched yet (below the top 50).</t>
        </is>
      </c>
      <c r="L196" t="inlineStr">
        <is>
          <t>251-500</t>
        </is>
      </c>
      <c r="R196" t="inlineStr">
        <is>
          <t>N</t>
        </is>
      </c>
      <c r="S196" t="inlineStr">
        <is>
          <t>unknown</t>
        </is>
      </c>
      <c r="T196" t="inlineStr">
        <is>
          <t>N</t>
        </is>
      </c>
      <c r="U196" t="inlineStr">
        <is>
          <t>new</t>
        </is>
      </c>
      <c r="V196" t="inlineStr">
        <is>
          <t>https://commercialobserver.com/2026/03/clay-ai-lease-sl-green-11-madison-avenue/</t>
        </is>
      </c>
      <c r="W196" t="inlineStr">
        <is>
          <t>2026-10-23</t>
        </is>
      </c>
      <c r="X196" t="inlineStr">
        <is>
          <t>office</t>
        </is>
      </c>
      <c r="Y196">
        <f>IF(EU196&lt;&gt;"Y","",COUNTIFS($EU$2:$EU$1000,"Y",$J$2:$J$1000,"&gt;"&amp;J196)+COUNTIFS($EU$2:$EU$1000,"Y",$J$2:$J$1000,J196,$EW$2:$EW$1000,"&lt;"&amp;EW196)+1)</f>
        <v/>
      </c>
      <c r="Z196" t="n">
        <v>195</v>
      </c>
      <c r="AA196" t="inlineStr">
        <is>
          <t>N</t>
        </is>
      </c>
      <c r="AB196" t="inlineStr">
        <is>
          <t>Tuesday estimate band 251-500: founder's call (set founder_ok_to_queue = Y to queue)</t>
        </is>
      </c>
      <c r="AD196" t="inlineStr">
        <is>
          <t>none</t>
        </is>
      </c>
      <c r="AH196" t="inlineStr">
        <is>
          <t>none</t>
        </is>
      </c>
      <c r="AI196" t="inlineStr">
        <is>
          <t>11 Madison Avenue</t>
        </is>
      </c>
      <c r="AJ196" t="inlineStr">
        <is>
          <t>unknown</t>
        </is>
      </c>
      <c r="AK196" t="inlineStr">
        <is>
          <t>occupancy-unconfirmed</t>
        </is>
      </c>
      <c r="AL196" t="n">
        <v>66</v>
      </c>
      <c r="AM196" t="n">
        <v>1311</v>
      </c>
      <c r="AN196" t="inlineStr">
        <is>
          <t>low</t>
        </is>
      </c>
      <c r="AO196" t="inlineStr">
        <is>
          <t>unknown</t>
        </is>
      </c>
      <c r="AP196" t="inlineStr">
        <is>
          <t>AO-C-246</t>
        </is>
      </c>
      <c r="AQ196" t="inlineStr">
        <is>
          <t>N</t>
        </is>
      </c>
      <c r="AT196">
        <f>IF(AND(AX196="pass",AQ196&lt;&gt;"Y",C196&lt;&gt;"",OR(AW196&lt;&gt;"Y",AV196="Y")),"Y","N")</f>
        <v/>
      </c>
      <c r="AU196">
        <f>_xlfn.TEXTJOIN("; ",TRUE,IF(AX196&lt;&gt;"pass","gated out",""),IF(AQ196="Y","on hold: "&amp;AR196,""),IF(C196="","no contact named on an opened page",""),IF(AND(AW196="Y",AV196&lt;&gt;"Y"),"Tuesday estimate band "&amp;L196&amp;": founder's call",""))</f>
        <v/>
      </c>
      <c r="AW196" t="inlineStr">
        <is>
          <t>Y</t>
        </is>
      </c>
      <c r="AX196" t="inlineStr">
        <is>
          <t>pass</t>
        </is>
      </c>
      <c r="AY196" t="inlineStr">
        <is>
          <t>passes all hard gates</t>
        </is>
      </c>
      <c r="AZ196" t="inlineStr">
        <is>
          <t>company</t>
        </is>
      </c>
      <c r="BA196" t="inlineStr">
        <is>
          <t>B-C-246</t>
        </is>
      </c>
      <c r="BB196" t="inlineStr">
        <is>
          <t>https://www.tempus.com/</t>
        </is>
      </c>
      <c r="BC196" t="inlineStr">
        <is>
          <t>Healthcare technology / AI</t>
        </is>
      </c>
      <c r="BD196" t="inlineStr">
        <is>
          <t>2300</t>
        </is>
      </c>
      <c r="BF196" t="inlineStr">
        <is>
          <t>over-500</t>
        </is>
      </c>
      <c r="BG196" t="inlineStr">
        <is>
          <t>whole-company</t>
        </is>
      </c>
      <c r="BH196" t="inlineStr">
        <is>
          <t>single-source</t>
        </is>
      </c>
      <c r="BI196" t="inlineStr">
        <is>
          <t>https://en.wikipedia.org/wiki/Tempus_AI</t>
        </is>
      </c>
      <c r="BK196" t="inlineStr">
        <is>
          <t>1001-4999</t>
        </is>
      </c>
      <c r="BL196" t="inlineStr">
        <is>
          <t>unknown</t>
        </is>
      </c>
      <c r="BM196" t="inlineStr">
        <is>
          <t>unknown</t>
        </is>
      </c>
      <c r="BN196" t="inlineStr">
        <is>
          <t>unknown</t>
        </is>
      </c>
      <c r="BO196" t="inlineStr">
        <is>
          <t>unknown</t>
        </is>
      </c>
      <c r="BP196" t="inlineStr">
        <is>
          <t>10010</t>
        </is>
      </c>
      <c r="BQ196" t="n">
        <v>40.741761</v>
      </c>
      <c r="BR196" t="n">
        <v>-73.987033</v>
      </c>
      <c r="BS196" t="inlineStr">
        <is>
          <t>Y</t>
        </is>
      </c>
      <c r="BT196" t="n">
        <v>0</v>
      </c>
      <c r="BU196" t="inlineStr">
        <is>
          <t>B-B-052</t>
        </is>
      </c>
      <c r="BV196" t="inlineStr">
        <is>
          <t>11 Madison Avenue (SL Green); Sony Music uses 25 Madison Ave entrance</t>
        </is>
      </c>
      <c r="BW196" t="inlineStr">
        <is>
          <t>https://commercialobserver.com/2026/03/clay-ai-lease-sl-green-11-madison-avenue/</t>
        </is>
      </c>
      <c r="BX196" t="inlineStr">
        <is>
          <t>2026-03-09</t>
        </is>
      </c>
      <c r="BY196" t="inlineStr">
        <is>
          <t>leasing-press</t>
        </is>
      </c>
      <c r="BZ196" t="inlineStr">
        <is>
          <t>https://commercialobserver.com/2026/07/ai-firm-legora-takes-98k-sl-greens-11-madison-avenue/</t>
        </is>
      </c>
      <c r="CA196" t="inlineStr">
        <is>
          <t>2026-07-23</t>
        </is>
      </c>
      <c r="CC196" t="inlineStr">
        <is>
          <t>medium</t>
        </is>
      </c>
      <c r="CE196" t="inlineStr">
        <is>
          <t>N</t>
        </is>
      </c>
      <c r="CH196" t="inlineStr">
        <is>
          <t>loading dock</t>
        </is>
      </c>
      <c r="CI196" t="inlineStr">
        <is>
          <t>https://en.wikipedia.org/wiki/11_Madison_Avenue</t>
        </is>
      </c>
      <c r="CJ196" t="inlineStr">
        <is>
          <t>unknown</t>
        </is>
      </c>
      <c r="CK196" t="inlineStr">
        <is>
          <t>N</t>
        </is>
      </c>
      <c r="CL196" t="inlineStr">
        <is>
          <t>unknown</t>
        </is>
      </c>
      <c r="CO196" t="n">
        <v>294</v>
      </c>
      <c r="CP196" t="inlineStr">
        <is>
          <t>may exceed 250</t>
        </is>
      </c>
      <c r="CQ196" t="inlineStr">
        <is>
          <t>2300 (Wikipedia) staff (whole-company count) x 5% to 100% of them in the New York office (HQ city unknown; share assumed) x 57% (Partnership for NYC, all Manhattan firms; no figure for 500 to 4,999) in on a weekday = 66 to 1311, central 294; low confidence; estimate until intake replaces it.</t>
        </is>
      </c>
      <c r="CR196" t="inlineStr">
        <is>
          <t>estimate until intake replaces it</t>
        </is>
      </c>
      <c r="CS196" t="n">
        <v>0.45</v>
      </c>
      <c r="CT196" t="n">
        <v>27.1</v>
      </c>
      <c r="CU196" t="n">
        <v>11.1</v>
      </c>
      <c r="CV196" t="n">
        <v>2</v>
      </c>
      <c r="CW196" t="n">
        <v>6</v>
      </c>
      <c r="CX196" t="n">
        <v>8</v>
      </c>
      <c r="CY196">
        <f>IF(AH196="exact",10,IF(AH196="adjacent",5,0))</f>
        <v/>
      </c>
      <c r="CZ196">
        <f>IF(R196="Y",15,0)</f>
        <v/>
      </c>
      <c r="DF196" t="inlineStr">
        <is>
          <t>none</t>
        </is>
      </c>
      <c r="DG196" t="inlineStr">
        <is>
          <t>near-miss-over-500</t>
        </is>
      </c>
      <c r="DH196" t="inlineStr">
        <is>
          <t>over-1,000 (1,001 to 4,999)</t>
        </is>
      </c>
      <c r="DI196" t="inlineStr">
        <is>
          <t>N</t>
        </is>
      </c>
      <c r="DJ196" t="inlineStr">
        <is>
          <t>39,565 sf</t>
        </is>
      </c>
      <c r="DK196" t="inlineStr">
        <is>
          <t>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196" t="inlineStr">
        <is>
          <t>none</t>
        </is>
      </c>
      <c r="DX196" t="inlineStr">
        <is>
          <t>N</t>
        </is>
      </c>
      <c r="ER196">
        <f>IF(ISNUMBER(MATCH(U196,{"queued","contacted","replied","call_booked","call_done","yes_in_principle","materials_sent"},0)),"Y","N")</f>
        <v/>
      </c>
      <c r="ES196">
        <f>IF(COUNTIFS($AP$2:$AP$1000,AP196,$ER$2:$ER$1000,"Y")+COUNTIFS($AP$2:$AP$1000,AP196,$T$2:$T$1000,"Y")&gt;0,"Y","N")</f>
        <v/>
      </c>
      <c r="ET196">
        <f>IF(AND(U196="new",T196="N",AT196="Y",AS196="",ES196="N"),"Y","N")</f>
        <v/>
      </c>
      <c r="EU196">
        <f>IF(ET196&lt;&gt;"Y","N",IF(COUNTIFS($AP$2:$AP$1000,AP196,$ET$2:$ET$1000,"Y",$J$2:$J$1000,"&gt;"&amp;J196)+COUNTIFS($AP$2:$AP$1000,AP196,$ET$2:$ET$1000,"Y",$J$2:$J$1000,J196,$EW$2:$EW$1000,"&lt;"&amp;EW196)=0,"Y","N"))</f>
        <v/>
      </c>
      <c r="EV196">
        <f>IF(Y196="","N",IF(Y196&lt;=10,"Y","N"))</f>
        <v/>
      </c>
      <c r="EW196">
        <f>ROW()-1</f>
        <v/>
      </c>
    </row>
    <row r="197">
      <c r="A197" t="inlineStr">
        <is>
          <t>AO-C-218</t>
        </is>
      </c>
      <c r="B197" t="inlineStr">
        <is>
          <t>M&amp;C Saatchi Group (New York)</t>
        </is>
      </c>
      <c r="H197" t="inlineStr">
        <is>
          <t>none</t>
        </is>
      </c>
      <c r="I197" t="inlineStr">
        <is>
          <t>linkedin</t>
        </is>
      </c>
      <c r="J197">
        <f>IF(AX197="pass",ROUND(CU197+CV197+CW197+CX197+CY197+CZ197,1),0)</f>
        <v/>
      </c>
      <c r="K197" t="inlineStr">
        <is>
          <t>Tuesday estimate 57 to 1142 (low confidence), 1,001 to 4,999 staff company-wide, hybrid (days not stated), occupancy-unconfirmed at a low-confidence address; contacts not researched yet (below the top 50).</t>
        </is>
      </c>
      <c r="L197" t="inlineStr">
        <is>
          <t>251-500</t>
        </is>
      </c>
      <c r="R197" t="inlineStr">
        <is>
          <t>N</t>
        </is>
      </c>
      <c r="S197" t="inlineStr">
        <is>
          <t>unknown</t>
        </is>
      </c>
      <c r="T197" t="inlineStr">
        <is>
          <t>N</t>
        </is>
      </c>
      <c r="U197" t="inlineStr">
        <is>
          <t>new</t>
        </is>
      </c>
      <c r="V197" t="inlineStr">
        <is>
          <t>https://www.builtinnyc.com/company/m-c-saatchi-group/offices</t>
        </is>
      </c>
      <c r="W197" t="inlineStr">
        <is>
          <t>2026-10-23</t>
        </is>
      </c>
      <c r="X197" t="inlineStr">
        <is>
          <t>office</t>
        </is>
      </c>
      <c r="Y197">
        <f>IF(EU197&lt;&gt;"Y","",COUNTIFS($EU$2:$EU$1000,"Y",$J$2:$J$1000,"&gt;"&amp;J197)+COUNTIFS($EU$2:$EU$1000,"Y",$J$2:$J$1000,J197,$EW$2:$EW$1000,"&lt;"&amp;EW197)+1)</f>
        <v/>
      </c>
      <c r="Z197" t="n">
        <v>196</v>
      </c>
      <c r="AA197" t="inlineStr">
        <is>
          <t>N</t>
        </is>
      </c>
      <c r="AB197" t="inlineStr">
        <is>
          <t>Tuesday estimate band 251-500: founder's call (set founder_ok_to_queue = Y to queue)</t>
        </is>
      </c>
      <c r="AD197" t="inlineStr">
        <is>
          <t>none</t>
        </is>
      </c>
      <c r="AH197" t="inlineStr">
        <is>
          <t>none</t>
        </is>
      </c>
      <c r="AI197" t="inlineStr">
        <is>
          <t>16 West 22nd Street</t>
        </is>
      </c>
      <c r="AJ197" t="inlineStr">
        <is>
          <t>9</t>
        </is>
      </c>
      <c r="AK197" t="inlineStr">
        <is>
          <t>occupancy-unconfirmed</t>
        </is>
      </c>
      <c r="AL197" t="n">
        <v>57</v>
      </c>
      <c r="AM197" t="n">
        <v>1142</v>
      </c>
      <c r="AN197" t="inlineStr">
        <is>
          <t>low</t>
        </is>
      </c>
      <c r="AO197" t="inlineStr">
        <is>
          <t>hybrid-unspecified</t>
        </is>
      </c>
      <c r="AP197" t="inlineStr">
        <is>
          <t>AO-C-218</t>
        </is>
      </c>
      <c r="AQ197" t="inlineStr">
        <is>
          <t>N</t>
        </is>
      </c>
      <c r="AT197">
        <f>IF(AND(AX197="pass",AQ197&lt;&gt;"Y",C197&lt;&gt;"",OR(AW197&lt;&gt;"Y",AV197="Y")),"Y","N")</f>
        <v/>
      </c>
      <c r="AU197">
        <f>_xlfn.TEXTJOIN("; ",TRUE,IF(AX197&lt;&gt;"pass","gated out",""),IF(AQ197="Y","on hold: "&amp;AR197,""),IF(C197="","no contact named on an opened page",""),IF(AND(AW197="Y",AV197&lt;&gt;"Y"),"Tuesday estimate band "&amp;L197&amp;": founder's call",""))</f>
        <v/>
      </c>
      <c r="AW197" t="inlineStr">
        <is>
          <t>Y</t>
        </is>
      </c>
      <c r="AX197" t="inlineStr">
        <is>
          <t>pass</t>
        </is>
      </c>
      <c r="AY197" t="inlineStr">
        <is>
          <t>passes all hard gates</t>
        </is>
      </c>
      <c r="AZ197" t="inlineStr">
        <is>
          <t>company</t>
        </is>
      </c>
      <c r="BA197" t="inlineStr">
        <is>
          <t>B-C-218</t>
        </is>
      </c>
      <c r="BB197" t="inlineStr">
        <is>
          <t>https://www.mcsaatchi.com/</t>
        </is>
      </c>
      <c r="BC197" t="inlineStr">
        <is>
          <t>Advertising / creative agency</t>
        </is>
      </c>
      <c r="BD197" t="inlineStr">
        <is>
          <t>2003</t>
        </is>
      </c>
      <c r="BF197" t="inlineStr">
        <is>
          <t>over-500</t>
        </is>
      </c>
      <c r="BG197" t="inlineStr">
        <is>
          <t>whole-company</t>
        </is>
      </c>
      <c r="BH197" t="inlineStr">
        <is>
          <t>single-source</t>
        </is>
      </c>
      <c r="BI197" t="inlineStr">
        <is>
          <t>https://en.wikipedia.org/wiki/M%26C_Saatchi</t>
        </is>
      </c>
      <c r="BK197" t="inlineStr">
        <is>
          <t>1001-4999</t>
        </is>
      </c>
      <c r="BL197" t="inlineStr">
        <is>
          <t>unknown</t>
        </is>
      </c>
      <c r="BM197" t="inlineStr">
        <is>
          <t>unknown</t>
        </is>
      </c>
      <c r="BN197" t="inlineStr">
        <is>
          <t>unknown</t>
        </is>
      </c>
      <c r="BO197" t="inlineStr">
        <is>
          <t>unknown</t>
        </is>
      </c>
      <c r="BP197" t="inlineStr">
        <is>
          <t>10010</t>
        </is>
      </c>
      <c r="BQ197" t="n">
        <v>40.74118</v>
      </c>
      <c r="BR197" t="n">
        <v>-73.99129000000001</v>
      </c>
      <c r="BS197" t="inlineStr">
        <is>
          <t>Y</t>
        </is>
      </c>
      <c r="BT197" t="n">
        <v>0</v>
      </c>
      <c r="BU197" t="inlineStr">
        <is>
          <t>B-B-041</t>
        </is>
      </c>
      <c r="BV197" t="inlineStr">
        <is>
          <t>16 West 22nd Street (Meysar Realty / GFP)</t>
        </is>
      </c>
      <c r="BW197" t="inlineStr">
        <is>
          <t>https://www.builtinnyc.com/company/m-c-saatchi-group/offices</t>
        </is>
      </c>
      <c r="BX197" t="inlineStr">
        <is>
          <t>2026-10-23</t>
        </is>
      </c>
      <c r="BY197" t="inlineStr">
        <is>
          <t>builtin</t>
        </is>
      </c>
      <c r="BZ197" t="inlineStr">
        <is>
          <t>https://flatironnomad.nyc/2024/01/03/december-news-roundup-4/</t>
        </is>
      </c>
      <c r="CA197" t="inlineStr">
        <is>
          <t>2024-01-03</t>
        </is>
      </c>
      <c r="CC197" t="inlineStr">
        <is>
          <t>low</t>
        </is>
      </c>
      <c r="CE197" t="inlineStr">
        <is>
          <t>N</t>
        </is>
      </c>
      <c r="CH197" t="inlineStr">
        <is>
          <t>unknown</t>
        </is>
      </c>
      <c r="CJ197" t="inlineStr">
        <is>
          <t>unknown</t>
        </is>
      </c>
      <c r="CK197" t="inlineStr">
        <is>
          <t>N</t>
        </is>
      </c>
      <c r="CL197" t="inlineStr">
        <is>
          <t>Built In workplace type: Hybrid Workplace; typical time on-site: None; recent job tags: 2 Hybrid, 1 In-Office</t>
        </is>
      </c>
      <c r="CM197" t="inlineStr">
        <is>
          <t>https://www.builtinnyc.com/company/m-c-saatchi-group/offices</t>
        </is>
      </c>
      <c r="CN197" t="inlineStr">
        <is>
          <t>2026-10-24</t>
        </is>
      </c>
      <c r="CO197" t="n">
        <v>255</v>
      </c>
      <c r="CP197" t="inlineStr">
        <is>
          <t>may exceed 250</t>
        </is>
      </c>
      <c r="CQ197" t="inlineStr">
        <is>
          <t>2003 (Wikipedia) staff (whole-company count) x 5% to 100% of them in the New York office (HQ city unknown; share assumed) x 57% (Partnership for NYC, all Manhattan firms; no figure for 500 to 4,999) in on a weekday = 57 to 1142, central 255; low confidence; estimate until intake replaces it.</t>
        </is>
      </c>
      <c r="CR197" t="inlineStr">
        <is>
          <t>estimate until intake replaces it</t>
        </is>
      </c>
      <c r="CS197" t="n">
        <v>0.49</v>
      </c>
      <c r="CT197" t="n">
        <v>26.3</v>
      </c>
      <c r="CU197" t="n">
        <v>12.3</v>
      </c>
      <c r="CV197" t="n">
        <v>2</v>
      </c>
      <c r="CW197" t="n">
        <v>7</v>
      </c>
      <c r="CX197" t="n">
        <v>5</v>
      </c>
      <c r="CY197">
        <f>IF(AH197="exact",10,IF(AH197="adjacent",5,0))</f>
        <v/>
      </c>
      <c r="CZ197">
        <f>IF(R197="Y",15,0)</f>
        <v/>
      </c>
      <c r="DF197" t="inlineStr">
        <is>
          <t>none</t>
        </is>
      </c>
      <c r="DG197" t="inlineStr">
        <is>
          <t>near-miss-over-500</t>
        </is>
      </c>
      <c r="DH197" t="inlineStr">
        <is>
          <t>over-1,000 (1,001 to 4,999)</t>
        </is>
      </c>
      <c r="DI197" t="inlineStr">
        <is>
          <t>N</t>
        </is>
      </c>
      <c r="DJ197" t="inlineStr">
        <is>
          <t>13,000 sf</t>
        </is>
      </c>
      <c r="DK197" t="inlineStr">
        <is>
          <t>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DS197" t="inlineStr">
        <is>
          <t>none</t>
        </is>
      </c>
      <c r="DX197" t="inlineStr">
        <is>
          <t>N</t>
        </is>
      </c>
      <c r="ER197">
        <f>IF(ISNUMBER(MATCH(U197,{"queued","contacted","replied","call_booked","call_done","yes_in_principle","materials_sent"},0)),"Y","N")</f>
        <v/>
      </c>
      <c r="ES197">
        <f>IF(COUNTIFS($AP$2:$AP$1000,AP197,$ER$2:$ER$1000,"Y")+COUNTIFS($AP$2:$AP$1000,AP197,$T$2:$T$1000,"Y")&gt;0,"Y","N")</f>
        <v/>
      </c>
      <c r="ET197">
        <f>IF(AND(U197="new",T197="N",AT197="Y",AS197="",ES197="N"),"Y","N")</f>
        <v/>
      </c>
      <c r="EU197">
        <f>IF(ET197&lt;&gt;"Y","N",IF(COUNTIFS($AP$2:$AP$1000,AP197,$ET$2:$ET$1000,"Y",$J$2:$J$1000,"&gt;"&amp;J197)+COUNTIFS($AP$2:$AP$1000,AP197,$ET$2:$ET$1000,"Y",$J$2:$J$1000,J197,$EW$2:$EW$1000,"&lt;"&amp;EW197)=0,"Y","N"))</f>
        <v/>
      </c>
      <c r="EV197">
        <f>IF(Y197="","N",IF(Y197&lt;=10,"Y","N"))</f>
        <v/>
      </c>
      <c r="EW197">
        <f>ROW()-1</f>
        <v/>
      </c>
    </row>
    <row r="198">
      <c r="A198" t="inlineStr">
        <is>
          <t>AO-C-189</t>
        </is>
      </c>
      <c r="B198" t="inlineStr">
        <is>
          <t>Chainalysis</t>
        </is>
      </c>
      <c r="H198" t="inlineStr">
        <is>
          <t>none</t>
        </is>
      </c>
      <c r="I198" t="inlineStr">
        <is>
          <t>linkedin</t>
        </is>
      </c>
      <c r="J198">
        <f>IF(AX198="pass",ROUND(CU198+CV198+CW198+CX198+CY198+CZ198,1),0)</f>
        <v/>
      </c>
      <c r="K198" t="inlineStr">
        <is>
          <t>Tuesday estimate 199 to 399 (low confidence), 501 to 1,000 staff company-wide, hybrid (days not stated), occupancy-unconfirmed at a low-confidence address; contacts not researched yet (below the top 50).</t>
        </is>
      </c>
      <c r="L198" t="inlineStr">
        <is>
          <t>251-500</t>
        </is>
      </c>
      <c r="R198" t="inlineStr">
        <is>
          <t>N</t>
        </is>
      </c>
      <c r="S198" t="inlineStr">
        <is>
          <t>unknown</t>
        </is>
      </c>
      <c r="T198" t="inlineStr">
        <is>
          <t>N</t>
        </is>
      </c>
      <c r="U198" t="inlineStr">
        <is>
          <t>new</t>
        </is>
      </c>
      <c r="V198" t="inlineStr">
        <is>
          <t>https://commercialobserver.com/2022/01/chainalysis-78k-sf-114-fifth-avenue/</t>
        </is>
      </c>
      <c r="W198" t="inlineStr">
        <is>
          <t>2026-10-23</t>
        </is>
      </c>
      <c r="X198" t="inlineStr">
        <is>
          <t>office</t>
        </is>
      </c>
      <c r="Y198">
        <f>IF(EU198&lt;&gt;"Y","",COUNTIFS($EU$2:$EU$1000,"Y",$J$2:$J$1000,"&gt;"&amp;J198)+COUNTIFS($EU$2:$EU$1000,"Y",$J$2:$J$1000,J198,$EW$2:$EW$1000,"&lt;"&amp;EW198)+1)</f>
        <v/>
      </c>
      <c r="Z198" t="n">
        <v>197</v>
      </c>
      <c r="AA198" t="inlineStr">
        <is>
          <t>N</t>
        </is>
      </c>
      <c r="AB198" t="inlineStr">
        <is>
          <t>Tuesday estimate band 251-500: founder's call (set founder_ok_to_queue = Y to queue)</t>
        </is>
      </c>
      <c r="AD198" t="inlineStr">
        <is>
          <t>none</t>
        </is>
      </c>
      <c r="AH198" t="inlineStr">
        <is>
          <t>none</t>
        </is>
      </c>
      <c r="AI198" t="inlineStr">
        <is>
          <t>114 Fifth Avenue</t>
        </is>
      </c>
      <c r="AJ198" t="inlineStr">
        <is>
          <t>4 floors (not named)</t>
        </is>
      </c>
      <c r="AK198" t="inlineStr">
        <is>
          <t>occupancy-unconfirmed</t>
        </is>
      </c>
      <c r="AL198" t="n">
        <v>199</v>
      </c>
      <c r="AM198" t="n">
        <v>399</v>
      </c>
      <c r="AN198" t="inlineStr">
        <is>
          <t>low</t>
        </is>
      </c>
      <c r="AO198" t="inlineStr">
        <is>
          <t>hybrid-unspecified</t>
        </is>
      </c>
      <c r="AP198" t="inlineStr">
        <is>
          <t>AO-C-189</t>
        </is>
      </c>
      <c r="AQ198" t="inlineStr">
        <is>
          <t>N</t>
        </is>
      </c>
      <c r="AT198">
        <f>IF(AND(AX198="pass",AQ198&lt;&gt;"Y",C198&lt;&gt;"",OR(AW198&lt;&gt;"Y",AV198="Y")),"Y","N")</f>
        <v/>
      </c>
      <c r="AU198">
        <f>_xlfn.TEXTJOIN("; ",TRUE,IF(AX198&lt;&gt;"pass","gated out",""),IF(AQ198="Y","on hold: "&amp;AR198,""),IF(C198="","no contact named on an opened page",""),IF(AND(AW198="Y",AV198&lt;&gt;"Y"),"Tuesday estimate band "&amp;L198&amp;": founder's call",""))</f>
        <v/>
      </c>
      <c r="AW198" t="inlineStr">
        <is>
          <t>Y</t>
        </is>
      </c>
      <c r="AX198" t="inlineStr">
        <is>
          <t>pass</t>
        </is>
      </c>
      <c r="AY198" t="inlineStr">
        <is>
          <t>passes all hard gates</t>
        </is>
      </c>
      <c r="AZ198" t="inlineStr">
        <is>
          <t>company</t>
        </is>
      </c>
      <c r="BA198" t="inlineStr">
        <is>
          <t>B-C-189</t>
        </is>
      </c>
      <c r="BB198" t="inlineStr">
        <is>
          <t>https://www.chainalysis.com</t>
        </is>
      </c>
      <c r="BC198" t="inlineStr">
        <is>
          <t>blockchain data and compliance software</t>
        </is>
      </c>
      <c r="BD198" t="inlineStr">
        <is>
          <t>700</t>
        </is>
      </c>
      <c r="BF198" t="inlineStr">
        <is>
          <t>over-500</t>
        </is>
      </c>
      <c r="BG198" t="inlineStr">
        <is>
          <t>whole-company</t>
        </is>
      </c>
      <c r="BH198" t="inlineStr">
        <is>
          <t>single-source</t>
        </is>
      </c>
      <c r="BI198" t="inlineStr">
        <is>
          <t>https://www.builtinnyc.com/company/chainalysis</t>
        </is>
      </c>
      <c r="BK198" t="inlineStr">
        <is>
          <t>501-1000</t>
        </is>
      </c>
      <c r="BL198" t="inlineStr">
        <is>
          <t>New York</t>
        </is>
      </c>
      <c r="BM198" t="inlineStr">
        <is>
          <t>Y</t>
        </is>
      </c>
      <c r="BN198" t="inlineStr">
        <is>
          <t>unknown</t>
        </is>
      </c>
      <c r="BO198" t="inlineStr">
        <is>
          <t>unknown</t>
        </is>
      </c>
      <c r="BP198" t="inlineStr">
        <is>
          <t>10011</t>
        </is>
      </c>
      <c r="BQ198" t="n">
        <v>40.737788</v>
      </c>
      <c r="BR198" t="n">
        <v>-73.992555</v>
      </c>
      <c r="BS198" t="inlineStr">
        <is>
          <t>Y</t>
        </is>
      </c>
      <c r="BT198" t="n">
        <v>0</v>
      </c>
      <c r="BU198" t="inlineStr">
        <is>
          <t>B-B-009</t>
        </is>
      </c>
      <c r="BV198" t="inlineStr">
        <is>
          <t>114 Fifth Avenue</t>
        </is>
      </c>
      <c r="BW198" t="inlineStr">
        <is>
          <t>https://commercialobserver.com/2022/01/chainalysis-78k-sf-114-fifth-avenue/</t>
        </is>
      </c>
      <c r="BX198" t="inlineStr">
        <is>
          <t>2022-01</t>
        </is>
      </c>
      <c r="BY198" t="inlineStr">
        <is>
          <t>leasing-press</t>
        </is>
      </c>
      <c r="CC198" t="inlineStr">
        <is>
          <t>low</t>
        </is>
      </c>
      <c r="CE198" t="inlineStr">
        <is>
          <t>N</t>
        </is>
      </c>
      <c r="CH198" t="inlineStr">
        <is>
          <t>unknown</t>
        </is>
      </c>
      <c r="CJ198" t="inlineStr">
        <is>
          <t>unknown</t>
        </is>
      </c>
      <c r="CK198" t="inlineStr">
        <is>
          <t>N</t>
        </is>
      </c>
      <c r="CL198" t="inlineStr">
        <is>
          <t>Built In workplace type: Hybrid Workplace; typical time on-site: Flexible</t>
        </is>
      </c>
      <c r="CM198" t="inlineStr">
        <is>
          <t>https://www.builtinnyc.com/company/chainalysis/offices</t>
        </is>
      </c>
      <c r="CN198" t="inlineStr">
        <is>
          <t>2026-10-24</t>
        </is>
      </c>
      <c r="CO198" t="n">
        <v>282</v>
      </c>
      <c r="CP198" t="inlineStr">
        <is>
          <t>may exceed 250</t>
        </is>
      </c>
      <c r="CQ198" t="inlineStr">
        <is>
          <t>700 (Built In) staff (whole-company count) x 50% to 100% of them in the New York office (HQ New York; share assumed) x 57% (Partnership for NYC, all Manhattan firms; no figure for 500 to 4,999) in on a weekday = 199 to 399, central 282; low confidence; estimate until intake replaces it.</t>
        </is>
      </c>
      <c r="CR198" t="inlineStr">
        <is>
          <t>estimate until intake replaces it</t>
        </is>
      </c>
      <c r="CS198" t="n">
        <v>0.33</v>
      </c>
      <c r="CT198" t="n">
        <v>26.2</v>
      </c>
      <c r="CU198" t="n">
        <v>8.199999999999999</v>
      </c>
      <c r="CV198" t="n">
        <v>6</v>
      </c>
      <c r="CW198" t="n">
        <v>7</v>
      </c>
      <c r="CX198" t="n">
        <v>5</v>
      </c>
      <c r="CY198">
        <f>IF(AH198="exact",10,IF(AH198="adjacent",5,0))</f>
        <v/>
      </c>
      <c r="CZ198">
        <f>IF(R198="Y",15,0)</f>
        <v/>
      </c>
      <c r="DF198" t="inlineStr">
        <is>
          <t>none</t>
        </is>
      </c>
      <c r="DG198" t="inlineStr">
        <is>
          <t>near-miss-over-500</t>
        </is>
      </c>
      <c r="DH198" t="inlineStr">
        <is>
          <t>just-over-500 (501 to 1,000)</t>
        </is>
      </c>
      <c r="DI198" t="inlineStr">
        <is>
          <t>N</t>
        </is>
      </c>
      <c r="DJ198" t="inlineStr">
        <is>
          <t>77,608 sf</t>
        </is>
      </c>
      <c r="DK198" t="inlineStr">
        <is>
          <t>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is>
      </c>
      <c r="DS198" t="inlineStr">
        <is>
          <t>none</t>
        </is>
      </c>
      <c r="DX198" t="inlineStr">
        <is>
          <t>N</t>
        </is>
      </c>
      <c r="ER198">
        <f>IF(ISNUMBER(MATCH(U198,{"queued","contacted","replied","call_booked","call_done","yes_in_principle","materials_sent"},0)),"Y","N")</f>
        <v/>
      </c>
      <c r="ES198">
        <f>IF(COUNTIFS($AP$2:$AP$1000,AP198,$ER$2:$ER$1000,"Y")+COUNTIFS($AP$2:$AP$1000,AP198,$T$2:$T$1000,"Y")&gt;0,"Y","N")</f>
        <v/>
      </c>
      <c r="ET198">
        <f>IF(AND(U198="new",T198="N",AT198="Y",AS198="",ES198="N"),"Y","N")</f>
        <v/>
      </c>
      <c r="EU198">
        <f>IF(ET198&lt;&gt;"Y","N",IF(COUNTIFS($AP$2:$AP$1000,AP198,$ET$2:$ET$1000,"Y",$J$2:$J$1000,"&gt;"&amp;J198)+COUNTIFS($AP$2:$AP$1000,AP198,$ET$2:$ET$1000,"Y",$J$2:$J$1000,J198,$EW$2:$EW$1000,"&lt;"&amp;EW198)=0,"Y","N"))</f>
        <v/>
      </c>
      <c r="EV198">
        <f>IF(Y198="","N",IF(Y198&lt;=10,"Y","N"))</f>
        <v/>
      </c>
      <c r="EW198">
        <f>ROW()-1</f>
        <v/>
      </c>
    </row>
    <row r="199">
      <c r="A199" t="inlineStr">
        <is>
          <t>AO-C-226</t>
        </is>
      </c>
      <c r="B199" t="inlineStr">
        <is>
          <t>IMG Worldwide (WME Group)</t>
        </is>
      </c>
      <c r="H199" t="inlineStr">
        <is>
          <t>none</t>
        </is>
      </c>
      <c r="I199" t="inlineStr">
        <is>
          <t>linkedin</t>
        </is>
      </c>
      <c r="J199">
        <f>IF(AX199="pass",ROUND(CU199+CV199+CW199+CX199+CY199+CZ199,1),0)</f>
        <v/>
      </c>
      <c r="K199" t="inlineStr">
        <is>
          <t>Tuesday estimate 85 to 1710 (low confidence), 1,001 to 4,999 staff company-wide with a named parent (WME Group), no attendance signal, occupied at a medium-confidence address; contacts not researched yet (below the top 50).</t>
        </is>
      </c>
      <c r="L199" t="inlineStr">
        <is>
          <t>251-500</t>
        </is>
      </c>
      <c r="R199" t="inlineStr">
        <is>
          <t>N</t>
        </is>
      </c>
      <c r="S199" t="inlineStr">
        <is>
          <t>unknown</t>
        </is>
      </c>
      <c r="T199" t="inlineStr">
        <is>
          <t>N</t>
        </is>
      </c>
      <c r="U199" t="inlineStr">
        <is>
          <t>new</t>
        </is>
      </c>
      <c r="V199" t="inlineStr">
        <is>
          <t>https://commercialobserver.com/2026/09/img-worldwide-lease-renewal-304-park-avenue-south/</t>
        </is>
      </c>
      <c r="W199" t="inlineStr">
        <is>
          <t>2026-10-23</t>
        </is>
      </c>
      <c r="X199" t="inlineStr">
        <is>
          <t>office</t>
        </is>
      </c>
      <c r="Y199">
        <f>IF(EU199&lt;&gt;"Y","",COUNTIFS($EU$2:$EU$1000,"Y",$J$2:$J$1000,"&gt;"&amp;J199)+COUNTIFS($EU$2:$EU$1000,"Y",$J$2:$J$1000,J199,$EW$2:$EW$1000,"&lt;"&amp;EW199)+1)</f>
        <v/>
      </c>
      <c r="Z199" t="n">
        <v>198</v>
      </c>
      <c r="AA199" t="inlineStr">
        <is>
          <t>N</t>
        </is>
      </c>
      <c r="AB199" t="inlineStr">
        <is>
          <t>Tuesday estimate band 251-500: founder's call (set founder_ok_to_queue = Y to queue)</t>
        </is>
      </c>
      <c r="AD199" t="inlineStr">
        <is>
          <t>none</t>
        </is>
      </c>
      <c r="AH199" t="inlineStr">
        <is>
          <t>none</t>
        </is>
      </c>
      <c r="AI199" t="inlineStr">
        <is>
          <t>304 Park Avenue South</t>
        </is>
      </c>
      <c r="AJ199" t="inlineStr">
        <is>
          <t>part 2, 8-12, PH</t>
        </is>
      </c>
      <c r="AK199" t="inlineStr">
        <is>
          <t>occupied</t>
        </is>
      </c>
      <c r="AL199" t="n">
        <v>85</v>
      </c>
      <c r="AM199" t="n">
        <v>1710</v>
      </c>
      <c r="AN199" t="inlineStr">
        <is>
          <t>low</t>
        </is>
      </c>
      <c r="AO199" t="inlineStr">
        <is>
          <t>unknown</t>
        </is>
      </c>
      <c r="AP199" t="inlineStr">
        <is>
          <t>AO-C-226</t>
        </is>
      </c>
      <c r="AQ199" t="inlineStr">
        <is>
          <t>N</t>
        </is>
      </c>
      <c r="AT199">
        <f>IF(AND(AX199="pass",AQ199&lt;&gt;"Y",C199&lt;&gt;"",OR(AW199&lt;&gt;"Y",AV199="Y")),"Y","N")</f>
        <v/>
      </c>
      <c r="AU199">
        <f>_xlfn.TEXTJOIN("; ",TRUE,IF(AX199&lt;&gt;"pass","gated out",""),IF(AQ199="Y","on hold: "&amp;AR199,""),IF(C199="","no contact named on an opened page",""),IF(AND(AW199="Y",AV199&lt;&gt;"Y"),"Tuesday estimate band "&amp;L199&amp;": founder's call",""))</f>
        <v/>
      </c>
      <c r="AW199" t="inlineStr">
        <is>
          <t>Y</t>
        </is>
      </c>
      <c r="AX199" t="inlineStr">
        <is>
          <t>pass</t>
        </is>
      </c>
      <c r="AY199" t="inlineStr">
        <is>
          <t>passes all hard gates</t>
        </is>
      </c>
      <c r="AZ199" t="inlineStr">
        <is>
          <t>company</t>
        </is>
      </c>
      <c r="BA199" t="inlineStr">
        <is>
          <t>B-C-226</t>
        </is>
      </c>
      <c r="BB199" t="inlineStr">
        <is>
          <t>https://www.img.com</t>
        </is>
      </c>
      <c r="BC199" t="inlineStr">
        <is>
          <t>talent and modeling agency</t>
        </is>
      </c>
      <c r="BD199" t="inlineStr">
        <is>
          <t>3000</t>
        </is>
      </c>
      <c r="BF199" t="inlineStr">
        <is>
          <t>over-500</t>
        </is>
      </c>
      <c r="BG199" t="inlineStr">
        <is>
          <t>whole-company</t>
        </is>
      </c>
      <c r="BH199" t="inlineStr">
        <is>
          <t>single-source</t>
        </is>
      </c>
      <c r="BI199" t="inlineStr">
        <is>
          <t>https://en.wikipedia.org/wiki/IMG_(company)</t>
        </is>
      </c>
      <c r="BK199" t="inlineStr">
        <is>
          <t>1001-4999</t>
        </is>
      </c>
      <c r="BL199" t="inlineStr">
        <is>
          <t>unknown</t>
        </is>
      </c>
      <c r="BM199" t="inlineStr">
        <is>
          <t>unknown</t>
        </is>
      </c>
      <c r="BN199" t="inlineStr">
        <is>
          <t>WME Group</t>
        </is>
      </c>
      <c r="BO199" t="inlineStr">
        <is>
          <t>unknown</t>
        </is>
      </c>
      <c r="BQ199" t="n">
        <v>40.740049</v>
      </c>
      <c r="BR199" t="n">
        <v>-73.986717</v>
      </c>
      <c r="BS199" t="inlineStr">
        <is>
          <t>Y</t>
        </is>
      </c>
      <c r="BT199" t="n">
        <v>0</v>
      </c>
      <c r="BV199" t="inlineStr">
        <is>
          <t>unknown</t>
        </is>
      </c>
      <c r="BW199" t="inlineStr">
        <is>
          <t>https://commercialobserver.com/2026/09/img-worldwide-lease-renewal-304-park-avenue-south/</t>
        </is>
      </c>
      <c r="BX199" t="inlineStr">
        <is>
          <t>2026-09-16</t>
        </is>
      </c>
      <c r="BY199" t="inlineStr">
        <is>
          <t>leasing-press</t>
        </is>
      </c>
      <c r="BZ199" t="inlineStr">
        <is>
          <t>https://therealdeal.com/new-york/2026/10/07/new-york-citys-top-office-leases-in-september/</t>
        </is>
      </c>
      <c r="CA199" t="inlineStr">
        <is>
          <t>2026-10-07</t>
        </is>
      </c>
      <c r="CC199" t="inlineStr">
        <is>
          <t>medium</t>
        </is>
      </c>
      <c r="CE199" t="inlineStr">
        <is>
          <t>N</t>
        </is>
      </c>
      <c r="CH199" t="inlineStr">
        <is>
          <t>unknown</t>
        </is>
      </c>
      <c r="CJ199" t="inlineStr">
        <is>
          <t>unknown</t>
        </is>
      </c>
      <c r="CK199" t="inlineStr">
        <is>
          <t>N</t>
        </is>
      </c>
      <c r="CL199" t="inlineStr">
        <is>
          <t>unknown</t>
        </is>
      </c>
      <c r="CO199" t="n">
        <v>381</v>
      </c>
      <c r="CP199" t="inlineStr">
        <is>
          <t>may exceed 250</t>
        </is>
      </c>
      <c r="CQ199" t="inlineStr">
        <is>
          <t>3000 (Wikipedia) staff (whole-company count) x 5% to 100% of them in the New York office (HQ city unknown; share assumed) x 57% (Partnership for NYC, all Manhattan firms; no figure for 500 to 4,999) in on a weekday = 85 to 1710, central 381; low confidence; estimate until intake replaces it.</t>
        </is>
      </c>
      <c r="CR199" t="inlineStr">
        <is>
          <t>estimate until intake replaces it</t>
        </is>
      </c>
      <c r="CS199" t="n">
        <v>0.36</v>
      </c>
      <c r="CT199" t="n">
        <v>26</v>
      </c>
      <c r="CU199" t="n">
        <v>9</v>
      </c>
      <c r="CV199" t="n">
        <v>-2</v>
      </c>
      <c r="CW199" t="n">
        <v>6</v>
      </c>
      <c r="CX199" t="n">
        <v>13</v>
      </c>
      <c r="CY199">
        <f>IF(AH199="exact",10,IF(AH199="adjacent",5,0))</f>
        <v/>
      </c>
      <c r="CZ199">
        <f>IF(R199="Y",15,0)</f>
        <v/>
      </c>
      <c r="DF199" t="inlineStr">
        <is>
          <t>none</t>
        </is>
      </c>
      <c r="DG199" t="inlineStr">
        <is>
          <t>near-miss-over-500</t>
        </is>
      </c>
      <c r="DH199" t="inlineStr">
        <is>
          <t>over-1,000 (1,001 to 4,999)</t>
        </is>
      </c>
      <c r="DI199" t="inlineStr">
        <is>
          <t>N</t>
        </is>
      </c>
      <c r="DJ199" t="inlineStr">
        <is>
          <t>90,202 sf</t>
        </is>
      </c>
      <c r="DK199" t="inlineStr">
        <is>
          <t>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is>
      </c>
      <c r="DS199" t="inlineStr">
        <is>
          <t>none</t>
        </is>
      </c>
      <c r="DX199" t="inlineStr">
        <is>
          <t>N</t>
        </is>
      </c>
      <c r="ER199">
        <f>IF(ISNUMBER(MATCH(U199,{"queued","contacted","replied","call_booked","call_done","yes_in_principle","materials_sent"},0)),"Y","N")</f>
        <v/>
      </c>
      <c r="ES199">
        <f>IF(COUNTIFS($AP$2:$AP$1000,AP199,$ER$2:$ER$1000,"Y")+COUNTIFS($AP$2:$AP$1000,AP199,$T$2:$T$1000,"Y")&gt;0,"Y","N")</f>
        <v/>
      </c>
      <c r="ET199">
        <f>IF(AND(U199="new",T199="N",AT199="Y",AS199="",ES199="N"),"Y","N")</f>
        <v/>
      </c>
      <c r="EU199">
        <f>IF(ET199&lt;&gt;"Y","N",IF(COUNTIFS($AP$2:$AP$1000,AP199,$ET$2:$ET$1000,"Y",$J$2:$J$1000,"&gt;"&amp;J199)+COUNTIFS($AP$2:$AP$1000,AP199,$ET$2:$ET$1000,"Y",$J$2:$J$1000,J199,$EW$2:$EW$1000,"&lt;"&amp;EW199)=0,"Y","N"))</f>
        <v/>
      </c>
      <c r="EV199">
        <f>IF(Y199="","N",IF(Y199&lt;=10,"Y","N"))</f>
        <v/>
      </c>
      <c r="EW199">
        <f>ROW()-1</f>
        <v/>
      </c>
    </row>
    <row r="200">
      <c r="A200" t="inlineStr">
        <is>
          <t>AO-C-245</t>
        </is>
      </c>
      <c r="B200" t="inlineStr">
        <is>
          <t>Suntory Global Spirits (Jim Beam Brands)</t>
        </is>
      </c>
      <c r="H200" t="inlineStr">
        <is>
          <t>none</t>
        </is>
      </c>
      <c r="I200" t="inlineStr">
        <is>
          <t>linkedin</t>
        </is>
      </c>
      <c r="J200">
        <f>IF(AX200="pass",ROUND(CU200+CV200+CW200+CX200+CY200+CZ200,1),0)</f>
        <v/>
      </c>
      <c r="K200" t="inlineStr">
        <is>
          <t>Tuesday estimate 138 to 2760 (low confidence), 5,000+ staff company-wide, no attendance signal, occupied at a high-confidence address; contacts not researched yet (below the top 50).</t>
        </is>
      </c>
      <c r="L200" t="inlineStr">
        <is>
          <t>over-500</t>
        </is>
      </c>
      <c r="R200" t="inlineStr">
        <is>
          <t>N</t>
        </is>
      </c>
      <c r="S200" t="inlineStr">
        <is>
          <t>unknown</t>
        </is>
      </c>
      <c r="T200" t="inlineStr">
        <is>
          <t>N</t>
        </is>
      </c>
      <c r="U200" t="inlineStr">
        <is>
          <t>new</t>
        </is>
      </c>
      <c r="V200" t="inlineStr">
        <is>
          <t>https://slgreen.com/?p=12833</t>
        </is>
      </c>
      <c r="W200" t="inlineStr">
        <is>
          <t>2026-10-23</t>
        </is>
      </c>
      <c r="X200" t="inlineStr">
        <is>
          <t>office</t>
        </is>
      </c>
      <c r="Y200">
        <f>IF(EU200&lt;&gt;"Y","",COUNTIFS($EU$2:$EU$1000,"Y",$J$2:$J$1000,"&gt;"&amp;J200)+COUNTIFS($EU$2:$EU$1000,"Y",$J$2:$J$1000,J200,$EW$2:$EW$1000,"&lt;"&amp;EW200)+1)</f>
        <v/>
      </c>
      <c r="Z200" t="n">
        <v>199</v>
      </c>
      <c r="AA200" t="inlineStr">
        <is>
          <t>N</t>
        </is>
      </c>
      <c r="AB200" t="inlineStr">
        <is>
          <t>Tuesday estimate band over-500: founder's call (set founder_ok_to_queue = Y to queue)</t>
        </is>
      </c>
      <c r="AD200" t="inlineStr">
        <is>
          <t>none</t>
        </is>
      </c>
      <c r="AH200" t="inlineStr">
        <is>
          <t>none</t>
        </is>
      </c>
      <c r="AI200" t="inlineStr">
        <is>
          <t>11 Madison Avenue</t>
        </is>
      </c>
      <c r="AJ200" t="inlineStr">
        <is>
          <t>unknown</t>
        </is>
      </c>
      <c r="AK200" t="inlineStr">
        <is>
          <t>occupied</t>
        </is>
      </c>
      <c r="AL200" t="n">
        <v>138</v>
      </c>
      <c r="AM200" t="n">
        <v>2760</v>
      </c>
      <c r="AN200" t="inlineStr">
        <is>
          <t>low</t>
        </is>
      </c>
      <c r="AO200" t="inlineStr">
        <is>
          <t>unknown</t>
        </is>
      </c>
      <c r="AP200" t="inlineStr">
        <is>
          <t>AO-C-245</t>
        </is>
      </c>
      <c r="AQ200" t="inlineStr">
        <is>
          <t>N</t>
        </is>
      </c>
      <c r="AT200">
        <f>IF(AND(AX200="pass",AQ200&lt;&gt;"Y",C200&lt;&gt;"",OR(AW200&lt;&gt;"Y",AV200="Y")),"Y","N")</f>
        <v/>
      </c>
      <c r="AU200">
        <f>_xlfn.TEXTJOIN("; ",TRUE,IF(AX200&lt;&gt;"pass","gated out",""),IF(AQ200="Y","on hold: "&amp;AR200,""),IF(C200="","no contact named on an opened page",""),IF(AND(AW200="Y",AV200&lt;&gt;"Y"),"Tuesday estimate band "&amp;L200&amp;": founder's call",""))</f>
        <v/>
      </c>
      <c r="AW200" t="inlineStr">
        <is>
          <t>Y</t>
        </is>
      </c>
      <c r="AX200" t="inlineStr">
        <is>
          <t>pass</t>
        </is>
      </c>
      <c r="AY200" t="inlineStr">
        <is>
          <t>passes all hard gates</t>
        </is>
      </c>
      <c r="AZ200" t="inlineStr">
        <is>
          <t>company</t>
        </is>
      </c>
      <c r="BA200" t="inlineStr">
        <is>
          <t>B-C-245</t>
        </is>
      </c>
      <c r="BB200" t="inlineStr">
        <is>
          <t>https://www.suntoryglobalspirits.com/</t>
        </is>
      </c>
      <c r="BC200" t="inlineStr">
        <is>
          <t>Consumer brand (spirits)</t>
        </is>
      </c>
      <c r="BD200" t="inlineStr">
        <is>
          <t>6000</t>
        </is>
      </c>
      <c r="BF200" t="inlineStr">
        <is>
          <t>over-500</t>
        </is>
      </c>
      <c r="BG200" t="inlineStr">
        <is>
          <t>whole-company</t>
        </is>
      </c>
      <c r="BH200" t="inlineStr">
        <is>
          <t>single-source</t>
        </is>
      </c>
      <c r="BI200" t="inlineStr">
        <is>
          <t>https://en.wikipedia.org/wiki/Suntory_Global_Spirits</t>
        </is>
      </c>
      <c r="BK200" t="inlineStr">
        <is>
          <t>5000+</t>
        </is>
      </c>
      <c r="BL200" t="inlineStr">
        <is>
          <t>unknown</t>
        </is>
      </c>
      <c r="BM200" t="inlineStr">
        <is>
          <t>unknown</t>
        </is>
      </c>
      <c r="BN200" t="inlineStr">
        <is>
          <t>unknown</t>
        </is>
      </c>
      <c r="BO200" t="inlineStr">
        <is>
          <t>unknown</t>
        </is>
      </c>
      <c r="BP200" t="inlineStr">
        <is>
          <t>10010</t>
        </is>
      </c>
      <c r="BQ200" t="n">
        <v>40.741761</v>
      </c>
      <c r="BR200" t="n">
        <v>-73.987033</v>
      </c>
      <c r="BS200" t="inlineStr">
        <is>
          <t>Y</t>
        </is>
      </c>
      <c r="BT200" t="n">
        <v>0</v>
      </c>
      <c r="BU200" t="inlineStr">
        <is>
          <t>B-B-052</t>
        </is>
      </c>
      <c r="BV200" t="inlineStr">
        <is>
          <t>11 Madison Avenue (SL Green); Sony Music uses 25 Madison Ave entrance</t>
        </is>
      </c>
      <c r="BW200" t="inlineStr">
        <is>
          <t>https://slgreen.com/?p=12833</t>
        </is>
      </c>
      <c r="BX200" t="inlineStr">
        <is>
          <t>2026-07-22</t>
        </is>
      </c>
      <c r="BY200" t="inlineStr">
        <is>
          <t>press-release</t>
        </is>
      </c>
      <c r="BZ200" t="inlineStr">
        <is>
          <t>https://commercialobserver.com/2026/07/ai-firm-legora-takes-98k-sl-greens-11-madison-avenue/</t>
        </is>
      </c>
      <c r="CA200" t="inlineStr">
        <is>
          <t>2026-07-23</t>
        </is>
      </c>
      <c r="CC200" t="inlineStr">
        <is>
          <t>high</t>
        </is>
      </c>
      <c r="CE200" t="inlineStr">
        <is>
          <t>N</t>
        </is>
      </c>
      <c r="CH200" t="inlineStr">
        <is>
          <t>loading dock</t>
        </is>
      </c>
      <c r="CI200" t="inlineStr">
        <is>
          <t>https://en.wikipedia.org/wiki/11_Madison_Avenue</t>
        </is>
      </c>
      <c r="CJ200" t="inlineStr">
        <is>
          <t>unknown</t>
        </is>
      </c>
      <c r="CK200" t="inlineStr">
        <is>
          <t>N</t>
        </is>
      </c>
      <c r="CL200" t="inlineStr">
        <is>
          <t>unknown</t>
        </is>
      </c>
      <c r="CO200" t="n">
        <v>617</v>
      </c>
      <c r="CP200" t="inlineStr">
        <is>
          <t>may exceed 250</t>
        </is>
      </c>
      <c r="CQ200" t="inlineStr">
        <is>
          <t>6000 (Wikipedia) staff (whole-company count) x 5% to 100% of them in the New York office (HQ city unknown; share assumed) x 46% (Partnership for NYC, firms over 5,000) in on a weekday = 138 to 2760, central 617; low confidence; estimate until intake replaces it.</t>
        </is>
      </c>
      <c r="CR200" t="inlineStr">
        <is>
          <t>estimate until intake replaces it</t>
        </is>
      </c>
      <c r="CS200" t="n">
        <v>0.2</v>
      </c>
      <c r="CT200" t="n">
        <v>26</v>
      </c>
      <c r="CU200" t="n">
        <v>5</v>
      </c>
      <c r="CV200" t="n">
        <v>0</v>
      </c>
      <c r="CW200" t="n">
        <v>6</v>
      </c>
      <c r="CX200" t="n">
        <v>15</v>
      </c>
      <c r="CY200">
        <f>IF(AH200="exact",10,IF(AH200="adjacent",5,0))</f>
        <v/>
      </c>
      <c r="CZ200">
        <f>IF(R200="Y",15,0)</f>
        <v/>
      </c>
      <c r="DF200" t="inlineStr">
        <is>
          <t>none</t>
        </is>
      </c>
      <c r="DG200" t="inlineStr">
        <is>
          <t>near-miss-over-500</t>
        </is>
      </c>
      <c r="DH200" t="inlineStr">
        <is>
          <t>not-near (5,000 or more)</t>
        </is>
      </c>
      <c r="DI200" t="inlineStr">
        <is>
          <t>N</t>
        </is>
      </c>
      <c r="DJ200" t="inlineStr">
        <is>
          <t>100,000 sf</t>
        </is>
      </c>
      <c r="DK200" t="inlineStr">
        <is>
          <t>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00" t="inlineStr">
        <is>
          <t>none</t>
        </is>
      </c>
      <c r="DX200" t="inlineStr">
        <is>
          <t>N</t>
        </is>
      </c>
      <c r="ER200">
        <f>IF(ISNUMBER(MATCH(U200,{"queued","contacted","replied","call_booked","call_done","yes_in_principle","materials_sent"},0)),"Y","N")</f>
        <v/>
      </c>
      <c r="ES200">
        <f>IF(COUNTIFS($AP$2:$AP$1000,AP200,$ER$2:$ER$1000,"Y")+COUNTIFS($AP$2:$AP$1000,AP200,$T$2:$T$1000,"Y")&gt;0,"Y","N")</f>
        <v/>
      </c>
      <c r="ET200">
        <f>IF(AND(U200="new",T200="N",AT200="Y",AS200="",ES200="N"),"Y","N")</f>
        <v/>
      </c>
      <c r="EU200">
        <f>IF(ET200&lt;&gt;"Y","N",IF(COUNTIFS($AP$2:$AP$1000,AP200,$ET$2:$ET$1000,"Y",$J$2:$J$1000,"&gt;"&amp;J200)+COUNTIFS($AP$2:$AP$1000,AP200,$ET$2:$ET$1000,"Y",$J$2:$J$1000,J200,$EW$2:$EW$1000,"&lt;"&amp;EW200)=0,"Y","N"))</f>
        <v/>
      </c>
      <c r="EV200">
        <f>IF(Y200="","N",IF(Y200&lt;=10,"Y","N"))</f>
        <v/>
      </c>
      <c r="EW200">
        <f>ROW()-1</f>
        <v/>
      </c>
    </row>
    <row r="201">
      <c r="A201" t="inlineStr">
        <is>
          <t>AO-C-139</t>
        </is>
      </c>
      <c r="B201" t="inlineStr">
        <is>
          <t>Arca Financial Group</t>
        </is>
      </c>
      <c r="H201" t="inlineStr">
        <is>
          <t>none</t>
        </is>
      </c>
      <c r="I201" t="inlineStr">
        <is>
          <t>linkedin</t>
        </is>
      </c>
      <c r="J201">
        <f>IF(AX201="pass",ROUND(CU201+CV201+CW201+CX201+CY201+CZ201,1),0)</f>
        <v/>
      </c>
      <c r="K201" t="inlineStr">
        <is>
          <t>Tuesday headcount unknown (no sourced count), company size unknown, no attendance signal, signed-not-occupied at a medium-confidence address (hold: lease signed, move not confirmed); contacts not researched yet (below the top 50).</t>
        </is>
      </c>
      <c r="L201" t="inlineStr">
        <is>
          <t>unknown</t>
        </is>
      </c>
      <c r="O201" t="inlineStr">
        <is>
          <t>New or renewed lease at 60 Madison Avenue reported 2026-08-27</t>
        </is>
      </c>
      <c r="P201" t="inlineStr">
        <is>
          <t>https://commercialobserver.com/2026/08/arca-financial-lease-60-madison-avenue-moinian/</t>
        </is>
      </c>
      <c r="Q201" t="inlineStr">
        <is>
          <t>2026-08-27</t>
        </is>
      </c>
      <c r="R201" t="inlineStr">
        <is>
          <t>N</t>
        </is>
      </c>
      <c r="S201" t="inlineStr">
        <is>
          <t>unknown</t>
        </is>
      </c>
      <c r="T201" t="inlineStr">
        <is>
          <t>N</t>
        </is>
      </c>
      <c r="U201" t="inlineStr">
        <is>
          <t>new</t>
        </is>
      </c>
      <c r="V201" t="inlineStr">
        <is>
          <t>https://commercialobserver.com/2026/08/arca-financial-lease-60-madison-avenue-moinian/</t>
        </is>
      </c>
      <c r="W201" t="inlineStr">
        <is>
          <t>2026-10-23</t>
        </is>
      </c>
      <c r="X201" t="inlineStr">
        <is>
          <t>office</t>
        </is>
      </c>
      <c r="Y201">
        <f>IF(EU201&lt;&gt;"Y","",COUNTIFS($EU$2:$EU$1000,"Y",$J$2:$J$1000,"&gt;"&amp;J201)+COUNTIFS($EU$2:$EU$1000,"Y",$J$2:$J$1000,J201,$EW$2:$EW$1000,"&lt;"&amp;EW201)+1)</f>
        <v/>
      </c>
      <c r="Z201" t="n">
        <v>200</v>
      </c>
      <c r="AA201" t="inlineStr">
        <is>
          <t>N</t>
        </is>
      </c>
      <c r="AD201" t="inlineStr">
        <is>
          <t>none</t>
        </is>
      </c>
      <c r="AH201" t="inlineStr">
        <is>
          <t>none</t>
        </is>
      </c>
      <c r="AI201" t="inlineStr">
        <is>
          <t>60 Madison Avenue</t>
        </is>
      </c>
      <c r="AJ201" t="inlineStr">
        <is>
          <t>10</t>
        </is>
      </c>
      <c r="AK201" t="inlineStr">
        <is>
          <t>signed-not-occupied</t>
        </is>
      </c>
      <c r="AL201" t="inlineStr">
        <is>
          <t>unknown</t>
        </is>
      </c>
      <c r="AM201" t="inlineStr">
        <is>
          <t>unknown</t>
        </is>
      </c>
      <c r="AN201" t="inlineStr">
        <is>
          <t>none</t>
        </is>
      </c>
      <c r="AO201" t="inlineStr">
        <is>
          <t>unknown</t>
        </is>
      </c>
      <c r="AP201" t="inlineStr">
        <is>
          <t>AO-C-139</t>
        </is>
      </c>
      <c r="AQ201" t="inlineStr">
        <is>
          <t>Y</t>
        </is>
      </c>
      <c r="AR201" t="inlineStr">
        <is>
          <t>lease signed, move not confirmed: check the lobby directory before outreach (B)</t>
        </is>
      </c>
      <c r="AT201">
        <f>IF(AND(AX201="pass",AQ201&lt;&gt;"Y",C201&lt;&gt;"",OR(AW201&lt;&gt;"Y",AV201="Y")),"Y","N")</f>
        <v/>
      </c>
      <c r="AU201">
        <f>_xlfn.TEXTJOIN("; ",TRUE,IF(AX201&lt;&gt;"pass","gated out",""),IF(AQ201="Y","on hold: "&amp;AR201,""),IF(C201="","no contact named on an opened page",""),IF(AND(AW201="Y",AV201&lt;&gt;"Y"),"Tuesday estimate band "&amp;L201&amp;": founder's call",""))</f>
        <v/>
      </c>
      <c r="AW201" t="inlineStr">
        <is>
          <t>N</t>
        </is>
      </c>
      <c r="AX201" t="inlineStr">
        <is>
          <t>pass</t>
        </is>
      </c>
      <c r="AY201" t="inlineStr">
        <is>
          <t>passes all hard gates</t>
        </is>
      </c>
      <c r="AZ201" t="inlineStr">
        <is>
          <t>company</t>
        </is>
      </c>
      <c r="BA201" t="inlineStr">
        <is>
          <t>B-C-139</t>
        </is>
      </c>
      <c r="BB201" t="inlineStr">
        <is>
          <t>unknown</t>
        </is>
      </c>
      <c r="BC201" t="inlineStr">
        <is>
          <t>wealth management</t>
        </is>
      </c>
      <c r="BD201" t="inlineStr">
        <is>
          <t>unknown</t>
        </is>
      </c>
      <c r="BF201" t="inlineStr">
        <is>
          <t>unknown</t>
        </is>
      </c>
      <c r="BG201" t="inlineStr">
        <is>
          <t>unknown</t>
        </is>
      </c>
      <c r="BH201" t="inlineStr">
        <is>
          <t>no-count</t>
        </is>
      </c>
      <c r="BK201" t="inlineStr">
        <is>
          <t>unknown</t>
        </is>
      </c>
      <c r="BL201" t="inlineStr">
        <is>
          <t>unknown</t>
        </is>
      </c>
      <c r="BM201" t="inlineStr">
        <is>
          <t>unknown</t>
        </is>
      </c>
      <c r="BN201" t="inlineStr">
        <is>
          <t>unknown</t>
        </is>
      </c>
      <c r="BO201" t="inlineStr">
        <is>
          <t>unknown</t>
        </is>
      </c>
      <c r="BP201" t="inlineStr">
        <is>
          <t>10010</t>
        </is>
      </c>
      <c r="BQ201" t="n">
        <v>40.743288</v>
      </c>
      <c r="BR201" t="n">
        <v>-73.986627</v>
      </c>
      <c r="BS201" t="inlineStr">
        <is>
          <t>Y</t>
        </is>
      </c>
      <c r="BT201" t="n">
        <v>0</v>
      </c>
      <c r="BU201" t="inlineStr">
        <is>
          <t>B-B-066</t>
        </is>
      </c>
      <c r="BV201" t="inlineStr">
        <is>
          <t>60 Madison Avenue (Moinian Group)</t>
        </is>
      </c>
      <c r="BW201" t="inlineStr">
        <is>
          <t>https://commercialobserver.com/2026/08/arca-financial-lease-60-madison-avenue-moinian/</t>
        </is>
      </c>
      <c r="BX201" t="inlineStr">
        <is>
          <t>2026-08-27</t>
        </is>
      </c>
      <c r="BY201" t="inlineStr">
        <is>
          <t>leasing-press</t>
        </is>
      </c>
      <c r="CC201" t="inlineStr">
        <is>
          <t>medium</t>
        </is>
      </c>
      <c r="CD201" t="inlineStr">
        <is>
          <t>unknown</t>
        </is>
      </c>
      <c r="CE201" t="inlineStr">
        <is>
          <t>N</t>
        </is>
      </c>
      <c r="CH201" t="inlineStr">
        <is>
          <t>unknown</t>
        </is>
      </c>
      <c r="CJ201" t="inlineStr">
        <is>
          <t>unknown</t>
        </is>
      </c>
      <c r="CK201" t="inlineStr">
        <is>
          <t>N</t>
        </is>
      </c>
      <c r="CL201" t="inlineStr">
        <is>
          <t>unknown</t>
        </is>
      </c>
      <c r="CO201" t="inlineStr">
        <is>
          <t>unknown</t>
        </is>
      </c>
      <c r="CQ201" t="inlineStr">
        <is>
          <t>No sourced headcount, so no Tuesday estimate; ask the Tuesday count at intake.</t>
        </is>
      </c>
      <c r="CR201" t="inlineStr">
        <is>
          <t>estimate until intake replaces it</t>
        </is>
      </c>
      <c r="CS201" t="inlineStr">
        <is>
          <t>unknown</t>
        </is>
      </c>
      <c r="CT201" t="n">
        <v>26</v>
      </c>
      <c r="CU201" t="n">
        <v>7</v>
      </c>
      <c r="CV201" t="n">
        <v>8</v>
      </c>
      <c r="CW201" t="n">
        <v>6</v>
      </c>
      <c r="CX201" t="n">
        <v>5</v>
      </c>
      <c r="CY201">
        <f>IF(AH201="exact",10,IF(AH201="adjacent",5,0))</f>
        <v/>
      </c>
      <c r="CZ201">
        <f>IF(R201="Y",15,0)</f>
        <v/>
      </c>
      <c r="DF201" t="inlineStr">
        <is>
          <t>none</t>
        </is>
      </c>
      <c r="DG201" t="inlineStr">
        <is>
          <t>candidate</t>
        </is>
      </c>
      <c r="DJ201" t="inlineStr">
        <is>
          <t>7,500 sf</t>
        </is>
      </c>
      <c r="DK201" t="inlineStr">
        <is>
          <t>Five-year 7,500 SF prebuilt on floor 10, signed Aug 2026; 'moving into a new office'. Headcount not sourced; founder to confirm at intake.</t>
        </is>
      </c>
      <c r="DS201" t="inlineStr">
        <is>
          <t>none</t>
        </is>
      </c>
      <c r="DX201" t="inlineStr">
        <is>
          <t>N</t>
        </is>
      </c>
      <c r="ER201">
        <f>IF(ISNUMBER(MATCH(U201,{"queued","contacted","replied","call_booked","call_done","yes_in_principle","materials_sent"},0)),"Y","N")</f>
        <v/>
      </c>
      <c r="ES201">
        <f>IF(COUNTIFS($AP$2:$AP$1000,AP201,$ER$2:$ER$1000,"Y")+COUNTIFS($AP$2:$AP$1000,AP201,$T$2:$T$1000,"Y")&gt;0,"Y","N")</f>
        <v/>
      </c>
      <c r="ET201">
        <f>IF(AND(U201="new",T201="N",AT201="Y",AS201="",ES201="N"),"Y","N")</f>
        <v/>
      </c>
      <c r="EU201">
        <f>IF(ET201&lt;&gt;"Y","N",IF(COUNTIFS($AP$2:$AP$1000,AP201,$ET$2:$ET$1000,"Y",$J$2:$J$1000,"&gt;"&amp;J201)+COUNTIFS($AP$2:$AP$1000,AP201,$ET$2:$ET$1000,"Y",$J$2:$J$1000,J201,$EW$2:$EW$1000,"&lt;"&amp;EW201)=0,"Y","N"))</f>
        <v/>
      </c>
      <c r="EV201">
        <f>IF(Y201="","N",IF(Y201&lt;=10,"Y","N"))</f>
        <v/>
      </c>
      <c r="EW201">
        <f>ROW()-1</f>
        <v/>
      </c>
    </row>
    <row r="202">
      <c r="A202" t="inlineStr">
        <is>
          <t>AO-C-065</t>
        </is>
      </c>
      <c r="B202" t="inlineStr">
        <is>
          <t>Argentic Investment Management</t>
        </is>
      </c>
      <c r="H202" t="inlineStr">
        <is>
          <t>none</t>
        </is>
      </c>
      <c r="I202" t="inlineStr">
        <is>
          <t>linkedin</t>
        </is>
      </c>
      <c r="J202">
        <f>IF(AX202="pass",ROUND(CU202+CV202+CW202+CX202+CY202+CZ202,1),0)</f>
        <v/>
      </c>
      <c r="K202" t="inlineStr">
        <is>
          <t>Tuesday headcount unknown (no sourced count), company size unknown, no attendance signal, signed-not-occupied at a medium-confidence address (hold: lease signed, move not confirmed); contacts not researched yet (below the top 50).</t>
        </is>
      </c>
      <c r="L202" t="inlineStr">
        <is>
          <t>unknown</t>
        </is>
      </c>
      <c r="O202" t="inlineStr">
        <is>
          <t>New or renewed lease at 257 Park Avenue South reported 2026-04-20</t>
        </is>
      </c>
      <c r="P202" t="inlineStr">
        <is>
          <t>https://commercialobserver.com/2026/04/argentic-investment-management-lease-257-park-avenue-south/</t>
        </is>
      </c>
      <c r="Q202" t="inlineStr">
        <is>
          <t>2026-04-20</t>
        </is>
      </c>
      <c r="R202" t="inlineStr">
        <is>
          <t>N</t>
        </is>
      </c>
      <c r="S202" t="inlineStr">
        <is>
          <t>unknown</t>
        </is>
      </c>
      <c r="T202" t="inlineStr">
        <is>
          <t>N</t>
        </is>
      </c>
      <c r="U202" t="inlineStr">
        <is>
          <t>new</t>
        </is>
      </c>
      <c r="V202" t="inlineStr">
        <is>
          <t>https://commercialobserver.com/2026/04/argentic-investment-management-lease-257-park-avenue-south/</t>
        </is>
      </c>
      <c r="W202" t="inlineStr">
        <is>
          <t>2026-10-23</t>
        </is>
      </c>
      <c r="X202" t="inlineStr">
        <is>
          <t>office</t>
        </is>
      </c>
      <c r="Y202">
        <f>IF(EU202&lt;&gt;"Y","",COUNTIFS($EU$2:$EU$1000,"Y",$J$2:$J$1000,"&gt;"&amp;J202)+COUNTIFS($EU$2:$EU$1000,"Y",$J$2:$J$1000,J202,$EW$2:$EW$1000,"&lt;"&amp;EW202)+1)</f>
        <v/>
      </c>
      <c r="Z202" t="n">
        <v>201</v>
      </c>
      <c r="AA202" t="inlineStr">
        <is>
          <t>N</t>
        </is>
      </c>
      <c r="AD202" t="inlineStr">
        <is>
          <t>none</t>
        </is>
      </c>
      <c r="AH202" t="inlineStr">
        <is>
          <t>none</t>
        </is>
      </c>
      <c r="AI202" t="inlineStr">
        <is>
          <t>257 Park Avenue South</t>
        </is>
      </c>
      <c r="AJ202" t="inlineStr">
        <is>
          <t>20</t>
        </is>
      </c>
      <c r="AK202" t="inlineStr">
        <is>
          <t>signed-not-occupied</t>
        </is>
      </c>
      <c r="AL202" t="inlineStr">
        <is>
          <t>unknown</t>
        </is>
      </c>
      <c r="AM202" t="inlineStr">
        <is>
          <t>unknown</t>
        </is>
      </c>
      <c r="AN202" t="inlineStr">
        <is>
          <t>none</t>
        </is>
      </c>
      <c r="AO202" t="inlineStr">
        <is>
          <t>unknown</t>
        </is>
      </c>
      <c r="AP202" t="inlineStr">
        <is>
          <t>AO-C-065</t>
        </is>
      </c>
      <c r="AQ202" t="inlineStr">
        <is>
          <t>Y</t>
        </is>
      </c>
      <c r="AR202" t="inlineStr">
        <is>
          <t>lease signed, move not confirmed: check the lobby directory before outreach (B)</t>
        </is>
      </c>
      <c r="AT202">
        <f>IF(AND(AX202="pass",AQ202&lt;&gt;"Y",C202&lt;&gt;"",OR(AW202&lt;&gt;"Y",AV202="Y")),"Y","N")</f>
        <v/>
      </c>
      <c r="AU202">
        <f>_xlfn.TEXTJOIN("; ",TRUE,IF(AX202&lt;&gt;"pass","gated out",""),IF(AQ202="Y","on hold: "&amp;AR202,""),IF(C202="","no contact named on an opened page",""),IF(AND(AW202="Y",AV202&lt;&gt;"Y"),"Tuesday estimate band "&amp;L202&amp;": founder's call",""))</f>
        <v/>
      </c>
      <c r="AW202" t="inlineStr">
        <is>
          <t>N</t>
        </is>
      </c>
      <c r="AX202" t="inlineStr">
        <is>
          <t>pass</t>
        </is>
      </c>
      <c r="AY202" t="inlineStr">
        <is>
          <t>passes all hard gates</t>
        </is>
      </c>
      <c r="AZ202" t="inlineStr">
        <is>
          <t>company</t>
        </is>
      </c>
      <c r="BA202" t="inlineStr">
        <is>
          <t>B-C-065</t>
        </is>
      </c>
      <c r="BB202" t="inlineStr">
        <is>
          <t>https://www.argentic.com</t>
        </is>
      </c>
      <c r="BC202" t="inlineStr">
        <is>
          <t>commercial real estate finance</t>
        </is>
      </c>
      <c r="BD202" t="inlineStr">
        <is>
          <t>unknown</t>
        </is>
      </c>
      <c r="BF202" t="inlineStr">
        <is>
          <t>unknown</t>
        </is>
      </c>
      <c r="BG202" t="inlineStr">
        <is>
          <t>unknown</t>
        </is>
      </c>
      <c r="BH202" t="inlineStr">
        <is>
          <t>no-count</t>
        </is>
      </c>
      <c r="BK202" t="inlineStr">
        <is>
          <t>unknown</t>
        </is>
      </c>
      <c r="BL202" t="inlineStr">
        <is>
          <t>unknown</t>
        </is>
      </c>
      <c r="BM202" t="inlineStr">
        <is>
          <t>unknown</t>
        </is>
      </c>
      <c r="BN202" t="inlineStr">
        <is>
          <t>unknown</t>
        </is>
      </c>
      <c r="BO202" t="inlineStr">
        <is>
          <t>unknown</t>
        </is>
      </c>
      <c r="BP202" t="inlineStr">
        <is>
          <t>10010</t>
        </is>
      </c>
      <c r="BQ202" t="n">
        <v>40.738577</v>
      </c>
      <c r="BR202" t="n">
        <v>-73.987151</v>
      </c>
      <c r="BS202" t="inlineStr">
        <is>
          <t>Y</t>
        </is>
      </c>
      <c r="BT202" t="n">
        <v>0</v>
      </c>
      <c r="BU202" t="inlineStr">
        <is>
          <t>B-B-032</t>
        </is>
      </c>
      <c r="BV202" t="inlineStr">
        <is>
          <t>Gramercy Park Building (Feil Organization)</t>
        </is>
      </c>
      <c r="BW202" t="inlineStr">
        <is>
          <t>https://commercialobserver.com/2026/04/argentic-investment-management-lease-257-park-avenue-south/</t>
        </is>
      </c>
      <c r="BX202" t="inlineStr">
        <is>
          <t>2026-04-20</t>
        </is>
      </c>
      <c r="BY202" t="inlineStr">
        <is>
          <t>leasing-press</t>
        </is>
      </c>
      <c r="BZ202" t="inlineStr">
        <is>
          <t>https://rebusinessonline.com/argentic-investment-management-signs-13000-sf-office-lease-in-manhattans-flatiron-district/</t>
        </is>
      </c>
      <c r="CA202" t="inlineStr">
        <is>
          <t>2026-07-02</t>
        </is>
      </c>
      <c r="CC202" t="inlineStr">
        <is>
          <t>medium</t>
        </is>
      </c>
      <c r="CD202" t="inlineStr">
        <is>
          <t>unknown</t>
        </is>
      </c>
      <c r="CE202" t="inlineStr">
        <is>
          <t>N</t>
        </is>
      </c>
      <c r="CH202" t="inlineStr">
        <is>
          <t>unknown</t>
        </is>
      </c>
      <c r="CJ202" t="inlineStr">
        <is>
          <t>unknown</t>
        </is>
      </c>
      <c r="CK202" t="inlineStr">
        <is>
          <t>N</t>
        </is>
      </c>
      <c r="CL202" t="inlineStr">
        <is>
          <t>unknown</t>
        </is>
      </c>
      <c r="CO202" t="inlineStr">
        <is>
          <t>unknown</t>
        </is>
      </c>
      <c r="CQ202" t="inlineStr">
        <is>
          <t>No sourced headcount, so no Tuesday estimate; ask the Tuesday count at intake.</t>
        </is>
      </c>
      <c r="CR202" t="inlineStr">
        <is>
          <t>estimate until intake replaces it</t>
        </is>
      </c>
      <c r="CS202" t="inlineStr">
        <is>
          <t>unknown</t>
        </is>
      </c>
      <c r="CT202" t="n">
        <v>26</v>
      </c>
      <c r="CU202" t="n">
        <v>7</v>
      </c>
      <c r="CV202" t="n">
        <v>8</v>
      </c>
      <c r="CW202" t="n">
        <v>6</v>
      </c>
      <c r="CX202" t="n">
        <v>5</v>
      </c>
      <c r="CY202">
        <f>IF(AH202="exact",10,IF(AH202="adjacent",5,0))</f>
        <v/>
      </c>
      <c r="CZ202">
        <f>IF(R202="Y",15,0)</f>
        <v/>
      </c>
      <c r="DF202" t="inlineStr">
        <is>
          <t>none</t>
        </is>
      </c>
      <c r="DG202" t="inlineStr">
        <is>
          <t>candidate</t>
        </is>
      </c>
      <c r="DJ202" t="inlineStr">
        <is>
          <t>13,000 sf</t>
        </is>
      </c>
      <c r="DK202" t="inlineStr">
        <is>
          <t>Long-term lease of the full 20th floor (13,000 sf). Company contact page opened 2026-10-23 still lists 31 W. 27th Street, 12th Floor; move date unknown.</t>
        </is>
      </c>
      <c r="DS202" t="inlineStr">
        <is>
          <t>none</t>
        </is>
      </c>
      <c r="DX202" t="inlineStr">
        <is>
          <t>N</t>
        </is>
      </c>
      <c r="ER202">
        <f>IF(ISNUMBER(MATCH(U202,{"queued","contacted","replied","call_booked","call_done","yes_in_principle","materials_sent"},0)),"Y","N")</f>
        <v/>
      </c>
      <c r="ES202">
        <f>IF(COUNTIFS($AP$2:$AP$1000,AP202,$ER$2:$ER$1000,"Y")+COUNTIFS($AP$2:$AP$1000,AP202,$T$2:$T$1000,"Y")&gt;0,"Y","N")</f>
        <v/>
      </c>
      <c r="ET202">
        <f>IF(AND(U202="new",T202="N",AT202="Y",AS202="",ES202="N"),"Y","N")</f>
        <v/>
      </c>
      <c r="EU202">
        <f>IF(ET202&lt;&gt;"Y","N",IF(COUNTIFS($AP$2:$AP$1000,AP202,$ET$2:$ET$1000,"Y",$J$2:$J$1000,"&gt;"&amp;J202)+COUNTIFS($AP$2:$AP$1000,AP202,$ET$2:$ET$1000,"Y",$J$2:$J$1000,J202,$EW$2:$EW$1000,"&lt;"&amp;EW202)=0,"Y","N"))</f>
        <v/>
      </c>
      <c r="EV202">
        <f>IF(Y202="","N",IF(Y202&lt;=10,"Y","N"))</f>
        <v/>
      </c>
      <c r="EW202">
        <f>ROW()-1</f>
        <v/>
      </c>
    </row>
    <row r="203">
      <c r="A203" t="inlineStr">
        <is>
          <t>AO-C-023</t>
        </is>
      </c>
      <c r="B203" t="inlineStr">
        <is>
          <t>Eagle AI</t>
        </is>
      </c>
      <c r="H203" t="inlineStr">
        <is>
          <t>none</t>
        </is>
      </c>
      <c r="I203" t="inlineStr">
        <is>
          <t>linkedin</t>
        </is>
      </c>
      <c r="J203">
        <f>IF(AX203="pass",ROUND(CU203+CV203+CW203+CX203+CY203+CZ203,1),0)</f>
        <v/>
      </c>
      <c r="K203" t="inlineStr">
        <is>
          <t>Tuesday headcount unknown (no sourced count), company size unknown, no attendance signal, signed-not-occupied at a medium-confidence address (hold: lease signed, move not confirmed); contacts not researched yet (below the top 50).</t>
        </is>
      </c>
      <c r="L203" t="inlineStr">
        <is>
          <t>unknown</t>
        </is>
      </c>
      <c r="O203" t="inlineStr">
        <is>
          <t>New or renewed lease at 120 Fifth Avenue reported 2026-10-19</t>
        </is>
      </c>
      <c r="P203" t="inlineStr">
        <is>
          <t>https://commercialobserver.com/2026/10/eagle-ai-lease-office-120-fifth-avenue/</t>
        </is>
      </c>
      <c r="Q203" t="inlineStr">
        <is>
          <t>2026-10-19</t>
        </is>
      </c>
      <c r="R203" t="inlineStr">
        <is>
          <t>N</t>
        </is>
      </c>
      <c r="S203" t="inlineStr">
        <is>
          <t>unknown</t>
        </is>
      </c>
      <c r="T203" t="inlineStr">
        <is>
          <t>N</t>
        </is>
      </c>
      <c r="U203" t="inlineStr">
        <is>
          <t>new</t>
        </is>
      </c>
      <c r="V203" t="inlineStr">
        <is>
          <t>https://commercialobserver.com/2026/10/eagle-ai-lease-office-120-fifth-avenue/</t>
        </is>
      </c>
      <c r="W203" t="inlineStr">
        <is>
          <t>2026-10-23</t>
        </is>
      </c>
      <c r="X203" t="inlineStr">
        <is>
          <t>office</t>
        </is>
      </c>
      <c r="Y203">
        <f>IF(EU203&lt;&gt;"Y","",COUNTIFS($EU$2:$EU$1000,"Y",$J$2:$J$1000,"&gt;"&amp;J203)+COUNTIFS($EU$2:$EU$1000,"Y",$J$2:$J$1000,J203,$EW$2:$EW$1000,"&lt;"&amp;EW203)+1)</f>
        <v/>
      </c>
      <c r="Z203" t="n">
        <v>202</v>
      </c>
      <c r="AA203" t="inlineStr">
        <is>
          <t>N</t>
        </is>
      </c>
      <c r="AD203" t="inlineStr">
        <is>
          <t>none</t>
        </is>
      </c>
      <c r="AH203" t="inlineStr">
        <is>
          <t>none</t>
        </is>
      </c>
      <c r="AI203" t="inlineStr">
        <is>
          <t>120 Fifth Avenue</t>
        </is>
      </c>
      <c r="AJ203" t="inlineStr">
        <is>
          <t>one full floor (not named)</t>
        </is>
      </c>
      <c r="AK203" t="inlineStr">
        <is>
          <t>signed-not-occupied</t>
        </is>
      </c>
      <c r="AL203" t="inlineStr">
        <is>
          <t>unknown</t>
        </is>
      </c>
      <c r="AM203" t="inlineStr">
        <is>
          <t>unknown</t>
        </is>
      </c>
      <c r="AN203" t="inlineStr">
        <is>
          <t>none</t>
        </is>
      </c>
      <c r="AO203" t="inlineStr">
        <is>
          <t>unknown</t>
        </is>
      </c>
      <c r="AP203" t="inlineStr">
        <is>
          <t>AO-C-023</t>
        </is>
      </c>
      <c r="AQ203" t="inlineStr">
        <is>
          <t>Y</t>
        </is>
      </c>
      <c r="AR203" t="inlineStr">
        <is>
          <t>lease signed, move not confirmed: check the lobby directory before outreach (B)</t>
        </is>
      </c>
      <c r="AT203">
        <f>IF(AND(AX203="pass",AQ203&lt;&gt;"Y",C203&lt;&gt;"",OR(AW203&lt;&gt;"Y",AV203="Y")),"Y","N")</f>
        <v/>
      </c>
      <c r="AU203">
        <f>_xlfn.TEXTJOIN("; ",TRUE,IF(AX203&lt;&gt;"pass","gated out",""),IF(AQ203="Y","on hold: "&amp;AR203,""),IF(C203="","no contact named on an opened page",""),IF(AND(AW203="Y",AV203&lt;&gt;"Y"),"Tuesday estimate band "&amp;L203&amp;": founder's call",""))</f>
        <v/>
      </c>
      <c r="AW203" t="inlineStr">
        <is>
          <t>N</t>
        </is>
      </c>
      <c r="AX203" t="inlineStr">
        <is>
          <t>pass</t>
        </is>
      </c>
      <c r="AY203" t="inlineStr">
        <is>
          <t>passes all hard gates</t>
        </is>
      </c>
      <c r="AZ203" t="inlineStr">
        <is>
          <t>company</t>
        </is>
      </c>
      <c r="BA203" t="inlineStr">
        <is>
          <t>B-C-023</t>
        </is>
      </c>
      <c r="BB203" t="inlineStr">
        <is>
          <t>unknown</t>
        </is>
      </c>
      <c r="BC203" t="inlineStr">
        <is>
          <t>AI solutions</t>
        </is>
      </c>
      <c r="BD203" t="inlineStr">
        <is>
          <t>unknown</t>
        </is>
      </c>
      <c r="BF203" t="inlineStr">
        <is>
          <t>unknown</t>
        </is>
      </c>
      <c r="BG203" t="inlineStr">
        <is>
          <t>unknown</t>
        </is>
      </c>
      <c r="BH203" t="inlineStr">
        <is>
          <t>no-count</t>
        </is>
      </c>
      <c r="BK203" t="inlineStr">
        <is>
          <t>unknown</t>
        </is>
      </c>
      <c r="BL203" t="inlineStr">
        <is>
          <t>unknown</t>
        </is>
      </c>
      <c r="BM203" t="inlineStr">
        <is>
          <t>unknown</t>
        </is>
      </c>
      <c r="BN203" t="inlineStr">
        <is>
          <t>unknown</t>
        </is>
      </c>
      <c r="BO203" t="inlineStr">
        <is>
          <t>unknown</t>
        </is>
      </c>
      <c r="BP203" t="inlineStr">
        <is>
          <t>10011</t>
        </is>
      </c>
      <c r="BQ203" t="n">
        <v>40.738186</v>
      </c>
      <c r="BR203" t="n">
        <v>-73.992429</v>
      </c>
      <c r="BS203" t="inlineStr">
        <is>
          <t>Y</t>
        </is>
      </c>
      <c r="BT203" t="n">
        <v>0</v>
      </c>
      <c r="BU203" t="inlineStr">
        <is>
          <t>B-B-010</t>
        </is>
      </c>
      <c r="BV203" t="inlineStr">
        <is>
          <t>120 Fifth Avenue</t>
        </is>
      </c>
      <c r="BW203" t="inlineStr">
        <is>
          <t>https://commercialobserver.com/2026/10/eagle-ai-lease-office-120-fifth-avenue/</t>
        </is>
      </c>
      <c r="BX203" t="inlineStr">
        <is>
          <t>2026-10-19</t>
        </is>
      </c>
      <c r="BY203" t="inlineStr">
        <is>
          <t>leasing-press</t>
        </is>
      </c>
      <c r="CC203" t="inlineStr">
        <is>
          <t>medium</t>
        </is>
      </c>
      <c r="CD203" t="inlineStr">
        <is>
          <t>unknown</t>
        </is>
      </c>
      <c r="CE203" t="inlineStr">
        <is>
          <t>N</t>
        </is>
      </c>
      <c r="CH203" t="inlineStr">
        <is>
          <t>unknown</t>
        </is>
      </c>
      <c r="CJ203" t="inlineStr">
        <is>
          <t>unknown</t>
        </is>
      </c>
      <c r="CK203" t="inlineStr">
        <is>
          <t>N</t>
        </is>
      </c>
      <c r="CL203" t="inlineStr">
        <is>
          <t>unknown</t>
        </is>
      </c>
      <c r="CO203" t="inlineStr">
        <is>
          <t>unknown</t>
        </is>
      </c>
      <c r="CQ203" t="inlineStr">
        <is>
          <t>No sourced headcount, so no Tuesday estimate; ask the Tuesday count at intake.</t>
        </is>
      </c>
      <c r="CR203" t="inlineStr">
        <is>
          <t>estimate until intake replaces it</t>
        </is>
      </c>
      <c r="CS203" t="inlineStr">
        <is>
          <t>unknown</t>
        </is>
      </c>
      <c r="CT203" t="n">
        <v>26</v>
      </c>
      <c r="CU203" t="n">
        <v>7</v>
      </c>
      <c r="CV203" t="n">
        <v>8</v>
      </c>
      <c r="CW203" t="n">
        <v>6</v>
      </c>
      <c r="CX203" t="n">
        <v>5</v>
      </c>
      <c r="CY203">
        <f>IF(AH203="exact",10,IF(AH203="adjacent",5,0))</f>
        <v/>
      </c>
      <c r="CZ203">
        <f>IF(R203="Y",15,0)</f>
        <v/>
      </c>
      <c r="DF203" t="inlineStr">
        <is>
          <t>none</t>
        </is>
      </c>
      <c r="DG203" t="inlineStr">
        <is>
          <t>candidate</t>
        </is>
      </c>
      <c r="DJ203" t="inlineStr">
        <is>
          <t>6,500 sf</t>
        </is>
      </c>
      <c r="DK203" t="inlineStr">
        <is>
          <t>CO 2026-10-19: 6,500 sf full floor signed September 2026; CO says its website lists 5 Penn Plaza, so this is a relocation that may not have happened yet. Confirm move-in date before outreach.</t>
        </is>
      </c>
      <c r="DS203" t="inlineStr">
        <is>
          <t>none</t>
        </is>
      </c>
      <c r="DX203" t="inlineStr">
        <is>
          <t>N</t>
        </is>
      </c>
      <c r="ER203">
        <f>IF(ISNUMBER(MATCH(U203,{"queued","contacted","replied","call_booked","call_done","yes_in_principle","materials_sent"},0)),"Y","N")</f>
        <v/>
      </c>
      <c r="ES203">
        <f>IF(COUNTIFS($AP$2:$AP$1000,AP203,$ER$2:$ER$1000,"Y")+COUNTIFS($AP$2:$AP$1000,AP203,$T$2:$T$1000,"Y")&gt;0,"Y","N")</f>
        <v/>
      </c>
      <c r="ET203">
        <f>IF(AND(U203="new",T203="N",AT203="Y",AS203="",ES203="N"),"Y","N")</f>
        <v/>
      </c>
      <c r="EU203">
        <f>IF(ET203&lt;&gt;"Y","N",IF(COUNTIFS($AP$2:$AP$1000,AP203,$ET$2:$ET$1000,"Y",$J$2:$J$1000,"&gt;"&amp;J203)+COUNTIFS($AP$2:$AP$1000,AP203,$ET$2:$ET$1000,"Y",$J$2:$J$1000,J203,$EW$2:$EW$1000,"&lt;"&amp;EW203)=0,"Y","N"))</f>
        <v/>
      </c>
      <c r="EV203">
        <f>IF(Y203="","N",IF(Y203&lt;=10,"Y","N"))</f>
        <v/>
      </c>
      <c r="EW203">
        <f>ROW()-1</f>
        <v/>
      </c>
    </row>
    <row r="204">
      <c r="A204" t="inlineStr">
        <is>
          <t>AO-C-018</t>
        </is>
      </c>
      <c r="B204" t="inlineStr">
        <is>
          <t>Fundraise Up</t>
        </is>
      </c>
      <c r="H204" t="inlineStr">
        <is>
          <t>none</t>
        </is>
      </c>
      <c r="I204" t="inlineStr">
        <is>
          <t>linkedin</t>
        </is>
      </c>
      <c r="J204">
        <f>IF(AX204="pass",ROUND(CU204+CV204+CW204+CX204+CY204+CZ204,1),0)</f>
        <v/>
      </c>
      <c r="K204" t="inlineStr">
        <is>
          <t>Tuesday headcount unknown (no sourced count), company size unknown, no attendance signal, signed-not-occupied at a medium-confidence address (hold: lease signed, move not confirmed); contacts not researched yet (below the top 50).</t>
        </is>
      </c>
      <c r="L204" t="inlineStr">
        <is>
          <t>unknown</t>
        </is>
      </c>
      <c r="O204" t="inlineStr">
        <is>
          <t>New or renewed lease at 100 Fifth Avenue reported 2026-08-26</t>
        </is>
      </c>
      <c r="P204" t="inlineStr">
        <is>
          <t>https://commercialobserver.com/2026/08/biohub-fundraise-up-leases-100-104-fifth-avenue/</t>
        </is>
      </c>
      <c r="Q204" t="inlineStr">
        <is>
          <t>2026-08-26</t>
        </is>
      </c>
      <c r="R204" t="inlineStr">
        <is>
          <t>N</t>
        </is>
      </c>
      <c r="S204" t="inlineStr">
        <is>
          <t>unknown</t>
        </is>
      </c>
      <c r="T204" t="inlineStr">
        <is>
          <t>N</t>
        </is>
      </c>
      <c r="U204" t="inlineStr">
        <is>
          <t>new</t>
        </is>
      </c>
      <c r="V204" t="inlineStr">
        <is>
          <t>https://commercialobserver.com/2026/08/biohub-fundraise-up-leases-100-104-fifth-avenue/</t>
        </is>
      </c>
      <c r="W204" t="inlineStr">
        <is>
          <t>2026-10-23</t>
        </is>
      </c>
      <c r="X204" t="inlineStr">
        <is>
          <t>office</t>
        </is>
      </c>
      <c r="Y204">
        <f>IF(EU204&lt;&gt;"Y","",COUNTIFS($EU$2:$EU$1000,"Y",$J$2:$J$1000,"&gt;"&amp;J204)+COUNTIFS($EU$2:$EU$1000,"Y",$J$2:$J$1000,J204,$EW$2:$EW$1000,"&lt;"&amp;EW204)+1)</f>
        <v/>
      </c>
      <c r="Z204" t="n">
        <v>203</v>
      </c>
      <c r="AA204" t="inlineStr">
        <is>
          <t>N</t>
        </is>
      </c>
      <c r="AD204" t="inlineStr">
        <is>
          <t>none</t>
        </is>
      </c>
      <c r="AH204" t="inlineStr">
        <is>
          <t>none</t>
        </is>
      </c>
      <c r="AI204" t="inlineStr">
        <is>
          <t>100 Fifth Avenue</t>
        </is>
      </c>
      <c r="AJ204" t="inlineStr">
        <is>
          <t>7</t>
        </is>
      </c>
      <c r="AK204" t="inlineStr">
        <is>
          <t>signed-not-occupied</t>
        </is>
      </c>
      <c r="AL204" t="inlineStr">
        <is>
          <t>unknown</t>
        </is>
      </c>
      <c r="AM204" t="inlineStr">
        <is>
          <t>unknown</t>
        </is>
      </c>
      <c r="AN204" t="inlineStr">
        <is>
          <t>none</t>
        </is>
      </c>
      <c r="AO204" t="inlineStr">
        <is>
          <t>unknown</t>
        </is>
      </c>
      <c r="AP204" t="inlineStr">
        <is>
          <t>AO-C-018</t>
        </is>
      </c>
      <c r="AQ204" t="inlineStr">
        <is>
          <t>Y</t>
        </is>
      </c>
      <c r="AR204" t="inlineStr">
        <is>
          <t>lease signed, move not confirmed: check the lobby directory before outreach (B)</t>
        </is>
      </c>
      <c r="AT204">
        <f>IF(AND(AX204="pass",AQ204&lt;&gt;"Y",C204&lt;&gt;"",OR(AW204&lt;&gt;"Y",AV204="Y")),"Y","N")</f>
        <v/>
      </c>
      <c r="AU204">
        <f>_xlfn.TEXTJOIN("; ",TRUE,IF(AX204&lt;&gt;"pass","gated out",""),IF(AQ204="Y","on hold: "&amp;AR204,""),IF(C204="","no contact named on an opened page",""),IF(AND(AW204="Y",AV204&lt;&gt;"Y"),"Tuesday estimate band "&amp;L204&amp;": founder's call",""))</f>
        <v/>
      </c>
      <c r="AW204" t="inlineStr">
        <is>
          <t>N</t>
        </is>
      </c>
      <c r="AX204" t="inlineStr">
        <is>
          <t>pass</t>
        </is>
      </c>
      <c r="AY204" t="inlineStr">
        <is>
          <t>passes all hard gates</t>
        </is>
      </c>
      <c r="AZ204" t="inlineStr">
        <is>
          <t>company</t>
        </is>
      </c>
      <c r="BA204" t="inlineStr">
        <is>
          <t>B-C-018</t>
        </is>
      </c>
      <c r="BB204" t="inlineStr">
        <is>
          <t>https://fundraiseup.com</t>
        </is>
      </c>
      <c r="BC204" t="inlineStr">
        <is>
          <t>nonprofit fundraising software</t>
        </is>
      </c>
      <c r="BD204" t="inlineStr">
        <is>
          <t>unknown</t>
        </is>
      </c>
      <c r="BF204" t="inlineStr">
        <is>
          <t>unknown</t>
        </is>
      </c>
      <c r="BG204" t="inlineStr">
        <is>
          <t>unknown</t>
        </is>
      </c>
      <c r="BH204" t="inlineStr">
        <is>
          <t>no-count</t>
        </is>
      </c>
      <c r="BK204" t="inlineStr">
        <is>
          <t>unknown</t>
        </is>
      </c>
      <c r="BL204" t="inlineStr">
        <is>
          <t>unknown</t>
        </is>
      </c>
      <c r="BM204" t="inlineStr">
        <is>
          <t>unknown</t>
        </is>
      </c>
      <c r="BN204" t="inlineStr">
        <is>
          <t>unknown</t>
        </is>
      </c>
      <c r="BO204" t="inlineStr">
        <is>
          <t>unknown</t>
        </is>
      </c>
      <c r="BP204" t="inlineStr">
        <is>
          <t>10011</t>
        </is>
      </c>
      <c r="BQ204" t="n">
        <v>40.736981</v>
      </c>
      <c r="BR204" t="n">
        <v>-73.993144</v>
      </c>
      <c r="BS204" t="inlineStr">
        <is>
          <t>Y</t>
        </is>
      </c>
      <c r="BT204" t="n">
        <v>0</v>
      </c>
      <c r="BU204" t="inlineStr">
        <is>
          <t>B-B-006</t>
        </is>
      </c>
      <c r="BV204" t="inlineStr">
        <is>
          <t>100-104 Fifth Avenue</t>
        </is>
      </c>
      <c r="BW204" t="inlineStr">
        <is>
          <t>https://commercialobserver.com/2026/08/biohub-fundraise-up-leases-100-104-fifth-avenue/</t>
        </is>
      </c>
      <c r="BX204" t="inlineStr">
        <is>
          <t>2026-08-26</t>
        </is>
      </c>
      <c r="BY204" t="inlineStr">
        <is>
          <t>leasing-press</t>
        </is>
      </c>
      <c r="CC204" t="inlineStr">
        <is>
          <t>medium</t>
        </is>
      </c>
      <c r="CD204" t="inlineStr">
        <is>
          <t>unknown</t>
        </is>
      </c>
      <c r="CE204" t="inlineStr">
        <is>
          <t>N</t>
        </is>
      </c>
      <c r="CH204" t="inlineStr">
        <is>
          <t>unknown</t>
        </is>
      </c>
      <c r="CJ204" t="inlineStr">
        <is>
          <t>unknown</t>
        </is>
      </c>
      <c r="CK204" t="inlineStr">
        <is>
          <t>N</t>
        </is>
      </c>
      <c r="CL204" t="inlineStr">
        <is>
          <t>unknown</t>
        </is>
      </c>
      <c r="CO204" t="inlineStr">
        <is>
          <t>unknown</t>
        </is>
      </c>
      <c r="CQ204" t="inlineStr">
        <is>
          <t>No sourced headcount, so no Tuesday estimate; ask the Tuesday count at intake.</t>
        </is>
      </c>
      <c r="CR204" t="inlineStr">
        <is>
          <t>estimate until intake replaces it</t>
        </is>
      </c>
      <c r="CS204" t="inlineStr">
        <is>
          <t>unknown</t>
        </is>
      </c>
      <c r="CT204" t="n">
        <v>26</v>
      </c>
      <c r="CU204" t="n">
        <v>7</v>
      </c>
      <c r="CV204" t="n">
        <v>8</v>
      </c>
      <c r="CW204" t="n">
        <v>6</v>
      </c>
      <c r="CX204" t="n">
        <v>5</v>
      </c>
      <c r="CY204">
        <f>IF(AH204="exact",10,IF(AH204="adjacent",5,0))</f>
        <v/>
      </c>
      <c r="CZ204">
        <f>IF(R204="Y",15,0)</f>
        <v/>
      </c>
      <c r="DF204" t="inlineStr">
        <is>
          <t>none</t>
        </is>
      </c>
      <c r="DG204" t="inlineStr">
        <is>
          <t>candidate</t>
        </is>
      </c>
      <c r="DJ204" t="inlineStr">
        <is>
          <t>9,522 sf</t>
        </is>
      </c>
      <c r="DK204" t="inlineStr">
        <is>
          <t>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is>
      </c>
      <c r="DS204" t="inlineStr">
        <is>
          <t>none</t>
        </is>
      </c>
      <c r="DX204" t="inlineStr">
        <is>
          <t>N</t>
        </is>
      </c>
      <c r="ER204">
        <f>IF(ISNUMBER(MATCH(U204,{"queued","contacted","replied","call_booked","call_done","yes_in_principle","materials_sent"},0)),"Y","N")</f>
        <v/>
      </c>
      <c r="ES204">
        <f>IF(COUNTIFS($AP$2:$AP$1000,AP204,$ER$2:$ER$1000,"Y")+COUNTIFS($AP$2:$AP$1000,AP204,$T$2:$T$1000,"Y")&gt;0,"Y","N")</f>
        <v/>
      </c>
      <c r="ET204">
        <f>IF(AND(U204="new",T204="N",AT204="Y",AS204="",ES204="N"),"Y","N")</f>
        <v/>
      </c>
      <c r="EU204">
        <f>IF(ET204&lt;&gt;"Y","N",IF(COUNTIFS($AP$2:$AP$1000,AP204,$ET$2:$ET$1000,"Y",$J$2:$J$1000,"&gt;"&amp;J204)+COUNTIFS($AP$2:$AP$1000,AP204,$ET$2:$ET$1000,"Y",$J$2:$J$1000,J204,$EW$2:$EW$1000,"&lt;"&amp;EW204)=0,"Y","N"))</f>
        <v/>
      </c>
      <c r="EV204">
        <f>IF(Y204="","N",IF(Y204&lt;=10,"Y","N"))</f>
        <v/>
      </c>
      <c r="EW204">
        <f>ROW()-1</f>
        <v/>
      </c>
    </row>
    <row r="205">
      <c r="A205" t="inlineStr">
        <is>
          <t>AO-C-142</t>
        </is>
      </c>
      <c r="B205" t="inlineStr">
        <is>
          <t>GovWell Technologies</t>
        </is>
      </c>
      <c r="H205" t="inlineStr">
        <is>
          <t>none</t>
        </is>
      </c>
      <c r="I205" t="inlineStr">
        <is>
          <t>linkedin</t>
        </is>
      </c>
      <c r="J205">
        <f>IF(AX205="pass",ROUND(CU205+CV205+CW205+CX205+CY205+CZ205,1),0)</f>
        <v/>
      </c>
      <c r="K205" t="inlineStr">
        <is>
          <t>Tuesday headcount unknown (no sourced count), company size unknown, no attendance signal, signed-not-occupied at a medium-confidence address (hold: lease signed, move not confirmed); contacts not researched yet (below the top 50).</t>
        </is>
      </c>
      <c r="L205" t="inlineStr">
        <is>
          <t>unknown</t>
        </is>
      </c>
      <c r="R205" t="inlineStr">
        <is>
          <t>N</t>
        </is>
      </c>
      <c r="S205" t="inlineStr">
        <is>
          <t>unknown</t>
        </is>
      </c>
      <c r="T205" t="inlineStr">
        <is>
          <t>N</t>
        </is>
      </c>
      <c r="U205" t="inlineStr">
        <is>
          <t>new</t>
        </is>
      </c>
      <c r="V205" t="inlineStr">
        <is>
          <t>https://commercialobserver.com/2026/06/moinian-group-tenex-labs-lease-60-madison-avenue/</t>
        </is>
      </c>
      <c r="W205" t="inlineStr">
        <is>
          <t>2026-10-23</t>
        </is>
      </c>
      <c r="X205" t="inlineStr">
        <is>
          <t>office</t>
        </is>
      </c>
      <c r="Y205">
        <f>IF(EU205&lt;&gt;"Y","",COUNTIFS($EU$2:$EU$1000,"Y",$J$2:$J$1000,"&gt;"&amp;J205)+COUNTIFS($EU$2:$EU$1000,"Y",$J$2:$J$1000,J205,$EW$2:$EW$1000,"&lt;"&amp;EW205)+1)</f>
        <v/>
      </c>
      <c r="Z205" t="n">
        <v>204</v>
      </c>
      <c r="AA205" t="inlineStr">
        <is>
          <t>N</t>
        </is>
      </c>
      <c r="AD205" t="inlineStr">
        <is>
          <t>none</t>
        </is>
      </c>
      <c r="AH205" t="inlineStr">
        <is>
          <t>none</t>
        </is>
      </c>
      <c r="AI205" t="inlineStr">
        <is>
          <t>60 Madison Avenue</t>
        </is>
      </c>
      <c r="AJ205" t="inlineStr">
        <is>
          <t>8</t>
        </is>
      </c>
      <c r="AK205" t="inlineStr">
        <is>
          <t>signed-not-occupied</t>
        </is>
      </c>
      <c r="AL205" t="inlineStr">
        <is>
          <t>unknown</t>
        </is>
      </c>
      <c r="AM205" t="inlineStr">
        <is>
          <t>unknown</t>
        </is>
      </c>
      <c r="AN205" t="inlineStr">
        <is>
          <t>none</t>
        </is>
      </c>
      <c r="AO205" t="inlineStr">
        <is>
          <t>unknown</t>
        </is>
      </c>
      <c r="AP205" t="inlineStr">
        <is>
          <t>AO-C-142</t>
        </is>
      </c>
      <c r="AQ205" t="inlineStr">
        <is>
          <t>Y</t>
        </is>
      </c>
      <c r="AR205" t="inlineStr">
        <is>
          <t>lease signed, move not confirmed: check the lobby directory before outreach (B)</t>
        </is>
      </c>
      <c r="AT205">
        <f>IF(AND(AX205="pass",AQ205&lt;&gt;"Y",C205&lt;&gt;"",OR(AW205&lt;&gt;"Y",AV205="Y")),"Y","N")</f>
        <v/>
      </c>
      <c r="AU205">
        <f>_xlfn.TEXTJOIN("; ",TRUE,IF(AX205&lt;&gt;"pass","gated out",""),IF(AQ205="Y","on hold: "&amp;AR205,""),IF(C205="","no contact named on an opened page",""),IF(AND(AW205="Y",AV205&lt;&gt;"Y"),"Tuesday estimate band "&amp;L205&amp;": founder's call",""))</f>
        <v/>
      </c>
      <c r="AW205" t="inlineStr">
        <is>
          <t>N</t>
        </is>
      </c>
      <c r="AX205" t="inlineStr">
        <is>
          <t>pass</t>
        </is>
      </c>
      <c r="AY205" t="inlineStr">
        <is>
          <t>passes all hard gates</t>
        </is>
      </c>
      <c r="AZ205" t="inlineStr">
        <is>
          <t>company</t>
        </is>
      </c>
      <c r="BA205" t="inlineStr">
        <is>
          <t>B-C-142</t>
        </is>
      </c>
      <c r="BB205" t="inlineStr">
        <is>
          <t>unknown</t>
        </is>
      </c>
      <c r="BC205" t="inlineStr">
        <is>
          <t>software (AI for government)</t>
        </is>
      </c>
      <c r="BD205" t="inlineStr">
        <is>
          <t>unknown</t>
        </is>
      </c>
      <c r="BF205" t="inlineStr">
        <is>
          <t>unknown</t>
        </is>
      </c>
      <c r="BG205" t="inlineStr">
        <is>
          <t>unknown</t>
        </is>
      </c>
      <c r="BH205" t="inlineStr">
        <is>
          <t>no-count</t>
        </is>
      </c>
      <c r="BK205" t="inlineStr">
        <is>
          <t>unknown</t>
        </is>
      </c>
      <c r="BL205" t="inlineStr">
        <is>
          <t>New York</t>
        </is>
      </c>
      <c r="BM205" t="inlineStr">
        <is>
          <t>Y</t>
        </is>
      </c>
      <c r="BN205" t="inlineStr">
        <is>
          <t>unknown</t>
        </is>
      </c>
      <c r="BO205" t="inlineStr">
        <is>
          <t>unknown</t>
        </is>
      </c>
      <c r="BP205" t="inlineStr">
        <is>
          <t>10010</t>
        </is>
      </c>
      <c r="BQ205" t="n">
        <v>40.743288</v>
      </c>
      <c r="BR205" t="n">
        <v>-73.986627</v>
      </c>
      <c r="BS205" t="inlineStr">
        <is>
          <t>Y</t>
        </is>
      </c>
      <c r="BT205" t="n">
        <v>0</v>
      </c>
      <c r="BU205" t="inlineStr">
        <is>
          <t>B-B-066</t>
        </is>
      </c>
      <c r="BV205" t="inlineStr">
        <is>
          <t>60 Madison Avenue (Moinian Group)</t>
        </is>
      </c>
      <c r="BW205" t="inlineStr">
        <is>
          <t>https://commercialobserver.com/2026/06/moinian-group-tenex-labs-lease-60-madison-avenue/</t>
        </is>
      </c>
      <c r="BX205" t="inlineStr">
        <is>
          <t>2026-06-22</t>
        </is>
      </c>
      <c r="BY205" t="inlineStr">
        <is>
          <t>leasing-press</t>
        </is>
      </c>
      <c r="CC205" t="inlineStr">
        <is>
          <t>medium</t>
        </is>
      </c>
      <c r="CD205" t="inlineStr">
        <is>
          <t>unknown</t>
        </is>
      </c>
      <c r="CE205" t="inlineStr">
        <is>
          <t>N</t>
        </is>
      </c>
      <c r="CH205" t="inlineStr">
        <is>
          <t>unknown</t>
        </is>
      </c>
      <c r="CJ205" t="inlineStr">
        <is>
          <t>unknown</t>
        </is>
      </c>
      <c r="CK205" t="inlineStr">
        <is>
          <t>N</t>
        </is>
      </c>
      <c r="CL205" t="inlineStr">
        <is>
          <t>unknown</t>
        </is>
      </c>
      <c r="CO205" t="inlineStr">
        <is>
          <t>unknown</t>
        </is>
      </c>
      <c r="CQ205" t="inlineStr">
        <is>
          <t>No sourced headcount, so no Tuesday estimate; ask the Tuesday count at intake.</t>
        </is>
      </c>
      <c r="CR205" t="inlineStr">
        <is>
          <t>estimate until intake replaces it</t>
        </is>
      </c>
      <c r="CS205" t="inlineStr">
        <is>
          <t>unknown</t>
        </is>
      </c>
      <c r="CT205" t="n">
        <v>26</v>
      </c>
      <c r="CU205" t="n">
        <v>7</v>
      </c>
      <c r="CV205" t="n">
        <v>8</v>
      </c>
      <c r="CW205" t="n">
        <v>6</v>
      </c>
      <c r="CX205" t="n">
        <v>5</v>
      </c>
      <c r="CY205">
        <f>IF(AH205="exact",10,IF(AH205="adjacent",5,0))</f>
        <v/>
      </c>
      <c r="CZ205">
        <f>IF(R205="Y",15,0)</f>
        <v/>
      </c>
      <c r="DF205" t="inlineStr">
        <is>
          <t>none</t>
        </is>
      </c>
      <c r="DG205" t="inlineStr">
        <is>
          <t>candidate</t>
        </is>
      </c>
      <c r="DJ205" t="inlineStr">
        <is>
          <t>17,500 sf</t>
        </is>
      </c>
      <c r="DK205" t="inlineStr">
        <is>
          <t>17,500 SF full 8th floor, apparent relocation from 25 West 36th Street. Built In profile (govwell) shows HQ New York, no street or headcount.</t>
        </is>
      </c>
      <c r="DS205" t="inlineStr">
        <is>
          <t>none</t>
        </is>
      </c>
      <c r="DX205" t="inlineStr">
        <is>
          <t>N</t>
        </is>
      </c>
      <c r="ER205">
        <f>IF(ISNUMBER(MATCH(U205,{"queued","contacted","replied","call_booked","call_done","yes_in_principle","materials_sent"},0)),"Y","N")</f>
        <v/>
      </c>
      <c r="ES205">
        <f>IF(COUNTIFS($AP$2:$AP$1000,AP205,$ER$2:$ER$1000,"Y")+COUNTIFS($AP$2:$AP$1000,AP205,$T$2:$T$1000,"Y")&gt;0,"Y","N")</f>
        <v/>
      </c>
      <c r="ET205">
        <f>IF(AND(U205="new",T205="N",AT205="Y",AS205="",ES205="N"),"Y","N")</f>
        <v/>
      </c>
      <c r="EU205">
        <f>IF(ET205&lt;&gt;"Y","N",IF(COUNTIFS($AP$2:$AP$1000,AP205,$ET$2:$ET$1000,"Y",$J$2:$J$1000,"&gt;"&amp;J205)+COUNTIFS($AP$2:$AP$1000,AP205,$ET$2:$ET$1000,"Y",$J$2:$J$1000,J205,$EW$2:$EW$1000,"&lt;"&amp;EW205)=0,"Y","N"))</f>
        <v/>
      </c>
      <c r="EV205">
        <f>IF(Y205="","N",IF(Y205&lt;=10,"Y","N"))</f>
        <v/>
      </c>
      <c r="EW205">
        <f>ROW()-1</f>
        <v/>
      </c>
    </row>
    <row r="206">
      <c r="A206" t="inlineStr">
        <is>
          <t>AO-C-120</t>
        </is>
      </c>
      <c r="B206" t="inlineStr">
        <is>
          <t>Hunter Point Capital</t>
        </is>
      </c>
      <c r="H206" t="inlineStr">
        <is>
          <t>none</t>
        </is>
      </c>
      <c r="I206" t="inlineStr">
        <is>
          <t>linkedin</t>
        </is>
      </c>
      <c r="J206">
        <f>IF(AX206="pass",ROUND(CU206+CV206+CW206+CX206+CY206+CZ206,1),0)</f>
        <v/>
      </c>
      <c r="K206" t="inlineStr">
        <is>
          <t>Tuesday headcount unknown (no sourced count), company size unknown, no attendance signal, signed-not-occupied at a medium-confidence address (hold: lease signed, move not confirmed); contacts not researched yet (below the top 50).</t>
        </is>
      </c>
      <c r="L206" t="inlineStr">
        <is>
          <t>unknown</t>
        </is>
      </c>
      <c r="R206" t="inlineStr">
        <is>
          <t>N</t>
        </is>
      </c>
      <c r="S206" t="inlineStr">
        <is>
          <t>unknown</t>
        </is>
      </c>
      <c r="T206" t="inlineStr">
        <is>
          <t>N</t>
        </is>
      </c>
      <c r="U206" t="inlineStr">
        <is>
          <t>new</t>
        </is>
      </c>
      <c r="V206" t="inlineStr">
        <is>
          <t>https://www.connectcre.com/stories/bxp-secures-230k-sf-of-leases-at-360-park-ave-south/</t>
        </is>
      </c>
      <c r="W206" t="inlineStr">
        <is>
          <t>2026-10-23</t>
        </is>
      </c>
      <c r="X206" t="inlineStr">
        <is>
          <t>office</t>
        </is>
      </c>
      <c r="Y206">
        <f>IF(EU206&lt;&gt;"Y","",COUNTIFS($EU$2:$EU$1000,"Y",$J$2:$J$1000,"&gt;"&amp;J206)+COUNTIFS($EU$2:$EU$1000,"Y",$J$2:$J$1000,J206,$EW$2:$EW$1000,"&lt;"&amp;EW206)+1)</f>
        <v/>
      </c>
      <c r="Z206" t="n">
        <v>205</v>
      </c>
      <c r="AA206" t="inlineStr">
        <is>
          <t>N</t>
        </is>
      </c>
      <c r="AD206" t="inlineStr">
        <is>
          <t>none</t>
        </is>
      </c>
      <c r="AH206" t="inlineStr">
        <is>
          <t>none</t>
        </is>
      </c>
      <c r="AI206" t="inlineStr">
        <is>
          <t>360 Park Avenue South</t>
        </is>
      </c>
      <c r="AJ206" t="inlineStr">
        <is>
          <t>unknown</t>
        </is>
      </c>
      <c r="AK206" t="inlineStr">
        <is>
          <t>signed-not-occupied</t>
        </is>
      </c>
      <c r="AL206" t="inlineStr">
        <is>
          <t>unknown</t>
        </is>
      </c>
      <c r="AM206" t="inlineStr">
        <is>
          <t>unknown</t>
        </is>
      </c>
      <c r="AN206" t="inlineStr">
        <is>
          <t>none</t>
        </is>
      </c>
      <c r="AO206" t="inlineStr">
        <is>
          <t>unknown</t>
        </is>
      </c>
      <c r="AP206" t="inlineStr">
        <is>
          <t>AO-C-120</t>
        </is>
      </c>
      <c r="AQ206" t="inlineStr">
        <is>
          <t>Y</t>
        </is>
      </c>
      <c r="AR206" t="inlineStr">
        <is>
          <t>lease signed, move not confirmed: check the lobby directory before outreach (B)</t>
        </is>
      </c>
      <c r="AT206">
        <f>IF(AND(AX206="pass",AQ206&lt;&gt;"Y",C206&lt;&gt;"",OR(AW206&lt;&gt;"Y",AV206="Y")),"Y","N")</f>
        <v/>
      </c>
      <c r="AU206">
        <f>_xlfn.TEXTJOIN("; ",TRUE,IF(AX206&lt;&gt;"pass","gated out",""),IF(AQ206="Y","on hold: "&amp;AR206,""),IF(C206="","no contact named on an opened page",""),IF(AND(AW206="Y",AV206&lt;&gt;"Y"),"Tuesday estimate band "&amp;L206&amp;": founder's call",""))</f>
        <v/>
      </c>
      <c r="AW206" t="inlineStr">
        <is>
          <t>N</t>
        </is>
      </c>
      <c r="AX206" t="inlineStr">
        <is>
          <t>pass</t>
        </is>
      </c>
      <c r="AY206" t="inlineStr">
        <is>
          <t>passes all hard gates</t>
        </is>
      </c>
      <c r="AZ206" t="inlineStr">
        <is>
          <t>company</t>
        </is>
      </c>
      <c r="BA206" t="inlineStr">
        <is>
          <t>B-C-120</t>
        </is>
      </c>
      <c r="BB206" t="inlineStr">
        <is>
          <t>https://www.hunterpointcapital.com/</t>
        </is>
      </c>
      <c r="BC206" t="inlineStr">
        <is>
          <t>Investment firm (GP stakes / asset management)</t>
        </is>
      </c>
      <c r="BD206" t="inlineStr">
        <is>
          <t>unknown</t>
        </is>
      </c>
      <c r="BF206" t="inlineStr">
        <is>
          <t>unknown</t>
        </is>
      </c>
      <c r="BG206" t="inlineStr">
        <is>
          <t>unknown</t>
        </is>
      </c>
      <c r="BH206" t="inlineStr">
        <is>
          <t>no-count</t>
        </is>
      </c>
      <c r="BK206" t="inlineStr">
        <is>
          <t>unknown</t>
        </is>
      </c>
      <c r="BL206" t="inlineStr">
        <is>
          <t>unknown</t>
        </is>
      </c>
      <c r="BM206" t="inlineStr">
        <is>
          <t>unknown</t>
        </is>
      </c>
      <c r="BN206" t="inlineStr">
        <is>
          <t>unknown</t>
        </is>
      </c>
      <c r="BO206" t="inlineStr">
        <is>
          <t>unknown</t>
        </is>
      </c>
      <c r="BP206" t="inlineStr">
        <is>
          <t>10010</t>
        </is>
      </c>
      <c r="BQ206" t="n">
        <v>40.741968</v>
      </c>
      <c r="BR206" t="n">
        <v>-73.985327</v>
      </c>
      <c r="BS206" t="inlineStr">
        <is>
          <t>Y</t>
        </is>
      </c>
      <c r="BT206" t="n">
        <v>0</v>
      </c>
      <c r="BU206" t="inlineStr">
        <is>
          <t>B-B-059</t>
        </is>
      </c>
      <c r="BV206" t="inlineStr">
        <is>
          <t>360 Park Avenue South (BXP)</t>
        </is>
      </c>
      <c r="BW206" t="inlineStr">
        <is>
          <t>https://www.connectcre.com/stories/bxp-secures-230k-sf-of-leases-at-360-park-ave-south/</t>
        </is>
      </c>
      <c r="BX206" t="inlineStr">
        <is>
          <t>2026-03-16</t>
        </is>
      </c>
      <c r="BY206" t="inlineStr">
        <is>
          <t>leasing-press</t>
        </is>
      </c>
      <c r="BZ206" t="inlineStr">
        <is>
          <t>https://commercialobserver.com/?p=563472</t>
        </is>
      </c>
      <c r="CA206" t="inlineStr">
        <is>
          <t>2026-03-16</t>
        </is>
      </c>
      <c r="CC206" t="inlineStr">
        <is>
          <t>medium</t>
        </is>
      </c>
      <c r="CD206" t="inlineStr">
        <is>
          <t>unknown</t>
        </is>
      </c>
      <c r="CE206" t="inlineStr">
        <is>
          <t>N</t>
        </is>
      </c>
      <c r="CH206" t="inlineStr">
        <is>
          <t>unknown</t>
        </is>
      </c>
      <c r="CJ206" t="inlineStr">
        <is>
          <t>unknown</t>
        </is>
      </c>
      <c r="CK206" t="inlineStr">
        <is>
          <t>N</t>
        </is>
      </c>
      <c r="CL206" t="inlineStr">
        <is>
          <t>unknown</t>
        </is>
      </c>
      <c r="CO206" t="inlineStr">
        <is>
          <t>unknown</t>
        </is>
      </c>
      <c r="CQ206" t="inlineStr">
        <is>
          <t>No sourced headcount, so no Tuesday estimate; ask the Tuesday count at intake.</t>
        </is>
      </c>
      <c r="CR206" t="inlineStr">
        <is>
          <t>estimate until intake replaces it</t>
        </is>
      </c>
      <c r="CS206" t="inlineStr">
        <is>
          <t>unknown</t>
        </is>
      </c>
      <c r="CT206" t="n">
        <v>26</v>
      </c>
      <c r="CU206" t="n">
        <v>7</v>
      </c>
      <c r="CV206" t="n">
        <v>8</v>
      </c>
      <c r="CW206" t="n">
        <v>6</v>
      </c>
      <c r="CX206" t="n">
        <v>5</v>
      </c>
      <c r="CY206">
        <f>IF(AH206="exact",10,IF(AH206="adjacent",5,0))</f>
        <v/>
      </c>
      <c r="CZ206">
        <f>IF(R206="Y",15,0)</f>
        <v/>
      </c>
      <c r="DF206" t="inlineStr">
        <is>
          <t>none</t>
        </is>
      </c>
      <c r="DG206" t="inlineStr">
        <is>
          <t>candidate</t>
        </is>
      </c>
      <c r="DJ206" t="inlineStr">
        <is>
          <t>46,000 sf</t>
        </is>
      </c>
      <c r="DK206" t="inlineStr">
        <is>
          <t>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is>
      </c>
      <c r="DS206" t="inlineStr">
        <is>
          <t>none</t>
        </is>
      </c>
      <c r="DX206" t="inlineStr">
        <is>
          <t>N</t>
        </is>
      </c>
      <c r="ER206">
        <f>IF(ISNUMBER(MATCH(U206,{"queued","contacted","replied","call_booked","call_done","yes_in_principle","materials_sent"},0)),"Y","N")</f>
        <v/>
      </c>
      <c r="ES206">
        <f>IF(COUNTIFS($AP$2:$AP$1000,AP206,$ER$2:$ER$1000,"Y")+COUNTIFS($AP$2:$AP$1000,AP206,$T$2:$T$1000,"Y")&gt;0,"Y","N")</f>
        <v/>
      </c>
      <c r="ET206">
        <f>IF(AND(U206="new",T206="N",AT206="Y",AS206="",ES206="N"),"Y","N")</f>
        <v/>
      </c>
      <c r="EU206">
        <f>IF(ET206&lt;&gt;"Y","N",IF(COUNTIFS($AP$2:$AP$1000,AP206,$ET$2:$ET$1000,"Y",$J$2:$J$1000,"&gt;"&amp;J206)+COUNTIFS($AP$2:$AP$1000,AP206,$ET$2:$ET$1000,"Y",$J$2:$J$1000,J206,$EW$2:$EW$1000,"&lt;"&amp;EW206)=0,"Y","N"))</f>
        <v/>
      </c>
      <c r="EV206">
        <f>IF(Y206="","N",IF(Y206&lt;=10,"Y","N"))</f>
        <v/>
      </c>
      <c r="EW206">
        <f>ROW()-1</f>
        <v/>
      </c>
    </row>
    <row r="207">
      <c r="A207" t="inlineStr">
        <is>
          <t>AO-C-168</t>
        </is>
      </c>
      <c r="B207" t="inlineStr">
        <is>
          <t>Mediaplus Group (North America)</t>
        </is>
      </c>
      <c r="H207" t="inlineStr">
        <is>
          <t>none</t>
        </is>
      </c>
      <c r="I207" t="inlineStr">
        <is>
          <t>linkedin</t>
        </is>
      </c>
      <c r="J207">
        <f>IF(AX207="pass",ROUND(CU207+CV207+CW207+CX207+CY207+CZ207,1),0)</f>
        <v/>
      </c>
      <c r="K207" t="inlineStr">
        <is>
          <t>Tuesday headcount unknown (no sourced count), company size unknown, no attendance signal, signed-not-occupied at a medium-confidence address (hold: lease signed, move not confirmed); contacts not researched yet (below the top 50).</t>
        </is>
      </c>
      <c r="L207" t="inlineStr">
        <is>
          <t>unknown</t>
        </is>
      </c>
      <c r="O207" t="inlineStr">
        <is>
          <t>New or renewed lease at 432 Park Avenue South reported 2026-06-08</t>
        </is>
      </c>
      <c r="P207" t="inlineStr">
        <is>
          <t>https://commercialobserver.com/2026/06/mediaplus-group-lease-432-park-avenue-south/</t>
        </is>
      </c>
      <c r="Q207" t="inlineStr">
        <is>
          <t>2026-06-08</t>
        </is>
      </c>
      <c r="R207" t="inlineStr">
        <is>
          <t>N</t>
        </is>
      </c>
      <c r="S207" t="inlineStr">
        <is>
          <t>unknown</t>
        </is>
      </c>
      <c r="T207" t="inlineStr">
        <is>
          <t>N</t>
        </is>
      </c>
      <c r="U207" t="inlineStr">
        <is>
          <t>new</t>
        </is>
      </c>
      <c r="V207" t="inlineStr">
        <is>
          <t>https://commercialobserver.com/2026/06/mediaplus-group-lease-432-park-avenue-south/</t>
        </is>
      </c>
      <c r="W207" t="inlineStr">
        <is>
          <t>2026-10-23</t>
        </is>
      </c>
      <c r="X207" t="inlineStr">
        <is>
          <t>office</t>
        </is>
      </c>
      <c r="Y207">
        <f>IF(EU207&lt;&gt;"Y","",COUNTIFS($EU$2:$EU$1000,"Y",$J$2:$J$1000,"&gt;"&amp;J207)+COUNTIFS($EU$2:$EU$1000,"Y",$J$2:$J$1000,J207,$EW$2:$EW$1000,"&lt;"&amp;EW207)+1)</f>
        <v/>
      </c>
      <c r="Z207" t="n">
        <v>206</v>
      </c>
      <c r="AA207" t="inlineStr">
        <is>
          <t>N</t>
        </is>
      </c>
      <c r="AD207" t="inlineStr">
        <is>
          <t>none</t>
        </is>
      </c>
      <c r="AH207" t="inlineStr">
        <is>
          <t>none</t>
        </is>
      </c>
      <c r="AI207" t="inlineStr">
        <is>
          <t>432 Park Avenue South</t>
        </is>
      </c>
      <c r="AJ207" t="inlineStr">
        <is>
          <t>11</t>
        </is>
      </c>
      <c r="AK207" t="inlineStr">
        <is>
          <t>signed-not-occupied</t>
        </is>
      </c>
      <c r="AL207" t="inlineStr">
        <is>
          <t>unknown</t>
        </is>
      </c>
      <c r="AM207" t="inlineStr">
        <is>
          <t>unknown</t>
        </is>
      </c>
      <c r="AN207" t="inlineStr">
        <is>
          <t>none</t>
        </is>
      </c>
      <c r="AO207" t="inlineStr">
        <is>
          <t>unknown</t>
        </is>
      </c>
      <c r="AP207" t="inlineStr">
        <is>
          <t>AO-C-168</t>
        </is>
      </c>
      <c r="AQ207" t="inlineStr">
        <is>
          <t>Y</t>
        </is>
      </c>
      <c r="AR207" t="inlineStr">
        <is>
          <t>lease signed, move not confirmed: check the lobby directory before outreach (B)</t>
        </is>
      </c>
      <c r="AT207">
        <f>IF(AND(AX207="pass",AQ207&lt;&gt;"Y",C207&lt;&gt;"",OR(AW207&lt;&gt;"Y",AV207="Y")),"Y","N")</f>
        <v/>
      </c>
      <c r="AU207">
        <f>_xlfn.TEXTJOIN("; ",TRUE,IF(AX207&lt;&gt;"pass","gated out",""),IF(AQ207="Y","on hold: "&amp;AR207,""),IF(C207="","no contact named on an opened page",""),IF(AND(AW207="Y",AV207&lt;&gt;"Y"),"Tuesday estimate band "&amp;L207&amp;": founder's call",""))</f>
        <v/>
      </c>
      <c r="AW207" t="inlineStr">
        <is>
          <t>N</t>
        </is>
      </c>
      <c r="AX207" t="inlineStr">
        <is>
          <t>pass</t>
        </is>
      </c>
      <c r="AY207" t="inlineStr">
        <is>
          <t>passes all hard gates</t>
        </is>
      </c>
      <c r="AZ207" t="inlineStr">
        <is>
          <t>company</t>
        </is>
      </c>
      <c r="BA207" t="inlineStr">
        <is>
          <t>B-C-168</t>
        </is>
      </c>
      <c r="BB207" t="inlineStr">
        <is>
          <t>unknown</t>
        </is>
      </c>
      <c r="BC207" t="inlineStr">
        <is>
          <t>media agency</t>
        </is>
      </c>
      <c r="BD207" t="inlineStr">
        <is>
          <t>unknown</t>
        </is>
      </c>
      <c r="BF207" t="inlineStr">
        <is>
          <t>unknown</t>
        </is>
      </c>
      <c r="BG207" t="inlineStr">
        <is>
          <t>unknown</t>
        </is>
      </c>
      <c r="BH207" t="inlineStr">
        <is>
          <t>no-count</t>
        </is>
      </c>
      <c r="BK207" t="inlineStr">
        <is>
          <t>unknown</t>
        </is>
      </c>
      <c r="BL207" t="inlineStr">
        <is>
          <t>unknown</t>
        </is>
      </c>
      <c r="BM207" t="inlineStr">
        <is>
          <t>unknown</t>
        </is>
      </c>
      <c r="BN207" t="inlineStr">
        <is>
          <t>unknown</t>
        </is>
      </c>
      <c r="BO207" t="inlineStr">
        <is>
          <t>unknown</t>
        </is>
      </c>
      <c r="BP207" t="inlineStr">
        <is>
          <t>10016</t>
        </is>
      </c>
      <c r="BQ207" t="n">
        <v>40.744255</v>
      </c>
      <c r="BR207" t="n">
        <v>-73.983762</v>
      </c>
      <c r="BS207" t="inlineStr">
        <is>
          <t>Y</t>
        </is>
      </c>
      <c r="BT207" t="n">
        <v>0</v>
      </c>
      <c r="BU207" t="inlineStr">
        <is>
          <t>B-B-079</t>
        </is>
      </c>
      <c r="BV207" t="inlineStr">
        <is>
          <t>432 Park Avenue South (Samco Properties)</t>
        </is>
      </c>
      <c r="BW207" t="inlineStr">
        <is>
          <t>https://commercialobserver.com/2026/06/mediaplus-group-lease-432-park-avenue-south/</t>
        </is>
      </c>
      <c r="BX207" t="inlineStr">
        <is>
          <t>2026-06-08</t>
        </is>
      </c>
      <c r="BY207" t="inlineStr">
        <is>
          <t>leasing-press</t>
        </is>
      </c>
      <c r="CC207" t="inlineStr">
        <is>
          <t>medium</t>
        </is>
      </c>
      <c r="CD207" t="inlineStr">
        <is>
          <t>unknown</t>
        </is>
      </c>
      <c r="CE207" t="inlineStr">
        <is>
          <t>N</t>
        </is>
      </c>
      <c r="CH207" t="inlineStr">
        <is>
          <t>unknown</t>
        </is>
      </c>
      <c r="CJ207" t="inlineStr">
        <is>
          <t>unknown</t>
        </is>
      </c>
      <c r="CK207" t="inlineStr">
        <is>
          <t>N</t>
        </is>
      </c>
      <c r="CL207" t="inlineStr">
        <is>
          <t>unknown</t>
        </is>
      </c>
      <c r="CO207" t="inlineStr">
        <is>
          <t>unknown</t>
        </is>
      </c>
      <c r="CQ207" t="inlineStr">
        <is>
          <t>No sourced headcount, so no Tuesday estimate; ask the Tuesday count at intake.</t>
        </is>
      </c>
      <c r="CR207" t="inlineStr">
        <is>
          <t>estimate until intake replaces it</t>
        </is>
      </c>
      <c r="CS207" t="inlineStr">
        <is>
          <t>unknown</t>
        </is>
      </c>
      <c r="CT207" t="n">
        <v>26</v>
      </c>
      <c r="CU207" t="n">
        <v>7</v>
      </c>
      <c r="CV207" t="n">
        <v>8</v>
      </c>
      <c r="CW207" t="n">
        <v>6</v>
      </c>
      <c r="CX207" t="n">
        <v>5</v>
      </c>
      <c r="CY207">
        <f>IF(AH207="exact",10,IF(AH207="adjacent",5,0))</f>
        <v/>
      </c>
      <c r="CZ207">
        <f>IF(R207="Y",15,0)</f>
        <v/>
      </c>
      <c r="DF207" t="inlineStr">
        <is>
          <t>none</t>
        </is>
      </c>
      <c r="DG207" t="inlineStr">
        <is>
          <t>candidate</t>
        </is>
      </c>
      <c r="DJ207" t="inlineStr">
        <is>
          <t>9,800 sf</t>
        </is>
      </c>
      <c r="DK207" t="inlineStr">
        <is>
          <t>10-year 9,800 SF lease, full 11th floor, turnkey; relocating and doubling from 490 Broadway. Media arm of Serviceplan Group. Move date not stated. Headcount not found.</t>
        </is>
      </c>
      <c r="DS207" t="inlineStr">
        <is>
          <t>none</t>
        </is>
      </c>
      <c r="DX207" t="inlineStr">
        <is>
          <t>N</t>
        </is>
      </c>
      <c r="ER207">
        <f>IF(ISNUMBER(MATCH(U207,{"queued","contacted","replied","call_booked","call_done","yes_in_principle","materials_sent"},0)),"Y","N")</f>
        <v/>
      </c>
      <c r="ES207">
        <f>IF(COUNTIFS($AP$2:$AP$1000,AP207,$ER$2:$ER$1000,"Y")+COUNTIFS($AP$2:$AP$1000,AP207,$T$2:$T$1000,"Y")&gt;0,"Y","N")</f>
        <v/>
      </c>
      <c r="ET207">
        <f>IF(AND(U207="new",T207="N",AT207="Y",AS207="",ES207="N"),"Y","N")</f>
        <v/>
      </c>
      <c r="EU207">
        <f>IF(ET207&lt;&gt;"Y","N",IF(COUNTIFS($AP$2:$AP$1000,AP207,$ET$2:$ET$1000,"Y",$J$2:$J$1000,"&gt;"&amp;J207)+COUNTIFS($AP$2:$AP$1000,AP207,$ET$2:$ET$1000,"Y",$J$2:$J$1000,J207,$EW$2:$EW$1000,"&lt;"&amp;EW207)=0,"Y","N"))</f>
        <v/>
      </c>
      <c r="EV207">
        <f>IF(Y207="","N",IF(Y207&lt;=10,"Y","N"))</f>
        <v/>
      </c>
      <c r="EW207">
        <f>ROW()-1</f>
        <v/>
      </c>
    </row>
    <row r="208">
      <c r="A208" t="inlineStr">
        <is>
          <t>AO-C-068</t>
        </is>
      </c>
      <c r="B208" t="inlineStr">
        <is>
          <t>Options Group</t>
        </is>
      </c>
      <c r="H208" t="inlineStr">
        <is>
          <t>none</t>
        </is>
      </c>
      <c r="I208" t="inlineStr">
        <is>
          <t>linkedin</t>
        </is>
      </c>
      <c r="J208">
        <f>IF(AX208="pass",ROUND(CU208+CV208+CW208+CX208+CY208+CZ208,1),0)</f>
        <v/>
      </c>
      <c r="K208" t="inlineStr">
        <is>
          <t>Tuesday headcount unknown (no sourced count), company size unknown, no attendance signal, signed-not-occupied at a medium-confidence address (hold: lease signed, move not confirmed); contacts not researched yet (below the top 50).</t>
        </is>
      </c>
      <c r="L208" t="inlineStr">
        <is>
          <t>unknown</t>
        </is>
      </c>
      <c r="R208" t="inlineStr">
        <is>
          <t>N</t>
        </is>
      </c>
      <c r="S208" t="inlineStr">
        <is>
          <t>unknown</t>
        </is>
      </c>
      <c r="T208" t="inlineStr">
        <is>
          <t>N</t>
        </is>
      </c>
      <c r="U208" t="inlineStr">
        <is>
          <t>new</t>
        </is>
      </c>
      <c r="V208" t="inlineStr">
        <is>
          <t>https://commercialobserver.com/2025/09/angellist-lease-257-park-avenue-south/</t>
        </is>
      </c>
      <c r="W208" t="inlineStr">
        <is>
          <t>2026-10-23</t>
        </is>
      </c>
      <c r="X208" t="inlineStr">
        <is>
          <t>office</t>
        </is>
      </c>
      <c r="Y208">
        <f>IF(EU208&lt;&gt;"Y","",COUNTIFS($EU$2:$EU$1000,"Y",$J$2:$J$1000,"&gt;"&amp;J208)+COUNTIFS($EU$2:$EU$1000,"Y",$J$2:$J$1000,J208,$EW$2:$EW$1000,"&lt;"&amp;EW208)+1)</f>
        <v/>
      </c>
      <c r="Z208" t="n">
        <v>207</v>
      </c>
      <c r="AA208" t="inlineStr">
        <is>
          <t>N</t>
        </is>
      </c>
      <c r="AD208" t="inlineStr">
        <is>
          <t>none</t>
        </is>
      </c>
      <c r="AH208" t="inlineStr">
        <is>
          <t>none</t>
        </is>
      </c>
      <c r="AI208" t="inlineStr">
        <is>
          <t>257 Park Avenue South</t>
        </is>
      </c>
      <c r="AJ208" t="inlineStr">
        <is>
          <t>7</t>
        </is>
      </c>
      <c r="AK208" t="inlineStr">
        <is>
          <t>signed-not-occupied</t>
        </is>
      </c>
      <c r="AL208" t="inlineStr">
        <is>
          <t>unknown</t>
        </is>
      </c>
      <c r="AM208" t="inlineStr">
        <is>
          <t>unknown</t>
        </is>
      </c>
      <c r="AN208" t="inlineStr">
        <is>
          <t>none</t>
        </is>
      </c>
      <c r="AO208" t="inlineStr">
        <is>
          <t>unknown</t>
        </is>
      </c>
      <c r="AP208" t="inlineStr">
        <is>
          <t>AO-C-068</t>
        </is>
      </c>
      <c r="AQ208" t="inlineStr">
        <is>
          <t>Y</t>
        </is>
      </c>
      <c r="AR208" t="inlineStr">
        <is>
          <t>lease signed, move not confirmed: check the lobby directory before outreach (B)</t>
        </is>
      </c>
      <c r="AT208">
        <f>IF(AND(AX208="pass",AQ208&lt;&gt;"Y",C208&lt;&gt;"",OR(AW208&lt;&gt;"Y",AV208="Y")),"Y","N")</f>
        <v/>
      </c>
      <c r="AU208">
        <f>_xlfn.TEXTJOIN("; ",TRUE,IF(AX208&lt;&gt;"pass","gated out",""),IF(AQ208="Y","on hold: "&amp;AR208,""),IF(C208="","no contact named on an opened page",""),IF(AND(AW208="Y",AV208&lt;&gt;"Y"),"Tuesday estimate band "&amp;L208&amp;": founder's call",""))</f>
        <v/>
      </c>
      <c r="AW208" t="inlineStr">
        <is>
          <t>N</t>
        </is>
      </c>
      <c r="AX208" t="inlineStr">
        <is>
          <t>pass</t>
        </is>
      </c>
      <c r="AY208" t="inlineStr">
        <is>
          <t>passes all hard gates</t>
        </is>
      </c>
      <c r="AZ208" t="inlineStr">
        <is>
          <t>company</t>
        </is>
      </c>
      <c r="BA208" t="inlineStr">
        <is>
          <t>B-C-068</t>
        </is>
      </c>
      <c r="BB208" t="inlineStr">
        <is>
          <t>https://www.optionsgroup.com</t>
        </is>
      </c>
      <c r="BC208" t="inlineStr">
        <is>
          <t>executive search and consulting</t>
        </is>
      </c>
      <c r="BD208" t="inlineStr">
        <is>
          <t>unknown</t>
        </is>
      </c>
      <c r="BF208" t="inlineStr">
        <is>
          <t>unknown</t>
        </is>
      </c>
      <c r="BG208" t="inlineStr">
        <is>
          <t>unknown</t>
        </is>
      </c>
      <c r="BH208" t="inlineStr">
        <is>
          <t>no-count</t>
        </is>
      </c>
      <c r="BK208" t="inlineStr">
        <is>
          <t>unknown</t>
        </is>
      </c>
      <c r="BL208" t="inlineStr">
        <is>
          <t>unknown</t>
        </is>
      </c>
      <c r="BM208" t="inlineStr">
        <is>
          <t>unknown</t>
        </is>
      </c>
      <c r="BN208" t="inlineStr">
        <is>
          <t>unknown</t>
        </is>
      </c>
      <c r="BO208" t="inlineStr">
        <is>
          <t>unknown</t>
        </is>
      </c>
      <c r="BP208" t="inlineStr">
        <is>
          <t>10010</t>
        </is>
      </c>
      <c r="BQ208" t="n">
        <v>40.738577</v>
      </c>
      <c r="BR208" t="n">
        <v>-73.987151</v>
      </c>
      <c r="BS208" t="inlineStr">
        <is>
          <t>Y</t>
        </is>
      </c>
      <c r="BT208" t="n">
        <v>0</v>
      </c>
      <c r="BU208" t="inlineStr">
        <is>
          <t>B-B-032</t>
        </is>
      </c>
      <c r="BV208" t="inlineStr">
        <is>
          <t>Gramercy Park Building (Feil Organization)</t>
        </is>
      </c>
      <c r="BW208" t="inlineStr">
        <is>
          <t>https://commercialobserver.com/2025/09/angellist-lease-257-park-avenue-south/</t>
        </is>
      </c>
      <c r="BX208" t="inlineStr">
        <is>
          <t>2025-09-12</t>
        </is>
      </c>
      <c r="BY208" t="inlineStr">
        <is>
          <t>leasing-press</t>
        </is>
      </c>
      <c r="CC208" t="inlineStr">
        <is>
          <t>medium</t>
        </is>
      </c>
      <c r="CD208" t="inlineStr">
        <is>
          <t>unknown</t>
        </is>
      </c>
      <c r="CE208" t="inlineStr">
        <is>
          <t>N</t>
        </is>
      </c>
      <c r="CH208" t="inlineStr">
        <is>
          <t>unknown</t>
        </is>
      </c>
      <c r="CJ208" t="inlineStr">
        <is>
          <t>unknown</t>
        </is>
      </c>
      <c r="CK208" t="inlineStr">
        <is>
          <t>N</t>
        </is>
      </c>
      <c r="CL208" t="inlineStr">
        <is>
          <t>unknown</t>
        </is>
      </c>
      <c r="CO208" t="inlineStr">
        <is>
          <t>unknown</t>
        </is>
      </c>
      <c r="CQ208" t="inlineStr">
        <is>
          <t>No sourced headcount, so no Tuesday estimate; ask the Tuesday count at intake.</t>
        </is>
      </c>
      <c r="CR208" t="inlineStr">
        <is>
          <t>estimate until intake replaces it</t>
        </is>
      </c>
      <c r="CS208" t="inlineStr">
        <is>
          <t>unknown</t>
        </is>
      </c>
      <c r="CT208" t="n">
        <v>26</v>
      </c>
      <c r="CU208" t="n">
        <v>7</v>
      </c>
      <c r="CV208" t="n">
        <v>8</v>
      </c>
      <c r="CW208" t="n">
        <v>6</v>
      </c>
      <c r="CX208" t="n">
        <v>5</v>
      </c>
      <c r="CY208">
        <f>IF(AH208="exact",10,IF(AH208="adjacent",5,0))</f>
        <v/>
      </c>
      <c r="CZ208">
        <f>IF(R208="Y",15,0)</f>
        <v/>
      </c>
      <c r="DF208" t="inlineStr">
        <is>
          <t>none</t>
        </is>
      </c>
      <c r="DG208" t="inlineStr">
        <is>
          <t>candidate</t>
        </is>
      </c>
      <c r="DJ208" t="inlineStr">
        <is>
          <t>12,600 sf</t>
        </is>
      </c>
      <c r="DK208" t="inlineStr">
        <is>
          <t>13-year lease for the full 7th floor (12,600 sf). Company contact page opened 2026-10-23 still lists 121 East 18th Street (margin, east of Park Ave S), so move status unconfirmed; either way it is in or next to this slice.</t>
        </is>
      </c>
      <c r="DS208" t="inlineStr">
        <is>
          <t>none</t>
        </is>
      </c>
      <c r="DX208" t="inlineStr">
        <is>
          <t>N</t>
        </is>
      </c>
      <c r="ER208">
        <f>IF(ISNUMBER(MATCH(U208,{"queued","contacted","replied","call_booked","call_done","yes_in_principle","materials_sent"},0)),"Y","N")</f>
        <v/>
      </c>
      <c r="ES208">
        <f>IF(COUNTIFS($AP$2:$AP$1000,AP208,$ER$2:$ER$1000,"Y")+COUNTIFS($AP$2:$AP$1000,AP208,$T$2:$T$1000,"Y")&gt;0,"Y","N")</f>
        <v/>
      </c>
      <c r="ET208">
        <f>IF(AND(U208="new",T208="N",AT208="Y",AS208="",ES208="N"),"Y","N")</f>
        <v/>
      </c>
      <c r="EU208">
        <f>IF(ET208&lt;&gt;"Y","N",IF(COUNTIFS($AP$2:$AP$1000,AP208,$ET$2:$ET$1000,"Y",$J$2:$J$1000,"&gt;"&amp;J208)+COUNTIFS($AP$2:$AP$1000,AP208,$ET$2:$ET$1000,"Y",$J$2:$J$1000,J208,$EW$2:$EW$1000,"&lt;"&amp;EW208)=0,"Y","N"))</f>
        <v/>
      </c>
      <c r="EV208">
        <f>IF(Y208="","N",IF(Y208&lt;=10,"Y","N"))</f>
        <v/>
      </c>
      <c r="EW208">
        <f>ROW()-1</f>
        <v/>
      </c>
    </row>
    <row r="209">
      <c r="A209" t="inlineStr">
        <is>
          <t>AO-C-012</t>
        </is>
      </c>
      <c r="B209" t="inlineStr">
        <is>
          <t>Profound</t>
        </is>
      </c>
      <c r="H209" t="inlineStr">
        <is>
          <t>none</t>
        </is>
      </c>
      <c r="I209" t="inlineStr">
        <is>
          <t>linkedin</t>
        </is>
      </c>
      <c r="J209">
        <f>IF(AX209="pass",ROUND(CU209+CV209+CW209+CX209+CY209+CZ209,1),0)</f>
        <v/>
      </c>
      <c r="K209" t="inlineStr">
        <is>
          <t>Tuesday headcount unknown (no sourced count), company size unknown, no attendance signal, signed-not-occupied at a medium-confidence address (hold: lease signed, move not confirmed); contacts not researched yet (below the top 50).</t>
        </is>
      </c>
      <c r="L209" t="inlineStr">
        <is>
          <t>unknown</t>
        </is>
      </c>
      <c r="O209" t="inlineStr">
        <is>
          <t>New or renewed lease at 5 Union Square West reported 2026-05-18</t>
        </is>
      </c>
      <c r="P209" t="inlineStr">
        <is>
          <t>https://commercialobserver.com/2026/05/profound-lease-gfp-5-9-union-square-west/</t>
        </is>
      </c>
      <c r="Q209" t="inlineStr">
        <is>
          <t>2026-05-18</t>
        </is>
      </c>
      <c r="R209" t="inlineStr">
        <is>
          <t>N</t>
        </is>
      </c>
      <c r="S209" t="inlineStr">
        <is>
          <t>unknown</t>
        </is>
      </c>
      <c r="T209" t="inlineStr">
        <is>
          <t>N</t>
        </is>
      </c>
      <c r="U209" t="inlineStr">
        <is>
          <t>new</t>
        </is>
      </c>
      <c r="V209" t="inlineStr">
        <is>
          <t>https://commercialobserver.com/2026/05/profound-lease-gfp-5-9-union-square-west/</t>
        </is>
      </c>
      <c r="W209" t="inlineStr">
        <is>
          <t>2026-10-23</t>
        </is>
      </c>
      <c r="X209" t="inlineStr">
        <is>
          <t>office</t>
        </is>
      </c>
      <c r="Y209">
        <f>IF(EU209&lt;&gt;"Y","",COUNTIFS($EU$2:$EU$1000,"Y",$J$2:$J$1000,"&gt;"&amp;J209)+COUNTIFS($EU$2:$EU$1000,"Y",$J$2:$J$1000,J209,$EW$2:$EW$1000,"&lt;"&amp;EW209)+1)</f>
        <v/>
      </c>
      <c r="Z209" t="n">
        <v>208</v>
      </c>
      <c r="AA209" t="inlineStr">
        <is>
          <t>N</t>
        </is>
      </c>
      <c r="AD209" t="inlineStr">
        <is>
          <t>none</t>
        </is>
      </c>
      <c r="AH209" t="inlineStr">
        <is>
          <t>none</t>
        </is>
      </c>
      <c r="AI209" t="inlineStr">
        <is>
          <t>5 Union Square West</t>
        </is>
      </c>
      <c r="AJ209" t="inlineStr">
        <is>
          <t>2 full floors (not named)</t>
        </is>
      </c>
      <c r="AK209" t="inlineStr">
        <is>
          <t>signed-not-occupied</t>
        </is>
      </c>
      <c r="AL209" t="inlineStr">
        <is>
          <t>unknown</t>
        </is>
      </c>
      <c r="AM209" t="inlineStr">
        <is>
          <t>unknown</t>
        </is>
      </c>
      <c r="AN209" t="inlineStr">
        <is>
          <t>none</t>
        </is>
      </c>
      <c r="AO209" t="inlineStr">
        <is>
          <t>unknown</t>
        </is>
      </c>
      <c r="AP209" t="inlineStr">
        <is>
          <t>AO-C-012</t>
        </is>
      </c>
      <c r="AQ209" t="inlineStr">
        <is>
          <t>Y</t>
        </is>
      </c>
      <c r="AR209" t="inlineStr">
        <is>
          <t>lease signed, move not confirmed: check the lobby directory before outreach (B)</t>
        </is>
      </c>
      <c r="AT209">
        <f>IF(AND(AX209="pass",AQ209&lt;&gt;"Y",C209&lt;&gt;"",OR(AW209&lt;&gt;"Y",AV209="Y")),"Y","N")</f>
        <v/>
      </c>
      <c r="AU209">
        <f>_xlfn.TEXTJOIN("; ",TRUE,IF(AX209&lt;&gt;"pass","gated out",""),IF(AQ209="Y","on hold: "&amp;AR209,""),IF(C209="","no contact named on an opened page",""),IF(AND(AW209="Y",AV209&lt;&gt;"Y"),"Tuesday estimate band "&amp;L209&amp;": founder's call",""))</f>
        <v/>
      </c>
      <c r="AW209" t="inlineStr">
        <is>
          <t>N</t>
        </is>
      </c>
      <c r="AX209" t="inlineStr">
        <is>
          <t>pass</t>
        </is>
      </c>
      <c r="AY209" t="inlineStr">
        <is>
          <t>passes all hard gates</t>
        </is>
      </c>
      <c r="AZ209" t="inlineStr">
        <is>
          <t>company</t>
        </is>
      </c>
      <c r="BA209" t="inlineStr">
        <is>
          <t>B-C-012</t>
        </is>
      </c>
      <c r="BB209" t="inlineStr">
        <is>
          <t>https://www.tryprofound.com</t>
        </is>
      </c>
      <c r="BC209" t="inlineStr">
        <is>
          <t>marketing tech (AI search analytics)</t>
        </is>
      </c>
      <c r="BD209" t="inlineStr">
        <is>
          <t>unknown</t>
        </is>
      </c>
      <c r="BF209" t="inlineStr">
        <is>
          <t>unknown</t>
        </is>
      </c>
      <c r="BG209" t="inlineStr">
        <is>
          <t>unknown</t>
        </is>
      </c>
      <c r="BH209" t="inlineStr">
        <is>
          <t>no-count</t>
        </is>
      </c>
      <c r="BI209" t="inlineStr">
        <is>
          <t>https://fortune.com/2026/02/24/exclusive-as-ai-threatens-search-profound-raises-96-million-to-help-brands-stay-visible/</t>
        </is>
      </c>
      <c r="BK209" t="inlineStr">
        <is>
          <t>unknown</t>
        </is>
      </c>
      <c r="BL209" t="inlineStr">
        <is>
          <t>New York</t>
        </is>
      </c>
      <c r="BM209" t="inlineStr">
        <is>
          <t>Y</t>
        </is>
      </c>
      <c r="BN209" t="inlineStr">
        <is>
          <t>unknown</t>
        </is>
      </c>
      <c r="BO209" t="inlineStr">
        <is>
          <t>unknown</t>
        </is>
      </c>
      <c r="BP209" t="inlineStr">
        <is>
          <t>10003</t>
        </is>
      </c>
      <c r="BQ209" t="n">
        <v>40.7357</v>
      </c>
      <c r="BR209" t="n">
        <v>-73.991754</v>
      </c>
      <c r="BS209" t="inlineStr">
        <is>
          <t>Y</t>
        </is>
      </c>
      <c r="BT209" t="n">
        <v>0</v>
      </c>
      <c r="BU209" t="inlineStr">
        <is>
          <t>B-B-003</t>
        </is>
      </c>
      <c r="BV209" t="inlineStr">
        <is>
          <t>Spingler Building (5-9 Union Square West)</t>
        </is>
      </c>
      <c r="BW209" t="inlineStr">
        <is>
          <t>https://commercialobserver.com/2026/05/profound-lease-gfp-5-9-union-square-west/</t>
        </is>
      </c>
      <c r="BX209" t="inlineStr">
        <is>
          <t>2026-05-18</t>
        </is>
      </c>
      <c r="BY209" t="inlineStr">
        <is>
          <t>leasing-press</t>
        </is>
      </c>
      <c r="CC209" t="inlineStr">
        <is>
          <t>medium</t>
        </is>
      </c>
      <c r="CD209" t="inlineStr">
        <is>
          <t>unknown</t>
        </is>
      </c>
      <c r="CE209" t="inlineStr">
        <is>
          <t>N</t>
        </is>
      </c>
      <c r="CH209" t="inlineStr">
        <is>
          <t>unknown</t>
        </is>
      </c>
      <c r="CJ209" t="inlineStr">
        <is>
          <t>unknown</t>
        </is>
      </c>
      <c r="CK209" t="inlineStr">
        <is>
          <t>N</t>
        </is>
      </c>
      <c r="CL209" t="inlineStr">
        <is>
          <t>unknown</t>
        </is>
      </c>
      <c r="CO209" t="inlineStr">
        <is>
          <t>unknown</t>
        </is>
      </c>
      <c r="CQ209" t="inlineStr">
        <is>
          <t>No sourced headcount, so no Tuesday estimate; ask the Tuesday count at intake.</t>
        </is>
      </c>
      <c r="CR209" t="inlineStr">
        <is>
          <t>estimate until intake replaces it</t>
        </is>
      </c>
      <c r="CS209" t="inlineStr">
        <is>
          <t>unknown</t>
        </is>
      </c>
      <c r="CT209" t="n">
        <v>26</v>
      </c>
      <c r="CU209" t="n">
        <v>7</v>
      </c>
      <c r="CV209" t="n">
        <v>8</v>
      </c>
      <c r="CW209" t="n">
        <v>6</v>
      </c>
      <c r="CX209" t="n">
        <v>5</v>
      </c>
      <c r="CY209">
        <f>IF(AH209="exact",10,IF(AH209="adjacent",5,0))</f>
        <v/>
      </c>
      <c r="CZ209">
        <f>IF(R209="Y",15,0)</f>
        <v/>
      </c>
      <c r="DF209" t="inlineStr">
        <is>
          <t>none</t>
        </is>
      </c>
      <c r="DG209" t="inlineStr">
        <is>
          <t>candidate</t>
        </is>
      </c>
      <c r="DJ209" t="inlineStr">
        <is>
          <t>30,000 sf;7,500 sf</t>
        </is>
      </c>
      <c r="DK209" t="inlineStr">
        <is>
          <t>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is>
      </c>
      <c r="DS209" t="inlineStr">
        <is>
          <t>none</t>
        </is>
      </c>
      <c r="DX209" t="inlineStr">
        <is>
          <t>N</t>
        </is>
      </c>
      <c r="ER209">
        <f>IF(ISNUMBER(MATCH(U209,{"queued","contacted","replied","call_booked","call_done","yes_in_principle","materials_sent"},0)),"Y","N")</f>
        <v/>
      </c>
      <c r="ES209">
        <f>IF(COUNTIFS($AP$2:$AP$1000,AP209,$ER$2:$ER$1000,"Y")+COUNTIFS($AP$2:$AP$1000,AP209,$T$2:$T$1000,"Y")&gt;0,"Y","N")</f>
        <v/>
      </c>
      <c r="ET209">
        <f>IF(AND(U209="new",T209="N",AT209="Y",AS209="",ES209="N"),"Y","N")</f>
        <v/>
      </c>
      <c r="EU209">
        <f>IF(ET209&lt;&gt;"Y","N",IF(COUNTIFS($AP$2:$AP$1000,AP209,$ET$2:$ET$1000,"Y",$J$2:$J$1000,"&gt;"&amp;J209)+COUNTIFS($AP$2:$AP$1000,AP209,$ET$2:$ET$1000,"Y",$J$2:$J$1000,J209,$EW$2:$EW$1000,"&lt;"&amp;EW209)=0,"Y","N"))</f>
        <v/>
      </c>
      <c r="EV209">
        <f>IF(Y209="","N",IF(Y209&lt;=10,"Y","N"))</f>
        <v/>
      </c>
      <c r="EW209">
        <f>ROW()-1</f>
        <v/>
      </c>
    </row>
    <row r="210">
      <c r="A210" t="inlineStr">
        <is>
          <t>AO-C-108</t>
        </is>
      </c>
      <c r="B210" t="inlineStr">
        <is>
          <t>Sapien AI</t>
        </is>
      </c>
      <c r="H210" t="inlineStr">
        <is>
          <t>none</t>
        </is>
      </c>
      <c r="I210" t="inlineStr">
        <is>
          <t>linkedin</t>
        </is>
      </c>
      <c r="J210">
        <f>IF(AX210="pass",ROUND(CU210+CV210+CW210+CX210+CY210+CZ210,1),0)</f>
        <v/>
      </c>
      <c r="K210" t="inlineStr">
        <is>
          <t>Tuesday headcount unknown (no sourced count), company size unknown, no attendance signal, signed-not-occupied at a medium-confidence address (hold: lease signed, move not confirmed); contacts not researched yet (below the top 50).</t>
        </is>
      </c>
      <c r="L210" t="inlineStr">
        <is>
          <t>unknown</t>
        </is>
      </c>
      <c r="O210" t="inlineStr">
        <is>
          <t>New or renewed lease at 48 West 25th Street reported 2026-08-03</t>
        </is>
      </c>
      <c r="P210" t="inlineStr">
        <is>
          <t>https://commercialobserver.com/2026/08/sapien-ai-lease-kaufman-organization-48-west-25th-street/</t>
        </is>
      </c>
      <c r="Q210" t="inlineStr">
        <is>
          <t>2026-08-03</t>
        </is>
      </c>
      <c r="R210" t="inlineStr">
        <is>
          <t>N</t>
        </is>
      </c>
      <c r="S210" t="inlineStr">
        <is>
          <t>unknown</t>
        </is>
      </c>
      <c r="T210" t="inlineStr">
        <is>
          <t>N</t>
        </is>
      </c>
      <c r="U210" t="inlineStr">
        <is>
          <t>new</t>
        </is>
      </c>
      <c r="V210" t="inlineStr">
        <is>
          <t>https://commercialobserver.com/2026/08/sapien-ai-lease-kaufman-organization-48-west-25th-street/</t>
        </is>
      </c>
      <c r="W210" t="inlineStr">
        <is>
          <t>2026-10-23</t>
        </is>
      </c>
      <c r="X210" t="inlineStr">
        <is>
          <t>office</t>
        </is>
      </c>
      <c r="Y210">
        <f>IF(EU210&lt;&gt;"Y","",COUNTIFS($EU$2:$EU$1000,"Y",$J$2:$J$1000,"&gt;"&amp;J210)+COUNTIFS($EU$2:$EU$1000,"Y",$J$2:$J$1000,J210,$EW$2:$EW$1000,"&lt;"&amp;EW210)+1)</f>
        <v/>
      </c>
      <c r="Z210" t="n">
        <v>209</v>
      </c>
      <c r="AA210" t="inlineStr">
        <is>
          <t>N</t>
        </is>
      </c>
      <c r="AD210" t="inlineStr">
        <is>
          <t>none</t>
        </is>
      </c>
      <c r="AH210" t="inlineStr">
        <is>
          <t>none</t>
        </is>
      </c>
      <c r="AI210" t="inlineStr">
        <is>
          <t>48 West 25th Street</t>
        </is>
      </c>
      <c r="AJ210" t="inlineStr">
        <is>
          <t>5</t>
        </is>
      </c>
      <c r="AK210" t="inlineStr">
        <is>
          <t>signed-not-occupied</t>
        </is>
      </c>
      <c r="AL210" t="inlineStr">
        <is>
          <t>unknown</t>
        </is>
      </c>
      <c r="AM210" t="inlineStr">
        <is>
          <t>unknown</t>
        </is>
      </c>
      <c r="AN210" t="inlineStr">
        <is>
          <t>none</t>
        </is>
      </c>
      <c r="AO210" t="inlineStr">
        <is>
          <t>unknown</t>
        </is>
      </c>
      <c r="AP210" t="inlineStr">
        <is>
          <t>AO-C-108</t>
        </is>
      </c>
      <c r="AQ210" t="inlineStr">
        <is>
          <t>Y</t>
        </is>
      </c>
      <c r="AR210" t="inlineStr">
        <is>
          <t>lease signed, move not confirmed: check the lobby directory before outreach (B)</t>
        </is>
      </c>
      <c r="AT210">
        <f>IF(AND(AX210="pass",AQ210&lt;&gt;"Y",C210&lt;&gt;"",OR(AW210&lt;&gt;"Y",AV210="Y")),"Y","N")</f>
        <v/>
      </c>
      <c r="AU210">
        <f>_xlfn.TEXTJOIN("; ",TRUE,IF(AX210&lt;&gt;"pass","gated out",""),IF(AQ210="Y","on hold: "&amp;AR210,""),IF(C210="","no contact named on an opened page",""),IF(AND(AW210="Y",AV210&lt;&gt;"Y"),"Tuesday estimate band "&amp;L210&amp;": founder's call",""))</f>
        <v/>
      </c>
      <c r="AW210" t="inlineStr">
        <is>
          <t>N</t>
        </is>
      </c>
      <c r="AX210" t="inlineStr">
        <is>
          <t>pass</t>
        </is>
      </c>
      <c r="AY210" t="inlineStr">
        <is>
          <t>passes all hard gates</t>
        </is>
      </c>
      <c r="AZ210" t="inlineStr">
        <is>
          <t>company</t>
        </is>
      </c>
      <c r="BA210" t="inlineStr">
        <is>
          <t>B-C-108</t>
        </is>
      </c>
      <c r="BB210" t="inlineStr">
        <is>
          <t>unknown</t>
        </is>
      </c>
      <c r="BC210" t="inlineStr">
        <is>
          <t>Software (AI financial and operations analytics)</t>
        </is>
      </c>
      <c r="BD210" t="inlineStr">
        <is>
          <t>unknown</t>
        </is>
      </c>
      <c r="BF210" t="inlineStr">
        <is>
          <t>unknown</t>
        </is>
      </c>
      <c r="BG210" t="inlineStr">
        <is>
          <t>unknown</t>
        </is>
      </c>
      <c r="BH210" t="inlineStr">
        <is>
          <t>no-count</t>
        </is>
      </c>
      <c r="BK210" t="inlineStr">
        <is>
          <t>unknown</t>
        </is>
      </c>
      <c r="BL210" t="inlineStr">
        <is>
          <t>unknown</t>
        </is>
      </c>
      <c r="BM210" t="inlineStr">
        <is>
          <t>unknown</t>
        </is>
      </c>
      <c r="BN210" t="inlineStr">
        <is>
          <t>unknown</t>
        </is>
      </c>
      <c r="BO210" t="inlineStr">
        <is>
          <t>unknown</t>
        </is>
      </c>
      <c r="BP210" t="inlineStr">
        <is>
          <t>10010</t>
        </is>
      </c>
      <c r="BQ210" t="n">
        <v>40.743751</v>
      </c>
      <c r="BR210" t="n">
        <v>-73.99137399999999</v>
      </c>
      <c r="BS210" t="inlineStr">
        <is>
          <t>Y</t>
        </is>
      </c>
      <c r="BT210" t="n">
        <v>0</v>
      </c>
      <c r="BU210" t="inlineStr">
        <is>
          <t>B-B-054</t>
        </is>
      </c>
      <c r="BV210" t="inlineStr">
        <is>
          <t>48 West 25th Street (Kaufman Organization; part of former Savanna 'Madison Square Collection')</t>
        </is>
      </c>
      <c r="BW210" t="inlineStr">
        <is>
          <t>https://commercialobserver.com/2026/08/sapien-ai-lease-kaufman-organization-48-west-25th-street/</t>
        </is>
      </c>
      <c r="BX210" t="inlineStr">
        <is>
          <t>2026-08-03</t>
        </is>
      </c>
      <c r="BY210" t="inlineStr">
        <is>
          <t>leasing-press</t>
        </is>
      </c>
      <c r="BZ210" t="inlineStr">
        <is>
          <t>https://flatironnomad.nyc/2026/09/02/august-news-roundup-7/</t>
        </is>
      </c>
      <c r="CA210" t="inlineStr">
        <is>
          <t>2026-09-02</t>
        </is>
      </c>
      <c r="CC210" t="inlineStr">
        <is>
          <t>medium</t>
        </is>
      </c>
      <c r="CD210" t="inlineStr">
        <is>
          <t>unknown</t>
        </is>
      </c>
      <c r="CE210" t="inlineStr">
        <is>
          <t>N</t>
        </is>
      </c>
      <c r="CH210" t="inlineStr">
        <is>
          <t>unknown</t>
        </is>
      </c>
      <c r="CJ210" t="inlineStr">
        <is>
          <t>unknown</t>
        </is>
      </c>
      <c r="CK210" t="inlineStr">
        <is>
          <t>N</t>
        </is>
      </c>
      <c r="CL210" t="inlineStr">
        <is>
          <t>unknown</t>
        </is>
      </c>
      <c r="CO210" t="inlineStr">
        <is>
          <t>unknown</t>
        </is>
      </c>
      <c r="CQ210" t="inlineStr">
        <is>
          <t>No sourced headcount, so no Tuesday estimate; ask the Tuesday count at intake.</t>
        </is>
      </c>
      <c r="CR210" t="inlineStr">
        <is>
          <t>estimate until intake replaces it</t>
        </is>
      </c>
      <c r="CS210" t="inlineStr">
        <is>
          <t>unknown</t>
        </is>
      </c>
      <c r="CT210" t="n">
        <v>26</v>
      </c>
      <c r="CU210" t="n">
        <v>7</v>
      </c>
      <c r="CV210" t="n">
        <v>8</v>
      </c>
      <c r="CW210" t="n">
        <v>6</v>
      </c>
      <c r="CX210" t="n">
        <v>5</v>
      </c>
      <c r="CY210">
        <f>IF(AH210="exact",10,IF(AH210="adjacent",5,0))</f>
        <v/>
      </c>
      <c r="CZ210">
        <f>IF(R210="Y",15,0)</f>
        <v/>
      </c>
      <c r="DF210" t="inlineStr">
        <is>
          <t>none</t>
        </is>
      </c>
      <c r="DG210" t="inlineStr">
        <is>
          <t>candidate</t>
        </is>
      </c>
      <c r="DJ210" t="inlineStr">
        <is>
          <t>10,500 sf</t>
        </is>
      </c>
      <c r="DK210" t="inlineStr">
        <is>
          <t>CO Aug 2026: about 10,500 sf, entire 5th floor, relocating from 184 Fifth Avenue. FNP roundup repeats the CO report. Website and headcount not confirmed (Built In 'sapien' profile is a 5-person Berkeley firm; not used, as nothing ties it to this company).</t>
        </is>
      </c>
      <c r="DS210" t="inlineStr">
        <is>
          <t>none</t>
        </is>
      </c>
      <c r="DX210" t="inlineStr">
        <is>
          <t>N</t>
        </is>
      </c>
      <c r="ER210">
        <f>IF(ISNUMBER(MATCH(U210,{"queued","contacted","replied","call_booked","call_done","yes_in_principle","materials_sent"},0)),"Y","N")</f>
        <v/>
      </c>
      <c r="ES210">
        <f>IF(COUNTIFS($AP$2:$AP$1000,AP210,$ER$2:$ER$1000,"Y")+COUNTIFS($AP$2:$AP$1000,AP210,$T$2:$T$1000,"Y")&gt;0,"Y","N")</f>
        <v/>
      </c>
      <c r="ET210">
        <f>IF(AND(U210="new",T210="N",AT210="Y",AS210="",ES210="N"),"Y","N")</f>
        <v/>
      </c>
      <c r="EU210">
        <f>IF(ET210&lt;&gt;"Y","N",IF(COUNTIFS($AP$2:$AP$1000,AP210,$ET$2:$ET$1000,"Y",$J$2:$J$1000,"&gt;"&amp;J210)+COUNTIFS($AP$2:$AP$1000,AP210,$ET$2:$ET$1000,"Y",$J$2:$J$1000,J210,$EW$2:$EW$1000,"&lt;"&amp;EW210)=0,"Y","N"))</f>
        <v/>
      </c>
      <c r="EV210">
        <f>IF(Y210="","N",IF(Y210&lt;=10,"Y","N"))</f>
        <v/>
      </c>
      <c r="EW210">
        <f>ROW()-1</f>
        <v/>
      </c>
    </row>
    <row r="211">
      <c r="A211" t="inlineStr">
        <is>
          <t>AO-C-143</t>
        </is>
      </c>
      <c r="B211" t="inlineStr">
        <is>
          <t>Tenex Labs</t>
        </is>
      </c>
      <c r="H211" t="inlineStr">
        <is>
          <t>none</t>
        </is>
      </c>
      <c r="I211" t="inlineStr">
        <is>
          <t>linkedin</t>
        </is>
      </c>
      <c r="J211">
        <f>IF(AX211="pass",ROUND(CU211+CV211+CW211+CX211+CY211+CZ211,1),0)</f>
        <v/>
      </c>
      <c r="K211" t="inlineStr">
        <is>
          <t>Tuesday headcount unknown (no sourced count), company size unknown, no attendance signal, signed-not-occupied at a medium-confidence address (hold: lease signed, move not confirmed); contacts not researched yet (below the top 50).</t>
        </is>
      </c>
      <c r="L211" t="inlineStr">
        <is>
          <t>unknown</t>
        </is>
      </c>
      <c r="O211" t="inlineStr">
        <is>
          <t>New or renewed lease at 60 Madison Avenue reported 2026-06-22</t>
        </is>
      </c>
      <c r="P211" t="inlineStr">
        <is>
          <t>https://commercialobserver.com/2026/06/moinian-group-tenex-labs-lease-60-madison-avenue/</t>
        </is>
      </c>
      <c r="Q211" t="inlineStr">
        <is>
          <t>2026-06-22</t>
        </is>
      </c>
      <c r="R211" t="inlineStr">
        <is>
          <t>N</t>
        </is>
      </c>
      <c r="S211" t="inlineStr">
        <is>
          <t>unknown</t>
        </is>
      </c>
      <c r="T211" t="inlineStr">
        <is>
          <t>N</t>
        </is>
      </c>
      <c r="U211" t="inlineStr">
        <is>
          <t>new</t>
        </is>
      </c>
      <c r="V211" t="inlineStr">
        <is>
          <t>https://commercialobserver.com/2026/06/moinian-group-tenex-labs-lease-60-madison-avenue/</t>
        </is>
      </c>
      <c r="W211" t="inlineStr">
        <is>
          <t>2026-10-23</t>
        </is>
      </c>
      <c r="X211" t="inlineStr">
        <is>
          <t>office</t>
        </is>
      </c>
      <c r="Y211">
        <f>IF(EU211&lt;&gt;"Y","",COUNTIFS($EU$2:$EU$1000,"Y",$J$2:$J$1000,"&gt;"&amp;J211)+COUNTIFS($EU$2:$EU$1000,"Y",$J$2:$J$1000,J211,$EW$2:$EW$1000,"&lt;"&amp;EW211)+1)</f>
        <v/>
      </c>
      <c r="Z211" t="n">
        <v>210</v>
      </c>
      <c r="AA211" t="inlineStr">
        <is>
          <t>N</t>
        </is>
      </c>
      <c r="AD211" t="inlineStr">
        <is>
          <t>none</t>
        </is>
      </c>
      <c r="AH211" t="inlineStr">
        <is>
          <t>none</t>
        </is>
      </c>
      <c r="AI211" t="inlineStr">
        <is>
          <t>60 Madison Avenue</t>
        </is>
      </c>
      <c r="AJ211" t="inlineStr">
        <is>
          <t>12 and penthouse</t>
        </is>
      </c>
      <c r="AK211" t="inlineStr">
        <is>
          <t>signed-not-occupied</t>
        </is>
      </c>
      <c r="AL211" t="inlineStr">
        <is>
          <t>unknown</t>
        </is>
      </c>
      <c r="AM211" t="inlineStr">
        <is>
          <t>unknown</t>
        </is>
      </c>
      <c r="AN211" t="inlineStr">
        <is>
          <t>none</t>
        </is>
      </c>
      <c r="AO211" t="inlineStr">
        <is>
          <t>unknown</t>
        </is>
      </c>
      <c r="AP211" t="inlineStr">
        <is>
          <t>AO-C-143</t>
        </is>
      </c>
      <c r="AQ211" t="inlineStr">
        <is>
          <t>Y</t>
        </is>
      </c>
      <c r="AR211" t="inlineStr">
        <is>
          <t>lease signed, move not confirmed: check the lobby directory before outreach (B)</t>
        </is>
      </c>
      <c r="AT211">
        <f>IF(AND(AX211="pass",AQ211&lt;&gt;"Y",C211&lt;&gt;"",OR(AW211&lt;&gt;"Y",AV211="Y")),"Y","N")</f>
        <v/>
      </c>
      <c r="AU211">
        <f>_xlfn.TEXTJOIN("; ",TRUE,IF(AX211&lt;&gt;"pass","gated out",""),IF(AQ211="Y","on hold: "&amp;AR211,""),IF(C211="","no contact named on an opened page",""),IF(AND(AW211="Y",AV211&lt;&gt;"Y"),"Tuesday estimate band "&amp;L211&amp;": founder's call",""))</f>
        <v/>
      </c>
      <c r="AW211" t="inlineStr">
        <is>
          <t>N</t>
        </is>
      </c>
      <c r="AX211" t="inlineStr">
        <is>
          <t>pass</t>
        </is>
      </c>
      <c r="AY211" t="inlineStr">
        <is>
          <t>passes all hard gates</t>
        </is>
      </c>
      <c r="AZ211" t="inlineStr">
        <is>
          <t>company</t>
        </is>
      </c>
      <c r="BA211" t="inlineStr">
        <is>
          <t>B-C-143</t>
        </is>
      </c>
      <c r="BB211" t="inlineStr">
        <is>
          <t>unknown</t>
        </is>
      </c>
      <c r="BC211" t="inlineStr">
        <is>
          <t>software (web development)</t>
        </is>
      </c>
      <c r="BD211" t="inlineStr">
        <is>
          <t>unknown</t>
        </is>
      </c>
      <c r="BF211" t="inlineStr">
        <is>
          <t>unknown</t>
        </is>
      </c>
      <c r="BG211" t="inlineStr">
        <is>
          <t>unknown</t>
        </is>
      </c>
      <c r="BH211" t="inlineStr">
        <is>
          <t>no-count</t>
        </is>
      </c>
      <c r="BK211" t="inlineStr">
        <is>
          <t>unknown</t>
        </is>
      </c>
      <c r="BL211" t="inlineStr">
        <is>
          <t>unknown</t>
        </is>
      </c>
      <c r="BM211" t="inlineStr">
        <is>
          <t>unknown</t>
        </is>
      </c>
      <c r="BN211" t="inlineStr">
        <is>
          <t>unknown</t>
        </is>
      </c>
      <c r="BO211" t="inlineStr">
        <is>
          <t>unknown</t>
        </is>
      </c>
      <c r="BP211" t="inlineStr">
        <is>
          <t>10010</t>
        </is>
      </c>
      <c r="BQ211" t="n">
        <v>40.743288</v>
      </c>
      <c r="BR211" t="n">
        <v>-73.986627</v>
      </c>
      <c r="BS211" t="inlineStr">
        <is>
          <t>Y</t>
        </is>
      </c>
      <c r="BT211" t="n">
        <v>0</v>
      </c>
      <c r="BU211" t="inlineStr">
        <is>
          <t>B-B-066</t>
        </is>
      </c>
      <c r="BV211" t="inlineStr">
        <is>
          <t>60 Madison Avenue (Moinian Group)</t>
        </is>
      </c>
      <c r="BW211" t="inlineStr">
        <is>
          <t>https://commercialobserver.com/2026/06/moinian-group-tenex-labs-lease-60-madison-avenue/</t>
        </is>
      </c>
      <c r="BX211" t="inlineStr">
        <is>
          <t>2026-06-22</t>
        </is>
      </c>
      <c r="BY211" t="inlineStr">
        <is>
          <t>leasing-press</t>
        </is>
      </c>
      <c r="CC211" t="inlineStr">
        <is>
          <t>medium</t>
        </is>
      </c>
      <c r="CD211" t="inlineStr">
        <is>
          <t>unknown</t>
        </is>
      </c>
      <c r="CE211" t="inlineStr">
        <is>
          <t>N</t>
        </is>
      </c>
      <c r="CH211" t="inlineStr">
        <is>
          <t>unknown</t>
        </is>
      </c>
      <c r="CJ211" t="inlineStr">
        <is>
          <t>unknown</t>
        </is>
      </c>
      <c r="CK211" t="inlineStr">
        <is>
          <t>N</t>
        </is>
      </c>
      <c r="CL211" t="inlineStr">
        <is>
          <t>unknown</t>
        </is>
      </c>
      <c r="CO211" t="inlineStr">
        <is>
          <t>unknown</t>
        </is>
      </c>
      <c r="CQ211" t="inlineStr">
        <is>
          <t>No sourced headcount, so no Tuesday estimate; ask the Tuesday count at intake.</t>
        </is>
      </c>
      <c r="CR211" t="inlineStr">
        <is>
          <t>estimate until intake replaces it</t>
        </is>
      </c>
      <c r="CS211" t="inlineStr">
        <is>
          <t>unknown</t>
        </is>
      </c>
      <c r="CT211" t="n">
        <v>26</v>
      </c>
      <c r="CU211" t="n">
        <v>7</v>
      </c>
      <c r="CV211" t="n">
        <v>8</v>
      </c>
      <c r="CW211" t="n">
        <v>6</v>
      </c>
      <c r="CX211" t="n">
        <v>5</v>
      </c>
      <c r="CY211">
        <f>IF(AH211="exact",10,IF(AH211="adjacent",5,0))</f>
        <v/>
      </c>
      <c r="CZ211">
        <f>IF(R211="Y",15,0)</f>
        <v/>
      </c>
      <c r="DF211" t="inlineStr">
        <is>
          <t>none</t>
        </is>
      </c>
      <c r="DG211" t="inlineStr">
        <is>
          <t>candidate</t>
        </is>
      </c>
      <c r="DJ211" t="inlineStr">
        <is>
          <t>25,000 sf</t>
        </is>
      </c>
      <c r="DK211" t="inlineStr">
        <is>
          <t>25,000 SF on the full 12th floor and penthouse; prior location unclear; move-in date not stated. Headcount not found.</t>
        </is>
      </c>
      <c r="DS211" t="inlineStr">
        <is>
          <t>none</t>
        </is>
      </c>
      <c r="DX211" t="inlineStr">
        <is>
          <t>N</t>
        </is>
      </c>
      <c r="ER211">
        <f>IF(ISNUMBER(MATCH(U211,{"queued","contacted","replied","call_booked","call_done","yes_in_principle","materials_sent"},0)),"Y","N")</f>
        <v/>
      </c>
      <c r="ES211">
        <f>IF(COUNTIFS($AP$2:$AP$1000,AP211,$ER$2:$ER$1000,"Y")+COUNTIFS($AP$2:$AP$1000,AP211,$T$2:$T$1000,"Y")&gt;0,"Y","N")</f>
        <v/>
      </c>
      <c r="ET211">
        <f>IF(AND(U211="new",T211="N",AT211="Y",AS211="",ES211="N"),"Y","N")</f>
        <v/>
      </c>
      <c r="EU211">
        <f>IF(ET211&lt;&gt;"Y","N",IF(COUNTIFS($AP$2:$AP$1000,AP211,$ET$2:$ET$1000,"Y",$J$2:$J$1000,"&gt;"&amp;J211)+COUNTIFS($AP$2:$AP$1000,AP211,$ET$2:$ET$1000,"Y",$J$2:$J$1000,J211,$EW$2:$EW$1000,"&lt;"&amp;EW211)=0,"Y","N"))</f>
        <v/>
      </c>
      <c r="EV211">
        <f>IF(Y211="","N",IF(Y211&lt;=10,"Y","N"))</f>
        <v/>
      </c>
      <c r="EW211">
        <f>ROW()-1</f>
        <v/>
      </c>
    </row>
    <row r="212">
      <c r="A212" t="inlineStr">
        <is>
          <t>AO-C-063</t>
        </is>
      </c>
      <c r="B212" t="inlineStr">
        <is>
          <t>The Hudson Companies and Broadway Builders</t>
        </is>
      </c>
      <c r="H212" t="inlineStr">
        <is>
          <t>none</t>
        </is>
      </c>
      <c r="I212" t="inlineStr">
        <is>
          <t>linkedin</t>
        </is>
      </c>
      <c r="J212">
        <f>IF(AX212="pass",ROUND(CU212+CV212+CW212+CX212+CY212+CZ212,1),0)</f>
        <v/>
      </c>
      <c r="K212" t="inlineStr">
        <is>
          <t>Tuesday headcount unknown (no sourced count), company size unknown, no attendance signal, signed-not-occupied at a medium-confidence address (hold: lease signed, move not confirmed); contacts not researched yet (below the top 50).</t>
        </is>
      </c>
      <c r="L212" t="inlineStr">
        <is>
          <t>unknown</t>
        </is>
      </c>
      <c r="O212" t="inlineStr">
        <is>
          <t>New or renewed lease at 902 Broadway reported 2026-03-24</t>
        </is>
      </c>
      <c r="P212" t="inlineStr">
        <is>
          <t>https://commercialobserver.com/2026/03/hudson-companies-broadway-builders-lease-902-broadway/</t>
        </is>
      </c>
      <c r="Q212" t="inlineStr">
        <is>
          <t>2026-03-24</t>
        </is>
      </c>
      <c r="R212" t="inlineStr">
        <is>
          <t>N</t>
        </is>
      </c>
      <c r="S212" t="inlineStr">
        <is>
          <t>unknown</t>
        </is>
      </c>
      <c r="T212" t="inlineStr">
        <is>
          <t>N</t>
        </is>
      </c>
      <c r="U212" t="inlineStr">
        <is>
          <t>new</t>
        </is>
      </c>
      <c r="V212" t="inlineStr">
        <is>
          <t>https://commercialobserver.com/2026/03/hudson-companies-broadway-builders-lease-902-broadway/</t>
        </is>
      </c>
      <c r="W212" t="inlineStr">
        <is>
          <t>2026-10-23</t>
        </is>
      </c>
      <c r="X212" t="inlineStr">
        <is>
          <t>office</t>
        </is>
      </c>
      <c r="Y212">
        <f>IF(EU212&lt;&gt;"Y","",COUNTIFS($EU$2:$EU$1000,"Y",$J$2:$J$1000,"&gt;"&amp;J212)+COUNTIFS($EU$2:$EU$1000,"Y",$J$2:$J$1000,J212,$EW$2:$EW$1000,"&lt;"&amp;EW212)+1)</f>
        <v/>
      </c>
      <c r="Z212" t="n">
        <v>211</v>
      </c>
      <c r="AA212" t="inlineStr">
        <is>
          <t>N</t>
        </is>
      </c>
      <c r="AD212" t="inlineStr">
        <is>
          <t>none</t>
        </is>
      </c>
      <c r="AH212" t="inlineStr">
        <is>
          <t>none</t>
        </is>
      </c>
      <c r="AI212" t="inlineStr">
        <is>
          <t>902 Broadway</t>
        </is>
      </c>
      <c r="AJ212" t="inlineStr">
        <is>
          <t>12</t>
        </is>
      </c>
      <c r="AK212" t="inlineStr">
        <is>
          <t>signed-not-occupied</t>
        </is>
      </c>
      <c r="AL212" t="inlineStr">
        <is>
          <t>unknown</t>
        </is>
      </c>
      <c r="AM212" t="inlineStr">
        <is>
          <t>unknown</t>
        </is>
      </c>
      <c r="AN212" t="inlineStr">
        <is>
          <t>none</t>
        </is>
      </c>
      <c r="AO212" t="inlineStr">
        <is>
          <t>unknown</t>
        </is>
      </c>
      <c r="AP212" t="inlineStr">
        <is>
          <t>AO-C-063</t>
        </is>
      </c>
      <c r="AQ212" t="inlineStr">
        <is>
          <t>Y</t>
        </is>
      </c>
      <c r="AR212" t="inlineStr">
        <is>
          <t>lease signed, move not confirmed: check the lobby directory before outreach (B)</t>
        </is>
      </c>
      <c r="AT212">
        <f>IF(AND(AX212="pass",AQ212&lt;&gt;"Y",C212&lt;&gt;"",OR(AW212&lt;&gt;"Y",AV212="Y")),"Y","N")</f>
        <v/>
      </c>
      <c r="AU212">
        <f>_xlfn.TEXTJOIN("; ",TRUE,IF(AX212&lt;&gt;"pass","gated out",""),IF(AQ212="Y","on hold: "&amp;AR212,""),IF(C212="","no contact named on an opened page",""),IF(AND(AW212="Y",AV212&lt;&gt;"Y"),"Tuesday estimate band "&amp;L212&amp;": founder's call",""))</f>
        <v/>
      </c>
      <c r="AW212" t="inlineStr">
        <is>
          <t>N</t>
        </is>
      </c>
      <c r="AX212" t="inlineStr">
        <is>
          <t>pass</t>
        </is>
      </c>
      <c r="AY212" t="inlineStr">
        <is>
          <t>passes all hard gates</t>
        </is>
      </c>
      <c r="AZ212" t="inlineStr">
        <is>
          <t>company</t>
        </is>
      </c>
      <c r="BA212" t="inlineStr">
        <is>
          <t>B-C-063</t>
        </is>
      </c>
      <c r="BB212" t="inlineStr">
        <is>
          <t>https://www.hudsoninc.com</t>
        </is>
      </c>
      <c r="BC212" t="inlineStr">
        <is>
          <t>real estate development</t>
        </is>
      </c>
      <c r="BD212" t="inlineStr">
        <is>
          <t>unknown</t>
        </is>
      </c>
      <c r="BF212" t="inlineStr">
        <is>
          <t>unknown</t>
        </is>
      </c>
      <c r="BG212" t="inlineStr">
        <is>
          <t>unknown</t>
        </is>
      </c>
      <c r="BH212" t="inlineStr">
        <is>
          <t>no-count</t>
        </is>
      </c>
      <c r="BK212" t="inlineStr">
        <is>
          <t>unknown</t>
        </is>
      </c>
      <c r="BL212" t="inlineStr">
        <is>
          <t>unknown</t>
        </is>
      </c>
      <c r="BM212" t="inlineStr">
        <is>
          <t>unknown</t>
        </is>
      </c>
      <c r="BN212" t="inlineStr">
        <is>
          <t>unknown</t>
        </is>
      </c>
      <c r="BO212" t="inlineStr">
        <is>
          <t>unknown</t>
        </is>
      </c>
      <c r="BP212" t="inlineStr">
        <is>
          <t>10010</t>
        </is>
      </c>
      <c r="BQ212" t="n">
        <v>40.739363</v>
      </c>
      <c r="BR212" t="n">
        <v>-73.98953400000001</v>
      </c>
      <c r="BS212" t="inlineStr">
        <is>
          <t>Y</t>
        </is>
      </c>
      <c r="BT212" t="n">
        <v>0</v>
      </c>
      <c r="BU212" t="inlineStr">
        <is>
          <t>B-B-031</t>
        </is>
      </c>
      <c r="BV212" t="inlineStr">
        <is>
          <t>902 Broadway (Rosen family / Koeppel Rosen)</t>
        </is>
      </c>
      <c r="BW212" t="inlineStr">
        <is>
          <t>https://commercialobserver.com/2026/03/hudson-companies-broadway-builders-lease-902-broadway/</t>
        </is>
      </c>
      <c r="BX212" t="inlineStr">
        <is>
          <t>2026-03-24</t>
        </is>
      </c>
      <c r="BY212" t="inlineStr">
        <is>
          <t>leasing-press</t>
        </is>
      </c>
      <c r="BZ212" t="inlineStr">
        <is>
          <t>https://rebusinessonline.com/hudson-cos-broadway-builders-sign-18200-sf-office-lease-in-manhattans-flatiron-district/</t>
        </is>
      </c>
      <c r="CA212" t="inlineStr">
        <is>
          <t>2026-06-09</t>
        </is>
      </c>
      <c r="CC212" t="inlineStr">
        <is>
          <t>medium</t>
        </is>
      </c>
      <c r="CD212" t="inlineStr">
        <is>
          <t>unknown</t>
        </is>
      </c>
      <c r="CE212" t="inlineStr">
        <is>
          <t>N</t>
        </is>
      </c>
      <c r="CH212" t="inlineStr">
        <is>
          <t>security desk</t>
        </is>
      </c>
      <c r="CI212" t="inlineStr">
        <is>
          <t>https://www.metro-manhattan.com/buildings/902-broadway/</t>
        </is>
      </c>
      <c r="CJ212" t="inlineStr">
        <is>
          <t>unknown</t>
        </is>
      </c>
      <c r="CK212" t="inlineStr">
        <is>
          <t>N</t>
        </is>
      </c>
      <c r="CL212" t="inlineStr">
        <is>
          <t>unknown</t>
        </is>
      </c>
      <c r="CO212" t="inlineStr">
        <is>
          <t>unknown</t>
        </is>
      </c>
      <c r="CQ212" t="inlineStr">
        <is>
          <t>No sourced headcount, so no Tuesday estimate; ask the Tuesday count at intake.</t>
        </is>
      </c>
      <c r="CR212" t="inlineStr">
        <is>
          <t>estimate until intake replaces it</t>
        </is>
      </c>
      <c r="CS212" t="inlineStr">
        <is>
          <t>unknown</t>
        </is>
      </c>
      <c r="CT212" t="n">
        <v>26</v>
      </c>
      <c r="CU212" t="n">
        <v>7</v>
      </c>
      <c r="CV212" t="n">
        <v>8</v>
      </c>
      <c r="CW212" t="n">
        <v>6</v>
      </c>
      <c r="CX212" t="n">
        <v>5</v>
      </c>
      <c r="CY212">
        <f>IF(AH212="exact",10,IF(AH212="adjacent",5,0))</f>
        <v/>
      </c>
      <c r="CZ212">
        <f>IF(R212="Y",15,0)</f>
        <v/>
      </c>
      <c r="DF212" t="inlineStr">
        <is>
          <t>none</t>
        </is>
      </c>
      <c r="DG212" t="inlineStr">
        <is>
          <t>candidate</t>
        </is>
      </c>
      <c r="DK212" t="inlineStr">
        <is>
          <t>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is>
      </c>
      <c r="DS212" t="inlineStr">
        <is>
          <t>none</t>
        </is>
      </c>
      <c r="DX212" t="inlineStr">
        <is>
          <t>N</t>
        </is>
      </c>
      <c r="ER212">
        <f>IF(ISNUMBER(MATCH(U212,{"queued","contacted","replied","call_booked","call_done","yes_in_principle","materials_sent"},0)),"Y","N")</f>
        <v/>
      </c>
      <c r="ES212">
        <f>IF(COUNTIFS($AP$2:$AP$1000,AP212,$ER$2:$ER$1000,"Y")+COUNTIFS($AP$2:$AP$1000,AP212,$T$2:$T$1000,"Y")&gt;0,"Y","N")</f>
        <v/>
      </c>
      <c r="ET212">
        <f>IF(AND(U212="new",T212="N",AT212="Y",AS212="",ES212="N"),"Y","N")</f>
        <v/>
      </c>
      <c r="EU212">
        <f>IF(ET212&lt;&gt;"Y","N",IF(COUNTIFS($AP$2:$AP$1000,AP212,$ET$2:$ET$1000,"Y",$J$2:$J$1000,"&gt;"&amp;J212)+COUNTIFS($AP$2:$AP$1000,AP212,$ET$2:$ET$1000,"Y",$J$2:$J$1000,J212,$EW$2:$EW$1000,"&lt;"&amp;EW212)=0,"Y","N"))</f>
        <v/>
      </c>
      <c r="EV212">
        <f>IF(Y212="","N",IF(Y212&lt;=10,"Y","N"))</f>
        <v/>
      </c>
      <c r="EW212">
        <f>ROW()-1</f>
        <v/>
      </c>
    </row>
    <row r="213">
      <c r="A213" t="inlineStr">
        <is>
          <t>AO-C-058</t>
        </is>
      </c>
      <c r="B213" t="inlineStr">
        <is>
          <t>Wilson Daniels</t>
        </is>
      </c>
      <c r="H213" t="inlineStr">
        <is>
          <t>none</t>
        </is>
      </c>
      <c r="I213" t="inlineStr">
        <is>
          <t>linkedin</t>
        </is>
      </c>
      <c r="J213">
        <f>IF(AX213="pass",ROUND(CU213+CV213+CW213+CX213+CY213+CZ213,1),0)</f>
        <v/>
      </c>
      <c r="K213" t="inlineStr">
        <is>
          <t>Tuesday headcount unknown (no sourced count), company size unknown, no attendance signal, signed-not-occupied at a medium-confidence address (hold: lease signed, move not confirmed); contacts not researched yet (below the top 50).</t>
        </is>
      </c>
      <c r="L213" t="inlineStr">
        <is>
          <t>unknown</t>
        </is>
      </c>
      <c r="R213" t="inlineStr">
        <is>
          <t>N</t>
        </is>
      </c>
      <c r="S213" t="inlineStr">
        <is>
          <t>unknown</t>
        </is>
      </c>
      <c r="T213" t="inlineStr">
        <is>
          <t>N</t>
        </is>
      </c>
      <c r="U213" t="inlineStr">
        <is>
          <t>new</t>
        </is>
      </c>
      <c r="V213" t="inlineStr">
        <is>
          <t>https://commercialobserver.com/2025/06/wilson-daniels-lease-250-park-avenue-south/</t>
        </is>
      </c>
      <c r="W213" t="inlineStr">
        <is>
          <t>2026-10-23</t>
        </is>
      </c>
      <c r="X213" t="inlineStr">
        <is>
          <t>office</t>
        </is>
      </c>
      <c r="Y213">
        <f>IF(EU213&lt;&gt;"Y","",COUNTIFS($EU$2:$EU$1000,"Y",$J$2:$J$1000,"&gt;"&amp;J213)+COUNTIFS($EU$2:$EU$1000,"Y",$J$2:$J$1000,J213,$EW$2:$EW$1000,"&lt;"&amp;EW213)+1)</f>
        <v/>
      </c>
      <c r="Z213" t="n">
        <v>212</v>
      </c>
      <c r="AA213" t="inlineStr">
        <is>
          <t>N</t>
        </is>
      </c>
      <c r="AD213" t="inlineStr">
        <is>
          <t>none</t>
        </is>
      </c>
      <c r="AH213" t="inlineStr">
        <is>
          <t>none</t>
        </is>
      </c>
      <c r="AI213" t="inlineStr">
        <is>
          <t>250 Park Avenue South</t>
        </is>
      </c>
      <c r="AJ213" t="inlineStr">
        <is>
          <t>8</t>
        </is>
      </c>
      <c r="AK213" t="inlineStr">
        <is>
          <t>signed-not-occupied</t>
        </is>
      </c>
      <c r="AL213" t="inlineStr">
        <is>
          <t>unknown</t>
        </is>
      </c>
      <c r="AM213" t="inlineStr">
        <is>
          <t>unknown</t>
        </is>
      </c>
      <c r="AN213" t="inlineStr">
        <is>
          <t>none</t>
        </is>
      </c>
      <c r="AO213" t="inlineStr">
        <is>
          <t>unknown</t>
        </is>
      </c>
      <c r="AP213" t="inlineStr">
        <is>
          <t>AO-C-058</t>
        </is>
      </c>
      <c r="AQ213" t="inlineStr">
        <is>
          <t>Y</t>
        </is>
      </c>
      <c r="AR213" t="inlineStr">
        <is>
          <t>lease signed, move not confirmed: check the lobby directory before outreach (B)</t>
        </is>
      </c>
      <c r="AT213">
        <f>IF(AND(AX213="pass",AQ213&lt;&gt;"Y",C213&lt;&gt;"",OR(AW213&lt;&gt;"Y",AV213="Y")),"Y","N")</f>
        <v/>
      </c>
      <c r="AU213">
        <f>_xlfn.TEXTJOIN("; ",TRUE,IF(AX213&lt;&gt;"pass","gated out",""),IF(AQ213="Y","on hold: "&amp;AR213,""),IF(C213="","no contact named on an opened page",""),IF(AND(AW213="Y",AV213&lt;&gt;"Y"),"Tuesday estimate band "&amp;L213&amp;": founder's call",""))</f>
        <v/>
      </c>
      <c r="AW213" t="inlineStr">
        <is>
          <t>N</t>
        </is>
      </c>
      <c r="AX213" t="inlineStr">
        <is>
          <t>pass</t>
        </is>
      </c>
      <c r="AY213" t="inlineStr">
        <is>
          <t>passes all hard gates</t>
        </is>
      </c>
      <c r="AZ213" t="inlineStr">
        <is>
          <t>company</t>
        </is>
      </c>
      <c r="BA213" t="inlineStr">
        <is>
          <t>B-C-058</t>
        </is>
      </c>
      <c r="BB213" t="inlineStr">
        <is>
          <t>https://www.wilsondaniels.com</t>
        </is>
      </c>
      <c r="BC213" t="inlineStr">
        <is>
          <t>wine import and marketing (consumer brand)</t>
        </is>
      </c>
      <c r="BD213" t="inlineStr">
        <is>
          <t>unknown</t>
        </is>
      </c>
      <c r="BF213" t="inlineStr">
        <is>
          <t>unknown</t>
        </is>
      </c>
      <c r="BG213" t="inlineStr">
        <is>
          <t>unknown</t>
        </is>
      </c>
      <c r="BH213" t="inlineStr">
        <is>
          <t>no-count</t>
        </is>
      </c>
      <c r="BK213" t="inlineStr">
        <is>
          <t>unknown</t>
        </is>
      </c>
      <c r="BL213" t="inlineStr">
        <is>
          <t>unknown</t>
        </is>
      </c>
      <c r="BM213" t="inlineStr">
        <is>
          <t>unknown</t>
        </is>
      </c>
      <c r="BN213" t="inlineStr">
        <is>
          <t>unknown</t>
        </is>
      </c>
      <c r="BO213" t="inlineStr">
        <is>
          <t>unknown</t>
        </is>
      </c>
      <c r="BP213" t="inlineStr">
        <is>
          <t>10003</t>
        </is>
      </c>
      <c r="BQ213" t="n">
        <v>40.73827</v>
      </c>
      <c r="BR213" t="n">
        <v>-73.98819899999999</v>
      </c>
      <c r="BS213" t="inlineStr">
        <is>
          <t>Y</t>
        </is>
      </c>
      <c r="BT213" t="n">
        <v>0</v>
      </c>
      <c r="BU213" t="inlineStr">
        <is>
          <t>B-B-028</t>
        </is>
      </c>
      <c r="BV213" t="inlineStr">
        <is>
          <t>250 Park Avenue South (Feil Organization)</t>
        </is>
      </c>
      <c r="BW213" t="inlineStr">
        <is>
          <t>https://commercialobserver.com/2025/06/wilson-daniels-lease-250-park-avenue-south/</t>
        </is>
      </c>
      <c r="BX213" t="inlineStr">
        <is>
          <t>2025-06-05</t>
        </is>
      </c>
      <c r="BY213" t="inlineStr">
        <is>
          <t>leasing-press</t>
        </is>
      </c>
      <c r="BZ213" t="inlineStr">
        <is>
          <t>https://commercialobserver.com/2026/01/hex-technologies-lease-feil-250-park-avenue-south/</t>
        </is>
      </c>
      <c r="CA213" t="inlineStr">
        <is>
          <t>2026-01-09</t>
        </is>
      </c>
      <c r="CC213" t="inlineStr">
        <is>
          <t>medium</t>
        </is>
      </c>
      <c r="CD213" t="inlineStr">
        <is>
          <t>unknown</t>
        </is>
      </c>
      <c r="CE213" t="inlineStr">
        <is>
          <t>N</t>
        </is>
      </c>
      <c r="CH213" t="inlineStr">
        <is>
          <t>unknown</t>
        </is>
      </c>
      <c r="CJ213" t="inlineStr">
        <is>
          <t>unknown</t>
        </is>
      </c>
      <c r="CK213" t="inlineStr">
        <is>
          <t>N</t>
        </is>
      </c>
      <c r="CL213" t="inlineStr">
        <is>
          <t>unknown</t>
        </is>
      </c>
      <c r="CO213" t="inlineStr">
        <is>
          <t>unknown</t>
        </is>
      </c>
      <c r="CQ213" t="inlineStr">
        <is>
          <t>No sourced headcount, so no Tuesday estimate; ask the Tuesday count at intake.</t>
        </is>
      </c>
      <c r="CR213" t="inlineStr">
        <is>
          <t>estimate until intake replaces it</t>
        </is>
      </c>
      <c r="CS213" t="inlineStr">
        <is>
          <t>unknown</t>
        </is>
      </c>
      <c r="CT213" t="n">
        <v>26</v>
      </c>
      <c r="CU213" t="n">
        <v>7</v>
      </c>
      <c r="CV213" t="n">
        <v>8</v>
      </c>
      <c r="CW213" t="n">
        <v>6</v>
      </c>
      <c r="CX213" t="n">
        <v>5</v>
      </c>
      <c r="CY213">
        <f>IF(AH213="exact",10,IF(AH213="adjacent",5,0))</f>
        <v/>
      </c>
      <c r="CZ213">
        <f>IF(R213="Y",15,0)</f>
        <v/>
      </c>
      <c r="DF213" t="inlineStr">
        <is>
          <t>none</t>
        </is>
      </c>
      <c r="DG213" t="inlineStr">
        <is>
          <t>candidate</t>
        </is>
      </c>
      <c r="DJ213" t="inlineStr">
        <is>
          <t>12,000 sf</t>
        </is>
      </c>
      <c r="DK213" t="inlineStr">
        <is>
          <t>10-year lease for the full 8th floor (12,000 sf). CO Jan 2026 names it as a current tenant (same publisher). Company contact page opened 2026-10-23 still lists 19 West 24th St, 7th Floor, so occupancy is unconfirmed. Alcohol company: note for brand-fit, not office-fit.</t>
        </is>
      </c>
      <c r="DS213" t="inlineStr">
        <is>
          <t>none</t>
        </is>
      </c>
      <c r="DX213" t="inlineStr">
        <is>
          <t>N</t>
        </is>
      </c>
      <c r="ER213">
        <f>IF(ISNUMBER(MATCH(U213,{"queued","contacted","replied","call_booked","call_done","yes_in_principle","materials_sent"},0)),"Y","N")</f>
        <v/>
      </c>
      <c r="ES213">
        <f>IF(COUNTIFS($AP$2:$AP$1000,AP213,$ER$2:$ER$1000,"Y")+COUNTIFS($AP$2:$AP$1000,AP213,$T$2:$T$1000,"Y")&gt;0,"Y","N")</f>
        <v/>
      </c>
      <c r="ET213">
        <f>IF(AND(U213="new",T213="N",AT213="Y",AS213="",ES213="N"),"Y","N")</f>
        <v/>
      </c>
      <c r="EU213">
        <f>IF(ET213&lt;&gt;"Y","N",IF(COUNTIFS($AP$2:$AP$1000,AP213,$ET$2:$ET$1000,"Y",$J$2:$J$1000,"&gt;"&amp;J213)+COUNTIFS($AP$2:$AP$1000,AP213,$ET$2:$ET$1000,"Y",$J$2:$J$1000,J213,$EW$2:$EW$1000,"&lt;"&amp;EW213)=0,"Y","N"))</f>
        <v/>
      </c>
      <c r="EV213">
        <f>IF(Y213="","N",IF(Y213&lt;=10,"Y","N"))</f>
        <v/>
      </c>
      <c r="EW213">
        <f>ROW()-1</f>
        <v/>
      </c>
    </row>
    <row r="214">
      <c r="A214" t="inlineStr">
        <is>
          <t>AO-C-066</t>
        </is>
      </c>
      <c r="B214" t="inlineStr">
        <is>
          <t>Beachwold Residential</t>
        </is>
      </c>
      <c r="H214" t="inlineStr">
        <is>
          <t>none</t>
        </is>
      </c>
      <c r="I214" t="inlineStr">
        <is>
          <t>linkedin</t>
        </is>
      </c>
      <c r="J214">
        <f>IF(AX214="pass",ROUND(CU214+CV214+CW214+CX214+CY214+CZ214,1),0)</f>
        <v/>
      </c>
      <c r="K214" t="inlineStr">
        <is>
          <t>Tuesday headcount unknown (no sourced count), company size unknown, no attendance signal, occupancy-unconfirmed at a low-confidence address; contacts not researched yet (below the top 50).</t>
        </is>
      </c>
      <c r="L214" t="inlineStr">
        <is>
          <t>unknown</t>
        </is>
      </c>
      <c r="R214" t="inlineStr">
        <is>
          <t>N</t>
        </is>
      </c>
      <c r="S214" t="inlineStr">
        <is>
          <t>unknown</t>
        </is>
      </c>
      <c r="T214" t="inlineStr">
        <is>
          <t>N</t>
        </is>
      </c>
      <c r="U214" t="inlineStr">
        <is>
          <t>new</t>
        </is>
      </c>
      <c r="V214" t="inlineStr">
        <is>
          <t>https://commercialobserver.com/2022/07/paul-smith-beachwold-residential-sign-for-full-floors-at-257-park-avenue-south/</t>
        </is>
      </c>
      <c r="W214" t="inlineStr">
        <is>
          <t>2026-10-23</t>
        </is>
      </c>
      <c r="X214" t="inlineStr">
        <is>
          <t>office</t>
        </is>
      </c>
      <c r="Y214">
        <f>IF(EU214&lt;&gt;"Y","",COUNTIFS($EU$2:$EU$1000,"Y",$J$2:$J$1000,"&gt;"&amp;J214)+COUNTIFS($EU$2:$EU$1000,"Y",$J$2:$J$1000,J214,$EW$2:$EW$1000,"&lt;"&amp;EW214)+1)</f>
        <v/>
      </c>
      <c r="Z214" t="n">
        <v>213</v>
      </c>
      <c r="AA214" t="inlineStr">
        <is>
          <t>N</t>
        </is>
      </c>
      <c r="AD214" t="inlineStr">
        <is>
          <t>none</t>
        </is>
      </c>
      <c r="AH214" t="inlineStr">
        <is>
          <t>none</t>
        </is>
      </c>
      <c r="AI214" t="inlineStr">
        <is>
          <t>257 Park Avenue South</t>
        </is>
      </c>
      <c r="AJ214" t="inlineStr">
        <is>
          <t>13</t>
        </is>
      </c>
      <c r="AK214" t="inlineStr">
        <is>
          <t>occupancy-unconfirmed</t>
        </is>
      </c>
      <c r="AL214" t="inlineStr">
        <is>
          <t>unknown</t>
        </is>
      </c>
      <c r="AM214" t="inlineStr">
        <is>
          <t>unknown</t>
        </is>
      </c>
      <c r="AN214" t="inlineStr">
        <is>
          <t>none</t>
        </is>
      </c>
      <c r="AO214" t="inlineStr">
        <is>
          <t>unknown</t>
        </is>
      </c>
      <c r="AP214" t="inlineStr">
        <is>
          <t>AO-C-066</t>
        </is>
      </c>
      <c r="AQ214" t="inlineStr">
        <is>
          <t>N</t>
        </is>
      </c>
      <c r="AT214">
        <f>IF(AND(AX214="pass",AQ214&lt;&gt;"Y",C214&lt;&gt;"",OR(AW214&lt;&gt;"Y",AV214="Y")),"Y","N")</f>
        <v/>
      </c>
      <c r="AU214">
        <f>_xlfn.TEXTJOIN("; ",TRUE,IF(AX214&lt;&gt;"pass","gated out",""),IF(AQ214="Y","on hold: "&amp;AR214,""),IF(C214="","no contact named on an opened page",""),IF(AND(AW214="Y",AV214&lt;&gt;"Y"),"Tuesday estimate band "&amp;L214&amp;": founder's call",""))</f>
        <v/>
      </c>
      <c r="AW214" t="inlineStr">
        <is>
          <t>N</t>
        </is>
      </c>
      <c r="AX214" t="inlineStr">
        <is>
          <t>pass</t>
        </is>
      </c>
      <c r="AY214" t="inlineStr">
        <is>
          <t>passes all hard gates</t>
        </is>
      </c>
      <c r="AZ214" t="inlineStr">
        <is>
          <t>company</t>
        </is>
      </c>
      <c r="BA214" t="inlineStr">
        <is>
          <t>B-C-066</t>
        </is>
      </c>
      <c r="BB214" t="inlineStr">
        <is>
          <t>https://www.beachwold.com</t>
        </is>
      </c>
      <c r="BC214" t="inlineStr">
        <is>
          <t>real estate (multifamily owner/operator)</t>
        </is>
      </c>
      <c r="BD214" t="inlineStr">
        <is>
          <t>unknown</t>
        </is>
      </c>
      <c r="BF214" t="inlineStr">
        <is>
          <t>unknown</t>
        </is>
      </c>
      <c r="BG214" t="inlineStr">
        <is>
          <t>unknown</t>
        </is>
      </c>
      <c r="BH214" t="inlineStr">
        <is>
          <t>no-count</t>
        </is>
      </c>
      <c r="BK214" t="inlineStr">
        <is>
          <t>unknown</t>
        </is>
      </c>
      <c r="BL214" t="inlineStr">
        <is>
          <t>unknown</t>
        </is>
      </c>
      <c r="BM214" t="inlineStr">
        <is>
          <t>unknown</t>
        </is>
      </c>
      <c r="BN214" t="inlineStr">
        <is>
          <t>unknown</t>
        </is>
      </c>
      <c r="BO214" t="inlineStr">
        <is>
          <t>unknown</t>
        </is>
      </c>
      <c r="BP214" t="inlineStr">
        <is>
          <t>10010</t>
        </is>
      </c>
      <c r="BQ214" t="n">
        <v>40.738577</v>
      </c>
      <c r="BR214" t="n">
        <v>-73.987151</v>
      </c>
      <c r="BS214" t="inlineStr">
        <is>
          <t>Y</t>
        </is>
      </c>
      <c r="BT214" t="n">
        <v>0</v>
      </c>
      <c r="BU214" t="inlineStr">
        <is>
          <t>B-B-032</t>
        </is>
      </c>
      <c r="BV214" t="inlineStr">
        <is>
          <t>Gramercy Park Building (Feil Organization)</t>
        </is>
      </c>
      <c r="BW214" t="inlineStr">
        <is>
          <t>https://commercialobserver.com/2022/07/paul-smith-beachwold-residential-sign-for-full-floors-at-257-park-avenue-south/</t>
        </is>
      </c>
      <c r="BX214" t="inlineStr">
        <is>
          <t>2022-07-06</t>
        </is>
      </c>
      <c r="BY214" t="inlineStr">
        <is>
          <t>leasing-press</t>
        </is>
      </c>
      <c r="CC214" t="inlineStr">
        <is>
          <t>low</t>
        </is>
      </c>
      <c r="CE214" t="inlineStr">
        <is>
          <t>N</t>
        </is>
      </c>
      <c r="CH214" t="inlineStr">
        <is>
          <t>unknown</t>
        </is>
      </c>
      <c r="CJ214" t="inlineStr">
        <is>
          <t>unknown</t>
        </is>
      </c>
      <c r="CK214" t="inlineStr">
        <is>
          <t>N</t>
        </is>
      </c>
      <c r="CL214" t="inlineStr">
        <is>
          <t>unknown</t>
        </is>
      </c>
      <c r="CO214" t="inlineStr">
        <is>
          <t>unknown</t>
        </is>
      </c>
      <c r="CQ214" t="inlineStr">
        <is>
          <t>No sourced headcount, so no Tuesday estimate; ask the Tuesday count at intake.</t>
        </is>
      </c>
      <c r="CR214" t="inlineStr">
        <is>
          <t>estimate until intake replaces it</t>
        </is>
      </c>
      <c r="CS214" t="inlineStr">
        <is>
          <t>unknown</t>
        </is>
      </c>
      <c r="CT214" t="n">
        <v>26</v>
      </c>
      <c r="CU214" t="n">
        <v>7</v>
      </c>
      <c r="CV214" t="n">
        <v>8</v>
      </c>
      <c r="CW214" t="n">
        <v>6</v>
      </c>
      <c r="CX214" t="n">
        <v>5</v>
      </c>
      <c r="CY214">
        <f>IF(AH214="exact",10,IF(AH214="adjacent",5,0))</f>
        <v/>
      </c>
      <c r="CZ214">
        <f>IF(R214="Y",15,0)</f>
        <v/>
      </c>
      <c r="DF214" t="inlineStr">
        <is>
          <t>none</t>
        </is>
      </c>
      <c r="DG214" t="inlineStr">
        <is>
          <t>candidate</t>
        </is>
      </c>
      <c r="DJ214" t="inlineStr">
        <is>
          <t>12,637 sf</t>
        </is>
      </c>
      <c r="DK214" t="inlineStr">
        <is>
          <t>HQ move to the full 13th floor (12,637 sf) in 2022 from 192 Lexington Ave. Not re-confirmed (company contact page returned 404).</t>
        </is>
      </c>
      <c r="DS214" t="inlineStr">
        <is>
          <t>none</t>
        </is>
      </c>
      <c r="DX214" t="inlineStr">
        <is>
          <t>N</t>
        </is>
      </c>
      <c r="ER214">
        <f>IF(ISNUMBER(MATCH(U214,{"queued","contacted","replied","call_booked","call_done","yes_in_principle","materials_sent"},0)),"Y","N")</f>
        <v/>
      </c>
      <c r="ES214">
        <f>IF(COUNTIFS($AP$2:$AP$1000,AP214,$ER$2:$ER$1000,"Y")+COUNTIFS($AP$2:$AP$1000,AP214,$T$2:$T$1000,"Y")&gt;0,"Y","N")</f>
        <v/>
      </c>
      <c r="ET214">
        <f>IF(AND(U214="new",T214="N",AT214="Y",AS214="",ES214="N"),"Y","N")</f>
        <v/>
      </c>
      <c r="EU214">
        <f>IF(ET214&lt;&gt;"Y","N",IF(COUNTIFS($AP$2:$AP$1000,AP214,$ET$2:$ET$1000,"Y",$J$2:$J$1000,"&gt;"&amp;J214)+COUNTIFS($AP$2:$AP$1000,AP214,$ET$2:$ET$1000,"Y",$J$2:$J$1000,J214,$EW$2:$EW$1000,"&lt;"&amp;EW214)=0,"Y","N"))</f>
        <v/>
      </c>
      <c r="EV214">
        <f>IF(Y214="","N",IF(Y214&lt;=10,"Y","N"))</f>
        <v/>
      </c>
      <c r="EW214">
        <f>ROW()-1</f>
        <v/>
      </c>
    </row>
    <row r="215">
      <c r="A215" t="inlineStr">
        <is>
          <t>AO-C-164</t>
        </is>
      </c>
      <c r="B215" t="inlineStr">
        <is>
          <t>Biologique Recherche (US)</t>
        </is>
      </c>
      <c r="H215" t="inlineStr">
        <is>
          <t>none</t>
        </is>
      </c>
      <c r="I215" t="inlineStr">
        <is>
          <t>linkedin</t>
        </is>
      </c>
      <c r="J215">
        <f>IF(AX215="pass",ROUND(CU215+CV215+CW215+CX215+CY215+CZ215,1),0)</f>
        <v/>
      </c>
      <c r="K215" t="inlineStr">
        <is>
          <t>Tuesday headcount unknown (no sourced count), company size unknown, no attendance signal, occupancy-unconfirmed at a low-confidence address; contacts not researched yet (below the top 50).</t>
        </is>
      </c>
      <c r="L215" t="inlineStr">
        <is>
          <t>unknown</t>
        </is>
      </c>
      <c r="R215" t="inlineStr">
        <is>
          <t>N</t>
        </is>
      </c>
      <c r="S215" t="inlineStr">
        <is>
          <t>unknown</t>
        </is>
      </c>
      <c r="T215" t="inlineStr">
        <is>
          <t>N</t>
        </is>
      </c>
      <c r="U215" t="inlineStr">
        <is>
          <t>new</t>
        </is>
      </c>
      <c r="V215" t="inlineStr">
        <is>
          <t>https://commercialobserver.com/2023/01/beauty-pr-firm-french-skin-care-manufacturer-ink-deals-at-261-fifth-ave/</t>
        </is>
      </c>
      <c r="W215" t="inlineStr">
        <is>
          <t>2026-10-23</t>
        </is>
      </c>
      <c r="X215" t="inlineStr">
        <is>
          <t>office</t>
        </is>
      </c>
      <c r="Y215">
        <f>IF(EU215&lt;&gt;"Y","",COUNTIFS($EU$2:$EU$1000,"Y",$J$2:$J$1000,"&gt;"&amp;J215)+COUNTIFS($EU$2:$EU$1000,"Y",$J$2:$J$1000,J215,$EW$2:$EW$1000,"&lt;"&amp;EW215)+1)</f>
        <v/>
      </c>
      <c r="Z215" t="n">
        <v>214</v>
      </c>
      <c r="AA215" t="inlineStr">
        <is>
          <t>N</t>
        </is>
      </c>
      <c r="AD215" t="inlineStr">
        <is>
          <t>none</t>
        </is>
      </c>
      <c r="AH215" t="inlineStr">
        <is>
          <t>none</t>
        </is>
      </c>
      <c r="AI215" t="inlineStr">
        <is>
          <t>261 Fifth Avenue</t>
        </is>
      </c>
      <c r="AJ215" t="inlineStr">
        <is>
          <t>2</t>
        </is>
      </c>
      <c r="AK215" t="inlineStr">
        <is>
          <t>occupancy-unconfirmed</t>
        </is>
      </c>
      <c r="AL215" t="inlineStr">
        <is>
          <t>unknown</t>
        </is>
      </c>
      <c r="AM215" t="inlineStr">
        <is>
          <t>unknown</t>
        </is>
      </c>
      <c r="AN215" t="inlineStr">
        <is>
          <t>none</t>
        </is>
      </c>
      <c r="AO215" t="inlineStr">
        <is>
          <t>unknown</t>
        </is>
      </c>
      <c r="AP215" t="inlineStr">
        <is>
          <t>AO-C-164</t>
        </is>
      </c>
      <c r="AQ215" t="inlineStr">
        <is>
          <t>N</t>
        </is>
      </c>
      <c r="AT215">
        <f>IF(AND(AX215="pass",AQ215&lt;&gt;"Y",C215&lt;&gt;"",OR(AW215&lt;&gt;"Y",AV215="Y")),"Y","N")</f>
        <v/>
      </c>
      <c r="AU215">
        <f>_xlfn.TEXTJOIN("; ",TRUE,IF(AX215&lt;&gt;"pass","gated out",""),IF(AQ215="Y","on hold: "&amp;AR215,""),IF(C215="","no contact named on an opened page",""),IF(AND(AW215="Y",AV215&lt;&gt;"Y"),"Tuesday estimate band "&amp;L215&amp;": founder's call",""))</f>
        <v/>
      </c>
      <c r="AW215" t="inlineStr">
        <is>
          <t>N</t>
        </is>
      </c>
      <c r="AX215" t="inlineStr">
        <is>
          <t>pass</t>
        </is>
      </c>
      <c r="AY215" t="inlineStr">
        <is>
          <t>passes all hard gates</t>
        </is>
      </c>
      <c r="AZ215" t="inlineStr">
        <is>
          <t>company</t>
        </is>
      </c>
      <c r="BA215" t="inlineStr">
        <is>
          <t>B-C-164</t>
        </is>
      </c>
      <c r="BB215" t="inlineStr">
        <is>
          <t>unknown</t>
        </is>
      </c>
      <c r="BC215" t="inlineStr">
        <is>
          <t>skin care brand</t>
        </is>
      </c>
      <c r="BD215" t="inlineStr">
        <is>
          <t>unknown</t>
        </is>
      </c>
      <c r="BF215" t="inlineStr">
        <is>
          <t>unknown</t>
        </is>
      </c>
      <c r="BG215" t="inlineStr">
        <is>
          <t>unknown</t>
        </is>
      </c>
      <c r="BH215" t="inlineStr">
        <is>
          <t>no-count</t>
        </is>
      </c>
      <c r="BK215" t="inlineStr">
        <is>
          <t>unknown</t>
        </is>
      </c>
      <c r="BL215" t="inlineStr">
        <is>
          <t>unknown</t>
        </is>
      </c>
      <c r="BM215" t="inlineStr">
        <is>
          <t>unknown</t>
        </is>
      </c>
      <c r="BN215" t="inlineStr">
        <is>
          <t>unknown</t>
        </is>
      </c>
      <c r="BO215" t="inlineStr">
        <is>
          <t>unknown</t>
        </is>
      </c>
      <c r="BP215" t="inlineStr">
        <is>
          <t>10016</t>
        </is>
      </c>
      <c r="BQ215" t="n">
        <v>40.745027</v>
      </c>
      <c r="BR215" t="n">
        <v>-73.986825</v>
      </c>
      <c r="BS215" t="inlineStr">
        <is>
          <t>Y</t>
        </is>
      </c>
      <c r="BT215" t="n">
        <v>0</v>
      </c>
      <c r="BU215" t="inlineStr">
        <is>
          <t>B-B-077</t>
        </is>
      </c>
      <c r="BV215" t="inlineStr">
        <is>
          <t>261 Fifth Avenue (Feil Organization)</t>
        </is>
      </c>
      <c r="BW215" t="inlineStr">
        <is>
          <t>https://commercialobserver.com/2023/01/beauty-pr-firm-french-skin-care-manufacturer-ink-deals-at-261-fifth-ave/</t>
        </is>
      </c>
      <c r="BX215" t="inlineStr">
        <is>
          <t>2023-01-24</t>
        </is>
      </c>
      <c r="BY215" t="inlineStr">
        <is>
          <t>leasing-press</t>
        </is>
      </c>
      <c r="CC215" t="inlineStr">
        <is>
          <t>low</t>
        </is>
      </c>
      <c r="CE215" t="inlineStr">
        <is>
          <t>N</t>
        </is>
      </c>
      <c r="CH215" t="inlineStr">
        <is>
          <t>security desk</t>
        </is>
      </c>
      <c r="CI215" t="inlineStr">
        <is>
          <t>https://www.metro-manhattan.com/buildings/261-fifth-avenue-office-space-for-lease/</t>
        </is>
      </c>
      <c r="CJ215" t="inlineStr">
        <is>
          <t>unknown</t>
        </is>
      </c>
      <c r="CK215" t="inlineStr">
        <is>
          <t>N</t>
        </is>
      </c>
      <c r="CL215" t="inlineStr">
        <is>
          <t>unknown</t>
        </is>
      </c>
      <c r="CO215" t="inlineStr">
        <is>
          <t>unknown</t>
        </is>
      </c>
      <c r="CQ215" t="inlineStr">
        <is>
          <t>No sourced headcount, so no Tuesday estimate; ask the Tuesday count at intake.</t>
        </is>
      </c>
      <c r="CR215" t="inlineStr">
        <is>
          <t>estimate until intake replaces it</t>
        </is>
      </c>
      <c r="CS215" t="inlineStr">
        <is>
          <t>unknown</t>
        </is>
      </c>
      <c r="CT215" t="n">
        <v>26</v>
      </c>
      <c r="CU215" t="n">
        <v>7</v>
      </c>
      <c r="CV215" t="n">
        <v>8</v>
      </c>
      <c r="CW215" t="n">
        <v>6</v>
      </c>
      <c r="CX215" t="n">
        <v>5</v>
      </c>
      <c r="CY215">
        <f>IF(AH215="exact",10,IF(AH215="adjacent",5,0))</f>
        <v/>
      </c>
      <c r="CZ215">
        <f>IF(R215="Y",15,0)</f>
        <v/>
      </c>
      <c r="DF215" t="inlineStr">
        <is>
          <t>none</t>
        </is>
      </c>
      <c r="DG215" t="inlineStr">
        <is>
          <t>candidate</t>
        </is>
      </c>
      <c r="DJ215" t="inlineStr">
        <is>
          <t>6,290 sf</t>
        </is>
      </c>
      <c r="DK215" t="inlineStr">
        <is>
          <t>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is>
      </c>
      <c r="DS215" t="inlineStr">
        <is>
          <t>none</t>
        </is>
      </c>
      <c r="DX215" t="inlineStr">
        <is>
          <t>N</t>
        </is>
      </c>
      <c r="ER215">
        <f>IF(ISNUMBER(MATCH(U215,{"queued","contacted","replied","call_booked","call_done","yes_in_principle","materials_sent"},0)),"Y","N")</f>
        <v/>
      </c>
      <c r="ES215">
        <f>IF(COUNTIFS($AP$2:$AP$1000,AP215,$ER$2:$ER$1000,"Y")+COUNTIFS($AP$2:$AP$1000,AP215,$T$2:$T$1000,"Y")&gt;0,"Y","N")</f>
        <v/>
      </c>
      <c r="ET215">
        <f>IF(AND(U215="new",T215="N",AT215="Y",AS215="",ES215="N"),"Y","N")</f>
        <v/>
      </c>
      <c r="EU215">
        <f>IF(ET215&lt;&gt;"Y","N",IF(COUNTIFS($AP$2:$AP$1000,AP215,$ET$2:$ET$1000,"Y",$J$2:$J$1000,"&gt;"&amp;J215)+COUNTIFS($AP$2:$AP$1000,AP215,$ET$2:$ET$1000,"Y",$J$2:$J$1000,J215,$EW$2:$EW$1000,"&lt;"&amp;EW215)=0,"Y","N"))</f>
        <v/>
      </c>
      <c r="EV215">
        <f>IF(Y215="","N",IF(Y215&lt;=10,"Y","N"))</f>
        <v/>
      </c>
      <c r="EW215">
        <f>ROW()-1</f>
        <v/>
      </c>
    </row>
    <row r="216">
      <c r="A216" t="inlineStr">
        <is>
          <t>AO-C-146</t>
        </is>
      </c>
      <c r="B216" t="inlineStr">
        <is>
          <t>Caudalie (US headquarters)</t>
        </is>
      </c>
      <c r="H216" t="inlineStr">
        <is>
          <t>none</t>
        </is>
      </c>
      <c r="I216" t="inlineStr">
        <is>
          <t>linkedin</t>
        </is>
      </c>
      <c r="J216">
        <f>IF(AX216="pass",ROUND(CU216+CV216+CW216+CX216+CY216+CZ216,1),0)</f>
        <v/>
      </c>
      <c r="K216" t="inlineStr">
        <is>
          <t>Tuesday headcount unknown (no sourced count), company size unknown, no attendance signal, occupancy-unconfirmed at a low-confidence address; contacts not researched yet (below the top 50).</t>
        </is>
      </c>
      <c r="L216" t="inlineStr">
        <is>
          <t>unknown</t>
        </is>
      </c>
      <c r="R216" t="inlineStr">
        <is>
          <t>N</t>
        </is>
      </c>
      <c r="S216" t="inlineStr">
        <is>
          <t>unknown</t>
        </is>
      </c>
      <c r="T216" t="inlineStr">
        <is>
          <t>N</t>
        </is>
      </c>
      <c r="U216" t="inlineStr">
        <is>
          <t>new</t>
        </is>
      </c>
      <c r="V216" t="inlineStr">
        <is>
          <t>https://commercialobserver.com/2024/01/skin-care-brand-caudalie-signs-14k-sf-lease-at-381-park-avenue-south/</t>
        </is>
      </c>
      <c r="W216" t="inlineStr">
        <is>
          <t>2026-10-23</t>
        </is>
      </c>
      <c r="X216" t="inlineStr">
        <is>
          <t>office</t>
        </is>
      </c>
      <c r="Y216">
        <f>IF(EU216&lt;&gt;"Y","",COUNTIFS($EU$2:$EU$1000,"Y",$J$2:$J$1000,"&gt;"&amp;J216)+COUNTIFS($EU$2:$EU$1000,"Y",$J$2:$J$1000,J216,$EW$2:$EW$1000,"&lt;"&amp;EW216)+1)</f>
        <v/>
      </c>
      <c r="Z216" t="n">
        <v>215</v>
      </c>
      <c r="AA216" t="inlineStr">
        <is>
          <t>N</t>
        </is>
      </c>
      <c r="AD216" t="inlineStr">
        <is>
          <t>none</t>
        </is>
      </c>
      <c r="AH216" t="inlineStr">
        <is>
          <t>none</t>
        </is>
      </c>
      <c r="AI216" t="inlineStr">
        <is>
          <t>381 Park Avenue South</t>
        </is>
      </c>
      <c r="AJ216" t="inlineStr">
        <is>
          <t>unknown</t>
        </is>
      </c>
      <c r="AK216" t="inlineStr">
        <is>
          <t>occupancy-unconfirmed</t>
        </is>
      </c>
      <c r="AL216" t="inlineStr">
        <is>
          <t>unknown</t>
        </is>
      </c>
      <c r="AM216" t="inlineStr">
        <is>
          <t>unknown</t>
        </is>
      </c>
      <c r="AN216" t="inlineStr">
        <is>
          <t>none</t>
        </is>
      </c>
      <c r="AO216" t="inlineStr">
        <is>
          <t>unknown</t>
        </is>
      </c>
      <c r="AP216" t="inlineStr">
        <is>
          <t>AO-C-146</t>
        </is>
      </c>
      <c r="AQ216" t="inlineStr">
        <is>
          <t>N</t>
        </is>
      </c>
      <c r="AT216">
        <f>IF(AND(AX216="pass",AQ216&lt;&gt;"Y",C216&lt;&gt;"",OR(AW216&lt;&gt;"Y",AV216="Y")),"Y","N")</f>
        <v/>
      </c>
      <c r="AU216">
        <f>_xlfn.TEXTJOIN("; ",TRUE,IF(AX216&lt;&gt;"pass","gated out",""),IF(AQ216="Y","on hold: "&amp;AR216,""),IF(C216="","no contact named on an opened page",""),IF(AND(AW216="Y",AV216&lt;&gt;"Y"),"Tuesday estimate band "&amp;L216&amp;": founder's call",""))</f>
        <v/>
      </c>
      <c r="AW216" t="inlineStr">
        <is>
          <t>N</t>
        </is>
      </c>
      <c r="AX216" t="inlineStr">
        <is>
          <t>pass</t>
        </is>
      </c>
      <c r="AY216" t="inlineStr">
        <is>
          <t>passes all hard gates</t>
        </is>
      </c>
      <c r="AZ216" t="inlineStr">
        <is>
          <t>company</t>
        </is>
      </c>
      <c r="BA216" t="inlineStr">
        <is>
          <t>B-C-146</t>
        </is>
      </c>
      <c r="BB216" t="inlineStr">
        <is>
          <t>https://us.caudalie.com</t>
        </is>
      </c>
      <c r="BC216" t="inlineStr">
        <is>
          <t>skin care brand</t>
        </is>
      </c>
      <c r="BD216" t="inlineStr">
        <is>
          <t>unknown</t>
        </is>
      </c>
      <c r="BF216" t="inlineStr">
        <is>
          <t>unknown</t>
        </is>
      </c>
      <c r="BG216" t="inlineStr">
        <is>
          <t>unknown</t>
        </is>
      </c>
      <c r="BH216" t="inlineStr">
        <is>
          <t>no-count</t>
        </is>
      </c>
      <c r="BK216" t="inlineStr">
        <is>
          <t>unknown</t>
        </is>
      </c>
      <c r="BL216" t="inlineStr">
        <is>
          <t>unknown</t>
        </is>
      </c>
      <c r="BM216" t="inlineStr">
        <is>
          <t>unknown</t>
        </is>
      </c>
      <c r="BN216" t="inlineStr">
        <is>
          <t>unknown</t>
        </is>
      </c>
      <c r="BO216" t="inlineStr">
        <is>
          <t>unknown</t>
        </is>
      </c>
      <c r="BP216" t="inlineStr">
        <is>
          <t>10016</t>
        </is>
      </c>
      <c r="BQ216" t="n">
        <v>40.7425</v>
      </c>
      <c r="BR216" t="n">
        <v>-73.98444600000001</v>
      </c>
      <c r="BS216" t="inlineStr">
        <is>
          <t>Y</t>
        </is>
      </c>
      <c r="BT216" t="n">
        <v>0</v>
      </c>
      <c r="BU216" t="inlineStr">
        <is>
          <t>B-B-068</t>
        </is>
      </c>
      <c r="BV216" t="inlineStr">
        <is>
          <t>381 Park Avenue South (Olmstead Properties and Vertex)</t>
        </is>
      </c>
      <c r="BW216" t="inlineStr">
        <is>
          <t>https://commercialobserver.com/2024/01/skin-care-brand-caudalie-signs-14k-sf-lease-at-381-park-avenue-south/</t>
        </is>
      </c>
      <c r="BX216" t="inlineStr">
        <is>
          <t>2024-01-11</t>
        </is>
      </c>
      <c r="BY216" t="inlineStr">
        <is>
          <t>leasing-press</t>
        </is>
      </c>
      <c r="CC216" t="inlineStr">
        <is>
          <t>low</t>
        </is>
      </c>
      <c r="CE216" t="inlineStr">
        <is>
          <t>N</t>
        </is>
      </c>
      <c r="CH216" t="inlineStr">
        <is>
          <t>unknown</t>
        </is>
      </c>
      <c r="CJ216" t="inlineStr">
        <is>
          <t>unknown</t>
        </is>
      </c>
      <c r="CK216" t="inlineStr">
        <is>
          <t>N</t>
        </is>
      </c>
      <c r="CL216" t="inlineStr">
        <is>
          <t>unknown</t>
        </is>
      </c>
      <c r="CO216" t="inlineStr">
        <is>
          <t>unknown</t>
        </is>
      </c>
      <c r="CQ216" t="inlineStr">
        <is>
          <t>No sourced headcount, so no Tuesday estimate; ask the Tuesday count at intake.</t>
        </is>
      </c>
      <c r="CR216" t="inlineStr">
        <is>
          <t>estimate until intake replaces it</t>
        </is>
      </c>
      <c r="CS216" t="inlineStr">
        <is>
          <t>unknown</t>
        </is>
      </c>
      <c r="CT216" t="n">
        <v>26</v>
      </c>
      <c r="CU216" t="n">
        <v>7</v>
      </c>
      <c r="CV216" t="n">
        <v>8</v>
      </c>
      <c r="CW216" t="n">
        <v>6</v>
      </c>
      <c r="CX216" t="n">
        <v>5</v>
      </c>
      <c r="CY216">
        <f>IF(AH216="exact",10,IF(AH216="adjacent",5,0))</f>
        <v/>
      </c>
      <c r="CZ216">
        <f>IF(R216="Y",15,0)</f>
        <v/>
      </c>
      <c r="DF216" t="inlineStr">
        <is>
          <t>none</t>
        </is>
      </c>
      <c r="DG216" t="inlineStr">
        <is>
          <t>candidate</t>
        </is>
      </c>
      <c r="DJ216" t="inlineStr">
        <is>
          <t>14,000 sf</t>
        </is>
      </c>
      <c r="DK216" t="inlineStr">
        <is>
          <t>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S216" t="inlineStr">
        <is>
          <t>none</t>
        </is>
      </c>
      <c r="DX216" t="inlineStr">
        <is>
          <t>N</t>
        </is>
      </c>
      <c r="ER216">
        <f>IF(ISNUMBER(MATCH(U216,{"queued","contacted","replied","call_booked","call_done","yes_in_principle","materials_sent"},0)),"Y","N")</f>
        <v/>
      </c>
      <c r="ES216">
        <f>IF(COUNTIFS($AP$2:$AP$1000,AP216,$ER$2:$ER$1000,"Y")+COUNTIFS($AP$2:$AP$1000,AP216,$T$2:$T$1000,"Y")&gt;0,"Y","N")</f>
        <v/>
      </c>
      <c r="ET216">
        <f>IF(AND(U216="new",T216="N",AT216="Y",AS216="",ES216="N"),"Y","N")</f>
        <v/>
      </c>
      <c r="EU216">
        <f>IF(ET216&lt;&gt;"Y","N",IF(COUNTIFS($AP$2:$AP$1000,AP216,$ET$2:$ET$1000,"Y",$J$2:$J$1000,"&gt;"&amp;J216)+COUNTIFS($AP$2:$AP$1000,AP216,$ET$2:$ET$1000,"Y",$J$2:$J$1000,J216,$EW$2:$EW$1000,"&lt;"&amp;EW216)=0,"Y","N"))</f>
        <v/>
      </c>
      <c r="EV216">
        <f>IF(Y216="","N",IF(Y216&lt;=10,"Y","N"))</f>
        <v/>
      </c>
      <c r="EW216">
        <f>ROW()-1</f>
        <v/>
      </c>
    </row>
    <row r="217">
      <c r="A217" t="inlineStr">
        <is>
          <t>AO-C-113</t>
        </is>
      </c>
      <c r="B217" t="inlineStr">
        <is>
          <t>Clarick Gueron Reisbaum</t>
        </is>
      </c>
      <c r="H217" t="inlineStr">
        <is>
          <t>none</t>
        </is>
      </c>
      <c r="I217" t="inlineStr">
        <is>
          <t>linkedin</t>
        </is>
      </c>
      <c r="J217">
        <f>IF(AX217="pass",ROUND(CU217+CV217+CW217+CX217+CY217+CZ217,1),0)</f>
        <v/>
      </c>
      <c r="K217" t="inlineStr">
        <is>
          <t>Tuesday headcount unknown (no sourced count), company size unknown, no attendance signal, occupancy-unconfirmed at a low-confidence address; contacts not researched yet (below the top 50).</t>
        </is>
      </c>
      <c r="L217" t="inlineStr">
        <is>
          <t>unknown</t>
        </is>
      </c>
      <c r="R217" t="inlineStr">
        <is>
          <t>N</t>
        </is>
      </c>
      <c r="S217" t="inlineStr">
        <is>
          <t>unknown</t>
        </is>
      </c>
      <c r="T217" t="inlineStr">
        <is>
          <t>N</t>
        </is>
      </c>
      <c r="U217" t="inlineStr">
        <is>
          <t>new</t>
        </is>
      </c>
      <c r="V217" t="inlineStr">
        <is>
          <t>https://commercialobserver.com/2024/06/law-firm-clarick-gueron-reisbaum-signs-13k-sf-lease-at-rudins-41-madison-avenue/</t>
        </is>
      </c>
      <c r="W217" t="inlineStr">
        <is>
          <t>2026-10-23</t>
        </is>
      </c>
      <c r="X217" t="inlineStr">
        <is>
          <t>office</t>
        </is>
      </c>
      <c r="Y217">
        <f>IF(EU217&lt;&gt;"Y","",COUNTIFS($EU$2:$EU$1000,"Y",$J$2:$J$1000,"&gt;"&amp;J217)+COUNTIFS($EU$2:$EU$1000,"Y",$J$2:$J$1000,J217,$EW$2:$EW$1000,"&lt;"&amp;EW217)+1)</f>
        <v/>
      </c>
      <c r="Z217" t="n">
        <v>216</v>
      </c>
      <c r="AA217" t="inlineStr">
        <is>
          <t>N</t>
        </is>
      </c>
      <c r="AD217" t="inlineStr">
        <is>
          <t>none</t>
        </is>
      </c>
      <c r="AH217" t="inlineStr">
        <is>
          <t>none</t>
        </is>
      </c>
      <c r="AI217" t="inlineStr">
        <is>
          <t>41 Madison Avenue</t>
        </is>
      </c>
      <c r="AJ217" t="inlineStr">
        <is>
          <t>23</t>
        </is>
      </c>
      <c r="AK217" t="inlineStr">
        <is>
          <t>occupancy-unconfirmed</t>
        </is>
      </c>
      <c r="AL217" t="inlineStr">
        <is>
          <t>unknown</t>
        </is>
      </c>
      <c r="AM217" t="inlineStr">
        <is>
          <t>unknown</t>
        </is>
      </c>
      <c r="AN217" t="inlineStr">
        <is>
          <t>none</t>
        </is>
      </c>
      <c r="AO217" t="inlineStr">
        <is>
          <t>unknown</t>
        </is>
      </c>
      <c r="AP217" t="inlineStr">
        <is>
          <t>AO-C-113</t>
        </is>
      </c>
      <c r="AQ217" t="inlineStr">
        <is>
          <t>N</t>
        </is>
      </c>
      <c r="AT217">
        <f>IF(AND(AX217="pass",AQ217&lt;&gt;"Y",C217&lt;&gt;"",OR(AW217&lt;&gt;"Y",AV217="Y")),"Y","N")</f>
        <v/>
      </c>
      <c r="AU217">
        <f>_xlfn.TEXTJOIN("; ",TRUE,IF(AX217&lt;&gt;"pass","gated out",""),IF(AQ217="Y","on hold: "&amp;AR217,""),IF(C217="","no contact named on an opened page",""),IF(AND(AW217="Y",AV217&lt;&gt;"Y"),"Tuesday estimate band "&amp;L217&amp;": founder's call",""))</f>
        <v/>
      </c>
      <c r="AW217" t="inlineStr">
        <is>
          <t>N</t>
        </is>
      </c>
      <c r="AX217" t="inlineStr">
        <is>
          <t>pass</t>
        </is>
      </c>
      <c r="AY217" t="inlineStr">
        <is>
          <t>passes all hard gates</t>
        </is>
      </c>
      <c r="AZ217" t="inlineStr">
        <is>
          <t>company</t>
        </is>
      </c>
      <c r="BA217" t="inlineStr">
        <is>
          <t>B-C-113</t>
        </is>
      </c>
      <c r="BB217" t="inlineStr">
        <is>
          <t>unknown</t>
        </is>
      </c>
      <c r="BC217" t="inlineStr">
        <is>
          <t>law firm (commercial litigation)</t>
        </is>
      </c>
      <c r="BD217" t="inlineStr">
        <is>
          <t>unknown</t>
        </is>
      </c>
      <c r="BF217" t="inlineStr">
        <is>
          <t>unknown</t>
        </is>
      </c>
      <c r="BG217" t="inlineStr">
        <is>
          <t>unknown</t>
        </is>
      </c>
      <c r="BH217" t="inlineStr">
        <is>
          <t>no-count</t>
        </is>
      </c>
      <c r="BK217" t="inlineStr">
        <is>
          <t>unknown</t>
        </is>
      </c>
      <c r="BL217" t="inlineStr">
        <is>
          <t>unknown</t>
        </is>
      </c>
      <c r="BM217" t="inlineStr">
        <is>
          <t>unknown</t>
        </is>
      </c>
      <c r="BN217" t="inlineStr">
        <is>
          <t>unknown</t>
        </is>
      </c>
      <c r="BO217" t="inlineStr">
        <is>
          <t>unknown</t>
        </is>
      </c>
      <c r="BP217" t="inlineStr">
        <is>
          <t>10010</t>
        </is>
      </c>
      <c r="BQ217" t="n">
        <v>40.742477</v>
      </c>
      <c r="BR217" t="n">
        <v>-73.986608</v>
      </c>
      <c r="BS217" t="inlineStr">
        <is>
          <t>Y</t>
        </is>
      </c>
      <c r="BT217" t="n">
        <v>0</v>
      </c>
      <c r="BU217" t="inlineStr">
        <is>
          <t>B-B-057</t>
        </is>
      </c>
      <c r="BV217" t="inlineStr">
        <is>
          <t>41 Madison Avenue (Rudin)</t>
        </is>
      </c>
      <c r="BW217" t="inlineStr">
        <is>
          <t>https://commercialobserver.com/2024/06/law-firm-clarick-gueron-reisbaum-signs-13k-sf-lease-at-rudins-41-madison-avenue/</t>
        </is>
      </c>
      <c r="BX217" t="inlineStr">
        <is>
          <t>2024-06-24</t>
        </is>
      </c>
      <c r="BY217" t="inlineStr">
        <is>
          <t>leasing-press</t>
        </is>
      </c>
      <c r="CC217" t="inlineStr">
        <is>
          <t>low</t>
        </is>
      </c>
      <c r="CE217" t="inlineStr">
        <is>
          <t>N</t>
        </is>
      </c>
      <c r="CH217" t="inlineStr">
        <is>
          <t>security desk</t>
        </is>
      </c>
      <c r="CI217" t="inlineStr">
        <is>
          <t>https://www.metro-manhattan.com/buildings/41-madison-avenue-forty-one-madison-office-space/</t>
        </is>
      </c>
      <c r="CJ217" t="inlineStr">
        <is>
          <t>unknown</t>
        </is>
      </c>
      <c r="CK217" t="inlineStr">
        <is>
          <t>N</t>
        </is>
      </c>
      <c r="CL217" t="inlineStr">
        <is>
          <t>unknown</t>
        </is>
      </c>
      <c r="CO217" t="inlineStr">
        <is>
          <t>unknown</t>
        </is>
      </c>
      <c r="CQ217" t="inlineStr">
        <is>
          <t>No sourced headcount, so no Tuesday estimate; ask the Tuesday count at intake.</t>
        </is>
      </c>
      <c r="CR217" t="inlineStr">
        <is>
          <t>estimate until intake replaces it</t>
        </is>
      </c>
      <c r="CS217" t="inlineStr">
        <is>
          <t>unknown</t>
        </is>
      </c>
      <c r="CT217" t="n">
        <v>26</v>
      </c>
      <c r="CU217" t="n">
        <v>7</v>
      </c>
      <c r="CV217" t="n">
        <v>8</v>
      </c>
      <c r="CW217" t="n">
        <v>6</v>
      </c>
      <c r="CX217" t="n">
        <v>5</v>
      </c>
      <c r="CY217">
        <f>IF(AH217="exact",10,IF(AH217="adjacent",5,0))</f>
        <v/>
      </c>
      <c r="CZ217">
        <f>IF(R217="Y",15,0)</f>
        <v/>
      </c>
      <c r="DF217" t="inlineStr">
        <is>
          <t>none</t>
        </is>
      </c>
      <c r="DG217" t="inlineStr">
        <is>
          <t>candidate</t>
        </is>
      </c>
      <c r="DJ217" t="inlineStr">
        <is>
          <t>13,394 sf</t>
        </is>
      </c>
      <c r="DK217" t="inlineStr">
        <is>
          <t>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is>
      </c>
      <c r="DS217" t="inlineStr">
        <is>
          <t>none</t>
        </is>
      </c>
      <c r="DX217" t="inlineStr">
        <is>
          <t>N</t>
        </is>
      </c>
      <c r="ER217">
        <f>IF(ISNUMBER(MATCH(U217,{"queued","contacted","replied","call_booked","call_done","yes_in_principle","materials_sent"},0)),"Y","N")</f>
        <v/>
      </c>
      <c r="ES217">
        <f>IF(COUNTIFS($AP$2:$AP$1000,AP217,$ER$2:$ER$1000,"Y")+COUNTIFS($AP$2:$AP$1000,AP217,$T$2:$T$1000,"Y")&gt;0,"Y","N")</f>
        <v/>
      </c>
      <c r="ET217">
        <f>IF(AND(U217="new",T217="N",AT217="Y",AS217="",ES217="N"),"Y","N")</f>
        <v/>
      </c>
      <c r="EU217">
        <f>IF(ET217&lt;&gt;"Y","N",IF(COUNTIFS($AP$2:$AP$1000,AP217,$ET$2:$ET$1000,"Y",$J$2:$J$1000,"&gt;"&amp;J217)+COUNTIFS($AP$2:$AP$1000,AP217,$ET$2:$ET$1000,"Y",$J$2:$J$1000,J217,$EW$2:$EW$1000,"&lt;"&amp;EW217)=0,"Y","N"))</f>
        <v/>
      </c>
      <c r="EV217">
        <f>IF(Y217="","N",IF(Y217&lt;=10,"Y","N"))</f>
        <v/>
      </c>
      <c r="EW217">
        <f>ROW()-1</f>
        <v/>
      </c>
    </row>
    <row r="218">
      <c r="A218" t="inlineStr">
        <is>
          <t>AO-C-147</t>
        </is>
      </c>
      <c r="B218" t="inlineStr">
        <is>
          <t>Eton (US office and showroom)</t>
        </is>
      </c>
      <c r="H218" t="inlineStr">
        <is>
          <t>none</t>
        </is>
      </c>
      <c r="I218" t="inlineStr">
        <is>
          <t>linkedin</t>
        </is>
      </c>
      <c r="J218">
        <f>IF(AX218="pass",ROUND(CU218+CV218+CW218+CX218+CY218+CZ218,1),0)</f>
        <v/>
      </c>
      <c r="K218" t="inlineStr">
        <is>
          <t>Tuesday headcount unknown (no sourced count), company size unknown, no attendance signal, occupancy-unconfirmed at a low-confidence address; contacts not researched yet (below the top 50).</t>
        </is>
      </c>
      <c r="L218" t="inlineStr">
        <is>
          <t>unknown</t>
        </is>
      </c>
      <c r="R218" t="inlineStr">
        <is>
          <t>N</t>
        </is>
      </c>
      <c r="S218" t="inlineStr">
        <is>
          <t>unknown</t>
        </is>
      </c>
      <c r="T218" t="inlineStr">
        <is>
          <t>N</t>
        </is>
      </c>
      <c r="U218" t="inlineStr">
        <is>
          <t>new</t>
        </is>
      </c>
      <c r="V218" t="inlineStr">
        <is>
          <t>https://commercialobserver.com/2024/03/mens-clothing-company-eton-signs-5k-sf-lease-at-381-park-avenue-south/</t>
        </is>
      </c>
      <c r="W218" t="inlineStr">
        <is>
          <t>2026-10-23</t>
        </is>
      </c>
      <c r="X218" t="inlineStr">
        <is>
          <t>office</t>
        </is>
      </c>
      <c r="Y218">
        <f>IF(EU218&lt;&gt;"Y","",COUNTIFS($EU$2:$EU$1000,"Y",$J$2:$J$1000,"&gt;"&amp;J218)+COUNTIFS($EU$2:$EU$1000,"Y",$J$2:$J$1000,J218,$EW$2:$EW$1000,"&lt;"&amp;EW218)+1)</f>
        <v/>
      </c>
      <c r="Z218" t="n">
        <v>217</v>
      </c>
      <c r="AA218" t="inlineStr">
        <is>
          <t>N</t>
        </is>
      </c>
      <c r="AD218" t="inlineStr">
        <is>
          <t>none</t>
        </is>
      </c>
      <c r="AH218" t="inlineStr">
        <is>
          <t>none</t>
        </is>
      </c>
      <c r="AI218" t="inlineStr">
        <is>
          <t>381 Park Avenue South</t>
        </is>
      </c>
      <c r="AJ218" t="inlineStr">
        <is>
          <t>unknown</t>
        </is>
      </c>
      <c r="AK218" t="inlineStr">
        <is>
          <t>occupancy-unconfirmed</t>
        </is>
      </c>
      <c r="AL218" t="inlineStr">
        <is>
          <t>unknown</t>
        </is>
      </c>
      <c r="AM218" t="inlineStr">
        <is>
          <t>unknown</t>
        </is>
      </c>
      <c r="AN218" t="inlineStr">
        <is>
          <t>none</t>
        </is>
      </c>
      <c r="AO218" t="inlineStr">
        <is>
          <t>unknown</t>
        </is>
      </c>
      <c r="AP218" t="inlineStr">
        <is>
          <t>AO-C-147</t>
        </is>
      </c>
      <c r="AQ218" t="inlineStr">
        <is>
          <t>N</t>
        </is>
      </c>
      <c r="AT218">
        <f>IF(AND(AX218="pass",AQ218&lt;&gt;"Y",C218&lt;&gt;"",OR(AW218&lt;&gt;"Y",AV218="Y")),"Y","N")</f>
        <v/>
      </c>
      <c r="AU218">
        <f>_xlfn.TEXTJOIN("; ",TRUE,IF(AX218&lt;&gt;"pass","gated out",""),IF(AQ218="Y","on hold: "&amp;AR218,""),IF(C218="","no contact named on an opened page",""),IF(AND(AW218="Y",AV218&lt;&gt;"Y"),"Tuesday estimate band "&amp;L218&amp;": founder's call",""))</f>
        <v/>
      </c>
      <c r="AW218" t="inlineStr">
        <is>
          <t>N</t>
        </is>
      </c>
      <c r="AX218" t="inlineStr">
        <is>
          <t>pass</t>
        </is>
      </c>
      <c r="AY218" t="inlineStr">
        <is>
          <t>passes all hard gates</t>
        </is>
      </c>
      <c r="AZ218" t="inlineStr">
        <is>
          <t>company</t>
        </is>
      </c>
      <c r="BA218" t="inlineStr">
        <is>
          <t>B-C-147</t>
        </is>
      </c>
      <c r="BB218" t="inlineStr">
        <is>
          <t>https://www.etonshirts.com</t>
        </is>
      </c>
      <c r="BC218" t="inlineStr">
        <is>
          <t>menswear brand</t>
        </is>
      </c>
      <c r="BD218" t="inlineStr">
        <is>
          <t>unknown</t>
        </is>
      </c>
      <c r="BF218" t="inlineStr">
        <is>
          <t>unknown</t>
        </is>
      </c>
      <c r="BG218" t="inlineStr">
        <is>
          <t>unknown</t>
        </is>
      </c>
      <c r="BH218" t="inlineStr">
        <is>
          <t>no-count</t>
        </is>
      </c>
      <c r="BK218" t="inlineStr">
        <is>
          <t>unknown</t>
        </is>
      </c>
      <c r="BL218" t="inlineStr">
        <is>
          <t>unknown</t>
        </is>
      </c>
      <c r="BM218" t="inlineStr">
        <is>
          <t>unknown</t>
        </is>
      </c>
      <c r="BN218" t="inlineStr">
        <is>
          <t>unknown</t>
        </is>
      </c>
      <c r="BO218" t="inlineStr">
        <is>
          <t>unknown</t>
        </is>
      </c>
      <c r="BP218" t="inlineStr">
        <is>
          <t>10016</t>
        </is>
      </c>
      <c r="BQ218" t="n">
        <v>40.7425</v>
      </c>
      <c r="BR218" t="n">
        <v>-73.98444600000001</v>
      </c>
      <c r="BS218" t="inlineStr">
        <is>
          <t>Y</t>
        </is>
      </c>
      <c r="BT218" t="n">
        <v>0</v>
      </c>
      <c r="BU218" t="inlineStr">
        <is>
          <t>B-B-068</t>
        </is>
      </c>
      <c r="BV218" t="inlineStr">
        <is>
          <t>381 Park Avenue South (Olmstead Properties and Vertex)</t>
        </is>
      </c>
      <c r="BW218" t="inlineStr">
        <is>
          <t>https://commercialobserver.com/2024/03/mens-clothing-company-eton-signs-5k-sf-lease-at-381-park-avenue-south/</t>
        </is>
      </c>
      <c r="BX218" t="inlineStr">
        <is>
          <t>2024-03-20</t>
        </is>
      </c>
      <c r="BY218" t="inlineStr">
        <is>
          <t>leasing-press</t>
        </is>
      </c>
      <c r="CC218" t="inlineStr">
        <is>
          <t>low</t>
        </is>
      </c>
      <c r="CE218" t="inlineStr">
        <is>
          <t>N</t>
        </is>
      </c>
      <c r="CH218" t="inlineStr">
        <is>
          <t>unknown</t>
        </is>
      </c>
      <c r="CJ218" t="inlineStr">
        <is>
          <t>unknown</t>
        </is>
      </c>
      <c r="CK218" t="inlineStr">
        <is>
          <t>N</t>
        </is>
      </c>
      <c r="CL218" t="inlineStr">
        <is>
          <t>unknown</t>
        </is>
      </c>
      <c r="CO218" t="inlineStr">
        <is>
          <t>unknown</t>
        </is>
      </c>
      <c r="CQ218" t="inlineStr">
        <is>
          <t>No sourced headcount, so no Tuesday estimate; ask the Tuesday count at intake.</t>
        </is>
      </c>
      <c r="CR218" t="inlineStr">
        <is>
          <t>estimate until intake replaces it</t>
        </is>
      </c>
      <c r="CS218" t="inlineStr">
        <is>
          <t>unknown</t>
        </is>
      </c>
      <c r="CT218" t="n">
        <v>26</v>
      </c>
      <c r="CU218" t="n">
        <v>7</v>
      </c>
      <c r="CV218" t="n">
        <v>8</v>
      </c>
      <c r="CW218" t="n">
        <v>6</v>
      </c>
      <c r="CX218" t="n">
        <v>5</v>
      </c>
      <c r="CY218">
        <f>IF(AH218="exact",10,IF(AH218="adjacent",5,0))</f>
        <v/>
      </c>
      <c r="CZ218">
        <f>IF(R218="Y",15,0)</f>
        <v/>
      </c>
      <c r="DF218" t="inlineStr">
        <is>
          <t>none</t>
        </is>
      </c>
      <c r="DG218" t="inlineStr">
        <is>
          <t>candidate</t>
        </is>
      </c>
      <c r="DJ218" t="inlineStr">
        <is>
          <t>5,000 sf</t>
        </is>
      </c>
      <c r="DK218" t="inlineStr">
        <is>
          <t>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S218" t="inlineStr">
        <is>
          <t>none</t>
        </is>
      </c>
      <c r="DX218" t="inlineStr">
        <is>
          <t>N</t>
        </is>
      </c>
      <c r="ER218">
        <f>IF(ISNUMBER(MATCH(U218,{"queued","contacted","replied","call_booked","call_done","yes_in_principle","materials_sent"},0)),"Y","N")</f>
        <v/>
      </c>
      <c r="ES218">
        <f>IF(COUNTIFS($AP$2:$AP$1000,AP218,$ER$2:$ER$1000,"Y")+COUNTIFS($AP$2:$AP$1000,AP218,$T$2:$T$1000,"Y")&gt;0,"Y","N")</f>
        <v/>
      </c>
      <c r="ET218">
        <f>IF(AND(U218="new",T218="N",AT218="Y",AS218="",ES218="N"),"Y","N")</f>
        <v/>
      </c>
      <c r="EU218">
        <f>IF(ET218&lt;&gt;"Y","N",IF(COUNTIFS($AP$2:$AP$1000,AP218,$ET$2:$ET$1000,"Y",$J$2:$J$1000,"&gt;"&amp;J218)+COUNTIFS($AP$2:$AP$1000,AP218,$ET$2:$ET$1000,"Y",$J$2:$J$1000,J218,$EW$2:$EW$1000,"&lt;"&amp;EW218)=0,"Y","N"))</f>
        <v/>
      </c>
      <c r="EV218">
        <f>IF(Y218="","N",IF(Y218&lt;=10,"Y","N"))</f>
        <v/>
      </c>
      <c r="EW218">
        <f>ROW()-1</f>
        <v/>
      </c>
    </row>
    <row r="219">
      <c r="A219" t="inlineStr">
        <is>
          <t>AO-C-126</t>
        </is>
      </c>
      <c r="B219" t="inlineStr">
        <is>
          <t>Idesco</t>
        </is>
      </c>
      <c r="H219" t="inlineStr">
        <is>
          <t>none</t>
        </is>
      </c>
      <c r="I219" t="inlineStr">
        <is>
          <t>linkedin</t>
        </is>
      </c>
      <c r="J219">
        <f>IF(AX219="pass",ROUND(CU219+CV219+CW219+CX219+CY219+CZ219,1),0)</f>
        <v/>
      </c>
      <c r="K219" t="inlineStr">
        <is>
          <t>Tuesday headcount unknown (no sourced count), company size unknown, no attendance signal, occupancy-unconfirmed at a low-confidence address; contacts not researched yet (below the top 50).</t>
        </is>
      </c>
      <c r="L219" t="inlineStr">
        <is>
          <t>unknown</t>
        </is>
      </c>
      <c r="R219" t="inlineStr">
        <is>
          <t>N</t>
        </is>
      </c>
      <c r="S219" t="inlineStr">
        <is>
          <t>unknown</t>
        </is>
      </c>
      <c r="T219" t="inlineStr">
        <is>
          <t>N</t>
        </is>
      </c>
      <c r="U219" t="inlineStr">
        <is>
          <t>new</t>
        </is>
      </c>
      <c r="V219" t="inlineStr">
        <is>
          <t>https://commercialobserver.com/2023/10/idesco-renewal-37-west-26th-street/</t>
        </is>
      </c>
      <c r="W219" t="inlineStr">
        <is>
          <t>2026-10-23</t>
        </is>
      </c>
      <c r="X219" t="inlineStr">
        <is>
          <t>office</t>
        </is>
      </c>
      <c r="Y219">
        <f>IF(EU219&lt;&gt;"Y","",COUNTIFS($EU$2:$EU$1000,"Y",$J$2:$J$1000,"&gt;"&amp;J219)+COUNTIFS($EU$2:$EU$1000,"Y",$J$2:$J$1000,J219,$EW$2:$EW$1000,"&lt;"&amp;EW219)+1)</f>
        <v/>
      </c>
      <c r="Z219" t="n">
        <v>218</v>
      </c>
      <c r="AA219" t="inlineStr">
        <is>
          <t>N</t>
        </is>
      </c>
      <c r="AD219" t="inlineStr">
        <is>
          <t>none</t>
        </is>
      </c>
      <c r="AH219" t="inlineStr">
        <is>
          <t>none</t>
        </is>
      </c>
      <c r="AI219" t="inlineStr">
        <is>
          <t>37 West 26th Street</t>
        </is>
      </c>
      <c r="AJ219" t="inlineStr">
        <is>
          <t>10</t>
        </is>
      </c>
      <c r="AK219" t="inlineStr">
        <is>
          <t>occupancy-unconfirmed</t>
        </is>
      </c>
      <c r="AL219" t="inlineStr">
        <is>
          <t>unknown</t>
        </is>
      </c>
      <c r="AM219" t="inlineStr">
        <is>
          <t>unknown</t>
        </is>
      </c>
      <c r="AN219" t="inlineStr">
        <is>
          <t>none</t>
        </is>
      </c>
      <c r="AO219" t="inlineStr">
        <is>
          <t>unknown</t>
        </is>
      </c>
      <c r="AP219" t="inlineStr">
        <is>
          <t>AO-C-126</t>
        </is>
      </c>
      <c r="AQ219" t="inlineStr">
        <is>
          <t>N</t>
        </is>
      </c>
      <c r="AT219">
        <f>IF(AND(AX219="pass",AQ219&lt;&gt;"Y",C219&lt;&gt;"",OR(AW219&lt;&gt;"Y",AV219="Y")),"Y","N")</f>
        <v/>
      </c>
      <c r="AU219">
        <f>_xlfn.TEXTJOIN("; ",TRUE,IF(AX219&lt;&gt;"pass","gated out",""),IF(AQ219="Y","on hold: "&amp;AR219,""),IF(C219="","no contact named on an opened page",""),IF(AND(AW219="Y",AV219&lt;&gt;"Y"),"Tuesday estimate band "&amp;L219&amp;": founder's call",""))</f>
        <v/>
      </c>
      <c r="AW219" t="inlineStr">
        <is>
          <t>N</t>
        </is>
      </c>
      <c r="AX219" t="inlineStr">
        <is>
          <t>pass</t>
        </is>
      </c>
      <c r="AY219" t="inlineStr">
        <is>
          <t>passes all hard gates</t>
        </is>
      </c>
      <c r="AZ219" t="inlineStr">
        <is>
          <t>company</t>
        </is>
      </c>
      <c r="BA219" t="inlineStr">
        <is>
          <t>B-C-126</t>
        </is>
      </c>
      <c r="BB219" t="inlineStr">
        <is>
          <t>unknown</t>
        </is>
      </c>
      <c r="BC219" t="inlineStr">
        <is>
          <t>ID card and security systems</t>
        </is>
      </c>
      <c r="BD219" t="inlineStr">
        <is>
          <t>unknown</t>
        </is>
      </c>
      <c r="BF219" t="inlineStr">
        <is>
          <t>unknown</t>
        </is>
      </c>
      <c r="BG219" t="inlineStr">
        <is>
          <t>unknown</t>
        </is>
      </c>
      <c r="BH219" t="inlineStr">
        <is>
          <t>no-count</t>
        </is>
      </c>
      <c r="BK219" t="inlineStr">
        <is>
          <t>unknown</t>
        </is>
      </c>
      <c r="BL219" t="inlineStr">
        <is>
          <t>unknown</t>
        </is>
      </c>
      <c r="BM219" t="inlineStr">
        <is>
          <t>unknown</t>
        </is>
      </c>
      <c r="BN219" t="inlineStr">
        <is>
          <t>unknown</t>
        </is>
      </c>
      <c r="BO219" t="inlineStr">
        <is>
          <t>unknown</t>
        </is>
      </c>
      <c r="BP219" t="inlineStr">
        <is>
          <t>10010</t>
        </is>
      </c>
      <c r="BQ219" t="n">
        <v>40.744624</v>
      </c>
      <c r="BR219" t="n">
        <v>-73.99041800000001</v>
      </c>
      <c r="BS219" t="inlineStr">
        <is>
          <t>Y</t>
        </is>
      </c>
      <c r="BT219" t="n">
        <v>0</v>
      </c>
      <c r="BU219" t="inlineStr">
        <is>
          <t>B-B-062</t>
        </is>
      </c>
      <c r="BV219" t="inlineStr">
        <is>
          <t>37 West 26th Street</t>
        </is>
      </c>
      <c r="BW219" t="inlineStr">
        <is>
          <t>https://commercialobserver.com/2023/10/idesco-renewal-37-west-26th-street/</t>
        </is>
      </c>
      <c r="BX219" t="inlineStr">
        <is>
          <t>2023-10-12</t>
        </is>
      </c>
      <c r="BY219" t="inlineStr">
        <is>
          <t>leasing-press</t>
        </is>
      </c>
      <c r="CC219" t="inlineStr">
        <is>
          <t>low</t>
        </is>
      </c>
      <c r="CE219" t="inlineStr">
        <is>
          <t>N</t>
        </is>
      </c>
      <c r="CH219" t="inlineStr">
        <is>
          <t>unknown</t>
        </is>
      </c>
      <c r="CJ219" t="inlineStr">
        <is>
          <t>unknown</t>
        </is>
      </c>
      <c r="CK219" t="inlineStr">
        <is>
          <t>N</t>
        </is>
      </c>
      <c r="CL219" t="inlineStr">
        <is>
          <t>unknown</t>
        </is>
      </c>
      <c r="CO219" t="inlineStr">
        <is>
          <t>unknown</t>
        </is>
      </c>
      <c r="CQ219" t="inlineStr">
        <is>
          <t>No sourced headcount, so no Tuesday estimate; ask the Tuesday count at intake.</t>
        </is>
      </c>
      <c r="CR219" t="inlineStr">
        <is>
          <t>estimate until intake replaces it</t>
        </is>
      </c>
      <c r="CS219" t="inlineStr">
        <is>
          <t>unknown</t>
        </is>
      </c>
      <c r="CT219" t="n">
        <v>26</v>
      </c>
      <c r="CU219" t="n">
        <v>7</v>
      </c>
      <c r="CV219" t="n">
        <v>8</v>
      </c>
      <c r="CW219" t="n">
        <v>6</v>
      </c>
      <c r="CX219" t="n">
        <v>5</v>
      </c>
      <c r="CY219">
        <f>IF(AH219="exact",10,IF(AH219="adjacent",5,0))</f>
        <v/>
      </c>
      <c r="CZ219">
        <f>IF(R219="Y",15,0)</f>
        <v/>
      </c>
      <c r="DF219" t="inlineStr">
        <is>
          <t>none</t>
        </is>
      </c>
      <c r="DG219" t="inlineStr">
        <is>
          <t>candidate</t>
        </is>
      </c>
      <c r="DJ219" t="inlineStr">
        <is>
          <t>7,260 sf</t>
        </is>
      </c>
      <c r="DK219" t="inlineStr">
        <is>
          <t>Seven-year renewal of 7,260 SF on floor 10 (at the building since at least 1987). Older source, not reconfirmed; size unknown.</t>
        </is>
      </c>
      <c r="DS219" t="inlineStr">
        <is>
          <t>none</t>
        </is>
      </c>
      <c r="DX219" t="inlineStr">
        <is>
          <t>N</t>
        </is>
      </c>
      <c r="ER219">
        <f>IF(ISNUMBER(MATCH(U219,{"queued","contacted","replied","call_booked","call_done","yes_in_principle","materials_sent"},0)),"Y","N")</f>
        <v/>
      </c>
      <c r="ES219">
        <f>IF(COUNTIFS($AP$2:$AP$1000,AP219,$ER$2:$ER$1000,"Y")+COUNTIFS($AP$2:$AP$1000,AP219,$T$2:$T$1000,"Y")&gt;0,"Y","N")</f>
        <v/>
      </c>
      <c r="ET219">
        <f>IF(AND(U219="new",T219="N",AT219="Y",AS219="",ES219="N"),"Y","N")</f>
        <v/>
      </c>
      <c r="EU219">
        <f>IF(ET219&lt;&gt;"Y","N",IF(COUNTIFS($AP$2:$AP$1000,AP219,$ET$2:$ET$1000,"Y",$J$2:$J$1000,"&gt;"&amp;J219)+COUNTIFS($AP$2:$AP$1000,AP219,$ET$2:$ET$1000,"Y",$J$2:$J$1000,J219,$EW$2:$EW$1000,"&lt;"&amp;EW219)=0,"Y","N"))</f>
        <v/>
      </c>
      <c r="EV219">
        <f>IF(Y219="","N",IF(Y219&lt;=10,"Y","N"))</f>
        <v/>
      </c>
      <c r="EW219">
        <f>ROW()-1</f>
        <v/>
      </c>
    </row>
    <row r="220">
      <c r="A220" t="inlineStr">
        <is>
          <t>AO-C-114</t>
        </is>
      </c>
      <c r="B220" t="inlineStr">
        <is>
          <t>Kensington Vanguard National Land Services</t>
        </is>
      </c>
      <c r="H220" t="inlineStr">
        <is>
          <t>none</t>
        </is>
      </c>
      <c r="I220" t="inlineStr">
        <is>
          <t>linkedin</t>
        </is>
      </c>
      <c r="J220">
        <f>IF(AX220="pass",ROUND(CU220+CV220+CW220+CX220+CY220+CZ220,1),0)</f>
        <v/>
      </c>
      <c r="K220" t="inlineStr">
        <is>
          <t>Tuesday headcount unknown (no sourced count), company size unknown, no attendance signal, occupancy-unconfirmed at a low-confidence address; contacts not researched yet (below the top 50).</t>
        </is>
      </c>
      <c r="L220" t="inlineStr">
        <is>
          <t>unknown</t>
        </is>
      </c>
      <c r="R220" t="inlineStr">
        <is>
          <t>N</t>
        </is>
      </c>
      <c r="S220" t="inlineStr">
        <is>
          <t>unknown</t>
        </is>
      </c>
      <c r="T220" t="inlineStr">
        <is>
          <t>N</t>
        </is>
      </c>
      <c r="U220" t="inlineStr">
        <is>
          <t>new</t>
        </is>
      </c>
      <c r="V220" t="inlineStr">
        <is>
          <t>https://commercialobserver.com/2023/11/law-firm-kensington-vanguard-signs-13k-sf-lease-at-41-madison/</t>
        </is>
      </c>
      <c r="W220" t="inlineStr">
        <is>
          <t>2026-10-23</t>
        </is>
      </c>
      <c r="X220" t="inlineStr">
        <is>
          <t>office</t>
        </is>
      </c>
      <c r="Y220">
        <f>IF(EU220&lt;&gt;"Y","",COUNTIFS($EU$2:$EU$1000,"Y",$J$2:$J$1000,"&gt;"&amp;J220)+COUNTIFS($EU$2:$EU$1000,"Y",$J$2:$J$1000,J220,$EW$2:$EW$1000,"&lt;"&amp;EW220)+1)</f>
        <v/>
      </c>
      <c r="Z220" t="n">
        <v>219</v>
      </c>
      <c r="AA220" t="inlineStr">
        <is>
          <t>N</t>
        </is>
      </c>
      <c r="AD220" t="inlineStr">
        <is>
          <t>none</t>
        </is>
      </c>
      <c r="AH220" t="inlineStr">
        <is>
          <t>none</t>
        </is>
      </c>
      <c r="AI220" t="inlineStr">
        <is>
          <t>41 Madison Avenue</t>
        </is>
      </c>
      <c r="AJ220" t="inlineStr">
        <is>
          <t>21</t>
        </is>
      </c>
      <c r="AK220" t="inlineStr">
        <is>
          <t>occupancy-unconfirmed</t>
        </is>
      </c>
      <c r="AL220" t="inlineStr">
        <is>
          <t>unknown</t>
        </is>
      </c>
      <c r="AM220" t="inlineStr">
        <is>
          <t>unknown</t>
        </is>
      </c>
      <c r="AN220" t="inlineStr">
        <is>
          <t>none</t>
        </is>
      </c>
      <c r="AO220" t="inlineStr">
        <is>
          <t>unknown</t>
        </is>
      </c>
      <c r="AP220" t="inlineStr">
        <is>
          <t>AO-C-114</t>
        </is>
      </c>
      <c r="AQ220" t="inlineStr">
        <is>
          <t>N</t>
        </is>
      </c>
      <c r="AT220">
        <f>IF(AND(AX220="pass",AQ220&lt;&gt;"Y",C220&lt;&gt;"",OR(AW220&lt;&gt;"Y",AV220="Y")),"Y","N")</f>
        <v/>
      </c>
      <c r="AU220">
        <f>_xlfn.TEXTJOIN("; ",TRUE,IF(AX220&lt;&gt;"pass","gated out",""),IF(AQ220="Y","on hold: "&amp;AR220,""),IF(C220="","no contact named on an opened page",""),IF(AND(AW220="Y",AV220&lt;&gt;"Y"),"Tuesday estimate band "&amp;L220&amp;": founder's call",""))</f>
        <v/>
      </c>
      <c r="AW220" t="inlineStr">
        <is>
          <t>N</t>
        </is>
      </c>
      <c r="AX220" t="inlineStr">
        <is>
          <t>pass</t>
        </is>
      </c>
      <c r="AY220" t="inlineStr">
        <is>
          <t>passes all hard gates</t>
        </is>
      </c>
      <c r="AZ220" t="inlineStr">
        <is>
          <t>company</t>
        </is>
      </c>
      <c r="BA220" t="inlineStr">
        <is>
          <t>B-C-114</t>
        </is>
      </c>
      <c r="BB220" t="inlineStr">
        <is>
          <t>https://www.kvnational.com</t>
        </is>
      </c>
      <c r="BC220" t="inlineStr">
        <is>
          <t>title insurance</t>
        </is>
      </c>
      <c r="BD220" t="inlineStr">
        <is>
          <t>unknown</t>
        </is>
      </c>
      <c r="BF220" t="inlineStr">
        <is>
          <t>unknown</t>
        </is>
      </c>
      <c r="BG220" t="inlineStr">
        <is>
          <t>unknown</t>
        </is>
      </c>
      <c r="BH220" t="inlineStr">
        <is>
          <t>no-count</t>
        </is>
      </c>
      <c r="BK220" t="inlineStr">
        <is>
          <t>unknown</t>
        </is>
      </c>
      <c r="BL220" t="inlineStr">
        <is>
          <t>unknown</t>
        </is>
      </c>
      <c r="BM220" t="inlineStr">
        <is>
          <t>unknown</t>
        </is>
      </c>
      <c r="BN220" t="inlineStr">
        <is>
          <t>unknown</t>
        </is>
      </c>
      <c r="BO220" t="inlineStr">
        <is>
          <t>unknown</t>
        </is>
      </c>
      <c r="BP220" t="inlineStr">
        <is>
          <t>10010</t>
        </is>
      </c>
      <c r="BQ220" t="n">
        <v>40.742477</v>
      </c>
      <c r="BR220" t="n">
        <v>-73.986608</v>
      </c>
      <c r="BS220" t="inlineStr">
        <is>
          <t>Y</t>
        </is>
      </c>
      <c r="BT220" t="n">
        <v>0</v>
      </c>
      <c r="BU220" t="inlineStr">
        <is>
          <t>B-B-057</t>
        </is>
      </c>
      <c r="BV220" t="inlineStr">
        <is>
          <t>41 Madison Avenue (Rudin)</t>
        </is>
      </c>
      <c r="BW220" t="inlineStr">
        <is>
          <t>https://commercialobserver.com/2023/11/law-firm-kensington-vanguard-signs-13k-sf-lease-at-41-madison/</t>
        </is>
      </c>
      <c r="BX220" t="inlineStr">
        <is>
          <t>2023-11-01</t>
        </is>
      </c>
      <c r="BY220" t="inlineStr">
        <is>
          <t>leasing-press</t>
        </is>
      </c>
      <c r="CC220" t="inlineStr">
        <is>
          <t>low</t>
        </is>
      </c>
      <c r="CE220" t="inlineStr">
        <is>
          <t>N</t>
        </is>
      </c>
      <c r="CH220" t="inlineStr">
        <is>
          <t>security desk</t>
        </is>
      </c>
      <c r="CI220" t="inlineStr">
        <is>
          <t>https://www.metro-manhattan.com/buildings/41-madison-avenue-forty-one-madison-office-space/</t>
        </is>
      </c>
      <c r="CJ220" t="inlineStr">
        <is>
          <t>unknown</t>
        </is>
      </c>
      <c r="CK220" t="inlineStr">
        <is>
          <t>N</t>
        </is>
      </c>
      <c r="CL220" t="inlineStr">
        <is>
          <t>unknown</t>
        </is>
      </c>
      <c r="CO220" t="inlineStr">
        <is>
          <t>unknown</t>
        </is>
      </c>
      <c r="CQ220" t="inlineStr">
        <is>
          <t>No sourced headcount, so no Tuesday estimate; ask the Tuesday count at intake.</t>
        </is>
      </c>
      <c r="CR220" t="inlineStr">
        <is>
          <t>estimate until intake replaces it</t>
        </is>
      </c>
      <c r="CS220" t="inlineStr">
        <is>
          <t>unknown</t>
        </is>
      </c>
      <c r="CT220" t="n">
        <v>26</v>
      </c>
      <c r="CU220" t="n">
        <v>7</v>
      </c>
      <c r="CV220" t="n">
        <v>8</v>
      </c>
      <c r="CW220" t="n">
        <v>6</v>
      </c>
      <c r="CX220" t="n">
        <v>5</v>
      </c>
      <c r="CY220">
        <f>IF(AH220="exact",10,IF(AH220="adjacent",5,0))</f>
        <v/>
      </c>
      <c r="CZ220">
        <f>IF(R220="Y",15,0)</f>
        <v/>
      </c>
      <c r="DF220" t="inlineStr">
        <is>
          <t>none</t>
        </is>
      </c>
      <c r="DG220" t="inlineStr">
        <is>
          <t>candidate</t>
        </is>
      </c>
      <c r="DJ220" t="inlineStr">
        <is>
          <t>13,394 sf</t>
        </is>
      </c>
      <c r="DK220" t="inlineStr">
        <is>
          <t>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is>
      </c>
      <c r="DS220" t="inlineStr">
        <is>
          <t>none</t>
        </is>
      </c>
      <c r="DX220" t="inlineStr">
        <is>
          <t>N</t>
        </is>
      </c>
      <c r="ER220">
        <f>IF(ISNUMBER(MATCH(U220,{"queued","contacted","replied","call_booked","call_done","yes_in_principle","materials_sent"},0)),"Y","N")</f>
        <v/>
      </c>
      <c r="ES220">
        <f>IF(COUNTIFS($AP$2:$AP$1000,AP220,$ER$2:$ER$1000,"Y")+COUNTIFS($AP$2:$AP$1000,AP220,$T$2:$T$1000,"Y")&gt;0,"Y","N")</f>
        <v/>
      </c>
      <c r="ET220">
        <f>IF(AND(U220="new",T220="N",AT220="Y",AS220="",ES220="N"),"Y","N")</f>
        <v/>
      </c>
      <c r="EU220">
        <f>IF(ET220&lt;&gt;"Y","N",IF(COUNTIFS($AP$2:$AP$1000,AP220,$ET$2:$ET$1000,"Y",$J$2:$J$1000,"&gt;"&amp;J220)+COUNTIFS($AP$2:$AP$1000,AP220,$ET$2:$ET$1000,"Y",$J$2:$J$1000,J220,$EW$2:$EW$1000,"&lt;"&amp;EW220)=0,"Y","N"))</f>
        <v/>
      </c>
      <c r="EV220">
        <f>IF(Y220="","N",IF(Y220&lt;=10,"Y","N"))</f>
        <v/>
      </c>
      <c r="EW220">
        <f>ROW()-1</f>
        <v/>
      </c>
    </row>
    <row r="221">
      <c r="A221" t="inlineStr">
        <is>
          <t>AO-C-054</t>
        </is>
      </c>
      <c r="B221" t="inlineStr">
        <is>
          <t>Left/Right</t>
        </is>
      </c>
      <c r="H221" t="inlineStr">
        <is>
          <t>none</t>
        </is>
      </c>
      <c r="I221" t="inlineStr">
        <is>
          <t>linkedin</t>
        </is>
      </c>
      <c r="J221">
        <f>IF(AX221="pass",ROUND(CU221+CV221+CW221+CX221+CY221+CZ221,1),0)</f>
        <v/>
      </c>
      <c r="K221" t="inlineStr">
        <is>
          <t>Tuesday headcount unknown (no sourced count), company size unknown, no attendance signal, occupancy-unconfirmed at a low-confidence address; contacts not researched yet (below the top 50).</t>
        </is>
      </c>
      <c r="L221" t="inlineStr">
        <is>
          <t>unknown</t>
        </is>
      </c>
      <c r="R221" t="inlineStr">
        <is>
          <t>N</t>
        </is>
      </c>
      <c r="S221" t="inlineStr">
        <is>
          <t>unknown</t>
        </is>
      </c>
      <c r="T221" t="inlineStr">
        <is>
          <t>N</t>
        </is>
      </c>
      <c r="U221" t="inlineStr">
        <is>
          <t>new</t>
        </is>
      </c>
      <c r="V221" t="inlineStr">
        <is>
          <t>https://commercialobserver.com/2019/10/left-right-lease-39-west-19th-street-rosen-family/</t>
        </is>
      </c>
      <c r="W221" t="inlineStr">
        <is>
          <t>2026-10-23</t>
        </is>
      </c>
      <c r="X221" t="inlineStr">
        <is>
          <t>office</t>
        </is>
      </c>
      <c r="Y221">
        <f>IF(EU221&lt;&gt;"Y","",COUNTIFS($EU$2:$EU$1000,"Y",$J$2:$J$1000,"&gt;"&amp;J221)+COUNTIFS($EU$2:$EU$1000,"Y",$J$2:$J$1000,J221,$EW$2:$EW$1000,"&lt;"&amp;EW221)+1)</f>
        <v/>
      </c>
      <c r="Z221" t="n">
        <v>220</v>
      </c>
      <c r="AA221" t="inlineStr">
        <is>
          <t>N</t>
        </is>
      </c>
      <c r="AD221" t="inlineStr">
        <is>
          <t>none</t>
        </is>
      </c>
      <c r="AH221" t="inlineStr">
        <is>
          <t>none</t>
        </is>
      </c>
      <c r="AI221" t="inlineStr">
        <is>
          <t>39 West 19th Street</t>
        </is>
      </c>
      <c r="AJ221" t="inlineStr">
        <is>
          <t>7, 9-10</t>
        </is>
      </c>
      <c r="AK221" t="inlineStr">
        <is>
          <t>occupancy-unconfirmed</t>
        </is>
      </c>
      <c r="AL221" t="inlineStr">
        <is>
          <t>unknown</t>
        </is>
      </c>
      <c r="AM221" t="inlineStr">
        <is>
          <t>unknown</t>
        </is>
      </c>
      <c r="AN221" t="inlineStr">
        <is>
          <t>none</t>
        </is>
      </c>
      <c r="AO221" t="inlineStr">
        <is>
          <t>unknown</t>
        </is>
      </c>
      <c r="AP221" t="inlineStr">
        <is>
          <t>AO-C-054</t>
        </is>
      </c>
      <c r="AQ221" t="inlineStr">
        <is>
          <t>N</t>
        </is>
      </c>
      <c r="AT221">
        <f>IF(AND(AX221="pass",AQ221&lt;&gt;"Y",C221&lt;&gt;"",OR(AW221&lt;&gt;"Y",AV221="Y")),"Y","N")</f>
        <v/>
      </c>
      <c r="AU221">
        <f>_xlfn.TEXTJOIN("; ",TRUE,IF(AX221&lt;&gt;"pass","gated out",""),IF(AQ221="Y","on hold: "&amp;AR221,""),IF(C221="","no contact named on an opened page",""),IF(AND(AW221="Y",AV221&lt;&gt;"Y"),"Tuesday estimate band "&amp;L221&amp;": founder's call",""))</f>
        <v/>
      </c>
      <c r="AW221" t="inlineStr">
        <is>
          <t>N</t>
        </is>
      </c>
      <c r="AX221" t="inlineStr">
        <is>
          <t>pass</t>
        </is>
      </c>
      <c r="AY221" t="inlineStr">
        <is>
          <t>passes all hard gates</t>
        </is>
      </c>
      <c r="AZ221" t="inlineStr">
        <is>
          <t>company</t>
        </is>
      </c>
      <c r="BA221" t="inlineStr">
        <is>
          <t>B-C-054</t>
        </is>
      </c>
      <c r="BB221" t="inlineStr">
        <is>
          <t>unknown</t>
        </is>
      </c>
      <c r="BC221" t="inlineStr">
        <is>
          <t>TV and documentary production</t>
        </is>
      </c>
      <c r="BD221" t="inlineStr">
        <is>
          <t>unknown</t>
        </is>
      </c>
      <c r="BF221" t="inlineStr">
        <is>
          <t>unknown</t>
        </is>
      </c>
      <c r="BG221" t="inlineStr">
        <is>
          <t>unknown</t>
        </is>
      </c>
      <c r="BH221" t="inlineStr">
        <is>
          <t>no-count</t>
        </is>
      </c>
      <c r="BK221" t="inlineStr">
        <is>
          <t>unknown</t>
        </is>
      </c>
      <c r="BL221" t="inlineStr">
        <is>
          <t>unknown</t>
        </is>
      </c>
      <c r="BM221" t="inlineStr">
        <is>
          <t>unknown</t>
        </is>
      </c>
      <c r="BN221" t="inlineStr">
        <is>
          <t>unknown</t>
        </is>
      </c>
      <c r="BO221" t="inlineStr">
        <is>
          <t>unknown</t>
        </is>
      </c>
      <c r="BP221" t="inlineStr">
        <is>
          <t>10011</t>
        </is>
      </c>
      <c r="BQ221" t="n">
        <v>40.740157</v>
      </c>
      <c r="BR221" t="n">
        <v>-73.993377</v>
      </c>
      <c r="BS221" t="inlineStr">
        <is>
          <t>Y</t>
        </is>
      </c>
      <c r="BT221" t="n">
        <v>0</v>
      </c>
      <c r="BU221" t="inlineStr">
        <is>
          <t>B-B-025</t>
        </is>
      </c>
      <c r="BV221" t="inlineStr">
        <is>
          <t>39 West 19th Street (Rosen family)</t>
        </is>
      </c>
      <c r="BW221" t="inlineStr">
        <is>
          <t>https://commercialobserver.com/2019/10/left-right-lease-39-west-19th-street-rosen-family/</t>
        </is>
      </c>
      <c r="BX221" t="inlineStr">
        <is>
          <t>2019-10-28</t>
        </is>
      </c>
      <c r="BY221" t="inlineStr">
        <is>
          <t>leasing-press</t>
        </is>
      </c>
      <c r="CC221" t="inlineStr">
        <is>
          <t>low</t>
        </is>
      </c>
      <c r="CE221" t="inlineStr">
        <is>
          <t>N</t>
        </is>
      </c>
      <c r="CH221" t="inlineStr">
        <is>
          <t>unknown</t>
        </is>
      </c>
      <c r="CJ221" t="inlineStr">
        <is>
          <t>unknown</t>
        </is>
      </c>
      <c r="CK221" t="inlineStr">
        <is>
          <t>N</t>
        </is>
      </c>
      <c r="CL221" t="inlineStr">
        <is>
          <t>unknown</t>
        </is>
      </c>
      <c r="CO221" t="inlineStr">
        <is>
          <t>unknown</t>
        </is>
      </c>
      <c r="CQ221" t="inlineStr">
        <is>
          <t>No sourced headcount, so no Tuesday estimate; ask the Tuesday count at intake.</t>
        </is>
      </c>
      <c r="CR221" t="inlineStr">
        <is>
          <t>estimate until intake replaces it</t>
        </is>
      </c>
      <c r="CS221" t="inlineStr">
        <is>
          <t>unknown</t>
        </is>
      </c>
      <c r="CT221" t="n">
        <v>26</v>
      </c>
      <c r="CU221" t="n">
        <v>7</v>
      </c>
      <c r="CV221" t="n">
        <v>8</v>
      </c>
      <c r="CW221" t="n">
        <v>6</v>
      </c>
      <c r="CX221" t="n">
        <v>5</v>
      </c>
      <c r="CY221">
        <f>IF(AH221="exact",10,IF(AH221="adjacent",5,0))</f>
        <v/>
      </c>
      <c r="CZ221">
        <f>IF(R221="Y",15,0)</f>
        <v/>
      </c>
      <c r="DF221" t="inlineStr">
        <is>
          <t>none</t>
        </is>
      </c>
      <c r="DG221" t="inlineStr">
        <is>
          <t>candidate</t>
        </is>
      </c>
      <c r="DJ221" t="inlineStr">
        <is>
          <t>34,000 sf</t>
        </is>
      </c>
      <c r="DK221" t="inlineStr">
        <is>
          <t>10-year renewal (2019) of 34,000 sf on floors 7, 9 and 10 with production and editing space. Not re-confirmed.</t>
        </is>
      </c>
      <c r="DS221" t="inlineStr">
        <is>
          <t>none</t>
        </is>
      </c>
      <c r="DX221" t="inlineStr">
        <is>
          <t>N</t>
        </is>
      </c>
      <c r="ER221">
        <f>IF(ISNUMBER(MATCH(U221,{"queued","contacted","replied","call_booked","call_done","yes_in_principle","materials_sent"},0)),"Y","N")</f>
        <v/>
      </c>
      <c r="ES221">
        <f>IF(COUNTIFS($AP$2:$AP$1000,AP221,$ER$2:$ER$1000,"Y")+COUNTIFS($AP$2:$AP$1000,AP221,$T$2:$T$1000,"Y")&gt;0,"Y","N")</f>
        <v/>
      </c>
      <c r="ET221">
        <f>IF(AND(U221="new",T221="N",AT221="Y",AS221="",ES221="N"),"Y","N")</f>
        <v/>
      </c>
      <c r="EU221">
        <f>IF(ET221&lt;&gt;"Y","N",IF(COUNTIFS($AP$2:$AP$1000,AP221,$ET$2:$ET$1000,"Y",$J$2:$J$1000,"&gt;"&amp;J221)+COUNTIFS($AP$2:$AP$1000,AP221,$ET$2:$ET$1000,"Y",$J$2:$J$1000,J221,$EW$2:$EW$1000,"&lt;"&amp;EW221)=0,"Y","N"))</f>
        <v/>
      </c>
      <c r="EV221">
        <f>IF(Y221="","N",IF(Y221&lt;=10,"Y","N"))</f>
        <v/>
      </c>
      <c r="EW221">
        <f>ROW()-1</f>
        <v/>
      </c>
    </row>
    <row r="222">
      <c r="A222" t="inlineStr">
        <is>
          <t>AO-C-069</t>
        </is>
      </c>
      <c r="B222" t="inlineStr">
        <is>
          <t>Paul Smith</t>
        </is>
      </c>
      <c r="H222" t="inlineStr">
        <is>
          <t>none</t>
        </is>
      </c>
      <c r="I222" t="inlineStr">
        <is>
          <t>linkedin</t>
        </is>
      </c>
      <c r="J222">
        <f>IF(AX222="pass",ROUND(CU222+CV222+CW222+CX222+CY222+CZ222,1),0)</f>
        <v/>
      </c>
      <c r="K222" t="inlineStr">
        <is>
          <t>Tuesday headcount unknown (no sourced count), company size unknown, no attendance signal, occupancy-unconfirmed at a low-confidence address; contacts not researched yet (below the top 50).</t>
        </is>
      </c>
      <c r="L222" t="inlineStr">
        <is>
          <t>unknown</t>
        </is>
      </c>
      <c r="R222" t="inlineStr">
        <is>
          <t>N</t>
        </is>
      </c>
      <c r="S222" t="inlineStr">
        <is>
          <t>unknown</t>
        </is>
      </c>
      <c r="T222" t="inlineStr">
        <is>
          <t>N</t>
        </is>
      </c>
      <c r="U222" t="inlineStr">
        <is>
          <t>new</t>
        </is>
      </c>
      <c r="V222" t="inlineStr">
        <is>
          <t>https://commercialobserver.com/2022/07/paul-smith-beachwold-residential-sign-for-full-floors-at-257-park-avenue-south/</t>
        </is>
      </c>
      <c r="W222" t="inlineStr">
        <is>
          <t>2026-10-23</t>
        </is>
      </c>
      <c r="X222" t="inlineStr">
        <is>
          <t>office</t>
        </is>
      </c>
      <c r="Y222">
        <f>IF(EU222&lt;&gt;"Y","",COUNTIFS($EU$2:$EU$1000,"Y",$J$2:$J$1000,"&gt;"&amp;J222)+COUNTIFS($EU$2:$EU$1000,"Y",$J$2:$J$1000,J222,$EW$2:$EW$1000,"&lt;"&amp;EW222)+1)</f>
        <v/>
      </c>
      <c r="Z222" t="n">
        <v>221</v>
      </c>
      <c r="AA222" t="inlineStr">
        <is>
          <t>N</t>
        </is>
      </c>
      <c r="AD222" t="inlineStr">
        <is>
          <t>none</t>
        </is>
      </c>
      <c r="AH222" t="inlineStr">
        <is>
          <t>none</t>
        </is>
      </c>
      <c r="AI222" t="inlineStr">
        <is>
          <t>257 Park Avenue South</t>
        </is>
      </c>
      <c r="AJ222" t="inlineStr">
        <is>
          <t>5</t>
        </is>
      </c>
      <c r="AK222" t="inlineStr">
        <is>
          <t>occupancy-unconfirmed</t>
        </is>
      </c>
      <c r="AL222" t="inlineStr">
        <is>
          <t>unknown</t>
        </is>
      </c>
      <c r="AM222" t="inlineStr">
        <is>
          <t>unknown</t>
        </is>
      </c>
      <c r="AN222" t="inlineStr">
        <is>
          <t>none</t>
        </is>
      </c>
      <c r="AO222" t="inlineStr">
        <is>
          <t>unknown</t>
        </is>
      </c>
      <c r="AP222" t="inlineStr">
        <is>
          <t>AO-C-069</t>
        </is>
      </c>
      <c r="AQ222" t="inlineStr">
        <is>
          <t>N</t>
        </is>
      </c>
      <c r="AT222">
        <f>IF(AND(AX222="pass",AQ222&lt;&gt;"Y",C222&lt;&gt;"",OR(AW222&lt;&gt;"Y",AV222="Y")),"Y","N")</f>
        <v/>
      </c>
      <c r="AU222">
        <f>_xlfn.TEXTJOIN("; ",TRUE,IF(AX222&lt;&gt;"pass","gated out",""),IF(AQ222="Y","on hold: "&amp;AR222,""),IF(C222="","no contact named on an opened page",""),IF(AND(AW222="Y",AV222&lt;&gt;"Y"),"Tuesday estimate band "&amp;L222&amp;": founder's call",""))</f>
        <v/>
      </c>
      <c r="AW222" t="inlineStr">
        <is>
          <t>N</t>
        </is>
      </c>
      <c r="AX222" t="inlineStr">
        <is>
          <t>pass</t>
        </is>
      </c>
      <c r="AY222" t="inlineStr">
        <is>
          <t>passes all hard gates</t>
        </is>
      </c>
      <c r="AZ222" t="inlineStr">
        <is>
          <t>company</t>
        </is>
      </c>
      <c r="BA222" t="inlineStr">
        <is>
          <t>B-C-069</t>
        </is>
      </c>
      <c r="BB222" t="inlineStr">
        <is>
          <t>https://www.paulsmith.com</t>
        </is>
      </c>
      <c r="BC222" t="inlineStr">
        <is>
          <t>fashion brand (U.S. showroom and office)</t>
        </is>
      </c>
      <c r="BD222" t="inlineStr">
        <is>
          <t>unknown</t>
        </is>
      </c>
      <c r="BF222" t="inlineStr">
        <is>
          <t>unknown</t>
        </is>
      </c>
      <c r="BG222" t="inlineStr">
        <is>
          <t>unknown</t>
        </is>
      </c>
      <c r="BH222" t="inlineStr">
        <is>
          <t>no-count</t>
        </is>
      </c>
      <c r="BK222" t="inlineStr">
        <is>
          <t>unknown</t>
        </is>
      </c>
      <c r="BL222" t="inlineStr">
        <is>
          <t>unknown</t>
        </is>
      </c>
      <c r="BM222" t="inlineStr">
        <is>
          <t>unknown</t>
        </is>
      </c>
      <c r="BN222" t="inlineStr">
        <is>
          <t>unknown</t>
        </is>
      </c>
      <c r="BO222" t="inlineStr">
        <is>
          <t>unknown</t>
        </is>
      </c>
      <c r="BP222" t="inlineStr">
        <is>
          <t>10010</t>
        </is>
      </c>
      <c r="BQ222" t="n">
        <v>40.738577</v>
      </c>
      <c r="BR222" t="n">
        <v>-73.987151</v>
      </c>
      <c r="BS222" t="inlineStr">
        <is>
          <t>Y</t>
        </is>
      </c>
      <c r="BT222" t="n">
        <v>0</v>
      </c>
      <c r="BU222" t="inlineStr">
        <is>
          <t>B-B-032</t>
        </is>
      </c>
      <c r="BV222" t="inlineStr">
        <is>
          <t>Gramercy Park Building (Feil Organization)</t>
        </is>
      </c>
      <c r="BW222" t="inlineStr">
        <is>
          <t>https://commercialobserver.com/2022/07/paul-smith-beachwold-residential-sign-for-full-floors-at-257-park-avenue-south/</t>
        </is>
      </c>
      <c r="BX222" t="inlineStr">
        <is>
          <t>2022-07-06</t>
        </is>
      </c>
      <c r="BY222" t="inlineStr">
        <is>
          <t>leasing-press</t>
        </is>
      </c>
      <c r="CC222" t="inlineStr">
        <is>
          <t>low</t>
        </is>
      </c>
      <c r="CE222" t="inlineStr">
        <is>
          <t>N</t>
        </is>
      </c>
      <c r="CH222" t="inlineStr">
        <is>
          <t>unknown</t>
        </is>
      </c>
      <c r="CJ222" t="inlineStr">
        <is>
          <t>unknown</t>
        </is>
      </c>
      <c r="CK222" t="inlineStr">
        <is>
          <t>N</t>
        </is>
      </c>
      <c r="CL222" t="inlineStr">
        <is>
          <t>unknown</t>
        </is>
      </c>
      <c r="CO222" t="inlineStr">
        <is>
          <t>unknown</t>
        </is>
      </c>
      <c r="CQ222" t="inlineStr">
        <is>
          <t>No sourced headcount, so no Tuesday estimate; ask the Tuesday count at intake.</t>
        </is>
      </c>
      <c r="CR222" t="inlineStr">
        <is>
          <t>estimate until intake replaces it</t>
        </is>
      </c>
      <c r="CS222" t="inlineStr">
        <is>
          <t>unknown</t>
        </is>
      </c>
      <c r="CT222" t="n">
        <v>26</v>
      </c>
      <c r="CU222" t="n">
        <v>7</v>
      </c>
      <c r="CV222" t="n">
        <v>8</v>
      </c>
      <c r="CW222" t="n">
        <v>6</v>
      </c>
      <c r="CX222" t="n">
        <v>5</v>
      </c>
      <c r="CY222">
        <f>IF(AH222="exact",10,IF(AH222="adjacent",5,0))</f>
        <v/>
      </c>
      <c r="CZ222">
        <f>IF(R222="Y",15,0)</f>
        <v/>
      </c>
      <c r="DF222" t="inlineStr">
        <is>
          <t>none</t>
        </is>
      </c>
      <c r="DG222" t="inlineStr">
        <is>
          <t>candidate</t>
        </is>
      </c>
      <c r="DJ222" t="inlineStr">
        <is>
          <t>12,617 sf</t>
        </is>
      </c>
      <c r="DK222" t="inlineStr">
        <is>
          <t>Full 5th floor (12,617 sf) for showroom and office, 2022. Not re-confirmed; the brand's site contact page shows no office address.</t>
        </is>
      </c>
      <c r="DS222" t="inlineStr">
        <is>
          <t>none</t>
        </is>
      </c>
      <c r="DX222" t="inlineStr">
        <is>
          <t>N</t>
        </is>
      </c>
      <c r="ER222">
        <f>IF(ISNUMBER(MATCH(U222,{"queued","contacted","replied","call_booked","call_done","yes_in_principle","materials_sent"},0)),"Y","N")</f>
        <v/>
      </c>
      <c r="ES222">
        <f>IF(COUNTIFS($AP$2:$AP$1000,AP222,$ER$2:$ER$1000,"Y")+COUNTIFS($AP$2:$AP$1000,AP222,$T$2:$T$1000,"Y")&gt;0,"Y","N")</f>
        <v/>
      </c>
      <c r="ET222">
        <f>IF(AND(U222="new",T222="N",AT222="Y",AS222="",ES222="N"),"Y","N")</f>
        <v/>
      </c>
      <c r="EU222">
        <f>IF(ET222&lt;&gt;"Y","N",IF(COUNTIFS($AP$2:$AP$1000,AP222,$ET$2:$ET$1000,"Y",$J$2:$J$1000,"&gt;"&amp;J222)+COUNTIFS($AP$2:$AP$1000,AP222,$ET$2:$ET$1000,"Y",$J$2:$J$1000,J222,$EW$2:$EW$1000,"&lt;"&amp;EW222)=0,"Y","N"))</f>
        <v/>
      </c>
      <c r="EV222">
        <f>IF(Y222="","N",IF(Y222&lt;=10,"Y","N"))</f>
        <v/>
      </c>
      <c r="EW222">
        <f>ROW()-1</f>
        <v/>
      </c>
    </row>
    <row r="223">
      <c r="A223" t="inlineStr">
        <is>
          <t>AO-C-070</t>
        </is>
      </c>
      <c r="B223" t="inlineStr">
        <is>
          <t>Pei Architects</t>
        </is>
      </c>
      <c r="H223" t="inlineStr">
        <is>
          <t>none</t>
        </is>
      </c>
      <c r="I223" t="inlineStr">
        <is>
          <t>linkedin</t>
        </is>
      </c>
      <c r="J223">
        <f>IF(AX223="pass",ROUND(CU223+CV223+CW223+CX223+CY223+CZ223,1),0)</f>
        <v/>
      </c>
      <c r="K223" t="inlineStr">
        <is>
          <t>Tuesday headcount unknown (no sourced count), company size unknown, no attendance signal, occupancy-unconfirmed at a low-confidence address; contacts not researched yet (below the top 50).</t>
        </is>
      </c>
      <c r="L223" t="inlineStr">
        <is>
          <t>unknown</t>
        </is>
      </c>
      <c r="R223" t="inlineStr">
        <is>
          <t>N</t>
        </is>
      </c>
      <c r="S223" t="inlineStr">
        <is>
          <t>unknown</t>
        </is>
      </c>
      <c r="T223" t="inlineStr">
        <is>
          <t>N</t>
        </is>
      </c>
      <c r="U223" t="inlineStr">
        <is>
          <t>new</t>
        </is>
      </c>
      <c r="V223" t="inlineStr">
        <is>
          <t>https://commercialobserver.com/2024/04/pei-architects-renewals-13k-sf-at-257-park-avenue-south/</t>
        </is>
      </c>
      <c r="W223" t="inlineStr">
        <is>
          <t>2026-10-23</t>
        </is>
      </c>
      <c r="X223" t="inlineStr">
        <is>
          <t>office</t>
        </is>
      </c>
      <c r="Y223">
        <f>IF(EU223&lt;&gt;"Y","",COUNTIFS($EU$2:$EU$1000,"Y",$J$2:$J$1000,"&gt;"&amp;J223)+COUNTIFS($EU$2:$EU$1000,"Y",$J$2:$J$1000,J223,$EW$2:$EW$1000,"&lt;"&amp;EW223)+1)</f>
        <v/>
      </c>
      <c r="Z223" t="n">
        <v>222</v>
      </c>
      <c r="AA223" t="inlineStr">
        <is>
          <t>N</t>
        </is>
      </c>
      <c r="AD223" t="inlineStr">
        <is>
          <t>none</t>
        </is>
      </c>
      <c r="AH223" t="inlineStr">
        <is>
          <t>none</t>
        </is>
      </c>
      <c r="AI223" t="inlineStr">
        <is>
          <t>257 Park Avenue South</t>
        </is>
      </c>
      <c r="AJ223" t="inlineStr">
        <is>
          <t>19</t>
        </is>
      </c>
      <c r="AK223" t="inlineStr">
        <is>
          <t>occupancy-unconfirmed</t>
        </is>
      </c>
      <c r="AL223" t="inlineStr">
        <is>
          <t>unknown</t>
        </is>
      </c>
      <c r="AM223" t="inlineStr">
        <is>
          <t>unknown</t>
        </is>
      </c>
      <c r="AN223" t="inlineStr">
        <is>
          <t>none</t>
        </is>
      </c>
      <c r="AO223" t="inlineStr">
        <is>
          <t>unknown</t>
        </is>
      </c>
      <c r="AP223" t="inlineStr">
        <is>
          <t>AO-C-070</t>
        </is>
      </c>
      <c r="AQ223" t="inlineStr">
        <is>
          <t>N</t>
        </is>
      </c>
      <c r="AT223">
        <f>IF(AND(AX223="pass",AQ223&lt;&gt;"Y",C223&lt;&gt;"",OR(AW223&lt;&gt;"Y",AV223="Y")),"Y","N")</f>
        <v/>
      </c>
      <c r="AU223">
        <f>_xlfn.TEXTJOIN("; ",TRUE,IF(AX223&lt;&gt;"pass","gated out",""),IF(AQ223="Y","on hold: "&amp;AR223,""),IF(C223="","no contact named on an opened page",""),IF(AND(AW223="Y",AV223&lt;&gt;"Y"),"Tuesday estimate band "&amp;L223&amp;": founder's call",""))</f>
        <v/>
      </c>
      <c r="AW223" t="inlineStr">
        <is>
          <t>N</t>
        </is>
      </c>
      <c r="AX223" t="inlineStr">
        <is>
          <t>pass</t>
        </is>
      </c>
      <c r="AY223" t="inlineStr">
        <is>
          <t>passes all hard gates</t>
        </is>
      </c>
      <c r="AZ223" t="inlineStr">
        <is>
          <t>company</t>
        </is>
      </c>
      <c r="BA223" t="inlineStr">
        <is>
          <t>B-C-070</t>
        </is>
      </c>
      <c r="BB223" t="inlineStr">
        <is>
          <t>unknown</t>
        </is>
      </c>
      <c r="BC223" t="inlineStr">
        <is>
          <t>architecture</t>
        </is>
      </c>
      <c r="BD223" t="inlineStr">
        <is>
          <t>unknown</t>
        </is>
      </c>
      <c r="BF223" t="inlineStr">
        <is>
          <t>unknown</t>
        </is>
      </c>
      <c r="BG223" t="inlineStr">
        <is>
          <t>unknown</t>
        </is>
      </c>
      <c r="BH223" t="inlineStr">
        <is>
          <t>no-count</t>
        </is>
      </c>
      <c r="BK223" t="inlineStr">
        <is>
          <t>unknown</t>
        </is>
      </c>
      <c r="BL223" t="inlineStr">
        <is>
          <t>unknown</t>
        </is>
      </c>
      <c r="BM223" t="inlineStr">
        <is>
          <t>unknown</t>
        </is>
      </c>
      <c r="BN223" t="inlineStr">
        <is>
          <t>unknown</t>
        </is>
      </c>
      <c r="BO223" t="inlineStr">
        <is>
          <t>unknown</t>
        </is>
      </c>
      <c r="BP223" t="inlineStr">
        <is>
          <t>10010</t>
        </is>
      </c>
      <c r="BQ223" t="n">
        <v>40.738577</v>
      </c>
      <c r="BR223" t="n">
        <v>-73.987151</v>
      </c>
      <c r="BS223" t="inlineStr">
        <is>
          <t>Y</t>
        </is>
      </c>
      <c r="BT223" t="n">
        <v>0</v>
      </c>
      <c r="BU223" t="inlineStr">
        <is>
          <t>B-B-032</t>
        </is>
      </c>
      <c r="BV223" t="inlineStr">
        <is>
          <t>Gramercy Park Building (Feil Organization)</t>
        </is>
      </c>
      <c r="BW223" t="inlineStr">
        <is>
          <t>https://commercialobserver.com/2024/04/pei-architects-renewals-13k-sf-at-257-park-avenue-south/</t>
        </is>
      </c>
      <c r="BX223" t="inlineStr">
        <is>
          <t>2024-04-15</t>
        </is>
      </c>
      <c r="BY223" t="inlineStr">
        <is>
          <t>leasing-press</t>
        </is>
      </c>
      <c r="CC223" t="inlineStr">
        <is>
          <t>low</t>
        </is>
      </c>
      <c r="CE223" t="inlineStr">
        <is>
          <t>N</t>
        </is>
      </c>
      <c r="CH223" t="inlineStr">
        <is>
          <t>unknown</t>
        </is>
      </c>
      <c r="CJ223" t="inlineStr">
        <is>
          <t>unknown</t>
        </is>
      </c>
      <c r="CK223" t="inlineStr">
        <is>
          <t>N</t>
        </is>
      </c>
      <c r="CL223" t="inlineStr">
        <is>
          <t>unknown</t>
        </is>
      </c>
      <c r="CO223" t="inlineStr">
        <is>
          <t>unknown</t>
        </is>
      </c>
      <c r="CQ223" t="inlineStr">
        <is>
          <t>No sourced headcount, so no Tuesday estimate; ask the Tuesday count at intake.</t>
        </is>
      </c>
      <c r="CR223" t="inlineStr">
        <is>
          <t>estimate until intake replaces it</t>
        </is>
      </c>
      <c r="CS223" t="inlineStr">
        <is>
          <t>unknown</t>
        </is>
      </c>
      <c r="CT223" t="n">
        <v>26</v>
      </c>
      <c r="CU223" t="n">
        <v>7</v>
      </c>
      <c r="CV223" t="n">
        <v>8</v>
      </c>
      <c r="CW223" t="n">
        <v>6</v>
      </c>
      <c r="CX223" t="n">
        <v>5</v>
      </c>
      <c r="CY223">
        <f>IF(AH223="exact",10,IF(AH223="adjacent",5,0))</f>
        <v/>
      </c>
      <c r="CZ223">
        <f>IF(R223="Y",15,0)</f>
        <v/>
      </c>
      <c r="DF223" t="inlineStr">
        <is>
          <t>none</t>
        </is>
      </c>
      <c r="DG223" t="inlineStr">
        <is>
          <t>candidate</t>
        </is>
      </c>
      <c r="DJ223" t="inlineStr">
        <is>
          <t>12,617 sf</t>
        </is>
      </c>
      <c r="DK223" t="inlineStr">
        <is>
          <t>10-year renewal (2024) of 12,617 sf on the 19th floor, its primary HQ. Source predates 2024-10-23; company site (pei-architects.com) did not load. Headcount not sourced.</t>
        </is>
      </c>
      <c r="DS223" t="inlineStr">
        <is>
          <t>none</t>
        </is>
      </c>
      <c r="DX223" t="inlineStr">
        <is>
          <t>N</t>
        </is>
      </c>
      <c r="ER223">
        <f>IF(ISNUMBER(MATCH(U223,{"queued","contacted","replied","call_booked","call_done","yes_in_principle","materials_sent"},0)),"Y","N")</f>
        <v/>
      </c>
      <c r="ES223">
        <f>IF(COUNTIFS($AP$2:$AP$1000,AP223,$ER$2:$ER$1000,"Y")+COUNTIFS($AP$2:$AP$1000,AP223,$T$2:$T$1000,"Y")&gt;0,"Y","N")</f>
        <v/>
      </c>
      <c r="ET223">
        <f>IF(AND(U223="new",T223="N",AT223="Y",AS223="",ES223="N"),"Y","N")</f>
        <v/>
      </c>
      <c r="EU223">
        <f>IF(ET223&lt;&gt;"Y","N",IF(COUNTIFS($AP$2:$AP$1000,AP223,$ET$2:$ET$1000,"Y",$J$2:$J$1000,"&gt;"&amp;J223)+COUNTIFS($AP$2:$AP$1000,AP223,$ET$2:$ET$1000,"Y",$J$2:$J$1000,J223,$EW$2:$EW$1000,"&lt;"&amp;EW223)=0,"Y","N"))</f>
        <v/>
      </c>
      <c r="EV223">
        <f>IF(Y223="","N",IF(Y223&lt;=10,"Y","N"))</f>
        <v/>
      </c>
      <c r="EW223">
        <f>ROW()-1</f>
        <v/>
      </c>
    </row>
    <row r="224">
      <c r="A224" t="inlineStr">
        <is>
          <t>AO-C-086</t>
        </is>
      </c>
      <c r="B224" t="inlineStr">
        <is>
          <t>Sharma Brands</t>
        </is>
      </c>
      <c r="H224" t="inlineStr">
        <is>
          <t>none</t>
        </is>
      </c>
      <c r="I224" t="inlineStr">
        <is>
          <t>linkedin</t>
        </is>
      </c>
      <c r="J224">
        <f>IF(AX224="pass",ROUND(CU224+CV224+CW224+CX224+CY224+CZ224,1),0)</f>
        <v/>
      </c>
      <c r="K224" t="inlineStr">
        <is>
          <t>Tuesday headcount unknown (no sourced count), company size unknown, no attendance signal, occupancy-unconfirmed at a low-confidence address; contacts not researched yet (below the top 50).</t>
        </is>
      </c>
      <c r="L224" t="inlineStr">
        <is>
          <t>unknown</t>
        </is>
      </c>
      <c r="R224" t="inlineStr">
        <is>
          <t>N</t>
        </is>
      </c>
      <c r="S224" t="inlineStr">
        <is>
          <t>unknown</t>
        </is>
      </c>
      <c r="T224" t="inlineStr">
        <is>
          <t>N</t>
        </is>
      </c>
      <c r="U224" t="inlineStr">
        <is>
          <t>new</t>
        </is>
      </c>
      <c r="V224" t="inlineStr">
        <is>
          <t>https://commercialobserver.com/2022/11/sharma-brands-leases-6k-sf-at-56-west-22nd-street/</t>
        </is>
      </c>
      <c r="W224" t="inlineStr">
        <is>
          <t>2026-10-23</t>
        </is>
      </c>
      <c r="X224" t="inlineStr">
        <is>
          <t>office</t>
        </is>
      </c>
      <c r="Y224">
        <f>IF(EU224&lt;&gt;"Y","",COUNTIFS($EU$2:$EU$1000,"Y",$J$2:$J$1000,"&gt;"&amp;J224)+COUNTIFS($EU$2:$EU$1000,"Y",$J$2:$J$1000,J224,$EW$2:$EW$1000,"&lt;"&amp;EW224)+1)</f>
        <v/>
      </c>
      <c r="Z224" t="n">
        <v>223</v>
      </c>
      <c r="AA224" t="inlineStr">
        <is>
          <t>N</t>
        </is>
      </c>
      <c r="AD224" t="inlineStr">
        <is>
          <t>none</t>
        </is>
      </c>
      <c r="AH224" t="inlineStr">
        <is>
          <t>none</t>
        </is>
      </c>
      <c r="AI224" t="inlineStr">
        <is>
          <t>56 West 22nd Street</t>
        </is>
      </c>
      <c r="AJ224" t="inlineStr">
        <is>
          <t>11</t>
        </is>
      </c>
      <c r="AK224" t="inlineStr">
        <is>
          <t>occupancy-unconfirmed</t>
        </is>
      </c>
      <c r="AL224" t="inlineStr">
        <is>
          <t>unknown</t>
        </is>
      </c>
      <c r="AM224" t="inlineStr">
        <is>
          <t>unknown</t>
        </is>
      </c>
      <c r="AN224" t="inlineStr">
        <is>
          <t>none</t>
        </is>
      </c>
      <c r="AO224" t="inlineStr">
        <is>
          <t>unknown</t>
        </is>
      </c>
      <c r="AP224" t="inlineStr">
        <is>
          <t>AO-C-086</t>
        </is>
      </c>
      <c r="AQ224" t="inlineStr">
        <is>
          <t>N</t>
        </is>
      </c>
      <c r="AT224">
        <f>IF(AND(AX224="pass",AQ224&lt;&gt;"Y",C224&lt;&gt;"",OR(AW224&lt;&gt;"Y",AV224="Y")),"Y","N")</f>
        <v/>
      </c>
      <c r="AU224">
        <f>_xlfn.TEXTJOIN("; ",TRUE,IF(AX224&lt;&gt;"pass","gated out",""),IF(AQ224="Y","on hold: "&amp;AR224,""),IF(C224="","no contact named on an opened page",""),IF(AND(AW224="Y",AV224&lt;&gt;"Y"),"Tuesday estimate band "&amp;L224&amp;": founder's call",""))</f>
        <v/>
      </c>
      <c r="AW224" t="inlineStr">
        <is>
          <t>N</t>
        </is>
      </c>
      <c r="AX224" t="inlineStr">
        <is>
          <t>pass</t>
        </is>
      </c>
      <c r="AY224" t="inlineStr">
        <is>
          <t>passes all hard gates</t>
        </is>
      </c>
      <c r="AZ224" t="inlineStr">
        <is>
          <t>company</t>
        </is>
      </c>
      <c r="BA224" t="inlineStr">
        <is>
          <t>B-C-086</t>
        </is>
      </c>
      <c r="BB224" t="inlineStr">
        <is>
          <t>https://sharmabrands.com</t>
        </is>
      </c>
      <c r="BC224" t="inlineStr">
        <is>
          <t>brand strategy agency / brand holding company</t>
        </is>
      </c>
      <c r="BD224" t="inlineStr">
        <is>
          <t>unknown</t>
        </is>
      </c>
      <c r="BF224" t="inlineStr">
        <is>
          <t>unknown</t>
        </is>
      </c>
      <c r="BG224" t="inlineStr">
        <is>
          <t>unknown</t>
        </is>
      </c>
      <c r="BH224" t="inlineStr">
        <is>
          <t>no-count</t>
        </is>
      </c>
      <c r="BK224" t="inlineStr">
        <is>
          <t>unknown</t>
        </is>
      </c>
      <c r="BL224" t="inlineStr">
        <is>
          <t>unknown</t>
        </is>
      </c>
      <c r="BM224" t="inlineStr">
        <is>
          <t>unknown</t>
        </is>
      </c>
      <c r="BN224" t="inlineStr">
        <is>
          <t>unknown</t>
        </is>
      </c>
      <c r="BO224" t="inlineStr">
        <is>
          <t>unknown</t>
        </is>
      </c>
      <c r="BP224" t="inlineStr">
        <is>
          <t>10010</t>
        </is>
      </c>
      <c r="BQ224" t="n">
        <v>40.741838</v>
      </c>
      <c r="BR224" t="n">
        <v>-73.992892</v>
      </c>
      <c r="BS224" t="inlineStr">
        <is>
          <t>Y</t>
        </is>
      </c>
      <c r="BT224" t="n">
        <v>0</v>
      </c>
      <c r="BU224" t="inlineStr">
        <is>
          <t>B-B-039</t>
        </is>
      </c>
      <c r="BV224" t="inlineStr">
        <is>
          <t>56 West 22nd Street (Kaufman Organization)</t>
        </is>
      </c>
      <c r="BW224" t="inlineStr">
        <is>
          <t>https://commercialobserver.com/2022/11/sharma-brands-leases-6k-sf-at-56-west-22nd-street/</t>
        </is>
      </c>
      <c r="BX224" t="inlineStr">
        <is>
          <t>2022-11-29</t>
        </is>
      </c>
      <c r="BY224" t="inlineStr">
        <is>
          <t>leasing-press</t>
        </is>
      </c>
      <c r="CC224" t="inlineStr">
        <is>
          <t>low</t>
        </is>
      </c>
      <c r="CE224" t="inlineStr">
        <is>
          <t>N</t>
        </is>
      </c>
      <c r="CH224" t="inlineStr">
        <is>
          <t>unknown</t>
        </is>
      </c>
      <c r="CJ224" t="inlineStr">
        <is>
          <t>unknown</t>
        </is>
      </c>
      <c r="CK224" t="inlineStr">
        <is>
          <t>N</t>
        </is>
      </c>
      <c r="CL224" t="inlineStr">
        <is>
          <t>unknown</t>
        </is>
      </c>
      <c r="CO224" t="inlineStr">
        <is>
          <t>unknown</t>
        </is>
      </c>
      <c r="CQ224" t="inlineStr">
        <is>
          <t>No sourced headcount, so no Tuesday estimate; ask the Tuesday count at intake.</t>
        </is>
      </c>
      <c r="CR224" t="inlineStr">
        <is>
          <t>estimate until intake replaces it</t>
        </is>
      </c>
      <c r="CS224" t="inlineStr">
        <is>
          <t>unknown</t>
        </is>
      </c>
      <c r="CT224" t="n">
        <v>26</v>
      </c>
      <c r="CU224" t="n">
        <v>7</v>
      </c>
      <c r="CV224" t="n">
        <v>8</v>
      </c>
      <c r="CW224" t="n">
        <v>6</v>
      </c>
      <c r="CX224" t="n">
        <v>5</v>
      </c>
      <c r="CY224">
        <f>IF(AH224="exact",10,IF(AH224="adjacent",5,0))</f>
        <v/>
      </c>
      <c r="CZ224">
        <f>IF(R224="Y",15,0)</f>
        <v/>
      </c>
      <c r="DF224" t="inlineStr">
        <is>
          <t>none</t>
        </is>
      </c>
      <c r="DG224" t="inlineStr">
        <is>
          <t>candidate</t>
        </is>
      </c>
      <c r="DJ224" t="inlineStr">
        <is>
          <t>5,508 sf</t>
        </is>
      </c>
      <c r="DK224" t="inlineStr">
        <is>
          <t>Five-year lease (2022) of the full 11th floor (5,508 sf), shared with portfolio company 1180 Media. Not re-confirmed; site shows no address.</t>
        </is>
      </c>
      <c r="DS224" t="inlineStr">
        <is>
          <t>none</t>
        </is>
      </c>
      <c r="DX224" t="inlineStr">
        <is>
          <t>N</t>
        </is>
      </c>
      <c r="ER224">
        <f>IF(ISNUMBER(MATCH(U224,{"queued","contacted","replied","call_booked","call_done","yes_in_principle","materials_sent"},0)),"Y","N")</f>
        <v/>
      </c>
      <c r="ES224">
        <f>IF(COUNTIFS($AP$2:$AP$1000,AP224,$ER$2:$ER$1000,"Y")+COUNTIFS($AP$2:$AP$1000,AP224,$T$2:$T$1000,"Y")&gt;0,"Y","N")</f>
        <v/>
      </c>
      <c r="ET224">
        <f>IF(AND(U224="new",T224="N",AT224="Y",AS224="",ES224="N"),"Y","N")</f>
        <v/>
      </c>
      <c r="EU224">
        <f>IF(ET224&lt;&gt;"Y","N",IF(COUNTIFS($AP$2:$AP$1000,AP224,$ET$2:$ET$1000,"Y",$J$2:$J$1000,"&gt;"&amp;J224)+COUNTIFS($AP$2:$AP$1000,AP224,$ET$2:$ET$1000,"Y",$J$2:$J$1000,J224,$EW$2:$EW$1000,"&lt;"&amp;EW224)=0,"Y","N"))</f>
        <v/>
      </c>
      <c r="EV224">
        <f>IF(Y224="","N",IF(Y224&lt;=10,"Y","N"))</f>
        <v/>
      </c>
      <c r="EW224">
        <f>ROW()-1</f>
        <v/>
      </c>
    </row>
    <row r="225">
      <c r="A225" t="inlineStr">
        <is>
          <t>AO-C-089</t>
        </is>
      </c>
      <c r="B225" t="inlineStr">
        <is>
          <t>Sussex Publishers (Psychology Today)</t>
        </is>
      </c>
      <c r="H225" t="inlineStr">
        <is>
          <t>none</t>
        </is>
      </c>
      <c r="I225" t="inlineStr">
        <is>
          <t>linkedin</t>
        </is>
      </c>
      <c r="J225">
        <f>IF(AX225="pass",ROUND(CU225+CV225+CW225+CX225+CY225+CZ225,1),0)</f>
        <v/>
      </c>
      <c r="K225" t="inlineStr">
        <is>
          <t>Tuesday headcount unknown (no sourced count), company size unknown, no attendance signal, occupancy-unconfirmed at a low-confidence address; contacts not researched yet (below the top 50).</t>
        </is>
      </c>
      <c r="L225" t="inlineStr">
        <is>
          <t>unknown</t>
        </is>
      </c>
      <c r="R225" t="inlineStr">
        <is>
          <t>N</t>
        </is>
      </c>
      <c r="S225" t="inlineStr">
        <is>
          <t>unknown</t>
        </is>
      </c>
      <c r="T225" t="inlineStr">
        <is>
          <t>N</t>
        </is>
      </c>
      <c r="U225" t="inlineStr">
        <is>
          <t>new</t>
        </is>
      </c>
      <c r="V225" t="inlineStr">
        <is>
          <t>https://commercialobserver.com/2023/11/psychology-today-16-west-22nd-street-lease-relocation/</t>
        </is>
      </c>
      <c r="W225" t="inlineStr">
        <is>
          <t>2026-10-23</t>
        </is>
      </c>
      <c r="X225" t="inlineStr">
        <is>
          <t>office</t>
        </is>
      </c>
      <c r="Y225">
        <f>IF(EU225&lt;&gt;"Y","",COUNTIFS($EU$2:$EU$1000,"Y",$J$2:$J$1000,"&gt;"&amp;J225)+COUNTIFS($EU$2:$EU$1000,"Y",$J$2:$J$1000,J225,$EW$2:$EW$1000,"&lt;"&amp;EW225)+1)</f>
        <v/>
      </c>
      <c r="Z225" t="n">
        <v>224</v>
      </c>
      <c r="AA225" t="inlineStr">
        <is>
          <t>N</t>
        </is>
      </c>
      <c r="AD225" t="inlineStr">
        <is>
          <t>none</t>
        </is>
      </c>
      <c r="AH225" t="inlineStr">
        <is>
          <t>none</t>
        </is>
      </c>
      <c r="AI225" t="inlineStr">
        <is>
          <t>16 West 22nd Street</t>
        </is>
      </c>
      <c r="AJ225" t="inlineStr">
        <is>
          <t>2</t>
        </is>
      </c>
      <c r="AK225" t="inlineStr">
        <is>
          <t>occupancy-unconfirmed</t>
        </is>
      </c>
      <c r="AL225" t="inlineStr">
        <is>
          <t>unknown</t>
        </is>
      </c>
      <c r="AM225" t="inlineStr">
        <is>
          <t>unknown</t>
        </is>
      </c>
      <c r="AN225" t="inlineStr">
        <is>
          <t>none</t>
        </is>
      </c>
      <c r="AO225" t="inlineStr">
        <is>
          <t>unknown</t>
        </is>
      </c>
      <c r="AP225" t="inlineStr">
        <is>
          <t>AO-C-089</t>
        </is>
      </c>
      <c r="AQ225" t="inlineStr">
        <is>
          <t>N</t>
        </is>
      </c>
      <c r="AT225">
        <f>IF(AND(AX225="pass",AQ225&lt;&gt;"Y",C225&lt;&gt;"",OR(AW225&lt;&gt;"Y",AV225="Y")),"Y","N")</f>
        <v/>
      </c>
      <c r="AU225">
        <f>_xlfn.TEXTJOIN("; ",TRUE,IF(AX225&lt;&gt;"pass","gated out",""),IF(AQ225="Y","on hold: "&amp;AR225,""),IF(C225="","no contact named on an opened page",""),IF(AND(AW225="Y",AV225&lt;&gt;"Y"),"Tuesday estimate band "&amp;L225&amp;": founder's call",""))</f>
        <v/>
      </c>
      <c r="AW225" t="inlineStr">
        <is>
          <t>N</t>
        </is>
      </c>
      <c r="AX225" t="inlineStr">
        <is>
          <t>pass</t>
        </is>
      </c>
      <c r="AY225" t="inlineStr">
        <is>
          <t>passes all hard gates</t>
        </is>
      </c>
      <c r="AZ225" t="inlineStr">
        <is>
          <t>company</t>
        </is>
      </c>
      <c r="BA225" t="inlineStr">
        <is>
          <t>B-C-089</t>
        </is>
      </c>
      <c r="BB225" t="inlineStr">
        <is>
          <t>https://www.psychologytoday.com</t>
        </is>
      </c>
      <c r="BC225" t="inlineStr">
        <is>
          <t>publishing / digital media</t>
        </is>
      </c>
      <c r="BD225" t="inlineStr">
        <is>
          <t>unknown</t>
        </is>
      </c>
      <c r="BF225" t="inlineStr">
        <is>
          <t>unknown</t>
        </is>
      </c>
      <c r="BG225" t="inlineStr">
        <is>
          <t>unknown</t>
        </is>
      </c>
      <c r="BH225" t="inlineStr">
        <is>
          <t>no-count</t>
        </is>
      </c>
      <c r="BK225" t="inlineStr">
        <is>
          <t>unknown</t>
        </is>
      </c>
      <c r="BL225" t="inlineStr">
        <is>
          <t>unknown</t>
        </is>
      </c>
      <c r="BM225" t="inlineStr">
        <is>
          <t>unknown</t>
        </is>
      </c>
      <c r="BN225" t="inlineStr">
        <is>
          <t>unknown</t>
        </is>
      </c>
      <c r="BO225" t="inlineStr">
        <is>
          <t>unknown</t>
        </is>
      </c>
      <c r="BP225" t="inlineStr">
        <is>
          <t>10010</t>
        </is>
      </c>
      <c r="BQ225" t="n">
        <v>40.74118</v>
      </c>
      <c r="BR225" t="n">
        <v>-73.99129000000001</v>
      </c>
      <c r="BS225" t="inlineStr">
        <is>
          <t>Y</t>
        </is>
      </c>
      <c r="BT225" t="n">
        <v>0</v>
      </c>
      <c r="BU225" t="inlineStr">
        <is>
          <t>B-B-041</t>
        </is>
      </c>
      <c r="BV225" t="inlineStr">
        <is>
          <t>16 West 22nd Street (Meysar Realty / GFP)</t>
        </is>
      </c>
      <c r="BW225" t="inlineStr">
        <is>
          <t>https://commercialobserver.com/2023/11/psychology-today-16-west-22nd-street-lease-relocation/</t>
        </is>
      </c>
      <c r="BX225" t="inlineStr">
        <is>
          <t>2023-11-27</t>
        </is>
      </c>
      <c r="BY225" t="inlineStr">
        <is>
          <t>leasing-press</t>
        </is>
      </c>
      <c r="CC225" t="inlineStr">
        <is>
          <t>low</t>
        </is>
      </c>
      <c r="CE225" t="inlineStr">
        <is>
          <t>N</t>
        </is>
      </c>
      <c r="CH225" t="inlineStr">
        <is>
          <t>unknown</t>
        </is>
      </c>
      <c r="CJ225" t="inlineStr">
        <is>
          <t>unknown</t>
        </is>
      </c>
      <c r="CK225" t="inlineStr">
        <is>
          <t>N</t>
        </is>
      </c>
      <c r="CL225" t="inlineStr">
        <is>
          <t>unknown</t>
        </is>
      </c>
      <c r="CO225" t="inlineStr">
        <is>
          <t>unknown</t>
        </is>
      </c>
      <c r="CQ225" t="inlineStr">
        <is>
          <t>No sourced headcount, so no Tuesday estimate; ask the Tuesday count at intake.</t>
        </is>
      </c>
      <c r="CR225" t="inlineStr">
        <is>
          <t>estimate until intake replaces it</t>
        </is>
      </c>
      <c r="CS225" t="inlineStr">
        <is>
          <t>unknown</t>
        </is>
      </c>
      <c r="CT225" t="n">
        <v>26</v>
      </c>
      <c r="CU225" t="n">
        <v>7</v>
      </c>
      <c r="CV225" t="n">
        <v>8</v>
      </c>
      <c r="CW225" t="n">
        <v>6</v>
      </c>
      <c r="CX225" t="n">
        <v>5</v>
      </c>
      <c r="CY225">
        <f>IF(AH225="exact",10,IF(AH225="adjacent",5,0))</f>
        <v/>
      </c>
      <c r="CZ225">
        <f>IF(R225="Y",15,0)</f>
        <v/>
      </c>
      <c r="DF225" t="inlineStr">
        <is>
          <t>none</t>
        </is>
      </c>
      <c r="DG225" t="inlineStr">
        <is>
          <t>candidate</t>
        </is>
      </c>
      <c r="DJ225" t="inlineStr">
        <is>
          <t>3,285 sf</t>
        </is>
      </c>
      <c r="DK225" t="inlineStr">
        <is>
          <t>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DS225" t="inlineStr">
        <is>
          <t>none</t>
        </is>
      </c>
      <c r="DX225" t="inlineStr">
        <is>
          <t>N</t>
        </is>
      </c>
      <c r="ER225">
        <f>IF(ISNUMBER(MATCH(U225,{"queued","contacted","replied","call_booked","call_done","yes_in_principle","materials_sent"},0)),"Y","N")</f>
        <v/>
      </c>
      <c r="ES225">
        <f>IF(COUNTIFS($AP$2:$AP$1000,AP225,$ER$2:$ER$1000,"Y")+COUNTIFS($AP$2:$AP$1000,AP225,$T$2:$T$1000,"Y")&gt;0,"Y","N")</f>
        <v/>
      </c>
      <c r="ET225">
        <f>IF(AND(U225="new",T225="N",AT225="Y",AS225="",ES225="N"),"Y","N")</f>
        <v/>
      </c>
      <c r="EU225">
        <f>IF(ET225&lt;&gt;"Y","N",IF(COUNTIFS($AP$2:$AP$1000,AP225,$ET$2:$ET$1000,"Y",$J$2:$J$1000,"&gt;"&amp;J225)+COUNTIFS($AP$2:$AP$1000,AP225,$ET$2:$ET$1000,"Y",$J$2:$J$1000,J225,$EW$2:$EW$1000,"&lt;"&amp;EW225)=0,"Y","N"))</f>
        <v/>
      </c>
      <c r="EV225">
        <f>IF(Y225="","N",IF(Y225&lt;=10,"Y","N"))</f>
        <v/>
      </c>
      <c r="EW225">
        <f>ROW()-1</f>
        <v/>
      </c>
    </row>
    <row r="226">
      <c r="A226" t="inlineStr">
        <is>
          <t>AO-C-150</t>
        </is>
      </c>
      <c r="B226" t="inlineStr">
        <is>
          <t>The Corcoran Group</t>
        </is>
      </c>
      <c r="H226" t="inlineStr">
        <is>
          <t>none</t>
        </is>
      </c>
      <c r="I226" t="inlineStr">
        <is>
          <t>linkedin</t>
        </is>
      </c>
      <c r="J226">
        <f>IF(AX226="pass",ROUND(CU226+CV226+CW226+CX226+CY226+CZ226,1),0)</f>
        <v/>
      </c>
      <c r="K226" t="inlineStr">
        <is>
          <t>Tuesday headcount unknown (no sourced count), company size unknown with a named parent (Compass, Inc.), no attendance signal, occupancy-unconfirmed at a medium-confidence address; contacts not researched yet (below the top 50).</t>
        </is>
      </c>
      <c r="L226" t="inlineStr">
        <is>
          <t>unknown</t>
        </is>
      </c>
      <c r="O226" t="inlineStr">
        <is>
          <t>New or renewed lease at 381 Park Avenue South reported 2026-04-01</t>
        </is>
      </c>
      <c r="P226" t="inlineStr">
        <is>
          <t>https://commercialobserver.com/2026/04/corcoran-group-lease-381-park-avenue-south/</t>
        </is>
      </c>
      <c r="Q226" t="inlineStr">
        <is>
          <t>2026-04-01</t>
        </is>
      </c>
      <c r="R226" t="inlineStr">
        <is>
          <t>N</t>
        </is>
      </c>
      <c r="S226" t="inlineStr">
        <is>
          <t>unknown</t>
        </is>
      </c>
      <c r="T226" t="inlineStr">
        <is>
          <t>N</t>
        </is>
      </c>
      <c r="U226" t="inlineStr">
        <is>
          <t>new</t>
        </is>
      </c>
      <c r="V226" t="inlineStr">
        <is>
          <t>https://commercialobserver.com/2026/04/corcoran-group-lease-381-park-avenue-south/</t>
        </is>
      </c>
      <c r="W226" t="inlineStr">
        <is>
          <t>2026-10-23</t>
        </is>
      </c>
      <c r="X226" t="inlineStr">
        <is>
          <t>office</t>
        </is>
      </c>
      <c r="Y226">
        <f>IF(EU226&lt;&gt;"Y","",COUNTIFS($EU$2:$EU$1000,"Y",$J$2:$J$1000,"&gt;"&amp;J226)+COUNTIFS($EU$2:$EU$1000,"Y",$J$2:$J$1000,J226,$EW$2:$EW$1000,"&lt;"&amp;EW226)+1)</f>
        <v/>
      </c>
      <c r="Z226" t="n">
        <v>225</v>
      </c>
      <c r="AA226" t="inlineStr">
        <is>
          <t>N</t>
        </is>
      </c>
      <c r="AD226" t="inlineStr">
        <is>
          <t>none</t>
        </is>
      </c>
      <c r="AH226" t="inlineStr">
        <is>
          <t>none</t>
        </is>
      </c>
      <c r="AI226" t="inlineStr">
        <is>
          <t>381 Park Avenue South</t>
        </is>
      </c>
      <c r="AJ226" t="inlineStr">
        <is>
          <t>full floor (number not stated)</t>
        </is>
      </c>
      <c r="AK226" t="inlineStr">
        <is>
          <t>occupancy-unconfirmed</t>
        </is>
      </c>
      <c r="AL226" t="inlineStr">
        <is>
          <t>unknown</t>
        </is>
      </c>
      <c r="AM226" t="inlineStr">
        <is>
          <t>unknown</t>
        </is>
      </c>
      <c r="AN226" t="inlineStr">
        <is>
          <t>none</t>
        </is>
      </c>
      <c r="AO226" t="inlineStr">
        <is>
          <t>unknown</t>
        </is>
      </c>
      <c r="AP226" t="inlineStr">
        <is>
          <t>AO-C-150</t>
        </is>
      </c>
      <c r="AQ226" t="inlineStr">
        <is>
          <t>N</t>
        </is>
      </c>
      <c r="AT226">
        <f>IF(AND(AX226="pass",AQ226&lt;&gt;"Y",C226&lt;&gt;"",OR(AW226&lt;&gt;"Y",AV226="Y")),"Y","N")</f>
        <v/>
      </c>
      <c r="AU226">
        <f>_xlfn.TEXTJOIN("; ",TRUE,IF(AX226&lt;&gt;"pass","gated out",""),IF(AQ226="Y","on hold: "&amp;AR226,""),IF(C226="","no contact named on an opened page",""),IF(AND(AW226="Y",AV226&lt;&gt;"Y"),"Tuesday estimate band "&amp;L226&amp;": founder's call",""))</f>
        <v/>
      </c>
      <c r="AW226" t="inlineStr">
        <is>
          <t>N</t>
        </is>
      </c>
      <c r="AX226" t="inlineStr">
        <is>
          <t>pass</t>
        </is>
      </c>
      <c r="AY226" t="inlineStr">
        <is>
          <t>passes all hard gates</t>
        </is>
      </c>
      <c r="AZ226" t="inlineStr">
        <is>
          <t>company</t>
        </is>
      </c>
      <c r="BA226" t="inlineStr">
        <is>
          <t>B-C-150</t>
        </is>
      </c>
      <c r="BB226" t="inlineStr">
        <is>
          <t>https://www.corcoran.com</t>
        </is>
      </c>
      <c r="BC226" t="inlineStr">
        <is>
          <t>residential real estate brokerage</t>
        </is>
      </c>
      <c r="BD226" t="inlineStr">
        <is>
          <t>unknown</t>
        </is>
      </c>
      <c r="BF226" t="inlineStr">
        <is>
          <t>unknown</t>
        </is>
      </c>
      <c r="BG226" t="inlineStr">
        <is>
          <t>unknown</t>
        </is>
      </c>
      <c r="BH226" t="inlineStr">
        <is>
          <t>no-count</t>
        </is>
      </c>
      <c r="BK226" t="inlineStr">
        <is>
          <t>unknown</t>
        </is>
      </c>
      <c r="BL226" t="inlineStr">
        <is>
          <t>unknown</t>
        </is>
      </c>
      <c r="BM226" t="inlineStr">
        <is>
          <t>unknown</t>
        </is>
      </c>
      <c r="BN226" t="inlineStr">
        <is>
          <t>Compass, Inc.</t>
        </is>
      </c>
      <c r="BO226" t="inlineStr">
        <is>
          <t>unknown</t>
        </is>
      </c>
      <c r="BP226" t="inlineStr">
        <is>
          <t>10016</t>
        </is>
      </c>
      <c r="BQ226" t="n">
        <v>40.7425</v>
      </c>
      <c r="BR226" t="n">
        <v>-73.98444600000001</v>
      </c>
      <c r="BS226" t="inlineStr">
        <is>
          <t>Y</t>
        </is>
      </c>
      <c r="BT226" t="n">
        <v>0</v>
      </c>
      <c r="BU226" t="inlineStr">
        <is>
          <t>B-B-068</t>
        </is>
      </c>
      <c r="BV226" t="inlineStr">
        <is>
          <t>381 Park Avenue South (Olmstead Properties and Vertex)</t>
        </is>
      </c>
      <c r="BW226" t="inlineStr">
        <is>
          <t>https://commercialobserver.com/2026/04/corcoran-group-lease-381-park-avenue-south/</t>
        </is>
      </c>
      <c r="BX226" t="inlineStr">
        <is>
          <t>2026-04-01</t>
        </is>
      </c>
      <c r="BY226" t="inlineStr">
        <is>
          <t>leasing-press</t>
        </is>
      </c>
      <c r="CC226" t="inlineStr">
        <is>
          <t>medium</t>
        </is>
      </c>
      <c r="CE226" t="inlineStr">
        <is>
          <t>N</t>
        </is>
      </c>
      <c r="CH226" t="inlineStr">
        <is>
          <t>unknown</t>
        </is>
      </c>
      <c r="CJ226" t="inlineStr">
        <is>
          <t>unknown</t>
        </is>
      </c>
      <c r="CK226" t="inlineStr">
        <is>
          <t>N</t>
        </is>
      </c>
      <c r="CL226" t="inlineStr">
        <is>
          <t>unknown</t>
        </is>
      </c>
      <c r="CO226" t="inlineStr">
        <is>
          <t>unknown</t>
        </is>
      </c>
      <c r="CQ226" t="inlineStr">
        <is>
          <t>No sourced headcount, so no Tuesday estimate; ask the Tuesday count at intake.</t>
        </is>
      </c>
      <c r="CR226" t="inlineStr">
        <is>
          <t>estimate until intake replaces it</t>
        </is>
      </c>
      <c r="CS226" t="inlineStr">
        <is>
          <t>unknown</t>
        </is>
      </c>
      <c r="CT226" t="n">
        <v>25</v>
      </c>
      <c r="CU226" t="n">
        <v>7</v>
      </c>
      <c r="CV226" t="n">
        <v>4</v>
      </c>
      <c r="CW226" t="n">
        <v>6</v>
      </c>
      <c r="CX226" t="n">
        <v>8</v>
      </c>
      <c r="CY226">
        <f>IF(AH226="exact",10,IF(AH226="adjacent",5,0))</f>
        <v/>
      </c>
      <c r="CZ226">
        <f>IF(R226="Y",15,0)</f>
        <v/>
      </c>
      <c r="DF226" t="inlineStr">
        <is>
          <t>none</t>
        </is>
      </c>
      <c r="DG226" t="inlineStr">
        <is>
          <t>candidate</t>
        </is>
      </c>
      <c r="DJ226" t="inlineStr">
        <is>
          <t>14,710 sf</t>
        </is>
      </c>
      <c r="DK226" t="inlineStr">
        <is>
          <t>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S226" t="inlineStr">
        <is>
          <t>none</t>
        </is>
      </c>
      <c r="DX226" t="inlineStr">
        <is>
          <t>N</t>
        </is>
      </c>
      <c r="ER226">
        <f>IF(ISNUMBER(MATCH(U226,{"queued","contacted","replied","call_booked","call_done","yes_in_principle","materials_sent"},0)),"Y","N")</f>
        <v/>
      </c>
      <c r="ES226">
        <f>IF(COUNTIFS($AP$2:$AP$1000,AP226,$ER$2:$ER$1000,"Y")+COUNTIFS($AP$2:$AP$1000,AP226,$T$2:$T$1000,"Y")&gt;0,"Y","N")</f>
        <v/>
      </c>
      <c r="ET226">
        <f>IF(AND(U226="new",T226="N",AT226="Y",AS226="",ES226="N"),"Y","N")</f>
        <v/>
      </c>
      <c r="EU226">
        <f>IF(ET226&lt;&gt;"Y","N",IF(COUNTIFS($AP$2:$AP$1000,AP226,$ET$2:$ET$1000,"Y",$J$2:$J$1000,"&gt;"&amp;J226)+COUNTIFS($AP$2:$AP$1000,AP226,$ET$2:$ET$1000,"Y",$J$2:$J$1000,J226,$EW$2:$EW$1000,"&lt;"&amp;EW226)=0,"Y","N"))</f>
        <v/>
      </c>
      <c r="EV226">
        <f>IF(Y226="","N",IF(Y226&lt;=10,"Y","N"))</f>
        <v/>
      </c>
      <c r="EW226">
        <f>ROW()-1</f>
        <v/>
      </c>
    </row>
    <row r="227">
      <c r="A227" t="inlineStr">
        <is>
          <t>AO-C-136</t>
        </is>
      </c>
      <c r="B227" t="inlineStr">
        <is>
          <t>Suvretta Capital Management</t>
        </is>
      </c>
      <c r="H227" t="inlineStr">
        <is>
          <t>none</t>
        </is>
      </c>
      <c r="I227" t="inlineStr">
        <is>
          <t>linkedin</t>
        </is>
      </c>
      <c r="J227">
        <f>IF(AX227="pass",ROUND(CU227+CV227+CW227+CX227+CY227+CZ227,1),0)</f>
        <v/>
      </c>
      <c r="K227" t="inlineStr">
        <is>
          <t>Tuesday headcount unknown (no sourced count), company size unknown, no attendance signal, signed-not-occupied at a low-confidence address (hold: lease signed, move not confirmed); contacts not researched yet (below the top 50).</t>
        </is>
      </c>
      <c r="L227" t="inlineStr">
        <is>
          <t>unknown</t>
        </is>
      </c>
      <c r="R227" t="inlineStr">
        <is>
          <t>N</t>
        </is>
      </c>
      <c r="S227" t="inlineStr">
        <is>
          <t>unknown</t>
        </is>
      </c>
      <c r="T227" t="inlineStr">
        <is>
          <t>N</t>
        </is>
      </c>
      <c r="U227" t="inlineStr">
        <is>
          <t>new</t>
        </is>
      </c>
      <c r="V227" t="inlineStr">
        <is>
          <t>https://commercialobserver.com/2025/05/suvretta-capital-managment-lease-11-east-26th-street/</t>
        </is>
      </c>
      <c r="W227" t="inlineStr">
        <is>
          <t>2026-10-23</t>
        </is>
      </c>
      <c r="X227" t="inlineStr">
        <is>
          <t>office</t>
        </is>
      </c>
      <c r="Y227">
        <f>IF(EU227&lt;&gt;"Y","",COUNTIFS($EU$2:$EU$1000,"Y",$J$2:$J$1000,"&gt;"&amp;J227)+COUNTIFS($EU$2:$EU$1000,"Y",$J$2:$J$1000,J227,$EW$2:$EW$1000,"&lt;"&amp;EW227)+1)</f>
        <v/>
      </c>
      <c r="Z227" t="n">
        <v>226</v>
      </c>
      <c r="AA227" t="inlineStr">
        <is>
          <t>N</t>
        </is>
      </c>
      <c r="AD227" t="inlineStr">
        <is>
          <t>none</t>
        </is>
      </c>
      <c r="AH227" t="inlineStr">
        <is>
          <t>none</t>
        </is>
      </c>
      <c r="AI227" t="inlineStr">
        <is>
          <t>11 East 26th Street</t>
        </is>
      </c>
      <c r="AJ227" t="inlineStr">
        <is>
          <t>16</t>
        </is>
      </c>
      <c r="AK227" t="inlineStr">
        <is>
          <t>signed-not-occupied</t>
        </is>
      </c>
      <c r="AL227" t="inlineStr">
        <is>
          <t>unknown</t>
        </is>
      </c>
      <c r="AM227" t="inlineStr">
        <is>
          <t>unknown</t>
        </is>
      </c>
      <c r="AN227" t="inlineStr">
        <is>
          <t>none</t>
        </is>
      </c>
      <c r="AO227" t="inlineStr">
        <is>
          <t>unknown</t>
        </is>
      </c>
      <c r="AP227" t="inlineStr">
        <is>
          <t>AO-C-136</t>
        </is>
      </c>
      <c r="AQ227" t="inlineStr">
        <is>
          <t>Y</t>
        </is>
      </c>
      <c r="AR227" t="inlineStr">
        <is>
          <t>lease signed, move not confirmed: check the lobby directory before outreach (B)</t>
        </is>
      </c>
      <c r="AT227">
        <f>IF(AND(AX227="pass",AQ227&lt;&gt;"Y",C227&lt;&gt;"",OR(AW227&lt;&gt;"Y",AV227="Y")),"Y","N")</f>
        <v/>
      </c>
      <c r="AU227">
        <f>_xlfn.TEXTJOIN("; ",TRUE,IF(AX227&lt;&gt;"pass","gated out",""),IF(AQ227="Y","on hold: "&amp;AR227,""),IF(C227="","no contact named on an opened page",""),IF(AND(AW227="Y",AV227&lt;&gt;"Y"),"Tuesday estimate band "&amp;L227&amp;": founder's call",""))</f>
        <v/>
      </c>
      <c r="AW227" t="inlineStr">
        <is>
          <t>N</t>
        </is>
      </c>
      <c r="AX227" t="inlineStr">
        <is>
          <t>pass</t>
        </is>
      </c>
      <c r="AY227" t="inlineStr">
        <is>
          <t>passes all hard gates</t>
        </is>
      </c>
      <c r="AZ227" t="inlineStr">
        <is>
          <t>company</t>
        </is>
      </c>
      <c r="BA227" t="inlineStr">
        <is>
          <t>B-C-136</t>
        </is>
      </c>
      <c r="BB227" t="inlineStr">
        <is>
          <t>https://www.suvcap.com</t>
        </is>
      </c>
      <c r="BC227" t="inlineStr">
        <is>
          <t>hedge fund</t>
        </is>
      </c>
      <c r="BD227" t="inlineStr">
        <is>
          <t>unknown</t>
        </is>
      </c>
      <c r="BF227" t="inlineStr">
        <is>
          <t>unknown</t>
        </is>
      </c>
      <c r="BG227" t="inlineStr">
        <is>
          <t>unknown</t>
        </is>
      </c>
      <c r="BH227" t="inlineStr">
        <is>
          <t>no-count</t>
        </is>
      </c>
      <c r="BK227" t="inlineStr">
        <is>
          <t>unknown</t>
        </is>
      </c>
      <c r="BL227" t="inlineStr">
        <is>
          <t>unknown</t>
        </is>
      </c>
      <c r="BM227" t="inlineStr">
        <is>
          <t>unknown</t>
        </is>
      </c>
      <c r="BN227" t="inlineStr">
        <is>
          <t>unknown</t>
        </is>
      </c>
      <c r="BO227" t="inlineStr">
        <is>
          <t>unknown</t>
        </is>
      </c>
      <c r="BP227" t="inlineStr">
        <is>
          <t>10010</t>
        </is>
      </c>
      <c r="BQ227" t="n">
        <v>40.743309</v>
      </c>
      <c r="BR227" t="n">
        <v>-73.987329</v>
      </c>
      <c r="BS227" t="inlineStr">
        <is>
          <t>Y</t>
        </is>
      </c>
      <c r="BT227" t="n">
        <v>0</v>
      </c>
      <c r="BU227" t="inlineStr">
        <is>
          <t>B-B-065</t>
        </is>
      </c>
      <c r="BV227" t="inlineStr">
        <is>
          <t>11 East 26th Street (Rockrose; joined to 15 East 26th Street)</t>
        </is>
      </c>
      <c r="BW227" t="inlineStr">
        <is>
          <t>https://commercialobserver.com/2025/05/suvretta-capital-managment-lease-11-east-26th-street/</t>
        </is>
      </c>
      <c r="BX227" t="inlineStr">
        <is>
          <t>2025-05-27</t>
        </is>
      </c>
      <c r="BY227" t="inlineStr">
        <is>
          <t>leasing-press</t>
        </is>
      </c>
      <c r="CC227" t="inlineStr">
        <is>
          <t>low</t>
        </is>
      </c>
      <c r="CD227" t="inlineStr">
        <is>
          <t>unknown</t>
        </is>
      </c>
      <c r="CE227" t="inlineStr">
        <is>
          <t>N</t>
        </is>
      </c>
      <c r="CH227" t="inlineStr">
        <is>
          <t>unknown</t>
        </is>
      </c>
      <c r="CJ227" t="inlineStr">
        <is>
          <t>unknown</t>
        </is>
      </c>
      <c r="CK227" t="inlineStr">
        <is>
          <t>N</t>
        </is>
      </c>
      <c r="CL227" t="inlineStr">
        <is>
          <t>unknown</t>
        </is>
      </c>
      <c r="CO227" t="inlineStr">
        <is>
          <t>unknown</t>
        </is>
      </c>
      <c r="CQ227" t="inlineStr">
        <is>
          <t>No sourced headcount, so no Tuesday estimate; ask the Tuesday count at intake.</t>
        </is>
      </c>
      <c r="CR227" t="inlineStr">
        <is>
          <t>estimate until intake replaces it</t>
        </is>
      </c>
      <c r="CS227" t="inlineStr">
        <is>
          <t>unknown</t>
        </is>
      </c>
      <c r="CT227" t="n">
        <v>23</v>
      </c>
      <c r="CU227" t="n">
        <v>7</v>
      </c>
      <c r="CV227" t="n">
        <v>8</v>
      </c>
      <c r="CW227" t="n">
        <v>6</v>
      </c>
      <c r="CX227" t="n">
        <v>2</v>
      </c>
      <c r="CY227">
        <f>IF(AH227="exact",10,IF(AH227="adjacent",5,0))</f>
        <v/>
      </c>
      <c r="CZ227">
        <f>IF(R227="Y",15,0)</f>
        <v/>
      </c>
      <c r="DF227" t="inlineStr">
        <is>
          <t>none</t>
        </is>
      </c>
      <c r="DG227" t="inlineStr">
        <is>
          <t>candidate</t>
        </is>
      </c>
      <c r="DJ227" t="inlineStr">
        <is>
          <t>12,134 sf</t>
        </is>
      </c>
      <c r="DK227" t="inlineStr">
        <is>
          <t>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227" t="inlineStr">
        <is>
          <t>none</t>
        </is>
      </c>
      <c r="DX227" t="inlineStr">
        <is>
          <t>N</t>
        </is>
      </c>
      <c r="ER227">
        <f>IF(ISNUMBER(MATCH(U227,{"queued","contacted","replied","call_booked","call_done","yes_in_principle","materials_sent"},0)),"Y","N")</f>
        <v/>
      </c>
      <c r="ES227">
        <f>IF(COUNTIFS($AP$2:$AP$1000,AP227,$ER$2:$ER$1000,"Y")+COUNTIFS($AP$2:$AP$1000,AP227,$T$2:$T$1000,"Y")&gt;0,"Y","N")</f>
        <v/>
      </c>
      <c r="ET227">
        <f>IF(AND(U227="new",T227="N",AT227="Y",AS227="",ES227="N"),"Y","N")</f>
        <v/>
      </c>
      <c r="EU227">
        <f>IF(ET227&lt;&gt;"Y","N",IF(COUNTIFS($AP$2:$AP$1000,AP227,$ET$2:$ET$1000,"Y",$J$2:$J$1000,"&gt;"&amp;J227)+COUNTIFS($AP$2:$AP$1000,AP227,$ET$2:$ET$1000,"Y",$J$2:$J$1000,J227,$EW$2:$EW$1000,"&lt;"&amp;EW227)=0,"Y","N"))</f>
        <v/>
      </c>
      <c r="EV227">
        <f>IF(Y227="","N",IF(Y227&lt;=10,"Y","N"))</f>
        <v/>
      </c>
      <c r="EW227">
        <f>ROW()-1</f>
        <v/>
      </c>
    </row>
    <row r="228">
      <c r="A228" t="inlineStr">
        <is>
          <t>AO-C-137</t>
        </is>
      </c>
      <c r="B228" t="inlineStr">
        <is>
          <t>Vestal Point Capital</t>
        </is>
      </c>
      <c r="H228" t="inlineStr">
        <is>
          <t>none</t>
        </is>
      </c>
      <c r="I228" t="inlineStr">
        <is>
          <t>linkedin</t>
        </is>
      </c>
      <c r="J228">
        <f>IF(AX228="pass",ROUND(CU228+CV228+CW228+CX228+CY228+CZ228,1),0)</f>
        <v/>
      </c>
      <c r="K228" t="inlineStr">
        <is>
          <t>Tuesday headcount unknown (no sourced count), company size unknown, no attendance signal, signed-not-occupied at a low-confidence address (hold: lease signed, move not confirmed); contacts not researched yet (below the top 50).</t>
        </is>
      </c>
      <c r="L228" t="inlineStr">
        <is>
          <t>unknown</t>
        </is>
      </c>
      <c r="O228" t="inlineStr">
        <is>
          <t>New or renewed lease at 11 East 26th Street reported 2026-09-02</t>
        </is>
      </c>
      <c r="P228" t="inlineStr">
        <is>
          <t>https://commercialobserver.com/2026/09/vestal-point-capital-lease-rockrose-development-11-east-26th-street/</t>
        </is>
      </c>
      <c r="Q228" t="inlineStr">
        <is>
          <t>2026-09-02</t>
        </is>
      </c>
      <c r="R228" t="inlineStr">
        <is>
          <t>N</t>
        </is>
      </c>
      <c r="S228" t="inlineStr">
        <is>
          <t>unknown</t>
        </is>
      </c>
      <c r="T228" t="inlineStr">
        <is>
          <t>N</t>
        </is>
      </c>
      <c r="U228" t="inlineStr">
        <is>
          <t>new</t>
        </is>
      </c>
      <c r="V228" t="inlineStr">
        <is>
          <t>https://commercialobserver.com/2026/09/vestal-point-capital-lease-rockrose-development-11-east-26th-street/</t>
        </is>
      </c>
      <c r="W228" t="inlineStr">
        <is>
          <t>2026-10-23</t>
        </is>
      </c>
      <c r="X228" t="inlineStr">
        <is>
          <t>office</t>
        </is>
      </c>
      <c r="Y228">
        <f>IF(EU228&lt;&gt;"Y","",COUNTIFS($EU$2:$EU$1000,"Y",$J$2:$J$1000,"&gt;"&amp;J228)+COUNTIFS($EU$2:$EU$1000,"Y",$J$2:$J$1000,J228,$EW$2:$EW$1000,"&lt;"&amp;EW228)+1)</f>
        <v/>
      </c>
      <c r="Z228" t="n">
        <v>227</v>
      </c>
      <c r="AA228" t="inlineStr">
        <is>
          <t>N</t>
        </is>
      </c>
      <c r="AD228" t="inlineStr">
        <is>
          <t>none</t>
        </is>
      </c>
      <c r="AH228" t="inlineStr">
        <is>
          <t>none</t>
        </is>
      </c>
      <c r="AI228" t="inlineStr">
        <is>
          <t>11 East 26th Street</t>
        </is>
      </c>
      <c r="AJ228" t="inlineStr">
        <is>
          <t>12</t>
        </is>
      </c>
      <c r="AK228" t="inlineStr">
        <is>
          <t>signed-not-occupied</t>
        </is>
      </c>
      <c r="AL228" t="inlineStr">
        <is>
          <t>unknown</t>
        </is>
      </c>
      <c r="AM228" t="inlineStr">
        <is>
          <t>unknown</t>
        </is>
      </c>
      <c r="AN228" t="inlineStr">
        <is>
          <t>none</t>
        </is>
      </c>
      <c r="AO228" t="inlineStr">
        <is>
          <t>unknown</t>
        </is>
      </c>
      <c r="AP228" t="inlineStr">
        <is>
          <t>AO-C-137</t>
        </is>
      </c>
      <c r="AQ228" t="inlineStr">
        <is>
          <t>Y</t>
        </is>
      </c>
      <c r="AR228" t="inlineStr">
        <is>
          <t>lease signed, move not confirmed: check the lobby directory before outreach (B)</t>
        </is>
      </c>
      <c r="AT228">
        <f>IF(AND(AX228="pass",AQ228&lt;&gt;"Y",C228&lt;&gt;"",OR(AW228&lt;&gt;"Y",AV228="Y")),"Y","N")</f>
        <v/>
      </c>
      <c r="AU228">
        <f>_xlfn.TEXTJOIN("; ",TRUE,IF(AX228&lt;&gt;"pass","gated out",""),IF(AQ228="Y","on hold: "&amp;AR228,""),IF(C228="","no contact named on an opened page",""),IF(AND(AW228="Y",AV228&lt;&gt;"Y"),"Tuesday estimate band "&amp;L228&amp;": founder's call",""))</f>
        <v/>
      </c>
      <c r="AW228" t="inlineStr">
        <is>
          <t>N</t>
        </is>
      </c>
      <c r="AX228" t="inlineStr">
        <is>
          <t>pass</t>
        </is>
      </c>
      <c r="AY228" t="inlineStr">
        <is>
          <t>passes all hard gates</t>
        </is>
      </c>
      <c r="AZ228" t="inlineStr">
        <is>
          <t>company</t>
        </is>
      </c>
      <c r="BA228" t="inlineStr">
        <is>
          <t>B-C-137</t>
        </is>
      </c>
      <c r="BB228" t="inlineStr">
        <is>
          <t>unknown</t>
        </is>
      </c>
      <c r="BC228" t="inlineStr">
        <is>
          <t>hedge fund</t>
        </is>
      </c>
      <c r="BD228" t="inlineStr">
        <is>
          <t>unknown</t>
        </is>
      </c>
      <c r="BF228" t="inlineStr">
        <is>
          <t>unknown</t>
        </is>
      </c>
      <c r="BG228" t="inlineStr">
        <is>
          <t>unknown</t>
        </is>
      </c>
      <c r="BH228" t="inlineStr">
        <is>
          <t>no-count</t>
        </is>
      </c>
      <c r="BK228" t="inlineStr">
        <is>
          <t>unknown</t>
        </is>
      </c>
      <c r="BL228" t="inlineStr">
        <is>
          <t>unknown</t>
        </is>
      </c>
      <c r="BM228" t="inlineStr">
        <is>
          <t>unknown</t>
        </is>
      </c>
      <c r="BN228" t="inlineStr">
        <is>
          <t>unknown</t>
        </is>
      </c>
      <c r="BO228" t="inlineStr">
        <is>
          <t>unknown</t>
        </is>
      </c>
      <c r="BP228" t="inlineStr">
        <is>
          <t>10010</t>
        </is>
      </c>
      <c r="BQ228" t="n">
        <v>40.743309</v>
      </c>
      <c r="BR228" t="n">
        <v>-73.987329</v>
      </c>
      <c r="BS228" t="inlineStr">
        <is>
          <t>Y</t>
        </is>
      </c>
      <c r="BT228" t="n">
        <v>0</v>
      </c>
      <c r="BU228" t="inlineStr">
        <is>
          <t>B-B-065</t>
        </is>
      </c>
      <c r="BV228" t="inlineStr">
        <is>
          <t>11 East 26th Street (Rockrose; joined to 15 East 26th Street)</t>
        </is>
      </c>
      <c r="BW228" t="inlineStr">
        <is>
          <t>https://commercialobserver.com/2026/09/vestal-point-capital-lease-rockrose-development-11-east-26th-street/</t>
        </is>
      </c>
      <c r="BX228" t="inlineStr">
        <is>
          <t>2026-09-02</t>
        </is>
      </c>
      <c r="BY228" t="inlineStr">
        <is>
          <t>leasing-press</t>
        </is>
      </c>
      <c r="CC228" t="inlineStr">
        <is>
          <t>low</t>
        </is>
      </c>
      <c r="CD228" t="inlineStr">
        <is>
          <t>unknown</t>
        </is>
      </c>
      <c r="CE228" t="inlineStr">
        <is>
          <t>N</t>
        </is>
      </c>
      <c r="CH228" t="inlineStr">
        <is>
          <t>unknown</t>
        </is>
      </c>
      <c r="CJ228" t="inlineStr">
        <is>
          <t>unknown</t>
        </is>
      </c>
      <c r="CK228" t="inlineStr">
        <is>
          <t>N</t>
        </is>
      </c>
      <c r="CL228" t="inlineStr">
        <is>
          <t>unknown</t>
        </is>
      </c>
      <c r="CO228" t="inlineStr">
        <is>
          <t>unknown</t>
        </is>
      </c>
      <c r="CQ228" t="inlineStr">
        <is>
          <t>No sourced headcount, so no Tuesday estimate; ask the Tuesday count at intake.</t>
        </is>
      </c>
      <c r="CR228" t="inlineStr">
        <is>
          <t>estimate until intake replaces it</t>
        </is>
      </c>
      <c r="CS228" t="inlineStr">
        <is>
          <t>unknown</t>
        </is>
      </c>
      <c r="CT228" t="n">
        <v>23</v>
      </c>
      <c r="CU228" t="n">
        <v>7</v>
      </c>
      <c r="CV228" t="n">
        <v>8</v>
      </c>
      <c r="CW228" t="n">
        <v>6</v>
      </c>
      <c r="CX228" t="n">
        <v>2</v>
      </c>
      <c r="CY228">
        <f>IF(AH228="exact",10,IF(AH228="adjacent",5,0))</f>
        <v/>
      </c>
      <c r="CZ228">
        <f>IF(R228="Y",15,0)</f>
        <v/>
      </c>
      <c r="DF228" t="inlineStr">
        <is>
          <t>none</t>
        </is>
      </c>
      <c r="DG228" t="inlineStr">
        <is>
          <t>candidate</t>
        </is>
      </c>
      <c r="DJ228" t="inlineStr">
        <is>
          <t>12,139 sf</t>
        </is>
      </c>
      <c r="DK228" t="inlineStr">
        <is>
          <t>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228" t="inlineStr">
        <is>
          <t>none</t>
        </is>
      </c>
      <c r="DX228" t="inlineStr">
        <is>
          <t>N</t>
        </is>
      </c>
      <c r="ER228">
        <f>IF(ISNUMBER(MATCH(U228,{"queued","contacted","replied","call_booked","call_done","yes_in_principle","materials_sent"},0)),"Y","N")</f>
        <v/>
      </c>
      <c r="ES228">
        <f>IF(COUNTIFS($AP$2:$AP$1000,AP228,$ER$2:$ER$1000,"Y")+COUNTIFS($AP$2:$AP$1000,AP228,$T$2:$T$1000,"Y")&gt;0,"Y","N")</f>
        <v/>
      </c>
      <c r="ET228">
        <f>IF(AND(U228="new",T228="N",AT228="Y",AS228="",ES228="N"),"Y","N")</f>
        <v/>
      </c>
      <c r="EU228">
        <f>IF(ET228&lt;&gt;"Y","N",IF(COUNTIFS($AP$2:$AP$1000,AP228,$ET$2:$ET$1000,"Y",$J$2:$J$1000,"&gt;"&amp;J228)+COUNTIFS($AP$2:$AP$1000,AP228,$ET$2:$ET$1000,"Y",$J$2:$J$1000,J228,$EW$2:$EW$1000,"&lt;"&amp;EW228)=0,"Y","N"))</f>
        <v/>
      </c>
      <c r="EV228">
        <f>IF(Y228="","N",IF(Y228&lt;=10,"Y","N"))</f>
        <v/>
      </c>
      <c r="EW228">
        <f>ROW()-1</f>
        <v/>
      </c>
    </row>
    <row r="229">
      <c r="A229" t="inlineStr">
        <is>
          <t>AO-C-118</t>
        </is>
      </c>
      <c r="B229" t="inlineStr">
        <is>
          <t>Zip (digital banking)</t>
        </is>
      </c>
      <c r="H229" t="inlineStr">
        <is>
          <t>none</t>
        </is>
      </c>
      <c r="I229" t="inlineStr">
        <is>
          <t>linkedin</t>
        </is>
      </c>
      <c r="J229">
        <f>IF(AX229="pass",ROUND(CU229+CV229+CW229+CX229+CY229+CZ229,1),0)</f>
        <v/>
      </c>
      <c r="K229" t="inlineStr">
        <is>
          <t>Tuesday headcount unknown (no sourced count), company size unknown, no attendance signal, signed-not-occupied at a low-confidence address (hold: lease signed, move not confirmed); contacts not researched yet (below the top 50).</t>
        </is>
      </c>
      <c r="L229" t="inlineStr">
        <is>
          <t>unknown</t>
        </is>
      </c>
      <c r="R229" t="inlineStr">
        <is>
          <t>N</t>
        </is>
      </c>
      <c r="S229" t="inlineStr">
        <is>
          <t>unknown</t>
        </is>
      </c>
      <c r="T229" t="inlineStr">
        <is>
          <t>N</t>
        </is>
      </c>
      <c r="U229" t="inlineStr">
        <is>
          <t>new</t>
        </is>
      </c>
      <c r="V229" t="inlineStr">
        <is>
          <t>https://commercialobserver.com/2026/09/zip-lease-rudin-41-madison-avenue/</t>
        </is>
      </c>
      <c r="W229" t="inlineStr">
        <is>
          <t>2026-10-23</t>
        </is>
      </c>
      <c r="X229" t="inlineStr">
        <is>
          <t>office</t>
        </is>
      </c>
      <c r="Y229">
        <f>IF(EU229&lt;&gt;"Y","",COUNTIFS($EU$2:$EU$1000,"Y",$J$2:$J$1000,"&gt;"&amp;J229)+COUNTIFS($EU$2:$EU$1000,"Y",$J$2:$J$1000,J229,$EW$2:$EW$1000,"&lt;"&amp;EW229)+1)</f>
        <v/>
      </c>
      <c r="Z229" t="n">
        <v>228</v>
      </c>
      <c r="AA229" t="inlineStr">
        <is>
          <t>N</t>
        </is>
      </c>
      <c r="AD229" t="inlineStr">
        <is>
          <t>none</t>
        </is>
      </c>
      <c r="AH229" t="inlineStr">
        <is>
          <t>none</t>
        </is>
      </c>
      <c r="AI229" t="inlineStr">
        <is>
          <t>41 Madison Avenue</t>
        </is>
      </c>
      <c r="AJ229" t="inlineStr">
        <is>
          <t>18 (from April 2027)</t>
        </is>
      </c>
      <c r="AK229" t="inlineStr">
        <is>
          <t>signed-not-occupied</t>
        </is>
      </c>
      <c r="AL229" t="inlineStr">
        <is>
          <t>unknown</t>
        </is>
      </c>
      <c r="AM229" t="inlineStr">
        <is>
          <t>unknown</t>
        </is>
      </c>
      <c r="AN229" t="inlineStr">
        <is>
          <t>none</t>
        </is>
      </c>
      <c r="AO229" t="inlineStr">
        <is>
          <t>unknown</t>
        </is>
      </c>
      <c r="AP229" t="inlineStr">
        <is>
          <t>AO-C-118</t>
        </is>
      </c>
      <c r="AQ229" t="inlineStr">
        <is>
          <t>Y</t>
        </is>
      </c>
      <c r="AR229" t="inlineStr">
        <is>
          <t>lease signed, move not confirmed: check the lobby directory before outreach (B)</t>
        </is>
      </c>
      <c r="AT229">
        <f>IF(AND(AX229="pass",AQ229&lt;&gt;"Y",C229&lt;&gt;"",OR(AW229&lt;&gt;"Y",AV229="Y")),"Y","N")</f>
        <v/>
      </c>
      <c r="AU229">
        <f>_xlfn.TEXTJOIN("; ",TRUE,IF(AX229&lt;&gt;"pass","gated out",""),IF(AQ229="Y","on hold: "&amp;AR229,""),IF(C229="","no contact named on an opened page",""),IF(AND(AW229="Y",AV229&lt;&gt;"Y"),"Tuesday estimate band "&amp;L229&amp;": founder's call",""))</f>
        <v/>
      </c>
      <c r="AW229" t="inlineStr">
        <is>
          <t>N</t>
        </is>
      </c>
      <c r="AX229" t="inlineStr">
        <is>
          <t>pass</t>
        </is>
      </c>
      <c r="AY229" t="inlineStr">
        <is>
          <t>passes all hard gates</t>
        </is>
      </c>
      <c r="AZ229" t="inlineStr">
        <is>
          <t>company</t>
        </is>
      </c>
      <c r="BA229" t="inlineStr">
        <is>
          <t>B-C-118</t>
        </is>
      </c>
      <c r="BB229" t="inlineStr">
        <is>
          <t>unknown</t>
        </is>
      </c>
      <c r="BC229" t="inlineStr">
        <is>
          <t>fintech (credit and payments)</t>
        </is>
      </c>
      <c r="BD229" t="inlineStr">
        <is>
          <t>unknown</t>
        </is>
      </c>
      <c r="BF229" t="inlineStr">
        <is>
          <t>unknown</t>
        </is>
      </c>
      <c r="BG229" t="inlineStr">
        <is>
          <t>unknown</t>
        </is>
      </c>
      <c r="BH229" t="inlineStr">
        <is>
          <t>no-count</t>
        </is>
      </c>
      <c r="BK229" t="inlineStr">
        <is>
          <t>unknown</t>
        </is>
      </c>
      <c r="BL229" t="inlineStr">
        <is>
          <t>unknown</t>
        </is>
      </c>
      <c r="BM229" t="inlineStr">
        <is>
          <t>unknown</t>
        </is>
      </c>
      <c r="BN229" t="inlineStr">
        <is>
          <t>unknown</t>
        </is>
      </c>
      <c r="BO229" t="inlineStr">
        <is>
          <t>unknown</t>
        </is>
      </c>
      <c r="BP229" t="inlineStr">
        <is>
          <t>10010</t>
        </is>
      </c>
      <c r="BQ229" t="n">
        <v>40.742477</v>
      </c>
      <c r="BR229" t="n">
        <v>-73.986608</v>
      </c>
      <c r="BS229" t="inlineStr">
        <is>
          <t>Y</t>
        </is>
      </c>
      <c r="BT229" t="n">
        <v>0</v>
      </c>
      <c r="BU229" t="inlineStr">
        <is>
          <t>B-B-057</t>
        </is>
      </c>
      <c r="BV229" t="inlineStr">
        <is>
          <t>41 Madison Avenue (Rudin)</t>
        </is>
      </c>
      <c r="BW229" t="inlineStr">
        <is>
          <t>https://commercialobserver.com/2026/09/zip-lease-rudin-41-madison-avenue/</t>
        </is>
      </c>
      <c r="BX229" t="inlineStr">
        <is>
          <t>2026-09-17</t>
        </is>
      </c>
      <c r="BY229" t="inlineStr">
        <is>
          <t>leasing-press</t>
        </is>
      </c>
      <c r="CC229" t="inlineStr">
        <is>
          <t>low</t>
        </is>
      </c>
      <c r="CD229" t="inlineStr">
        <is>
          <t>2027-04</t>
        </is>
      </c>
      <c r="CE229" t="inlineStr">
        <is>
          <t>N</t>
        </is>
      </c>
      <c r="CH229" t="inlineStr">
        <is>
          <t>security desk</t>
        </is>
      </c>
      <c r="CI229" t="inlineStr">
        <is>
          <t>https://www.metro-manhattan.com/buildings/41-madison-avenue-forty-one-madison-office-space/</t>
        </is>
      </c>
      <c r="CJ229" t="inlineStr">
        <is>
          <t>unknown</t>
        </is>
      </c>
      <c r="CK229" t="inlineStr">
        <is>
          <t>N</t>
        </is>
      </c>
      <c r="CL229" t="inlineStr">
        <is>
          <t>unknown</t>
        </is>
      </c>
      <c r="CO229" t="inlineStr">
        <is>
          <t>unknown</t>
        </is>
      </c>
      <c r="CQ229" t="inlineStr">
        <is>
          <t>No sourced headcount, so no Tuesday estimate; ask the Tuesday count at intake.</t>
        </is>
      </c>
      <c r="CR229" t="inlineStr">
        <is>
          <t>estimate until intake replaces it</t>
        </is>
      </c>
      <c r="CS229" t="inlineStr">
        <is>
          <t>unknown</t>
        </is>
      </c>
      <c r="CT229" t="n">
        <v>23</v>
      </c>
      <c r="CU229" t="n">
        <v>7</v>
      </c>
      <c r="CV229" t="n">
        <v>8</v>
      </c>
      <c r="CW229" t="n">
        <v>6</v>
      </c>
      <c r="CX229" t="n">
        <v>2</v>
      </c>
      <c r="CY229">
        <f>IF(AH229="exact",10,IF(AH229="adjacent",5,0))</f>
        <v/>
      </c>
      <c r="CZ229">
        <f>IF(R229="Y",15,0)</f>
        <v/>
      </c>
      <c r="DF229" t="inlineStr">
        <is>
          <t>none</t>
        </is>
      </c>
      <c r="DG229" t="inlineStr">
        <is>
          <t>candidate</t>
        </is>
      </c>
      <c r="DJ229" t="inlineStr">
        <is>
          <t>13,394 sf</t>
        </is>
      </c>
      <c r="DK229" t="inlineStr">
        <is>
          <t>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is>
      </c>
      <c r="DS229" t="inlineStr">
        <is>
          <t>none</t>
        </is>
      </c>
      <c r="DX229" t="inlineStr">
        <is>
          <t>N</t>
        </is>
      </c>
      <c r="ER229">
        <f>IF(ISNUMBER(MATCH(U229,{"queued","contacted","replied","call_booked","call_done","yes_in_principle","materials_sent"},0)),"Y","N")</f>
        <v/>
      </c>
      <c r="ES229">
        <f>IF(COUNTIFS($AP$2:$AP$1000,AP229,$ER$2:$ER$1000,"Y")+COUNTIFS($AP$2:$AP$1000,AP229,$T$2:$T$1000,"Y")&gt;0,"Y","N")</f>
        <v/>
      </c>
      <c r="ET229">
        <f>IF(AND(U229="new",T229="N",AT229="Y",AS229="",ES229="N"),"Y","N")</f>
        <v/>
      </c>
      <c r="EU229">
        <f>IF(ET229&lt;&gt;"Y","N",IF(COUNTIFS($AP$2:$AP$1000,AP229,$ET$2:$ET$1000,"Y",$J$2:$J$1000,"&gt;"&amp;J229)+COUNTIFS($AP$2:$AP$1000,AP229,$ET$2:$ET$1000,"Y",$J$2:$J$1000,J229,$EW$2:$EW$1000,"&lt;"&amp;EW229)=0,"Y","N"))</f>
        <v/>
      </c>
      <c r="EV229">
        <f>IF(Y229="","N",IF(Y229&lt;=10,"Y","N"))</f>
        <v/>
      </c>
      <c r="EW229">
        <f>ROW()-1</f>
        <v/>
      </c>
    </row>
    <row r="230">
      <c r="A230" t="inlineStr">
        <is>
          <t>AO-C-241</t>
        </is>
      </c>
      <c r="B230" t="inlineStr">
        <is>
          <t>United Talent Agency (UTA)</t>
        </is>
      </c>
      <c r="H230" t="inlineStr">
        <is>
          <t>none</t>
        </is>
      </c>
      <c r="I230" t="inlineStr">
        <is>
          <t>linkedin</t>
        </is>
      </c>
      <c r="J230">
        <f>IF(AX230="pass",ROUND(CU230+CV230+CW230+CX230+CY230+CZ230,1),0)</f>
        <v/>
      </c>
      <c r="K230" t="inlineStr">
        <is>
          <t>Tuesday estimate 63 to 1254 (low confidence), 1,001 to 4,999 staff company-wide, no attendance signal, moving-out at a medium-confidence address (hold: moving out of this address); contacts not researched yet (below the top 50).</t>
        </is>
      </c>
      <c r="L230" t="inlineStr">
        <is>
          <t>251-500</t>
        </is>
      </c>
      <c r="O230" t="inlineStr">
        <is>
          <t>New or renewed lease at 27 West 24th Street reported 2026-07</t>
        </is>
      </c>
      <c r="P230" t="inlineStr">
        <is>
          <t>https://commercialobserver.com/2026/07/united-talent-agency-lease-esrt-empire-state-building/</t>
        </is>
      </c>
      <c r="Q230" t="inlineStr">
        <is>
          <t>2026-07</t>
        </is>
      </c>
      <c r="R230" t="inlineStr">
        <is>
          <t>N</t>
        </is>
      </c>
      <c r="S230" t="inlineStr">
        <is>
          <t>unknown</t>
        </is>
      </c>
      <c r="T230" t="inlineStr">
        <is>
          <t>N</t>
        </is>
      </c>
      <c r="U230" t="inlineStr">
        <is>
          <t>new</t>
        </is>
      </c>
      <c r="V230" t="inlineStr">
        <is>
          <t>https://commercialobserver.com/2026/07/united-talent-agency-lease-esrt-empire-state-building/</t>
        </is>
      </c>
      <c r="W230" t="inlineStr">
        <is>
          <t>2026-10-23</t>
        </is>
      </c>
      <c r="X230" t="inlineStr">
        <is>
          <t>office</t>
        </is>
      </c>
      <c r="Y230">
        <f>IF(EU230&lt;&gt;"Y","",COUNTIFS($EU$2:$EU$1000,"Y",$J$2:$J$1000,"&gt;"&amp;J230)+COUNTIFS($EU$2:$EU$1000,"Y",$J$2:$J$1000,J230,$EW$2:$EW$1000,"&lt;"&amp;EW230)+1)</f>
        <v/>
      </c>
      <c r="Z230" t="n">
        <v>229</v>
      </c>
      <c r="AA230" t="inlineStr">
        <is>
          <t>N</t>
        </is>
      </c>
      <c r="AB230" t="inlineStr">
        <is>
          <t>Tuesday estimate band 251-500: founder's call (set founder_ok_to_queue = Y to queue)</t>
        </is>
      </c>
      <c r="AD230" t="inlineStr">
        <is>
          <t>none</t>
        </is>
      </c>
      <c r="AH230" t="inlineStr">
        <is>
          <t>none</t>
        </is>
      </c>
      <c r="AI230" t="inlineStr">
        <is>
          <t>27 West 24th Street</t>
        </is>
      </c>
      <c r="AJ230" t="inlineStr">
        <is>
          <t>unknown</t>
        </is>
      </c>
      <c r="AK230" t="inlineStr">
        <is>
          <t>moving-out</t>
        </is>
      </c>
      <c r="AL230" t="n">
        <v>63</v>
      </c>
      <c r="AM230" t="n">
        <v>1254</v>
      </c>
      <c r="AN230" t="inlineStr">
        <is>
          <t>low</t>
        </is>
      </c>
      <c r="AO230" t="inlineStr">
        <is>
          <t>unknown</t>
        </is>
      </c>
      <c r="AP230" t="inlineStr">
        <is>
          <t>AO-C-241</t>
        </is>
      </c>
      <c r="AQ230" t="inlineStr">
        <is>
          <t>Y</t>
        </is>
      </c>
      <c r="AR230" t="inlineStr">
        <is>
          <t>moving out of this address: confirm where the office will be before outreach (B)</t>
        </is>
      </c>
      <c r="AT230">
        <f>IF(AND(AX230="pass",AQ230&lt;&gt;"Y",C230&lt;&gt;"",OR(AW230&lt;&gt;"Y",AV230="Y")),"Y","N")</f>
        <v/>
      </c>
      <c r="AU230">
        <f>_xlfn.TEXTJOIN("; ",TRUE,IF(AX230&lt;&gt;"pass","gated out",""),IF(AQ230="Y","on hold: "&amp;AR230,""),IF(C230="","no contact named on an opened page",""),IF(AND(AW230="Y",AV230&lt;&gt;"Y"),"Tuesday estimate band "&amp;L230&amp;": founder's call",""))</f>
        <v/>
      </c>
      <c r="AW230" t="inlineStr">
        <is>
          <t>Y</t>
        </is>
      </c>
      <c r="AX230" t="inlineStr">
        <is>
          <t>pass</t>
        </is>
      </c>
      <c r="AY230" t="inlineStr">
        <is>
          <t>passes all hard gates</t>
        </is>
      </c>
      <c r="AZ230" t="inlineStr">
        <is>
          <t>company</t>
        </is>
      </c>
      <c r="BA230" t="inlineStr">
        <is>
          <t>B-C-241</t>
        </is>
      </c>
      <c r="BB230" t="inlineStr">
        <is>
          <t>https://www.unitedtalent.com/</t>
        </is>
      </c>
      <c r="BC230" t="inlineStr">
        <is>
          <t>Talent agency / entertainment</t>
        </is>
      </c>
      <c r="BD230" t="inlineStr">
        <is>
          <t>2200</t>
        </is>
      </c>
      <c r="BF230" t="inlineStr">
        <is>
          <t>over-500</t>
        </is>
      </c>
      <c r="BG230" t="inlineStr">
        <is>
          <t>whole-company</t>
        </is>
      </c>
      <c r="BH230" t="inlineStr">
        <is>
          <t>single-source</t>
        </is>
      </c>
      <c r="BI230" t="inlineStr">
        <is>
          <t>https://en.wikipedia.org/wiki/United_Talent_Agency</t>
        </is>
      </c>
      <c r="BK230" t="inlineStr">
        <is>
          <t>1001-4999</t>
        </is>
      </c>
      <c r="BL230" t="inlineStr">
        <is>
          <t>unknown</t>
        </is>
      </c>
      <c r="BM230" t="inlineStr">
        <is>
          <t>unknown</t>
        </is>
      </c>
      <c r="BN230" t="inlineStr">
        <is>
          <t>unknown</t>
        </is>
      </c>
      <c r="BO230" t="inlineStr">
        <is>
          <t>unknown</t>
        </is>
      </c>
      <c r="BP230" t="inlineStr">
        <is>
          <t>10010</t>
        </is>
      </c>
      <c r="BQ230" t="n">
        <v>40.743196</v>
      </c>
      <c r="BR230" t="n">
        <v>-73.99084000000001</v>
      </c>
      <c r="BS230" t="inlineStr">
        <is>
          <t>Y</t>
        </is>
      </c>
      <c r="BT230" t="n">
        <v>0</v>
      </c>
      <c r="BV230" t="inlineStr">
        <is>
          <t>unknown</t>
        </is>
      </c>
      <c r="BW230" t="inlineStr">
        <is>
          <t>https://commercialobserver.com/2026/07/united-talent-agency-lease-esrt-empire-state-building/</t>
        </is>
      </c>
      <c r="BX230" t="inlineStr">
        <is>
          <t>2026-07</t>
        </is>
      </c>
      <c r="BY230" t="inlineStr">
        <is>
          <t>leasing-press</t>
        </is>
      </c>
      <c r="CC230" t="inlineStr">
        <is>
          <t>medium</t>
        </is>
      </c>
      <c r="CD230" t="inlineStr">
        <is>
          <t>unknown</t>
        </is>
      </c>
      <c r="CE230" t="inlineStr">
        <is>
          <t>N</t>
        </is>
      </c>
      <c r="CH230" t="inlineStr">
        <is>
          <t>unknown</t>
        </is>
      </c>
      <c r="CJ230" t="inlineStr">
        <is>
          <t>unknown</t>
        </is>
      </c>
      <c r="CK230" t="inlineStr">
        <is>
          <t>N</t>
        </is>
      </c>
      <c r="CL230" t="inlineStr">
        <is>
          <t>unknown</t>
        </is>
      </c>
      <c r="CO230" t="n">
        <v>281</v>
      </c>
      <c r="CP230" t="inlineStr">
        <is>
          <t>may exceed 250</t>
        </is>
      </c>
      <c r="CQ230" t="inlineStr">
        <is>
          <t>2200 (Wikipedia) staff (whole-company count) x 5% to 100% of them in the New York office (HQ city unknown; share assumed) x 57% (Partnership for NYC, all Manhattan firms; no figure for 500 to 4,999) in on a weekday = 63 to 1254, central 281; low confidence; estimate until intake replaces it.</t>
        </is>
      </c>
      <c r="CR230" t="inlineStr">
        <is>
          <t>estimate until intake replaces it</t>
        </is>
      </c>
      <c r="CS230" t="n">
        <v>0.46</v>
      </c>
      <c r="CT230" t="n">
        <v>22.5</v>
      </c>
      <c r="CU230" t="n">
        <v>11.5</v>
      </c>
      <c r="CV230" t="n">
        <v>2</v>
      </c>
      <c r="CW230" t="n">
        <v>6</v>
      </c>
      <c r="CX230" t="n">
        <v>3</v>
      </c>
      <c r="CY230">
        <f>IF(AH230="exact",10,IF(AH230="adjacent",5,0))</f>
        <v/>
      </c>
      <c r="CZ230">
        <f>IF(R230="Y",15,0)</f>
        <v/>
      </c>
      <c r="DF230" t="inlineStr">
        <is>
          <t>none</t>
        </is>
      </c>
      <c r="DG230" t="inlineStr">
        <is>
          <t>near-miss-over-500</t>
        </is>
      </c>
      <c r="DH230" t="inlineStr">
        <is>
          <t>over-1,000 (1,001 to 4,999)</t>
        </is>
      </c>
      <c r="DI230" t="inlineStr">
        <is>
          <t>N</t>
        </is>
      </c>
      <c r="DK230" t="inlineStr">
        <is>
          <t>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is>
      </c>
      <c r="DS230" t="inlineStr">
        <is>
          <t>none</t>
        </is>
      </c>
      <c r="DX230" t="inlineStr">
        <is>
          <t>N</t>
        </is>
      </c>
      <c r="ER230">
        <f>IF(ISNUMBER(MATCH(U230,{"queued","contacted","replied","call_booked","call_done","yes_in_principle","materials_sent"},0)),"Y","N")</f>
        <v/>
      </c>
      <c r="ES230">
        <f>IF(COUNTIFS($AP$2:$AP$1000,AP230,$ER$2:$ER$1000,"Y")+COUNTIFS($AP$2:$AP$1000,AP230,$T$2:$T$1000,"Y")&gt;0,"Y","N")</f>
        <v/>
      </c>
      <c r="ET230">
        <f>IF(AND(U230="new",T230="N",AT230="Y",AS230="",ES230="N"),"Y","N")</f>
        <v/>
      </c>
      <c r="EU230">
        <f>IF(ET230&lt;&gt;"Y","N",IF(COUNTIFS($AP$2:$AP$1000,AP230,$ET$2:$ET$1000,"Y",$J$2:$J$1000,"&gt;"&amp;J230)+COUNTIFS($AP$2:$AP$1000,AP230,$ET$2:$ET$1000,"Y",$J$2:$J$1000,J230,$EW$2:$EW$1000,"&lt;"&amp;EW230)=0,"Y","N"))</f>
        <v/>
      </c>
      <c r="EV230">
        <f>IF(Y230="","N",IF(Y230&lt;=10,"Y","N"))</f>
        <v/>
      </c>
      <c r="EW230">
        <f>ROW()-1</f>
        <v/>
      </c>
    </row>
    <row r="231">
      <c r="A231" t="inlineStr">
        <is>
          <t>AO-C-230</t>
        </is>
      </c>
      <c r="B231" t="inlineStr">
        <is>
          <t>Goodwin Procter</t>
        </is>
      </c>
      <c r="H231" t="inlineStr">
        <is>
          <t>none</t>
        </is>
      </c>
      <c r="I231" t="inlineStr">
        <is>
          <t>linkedin</t>
        </is>
      </c>
      <c r="J231">
        <f>IF(AX231="pass",ROUND(CU231+CV231+CW231+CX231+CY231+CZ231,1),0)</f>
        <v/>
      </c>
      <c r="K231" t="inlineStr">
        <is>
          <t>Tuesday estimate 80 to 1596 (low confidence), 1,001 to 4,999 staff company-wide, no attendance signal, signed-not-occupied at a medium-confidence address (hold: lease signed, move not confirmed); contacts not researched yet (below the top 50).</t>
        </is>
      </c>
      <c r="L231" t="inlineStr">
        <is>
          <t>251-500</t>
        </is>
      </c>
      <c r="R231" t="inlineStr">
        <is>
          <t>N</t>
        </is>
      </c>
      <c r="S231" t="inlineStr">
        <is>
          <t>unknown</t>
        </is>
      </c>
      <c r="T231" t="inlineStr">
        <is>
          <t>N</t>
        </is>
      </c>
      <c r="U231" t="inlineStr">
        <is>
          <t>new</t>
        </is>
      </c>
      <c r="V231" t="inlineStr">
        <is>
          <t>https://therealdeal.com/new-york/2025/04/03/bxps-200-fifth-avenue-lands-law-firm-tenant</t>
        </is>
      </c>
      <c r="W231" t="inlineStr">
        <is>
          <t>2026-10-23</t>
        </is>
      </c>
      <c r="X231" t="inlineStr">
        <is>
          <t>office</t>
        </is>
      </c>
      <c r="Y231">
        <f>IF(EU231&lt;&gt;"Y","",COUNTIFS($EU$2:$EU$1000,"Y",$J$2:$J$1000,"&gt;"&amp;J231)+COUNTIFS($EU$2:$EU$1000,"Y",$J$2:$J$1000,J231,$EW$2:$EW$1000,"&lt;"&amp;EW231)+1)</f>
        <v/>
      </c>
      <c r="Z231" t="n">
        <v>230</v>
      </c>
      <c r="AA231" t="inlineStr">
        <is>
          <t>N</t>
        </is>
      </c>
      <c r="AB231" t="inlineStr">
        <is>
          <t>Tuesday estimate band 251-500: founder's call (set founder_ok_to_queue = Y to queue)</t>
        </is>
      </c>
      <c r="AD231" t="inlineStr">
        <is>
          <t>none</t>
        </is>
      </c>
      <c r="AH231" t="inlineStr">
        <is>
          <t>none</t>
        </is>
      </c>
      <c r="AI231" t="inlineStr">
        <is>
          <t>200 Fifth Avenue</t>
        </is>
      </c>
      <c r="AJ231" t="inlineStr">
        <is>
          <t>2-5</t>
        </is>
      </c>
      <c r="AK231" t="inlineStr">
        <is>
          <t>signed-not-occupied</t>
        </is>
      </c>
      <c r="AL231" t="n">
        <v>80</v>
      </c>
      <c r="AM231" t="n">
        <v>1596</v>
      </c>
      <c r="AN231" t="inlineStr">
        <is>
          <t>low</t>
        </is>
      </c>
      <c r="AO231" t="inlineStr">
        <is>
          <t>unknown</t>
        </is>
      </c>
      <c r="AP231" t="inlineStr">
        <is>
          <t>AO-C-230</t>
        </is>
      </c>
      <c r="AQ231" t="inlineStr">
        <is>
          <t>Y</t>
        </is>
      </c>
      <c r="AR231" t="inlineStr">
        <is>
          <t>lease signed, move not confirmed: check the lobby directory before outreach (B)</t>
        </is>
      </c>
      <c r="AT231">
        <f>IF(AND(AX231="pass",AQ231&lt;&gt;"Y",C231&lt;&gt;"",OR(AW231&lt;&gt;"Y",AV231="Y")),"Y","N")</f>
        <v/>
      </c>
      <c r="AU231">
        <f>_xlfn.TEXTJOIN("; ",TRUE,IF(AX231&lt;&gt;"pass","gated out",""),IF(AQ231="Y","on hold: "&amp;AR231,""),IF(C231="","no contact named on an opened page",""),IF(AND(AW231="Y",AV231&lt;&gt;"Y"),"Tuesday estimate band "&amp;L231&amp;": founder's call",""))</f>
        <v/>
      </c>
      <c r="AW231" t="inlineStr">
        <is>
          <t>Y</t>
        </is>
      </c>
      <c r="AX231" t="inlineStr">
        <is>
          <t>pass</t>
        </is>
      </c>
      <c r="AY231" t="inlineStr">
        <is>
          <t>passes all hard gates</t>
        </is>
      </c>
      <c r="AZ231" t="inlineStr">
        <is>
          <t>company</t>
        </is>
      </c>
      <c r="BA231" t="inlineStr">
        <is>
          <t>B-C-230</t>
        </is>
      </c>
      <c r="BB231" t="inlineStr">
        <is>
          <t>https://www.goodwinlaw.com/</t>
        </is>
      </c>
      <c r="BC231" t="inlineStr">
        <is>
          <t>Law firm</t>
        </is>
      </c>
      <c r="BD231" t="inlineStr">
        <is>
          <t>2800</t>
        </is>
      </c>
      <c r="BF231" t="inlineStr">
        <is>
          <t>over-500</t>
        </is>
      </c>
      <c r="BG231" t="inlineStr">
        <is>
          <t>whole-company</t>
        </is>
      </c>
      <c r="BH231" t="inlineStr">
        <is>
          <t>single-source</t>
        </is>
      </c>
      <c r="BI231" t="inlineStr">
        <is>
          <t>https://en.wikipedia.org/wiki/Goodwin_Procter</t>
        </is>
      </c>
      <c r="BK231" t="inlineStr">
        <is>
          <t>1001-4999</t>
        </is>
      </c>
      <c r="BL231" t="inlineStr">
        <is>
          <t>unknown</t>
        </is>
      </c>
      <c r="BM231" t="inlineStr">
        <is>
          <t>unknown</t>
        </is>
      </c>
      <c r="BN231" t="inlineStr">
        <is>
          <t>unknown</t>
        </is>
      </c>
      <c r="BO231" t="inlineStr">
        <is>
          <t>unknown</t>
        </is>
      </c>
      <c r="BP231" t="inlineStr">
        <is>
          <t>10010</t>
        </is>
      </c>
      <c r="BQ231" t="n">
        <v>40.741986</v>
      </c>
      <c r="BR231" t="n">
        <v>-73.98947699999999</v>
      </c>
      <c r="BS231" t="inlineStr">
        <is>
          <t>Y</t>
        </is>
      </c>
      <c r="BT231" t="n">
        <v>0</v>
      </c>
      <c r="BV231" t="inlineStr">
        <is>
          <t>unknown</t>
        </is>
      </c>
      <c r="BW231" t="inlineStr">
        <is>
          <t>https://therealdeal.com/new-york/2025/04/03/bxps-200-fifth-avenue-lands-law-firm-tenant</t>
        </is>
      </c>
      <c r="BX231" t="inlineStr">
        <is>
          <t>2025-04-03</t>
        </is>
      </c>
      <c r="BY231" t="inlineStr">
        <is>
          <t>leasing-press</t>
        </is>
      </c>
      <c r="BZ231" t="inlineStr">
        <is>
          <t>https://flatironnomad.nyc/2025/05/07/april-news-roundup-6/</t>
        </is>
      </c>
      <c r="CA231" t="inlineStr">
        <is>
          <t>2025-05-07</t>
        </is>
      </c>
      <c r="CC231" t="inlineStr">
        <is>
          <t>medium</t>
        </is>
      </c>
      <c r="CD231" t="inlineStr">
        <is>
          <t>unknown</t>
        </is>
      </c>
      <c r="CE231" t="inlineStr">
        <is>
          <t>N</t>
        </is>
      </c>
      <c r="CH231" t="inlineStr">
        <is>
          <t>unknown</t>
        </is>
      </c>
      <c r="CJ231" t="inlineStr">
        <is>
          <t>unknown</t>
        </is>
      </c>
      <c r="CK231" t="inlineStr">
        <is>
          <t>N</t>
        </is>
      </c>
      <c r="CL231" t="inlineStr">
        <is>
          <t>unknown</t>
        </is>
      </c>
      <c r="CO231" t="n">
        <v>357</v>
      </c>
      <c r="CP231" t="inlineStr">
        <is>
          <t>may exceed 250</t>
        </is>
      </c>
      <c r="CQ231" t="inlineStr">
        <is>
          <t>2800 (Wikipedia) staff (whole-company count) x 5% to 100% of them in the New York office (HQ city unknown; share assumed) x 57% (Partnership for NYC, all Manhattan firms; no figure for 500 to 4,999) in on a weekday = 80 to 1596, central 357; low confidence; estimate until intake replaces it.</t>
        </is>
      </c>
      <c r="CR231" t="inlineStr">
        <is>
          <t>estimate until intake replaces it</t>
        </is>
      </c>
      <c r="CS231" t="n">
        <v>0.38</v>
      </c>
      <c r="CT231" t="n">
        <v>22.5</v>
      </c>
      <c r="CU231" t="n">
        <v>9.5</v>
      </c>
      <c r="CV231" t="n">
        <v>2</v>
      </c>
      <c r="CW231" t="n">
        <v>6</v>
      </c>
      <c r="CX231" t="n">
        <v>5</v>
      </c>
      <c r="CY231">
        <f>IF(AH231="exact",10,IF(AH231="adjacent",5,0))</f>
        <v/>
      </c>
      <c r="CZ231">
        <f>IF(R231="Y",15,0)</f>
        <v/>
      </c>
      <c r="DF231" t="inlineStr">
        <is>
          <t>none</t>
        </is>
      </c>
      <c r="DG231" t="inlineStr">
        <is>
          <t>near-miss-over-500</t>
        </is>
      </c>
      <c r="DH231" t="inlineStr">
        <is>
          <t>over-1,000 (1,001 to 4,999)</t>
        </is>
      </c>
      <c r="DI231" t="inlineStr">
        <is>
          <t>N</t>
        </is>
      </c>
      <c r="DJ231" t="inlineStr">
        <is>
          <t>250,000 sf</t>
        </is>
      </c>
      <c r="DK231" t="inlineStr">
        <is>
          <t>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is>
      </c>
      <c r="DS231" t="inlineStr">
        <is>
          <t>none</t>
        </is>
      </c>
      <c r="DX231" t="inlineStr">
        <is>
          <t>N</t>
        </is>
      </c>
      <c r="ER231">
        <f>IF(ISNUMBER(MATCH(U231,{"queued","contacted","replied","call_booked","call_done","yes_in_principle","materials_sent"},0)),"Y","N")</f>
        <v/>
      </c>
      <c r="ES231">
        <f>IF(COUNTIFS($AP$2:$AP$1000,AP231,$ER$2:$ER$1000,"Y")+COUNTIFS($AP$2:$AP$1000,AP231,$T$2:$T$1000,"Y")&gt;0,"Y","N")</f>
        <v/>
      </c>
      <c r="ET231">
        <f>IF(AND(U231="new",T231="N",AT231="Y",AS231="",ES231="N"),"Y","N")</f>
        <v/>
      </c>
      <c r="EU231">
        <f>IF(ET231&lt;&gt;"Y","N",IF(COUNTIFS($AP$2:$AP$1000,AP231,$ET$2:$ET$1000,"Y",$J$2:$J$1000,"&gt;"&amp;J231)+COUNTIFS($AP$2:$AP$1000,AP231,$ET$2:$ET$1000,"Y",$J$2:$J$1000,J231,$EW$2:$EW$1000,"&lt;"&amp;EW231)=0,"Y","N"))</f>
        <v/>
      </c>
      <c r="EV231">
        <f>IF(Y231="","N",IF(Y231&lt;=10,"Y","N"))</f>
        <v/>
      </c>
      <c r="EW231">
        <f>ROW()-1</f>
        <v/>
      </c>
    </row>
    <row r="232">
      <c r="A232" t="inlineStr">
        <is>
          <t>AO-C-162</t>
        </is>
      </c>
      <c r="B232" t="inlineStr">
        <is>
          <t>MCM Worldwide</t>
        </is>
      </c>
      <c r="H232" t="inlineStr">
        <is>
          <t>none</t>
        </is>
      </c>
      <c r="I232" t="inlineStr">
        <is>
          <t>linkedin</t>
        </is>
      </c>
      <c r="J232">
        <f>IF(AX232="pass",ROUND(CU232+CV232+CW232+CX232+CY232+CZ232,1),0)</f>
        <v/>
      </c>
      <c r="K232" t="inlineStr">
        <is>
          <t>Tuesday headcount unknown (no sourced count), company size unknown with a named parent (Sungjoo Group), no attendance signal, signed-not-occupied at a medium-confidence address (hold: lease signed, move not confirmed); contacts not researched yet (below the top 50).</t>
        </is>
      </c>
      <c r="L232" t="inlineStr">
        <is>
          <t>unknown</t>
        </is>
      </c>
      <c r="R232" t="inlineStr">
        <is>
          <t>N</t>
        </is>
      </c>
      <c r="S232" t="inlineStr">
        <is>
          <t>unknown</t>
        </is>
      </c>
      <c r="T232" t="inlineStr">
        <is>
          <t>N</t>
        </is>
      </c>
      <c r="U232" t="inlineStr">
        <is>
          <t>new</t>
        </is>
      </c>
      <c r="V232" t="inlineStr">
        <is>
          <t>https://commercialobserver.com/2025/11/mcm-lease-245-fifth-avenue/</t>
        </is>
      </c>
      <c r="W232" t="inlineStr">
        <is>
          <t>2026-10-23</t>
        </is>
      </c>
      <c r="X232" t="inlineStr">
        <is>
          <t>office</t>
        </is>
      </c>
      <c r="Y232">
        <f>IF(EU232&lt;&gt;"Y","",COUNTIFS($EU$2:$EU$1000,"Y",$J$2:$J$1000,"&gt;"&amp;J232)+COUNTIFS($EU$2:$EU$1000,"Y",$J$2:$J$1000,J232,$EW$2:$EW$1000,"&lt;"&amp;EW232)+1)</f>
        <v/>
      </c>
      <c r="Z232" t="n">
        <v>231</v>
      </c>
      <c r="AA232" t="inlineStr">
        <is>
          <t>N</t>
        </is>
      </c>
      <c r="AD232" t="inlineStr">
        <is>
          <t>none</t>
        </is>
      </c>
      <c r="AH232" t="inlineStr">
        <is>
          <t>none</t>
        </is>
      </c>
      <c r="AI232" t="inlineStr">
        <is>
          <t>245 Fifth Avenue</t>
        </is>
      </c>
      <c r="AJ232" t="inlineStr">
        <is>
          <t>25</t>
        </is>
      </c>
      <c r="AK232" t="inlineStr">
        <is>
          <t>signed-not-occupied</t>
        </is>
      </c>
      <c r="AL232" t="inlineStr">
        <is>
          <t>unknown</t>
        </is>
      </c>
      <c r="AM232" t="inlineStr">
        <is>
          <t>unknown</t>
        </is>
      </c>
      <c r="AN232" t="inlineStr">
        <is>
          <t>none</t>
        </is>
      </c>
      <c r="AO232" t="inlineStr">
        <is>
          <t>unknown</t>
        </is>
      </c>
      <c r="AP232" t="inlineStr">
        <is>
          <t>AO-C-162</t>
        </is>
      </c>
      <c r="AQ232" t="inlineStr">
        <is>
          <t>Y</t>
        </is>
      </c>
      <c r="AR232" t="inlineStr">
        <is>
          <t>lease signed, move not confirmed: check the lobby directory before outreach (B)</t>
        </is>
      </c>
      <c r="AT232">
        <f>IF(AND(AX232="pass",AQ232&lt;&gt;"Y",C232&lt;&gt;"",OR(AW232&lt;&gt;"Y",AV232="Y")),"Y","N")</f>
        <v/>
      </c>
      <c r="AU232">
        <f>_xlfn.TEXTJOIN("; ",TRUE,IF(AX232&lt;&gt;"pass","gated out",""),IF(AQ232="Y","on hold: "&amp;AR232,""),IF(C232="","no contact named on an opened page",""),IF(AND(AW232="Y",AV232&lt;&gt;"Y"),"Tuesday estimate band "&amp;L232&amp;": founder's call",""))</f>
        <v/>
      </c>
      <c r="AW232" t="inlineStr">
        <is>
          <t>N</t>
        </is>
      </c>
      <c r="AX232" t="inlineStr">
        <is>
          <t>pass</t>
        </is>
      </c>
      <c r="AY232" t="inlineStr">
        <is>
          <t>passes all hard gates</t>
        </is>
      </c>
      <c r="AZ232" t="inlineStr">
        <is>
          <t>company</t>
        </is>
      </c>
      <c r="BA232" t="inlineStr">
        <is>
          <t>B-C-162</t>
        </is>
      </c>
      <c r="BB232" t="inlineStr">
        <is>
          <t>https://us.mcmworldwide.com</t>
        </is>
      </c>
      <c r="BC232" t="inlineStr">
        <is>
          <t>luxury leather goods (brand HQ office)</t>
        </is>
      </c>
      <c r="BD232" t="inlineStr">
        <is>
          <t>unknown</t>
        </is>
      </c>
      <c r="BF232" t="inlineStr">
        <is>
          <t>unknown</t>
        </is>
      </c>
      <c r="BG232" t="inlineStr">
        <is>
          <t>unknown</t>
        </is>
      </c>
      <c r="BH232" t="inlineStr">
        <is>
          <t>no-count</t>
        </is>
      </c>
      <c r="BK232" t="inlineStr">
        <is>
          <t>unknown</t>
        </is>
      </c>
      <c r="BL232" t="inlineStr">
        <is>
          <t>unknown</t>
        </is>
      </c>
      <c r="BM232" t="inlineStr">
        <is>
          <t>unknown</t>
        </is>
      </c>
      <c r="BN232" t="inlineStr">
        <is>
          <t>Sungjoo Group</t>
        </is>
      </c>
      <c r="BO232" t="inlineStr">
        <is>
          <t>unknown</t>
        </is>
      </c>
      <c r="BP232" t="inlineStr">
        <is>
          <t>10016</t>
        </is>
      </c>
      <c r="BQ232" t="n">
        <v>40.74441</v>
      </c>
      <c r="BR232" t="n">
        <v>-73.987275</v>
      </c>
      <c r="BS232" t="inlineStr">
        <is>
          <t>Y</t>
        </is>
      </c>
      <c r="BT232" t="n">
        <v>0</v>
      </c>
      <c r="BU232" t="inlineStr">
        <is>
          <t>B-B-074</t>
        </is>
      </c>
      <c r="BV232" t="inlineStr">
        <is>
          <t>245 Fifth Avenue (Moinian Group)</t>
        </is>
      </c>
      <c r="BW232" t="inlineStr">
        <is>
          <t>https://commercialobserver.com/2025/11/mcm-lease-245-fifth-avenue/</t>
        </is>
      </c>
      <c r="BX232" t="inlineStr">
        <is>
          <t>2025-11-10</t>
        </is>
      </c>
      <c r="BY232" t="inlineStr">
        <is>
          <t>leasing-press</t>
        </is>
      </c>
      <c r="CC232" t="inlineStr">
        <is>
          <t>medium</t>
        </is>
      </c>
      <c r="CD232" t="inlineStr">
        <is>
          <t>unknown</t>
        </is>
      </c>
      <c r="CE232" t="inlineStr">
        <is>
          <t>N</t>
        </is>
      </c>
      <c r="CH232" t="inlineStr">
        <is>
          <t>security desk</t>
        </is>
      </c>
      <c r="CI232" t="inlineStr">
        <is>
          <t>https://www.metro-manhattan.com/buildings/245-fifth-avenue-office-space-for-lease/</t>
        </is>
      </c>
      <c r="CJ232" t="inlineStr">
        <is>
          <t>unknown</t>
        </is>
      </c>
      <c r="CK232" t="inlineStr">
        <is>
          <t>N</t>
        </is>
      </c>
      <c r="CL232" t="inlineStr">
        <is>
          <t>unknown</t>
        </is>
      </c>
      <c r="CO232" t="inlineStr">
        <is>
          <t>unknown</t>
        </is>
      </c>
      <c r="CQ232" t="inlineStr">
        <is>
          <t>No sourced headcount, so no Tuesday estimate; ask the Tuesday count at intake.</t>
        </is>
      </c>
      <c r="CR232" t="inlineStr">
        <is>
          <t>estimate until intake replaces it</t>
        </is>
      </c>
      <c r="CS232" t="inlineStr">
        <is>
          <t>unknown</t>
        </is>
      </c>
      <c r="CT232" t="n">
        <v>22</v>
      </c>
      <c r="CU232" t="n">
        <v>7</v>
      </c>
      <c r="CV232" t="n">
        <v>4</v>
      </c>
      <c r="CW232" t="n">
        <v>6</v>
      </c>
      <c r="CX232" t="n">
        <v>5</v>
      </c>
      <c r="CY232">
        <f>IF(AH232="exact",10,IF(AH232="adjacent",5,0))</f>
        <v/>
      </c>
      <c r="CZ232">
        <f>IF(R232="Y",15,0)</f>
        <v/>
      </c>
      <c r="DF232" t="inlineStr">
        <is>
          <t>none</t>
        </is>
      </c>
      <c r="DG232" t="inlineStr">
        <is>
          <t>candidate</t>
        </is>
      </c>
      <c r="DJ232" t="inlineStr">
        <is>
          <t>9,000 sf</t>
        </is>
      </c>
      <c r="DK232" t="inlineStr">
        <is>
          <t>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is>
      </c>
      <c r="DS232" t="inlineStr">
        <is>
          <t>none</t>
        </is>
      </c>
      <c r="DX232" t="inlineStr">
        <is>
          <t>N</t>
        </is>
      </c>
      <c r="ER232">
        <f>IF(ISNUMBER(MATCH(U232,{"queued","contacted","replied","call_booked","call_done","yes_in_principle","materials_sent"},0)),"Y","N")</f>
        <v/>
      </c>
      <c r="ES232">
        <f>IF(COUNTIFS($AP$2:$AP$1000,AP232,$ER$2:$ER$1000,"Y")+COUNTIFS($AP$2:$AP$1000,AP232,$T$2:$T$1000,"Y")&gt;0,"Y","N")</f>
        <v/>
      </c>
      <c r="ET232">
        <f>IF(AND(U232="new",T232="N",AT232="Y",AS232="",ES232="N"),"Y","N")</f>
        <v/>
      </c>
      <c r="EU232">
        <f>IF(ET232&lt;&gt;"Y","N",IF(COUNTIFS($AP$2:$AP$1000,AP232,$ET$2:$ET$1000,"Y",$J$2:$J$1000,"&gt;"&amp;J232)+COUNTIFS($AP$2:$AP$1000,AP232,$ET$2:$ET$1000,"Y",$J$2:$J$1000,J232,$EW$2:$EW$1000,"&lt;"&amp;EW232)=0,"Y","N"))</f>
        <v/>
      </c>
      <c r="EV232">
        <f>IF(Y232="","N",IF(Y232&lt;=10,"Y","N"))</f>
        <v/>
      </c>
      <c r="EW232">
        <f>ROW()-1</f>
        <v/>
      </c>
    </row>
    <row r="233">
      <c r="A233" t="inlineStr">
        <is>
          <t>AO-C-152</t>
        </is>
      </c>
      <c r="B233" t="inlineStr">
        <is>
          <t>Everlast Worldwide (US headquarters)</t>
        </is>
      </c>
      <c r="H233" t="inlineStr">
        <is>
          <t>none</t>
        </is>
      </c>
      <c r="I233" t="inlineStr">
        <is>
          <t>linkedin</t>
        </is>
      </c>
      <c r="J233">
        <f>IF(AX233="pass",ROUND(CU233+CV233+CW233+CX233+CY233+CZ233,1),0)</f>
        <v/>
      </c>
      <c r="K233" t="inlineStr">
        <is>
          <t>Tuesday headcount unknown (no sourced count), company size unknown with a named parent (Frasers Group), no attendance signal, occupancy-unconfirmed at a low-confidence address; contacts not researched yet (below the top 50).</t>
        </is>
      </c>
      <c r="L233" t="inlineStr">
        <is>
          <t>unknown</t>
        </is>
      </c>
      <c r="R233" t="inlineStr">
        <is>
          <t>N</t>
        </is>
      </c>
      <c r="S233" t="inlineStr">
        <is>
          <t>unknown</t>
        </is>
      </c>
      <c r="T233" t="inlineStr">
        <is>
          <t>N</t>
        </is>
      </c>
      <c r="U233" t="inlineStr">
        <is>
          <t>new</t>
        </is>
      </c>
      <c r="V233" t="inlineStr">
        <is>
          <t>https://commercialobserver.com/2023/12/boxing-equipment-maker-everlast-signs-office-lease-15-west-27th-street/</t>
        </is>
      </c>
      <c r="W233" t="inlineStr">
        <is>
          <t>2026-10-23</t>
        </is>
      </c>
      <c r="X233" t="inlineStr">
        <is>
          <t>office</t>
        </is>
      </c>
      <c r="Y233">
        <f>IF(EU233&lt;&gt;"Y","",COUNTIFS($EU$2:$EU$1000,"Y",$J$2:$J$1000,"&gt;"&amp;J233)+COUNTIFS($EU$2:$EU$1000,"Y",$J$2:$J$1000,J233,$EW$2:$EW$1000,"&lt;"&amp;EW233)+1)</f>
        <v/>
      </c>
      <c r="Z233" t="n">
        <v>232</v>
      </c>
      <c r="AA233" t="inlineStr">
        <is>
          <t>N</t>
        </is>
      </c>
      <c r="AD233" t="inlineStr">
        <is>
          <t>none</t>
        </is>
      </c>
      <c r="AH233" t="inlineStr">
        <is>
          <t>none</t>
        </is>
      </c>
      <c r="AI233" t="inlineStr">
        <is>
          <t>15 West 27th Street</t>
        </is>
      </c>
      <c r="AJ233" t="inlineStr">
        <is>
          <t>2</t>
        </is>
      </c>
      <c r="AK233" t="inlineStr">
        <is>
          <t>occupancy-unconfirmed</t>
        </is>
      </c>
      <c r="AL233" t="inlineStr">
        <is>
          <t>unknown</t>
        </is>
      </c>
      <c r="AM233" t="inlineStr">
        <is>
          <t>unknown</t>
        </is>
      </c>
      <c r="AN233" t="inlineStr">
        <is>
          <t>none</t>
        </is>
      </c>
      <c r="AO233" t="inlineStr">
        <is>
          <t>unknown</t>
        </is>
      </c>
      <c r="AP233" t="inlineStr">
        <is>
          <t>AO-C-152</t>
        </is>
      </c>
      <c r="AQ233" t="inlineStr">
        <is>
          <t>N</t>
        </is>
      </c>
      <c r="AT233">
        <f>IF(AND(AX233="pass",AQ233&lt;&gt;"Y",C233&lt;&gt;"",OR(AW233&lt;&gt;"Y",AV233="Y")),"Y","N")</f>
        <v/>
      </c>
      <c r="AU233">
        <f>_xlfn.TEXTJOIN("; ",TRUE,IF(AX233&lt;&gt;"pass","gated out",""),IF(AQ233="Y","on hold: "&amp;AR233,""),IF(C233="","no contact named on an opened page",""),IF(AND(AW233="Y",AV233&lt;&gt;"Y"),"Tuesday estimate band "&amp;L233&amp;": founder's call",""))</f>
        <v/>
      </c>
      <c r="AW233" t="inlineStr">
        <is>
          <t>N</t>
        </is>
      </c>
      <c r="AX233" t="inlineStr">
        <is>
          <t>pass</t>
        </is>
      </c>
      <c r="AY233" t="inlineStr">
        <is>
          <t>passes all hard gates</t>
        </is>
      </c>
      <c r="AZ233" t="inlineStr">
        <is>
          <t>company</t>
        </is>
      </c>
      <c r="BA233" t="inlineStr">
        <is>
          <t>B-C-152</t>
        </is>
      </c>
      <c r="BB233" t="inlineStr">
        <is>
          <t>https://www.everlast.com</t>
        </is>
      </c>
      <c r="BC233" t="inlineStr">
        <is>
          <t>sporting goods brand</t>
        </is>
      </c>
      <c r="BD233" t="inlineStr">
        <is>
          <t>unknown</t>
        </is>
      </c>
      <c r="BF233" t="inlineStr">
        <is>
          <t>unknown</t>
        </is>
      </c>
      <c r="BG233" t="inlineStr">
        <is>
          <t>unknown</t>
        </is>
      </c>
      <c r="BH233" t="inlineStr">
        <is>
          <t>no-count</t>
        </is>
      </c>
      <c r="BK233" t="inlineStr">
        <is>
          <t>unknown</t>
        </is>
      </c>
      <c r="BL233" t="inlineStr">
        <is>
          <t>unknown</t>
        </is>
      </c>
      <c r="BM233" t="inlineStr">
        <is>
          <t>unknown</t>
        </is>
      </c>
      <c r="BN233" t="inlineStr">
        <is>
          <t>Frasers Group</t>
        </is>
      </c>
      <c r="BO233" t="inlineStr">
        <is>
          <t>unknown</t>
        </is>
      </c>
      <c r="BP233" t="inlineStr">
        <is>
          <t>10001</t>
        </is>
      </c>
      <c r="BQ233" t="n">
        <v>40.744515</v>
      </c>
      <c r="BR233" t="n">
        <v>-73.988255</v>
      </c>
      <c r="BS233" t="inlineStr">
        <is>
          <t>Y</t>
        </is>
      </c>
      <c r="BT233" t="n">
        <v>0</v>
      </c>
      <c r="BU233" t="inlineStr">
        <is>
          <t>B-B-070</t>
        </is>
      </c>
      <c r="BV233" t="inlineStr">
        <is>
          <t>15 West 27th Street (Kaufman Organization)</t>
        </is>
      </c>
      <c r="BW233" t="inlineStr">
        <is>
          <t>https://commercialobserver.com/2023/12/boxing-equipment-maker-everlast-signs-office-lease-15-west-27th-street/</t>
        </is>
      </c>
      <c r="BX233" t="inlineStr">
        <is>
          <t>2023-12-14</t>
        </is>
      </c>
      <c r="BY233" t="inlineStr">
        <is>
          <t>leasing-press</t>
        </is>
      </c>
      <c r="CC233" t="inlineStr">
        <is>
          <t>low</t>
        </is>
      </c>
      <c r="CE233" t="inlineStr">
        <is>
          <t>N</t>
        </is>
      </c>
      <c r="CH233" t="inlineStr">
        <is>
          <t>unknown</t>
        </is>
      </c>
      <c r="CJ233" t="inlineStr">
        <is>
          <t>unknown</t>
        </is>
      </c>
      <c r="CK233" t="inlineStr">
        <is>
          <t>N</t>
        </is>
      </c>
      <c r="CL233" t="inlineStr">
        <is>
          <t>unknown</t>
        </is>
      </c>
      <c r="CO233" t="inlineStr">
        <is>
          <t>unknown</t>
        </is>
      </c>
      <c r="CQ233" t="inlineStr">
        <is>
          <t>No sourced headcount, so no Tuesday estimate; ask the Tuesday count at intake.</t>
        </is>
      </c>
      <c r="CR233" t="inlineStr">
        <is>
          <t>estimate until intake replaces it</t>
        </is>
      </c>
      <c r="CS233" t="inlineStr">
        <is>
          <t>unknown</t>
        </is>
      </c>
      <c r="CT233" t="n">
        <v>22</v>
      </c>
      <c r="CU233" t="n">
        <v>7</v>
      </c>
      <c r="CV233" t="n">
        <v>4</v>
      </c>
      <c r="CW233" t="n">
        <v>6</v>
      </c>
      <c r="CX233" t="n">
        <v>5</v>
      </c>
      <c r="CY233">
        <f>IF(AH233="exact",10,IF(AH233="adjacent",5,0))</f>
        <v/>
      </c>
      <c r="CZ233">
        <f>IF(R233="Y",15,0)</f>
        <v/>
      </c>
      <c r="DF233" t="inlineStr">
        <is>
          <t>none</t>
        </is>
      </c>
      <c r="DG233" t="inlineStr">
        <is>
          <t>candidate</t>
        </is>
      </c>
      <c r="DJ233" t="inlineStr">
        <is>
          <t>5,900 sf</t>
        </is>
      </c>
      <c r="DK233" t="inlineStr">
        <is>
          <t>CO 2023: one-year deal for 5,900 SF on full 2nd floor for its US HQ. Term was one year, so the lease as reported has ended; not reconfirmed.</t>
        </is>
      </c>
      <c r="DS233" t="inlineStr">
        <is>
          <t>none</t>
        </is>
      </c>
      <c r="DX233" t="inlineStr">
        <is>
          <t>N</t>
        </is>
      </c>
      <c r="ER233">
        <f>IF(ISNUMBER(MATCH(U233,{"queued","contacted","replied","call_booked","call_done","yes_in_principle","materials_sent"},0)),"Y","N")</f>
        <v/>
      </c>
      <c r="ES233">
        <f>IF(COUNTIFS($AP$2:$AP$1000,AP233,$ER$2:$ER$1000,"Y")+COUNTIFS($AP$2:$AP$1000,AP233,$T$2:$T$1000,"Y")&gt;0,"Y","N")</f>
        <v/>
      </c>
      <c r="ET233">
        <f>IF(AND(U233="new",T233="N",AT233="Y",AS233="",ES233="N"),"Y","N")</f>
        <v/>
      </c>
      <c r="EU233">
        <f>IF(ET233&lt;&gt;"Y","N",IF(COUNTIFS($AP$2:$AP$1000,AP233,$ET$2:$ET$1000,"Y",$J$2:$J$1000,"&gt;"&amp;J233)+COUNTIFS($AP$2:$AP$1000,AP233,$ET$2:$ET$1000,"Y",$J$2:$J$1000,J233,$EW$2:$EW$1000,"&lt;"&amp;EW233)=0,"Y","N"))</f>
        <v/>
      </c>
      <c r="EV233">
        <f>IF(Y233="","N",IF(Y233&lt;=10,"Y","N"))</f>
        <v/>
      </c>
      <c r="EW233">
        <f>ROW()-1</f>
        <v/>
      </c>
    </row>
    <row r="234">
      <c r="A234" t="inlineStr">
        <is>
          <t>AO-C-074</t>
        </is>
      </c>
      <c r="B234" t="inlineStr">
        <is>
          <t>General Assembly</t>
        </is>
      </c>
      <c r="H234" t="inlineStr">
        <is>
          <t>none</t>
        </is>
      </c>
      <c r="I234" t="inlineStr">
        <is>
          <t>linkedin</t>
        </is>
      </c>
      <c r="J234">
        <f>IF(AX234="pass",ROUND(CU234+CV234+CW234+CX234+CY234+CZ234,1),0)</f>
        <v/>
      </c>
      <c r="K234" t="inlineStr">
        <is>
          <t>Tuesday headcount unknown (no sourced count), company size unknown with a named parent (The Adecco Group), no attendance signal, occupancy-unconfirmed at a low-confidence address; contacts not researched yet (below the top 50).</t>
        </is>
      </c>
      <c r="L234" t="inlineStr">
        <is>
          <t>unknown</t>
        </is>
      </c>
      <c r="R234" t="inlineStr">
        <is>
          <t>N</t>
        </is>
      </c>
      <c r="S234" t="inlineStr">
        <is>
          <t>unknown</t>
        </is>
      </c>
      <c r="T234" t="inlineStr">
        <is>
          <t>N</t>
        </is>
      </c>
      <c r="U234" t="inlineStr">
        <is>
          <t>new</t>
        </is>
      </c>
      <c r="V234" t="inlineStr">
        <is>
          <t>https://commercialobserver.com/2021/04/tech-educator-general-assembly-renews-at-915-broadway/</t>
        </is>
      </c>
      <c r="W234" t="inlineStr">
        <is>
          <t>2026-10-23</t>
        </is>
      </c>
      <c r="X234" t="inlineStr">
        <is>
          <t>office</t>
        </is>
      </c>
      <c r="Y234">
        <f>IF(EU234&lt;&gt;"Y","",COUNTIFS($EU$2:$EU$1000,"Y",$J$2:$J$1000,"&gt;"&amp;J234)+COUNTIFS($EU$2:$EU$1000,"Y",$J$2:$J$1000,J234,$EW$2:$EW$1000,"&lt;"&amp;EW234)+1)</f>
        <v/>
      </c>
      <c r="Z234" t="n">
        <v>233</v>
      </c>
      <c r="AA234" t="inlineStr">
        <is>
          <t>N</t>
        </is>
      </c>
      <c r="AD234" t="inlineStr">
        <is>
          <t>none</t>
        </is>
      </c>
      <c r="AH234" t="inlineStr">
        <is>
          <t>none</t>
        </is>
      </c>
      <c r="AI234" t="inlineStr">
        <is>
          <t>915 Broadway</t>
        </is>
      </c>
      <c r="AJ234" t="inlineStr">
        <is>
          <t>2-4</t>
        </is>
      </c>
      <c r="AK234" t="inlineStr">
        <is>
          <t>occupancy-unconfirmed</t>
        </is>
      </c>
      <c r="AL234" t="inlineStr">
        <is>
          <t>unknown</t>
        </is>
      </c>
      <c r="AM234" t="inlineStr">
        <is>
          <t>unknown</t>
        </is>
      </c>
      <c r="AN234" t="inlineStr">
        <is>
          <t>none</t>
        </is>
      </c>
      <c r="AO234" t="inlineStr">
        <is>
          <t>unknown</t>
        </is>
      </c>
      <c r="AP234" t="inlineStr">
        <is>
          <t>AO-C-074</t>
        </is>
      </c>
      <c r="AQ234" t="inlineStr">
        <is>
          <t>N</t>
        </is>
      </c>
      <c r="AT234">
        <f>IF(AND(AX234="pass",AQ234&lt;&gt;"Y",C234&lt;&gt;"",OR(AW234&lt;&gt;"Y",AV234="Y")),"Y","N")</f>
        <v/>
      </c>
      <c r="AU234">
        <f>_xlfn.TEXTJOIN("; ",TRUE,IF(AX234&lt;&gt;"pass","gated out",""),IF(AQ234="Y","on hold: "&amp;AR234,""),IF(C234="","no contact named on an opened page",""),IF(AND(AW234="Y",AV234&lt;&gt;"Y"),"Tuesday estimate band "&amp;L234&amp;": founder's call",""))</f>
        <v/>
      </c>
      <c r="AW234" t="inlineStr">
        <is>
          <t>N</t>
        </is>
      </c>
      <c r="AX234" t="inlineStr">
        <is>
          <t>pass</t>
        </is>
      </c>
      <c r="AY234" t="inlineStr">
        <is>
          <t>passes all hard gates</t>
        </is>
      </c>
      <c r="AZ234" t="inlineStr">
        <is>
          <t>company</t>
        </is>
      </c>
      <c r="BA234" t="inlineStr">
        <is>
          <t>B-C-074</t>
        </is>
      </c>
      <c r="BB234" t="inlineStr">
        <is>
          <t>unknown</t>
        </is>
      </c>
      <c r="BC234" t="inlineStr">
        <is>
          <t>tech education</t>
        </is>
      </c>
      <c r="BD234" t="inlineStr">
        <is>
          <t>unknown</t>
        </is>
      </c>
      <c r="BF234" t="inlineStr">
        <is>
          <t>unknown</t>
        </is>
      </c>
      <c r="BG234" t="inlineStr">
        <is>
          <t>unknown</t>
        </is>
      </c>
      <c r="BH234" t="inlineStr">
        <is>
          <t>no-count</t>
        </is>
      </c>
      <c r="BK234" t="inlineStr">
        <is>
          <t>unknown</t>
        </is>
      </c>
      <c r="BL234" t="inlineStr">
        <is>
          <t>unknown</t>
        </is>
      </c>
      <c r="BM234" t="inlineStr">
        <is>
          <t>unknown</t>
        </is>
      </c>
      <c r="BN234" t="inlineStr">
        <is>
          <t>The Adecco Group</t>
        </is>
      </c>
      <c r="BO234" t="inlineStr">
        <is>
          <t>unknown</t>
        </is>
      </c>
      <c r="BP234" t="inlineStr">
        <is>
          <t>10010</t>
        </is>
      </c>
      <c r="BQ234" t="n">
        <v>40.739695</v>
      </c>
      <c r="BR234" t="n">
        <v>-73.989816</v>
      </c>
      <c r="BS234" t="inlineStr">
        <is>
          <t>Y</t>
        </is>
      </c>
      <c r="BT234" t="n">
        <v>0</v>
      </c>
      <c r="BU234" t="inlineStr">
        <is>
          <t>B-B-034</t>
        </is>
      </c>
      <c r="BV234" t="inlineStr">
        <is>
          <t>915 Broadway (ABS Partners)</t>
        </is>
      </c>
      <c r="BW234" t="inlineStr">
        <is>
          <t>https://commercialobserver.com/2021/04/tech-educator-general-assembly-renews-at-915-broadway/</t>
        </is>
      </c>
      <c r="BX234" t="inlineStr">
        <is>
          <t>2021-04-15</t>
        </is>
      </c>
      <c r="BY234" t="inlineStr">
        <is>
          <t>leasing-press</t>
        </is>
      </c>
      <c r="BZ234" t="inlineStr">
        <is>
          <t>https://www.metro-manhattan.com/buildings/915-broadway-office-space-for-lease/</t>
        </is>
      </c>
      <c r="CA234" t="inlineStr">
        <is>
          <t>2025-10-29</t>
        </is>
      </c>
      <c r="CC234" t="inlineStr">
        <is>
          <t>low</t>
        </is>
      </c>
      <c r="CE234" t="inlineStr">
        <is>
          <t>N</t>
        </is>
      </c>
      <c r="CH234" t="inlineStr">
        <is>
          <t>security desk</t>
        </is>
      </c>
      <c r="CI234" t="inlineStr">
        <is>
          <t>https://www.metro-manhattan.com/buildings/915-broadway-office-space-for-lease/</t>
        </is>
      </c>
      <c r="CJ234" t="inlineStr">
        <is>
          <t>unknown</t>
        </is>
      </c>
      <c r="CK234" t="inlineStr">
        <is>
          <t>N</t>
        </is>
      </c>
      <c r="CL234" t="inlineStr">
        <is>
          <t>unknown</t>
        </is>
      </c>
      <c r="CO234" t="inlineStr">
        <is>
          <t>unknown</t>
        </is>
      </c>
      <c r="CQ234" t="inlineStr">
        <is>
          <t>No sourced headcount, so no Tuesday estimate; ask the Tuesday count at intake.</t>
        </is>
      </c>
      <c r="CR234" t="inlineStr">
        <is>
          <t>estimate until intake replaces it</t>
        </is>
      </c>
      <c r="CS234" t="inlineStr">
        <is>
          <t>unknown</t>
        </is>
      </c>
      <c r="CT234" t="n">
        <v>22</v>
      </c>
      <c r="CU234" t="n">
        <v>7</v>
      </c>
      <c r="CV234" t="n">
        <v>4</v>
      </c>
      <c r="CW234" t="n">
        <v>6</v>
      </c>
      <c r="CX234" t="n">
        <v>5</v>
      </c>
      <c r="CY234">
        <f>IF(AH234="exact",10,IF(AH234="adjacent",5,0))</f>
        <v/>
      </c>
      <c r="CZ234">
        <f>IF(R234="Y",15,0)</f>
        <v/>
      </c>
      <c r="DF234" t="inlineStr">
        <is>
          <t>none</t>
        </is>
      </c>
      <c r="DG234" t="inlineStr">
        <is>
          <t>candidate</t>
        </is>
      </c>
      <c r="DJ234" t="inlineStr">
        <is>
          <t>40,158 sf</t>
        </is>
      </c>
      <c r="DK234" t="inlineStr">
        <is>
          <t>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is>
      </c>
      <c r="DS234" t="inlineStr">
        <is>
          <t>none</t>
        </is>
      </c>
      <c r="DX234" t="inlineStr">
        <is>
          <t>N</t>
        </is>
      </c>
      <c r="ER234">
        <f>IF(ISNUMBER(MATCH(U234,{"queued","contacted","replied","call_booked","call_done","yes_in_principle","materials_sent"},0)),"Y","N")</f>
        <v/>
      </c>
      <c r="ES234">
        <f>IF(COUNTIFS($AP$2:$AP$1000,AP234,$ER$2:$ER$1000,"Y")+COUNTIFS($AP$2:$AP$1000,AP234,$T$2:$T$1000,"Y")&gt;0,"Y","N")</f>
        <v/>
      </c>
      <c r="ET234">
        <f>IF(AND(U234="new",T234="N",AT234="Y",AS234="",ES234="N"),"Y","N")</f>
        <v/>
      </c>
      <c r="EU234">
        <f>IF(ET234&lt;&gt;"Y","N",IF(COUNTIFS($AP$2:$AP$1000,AP234,$ET$2:$ET$1000,"Y",$J$2:$J$1000,"&gt;"&amp;J234)+COUNTIFS($AP$2:$AP$1000,AP234,$ET$2:$ET$1000,"Y",$J$2:$J$1000,J234,$EW$2:$EW$1000,"&lt;"&amp;EW234)=0,"Y","N"))</f>
        <v/>
      </c>
      <c r="EV234">
        <f>IF(Y234="","N",IF(Y234&lt;=10,"Y","N"))</f>
        <v/>
      </c>
      <c r="EW234">
        <f>ROW()-1</f>
        <v/>
      </c>
    </row>
    <row r="235">
      <c r="A235" t="inlineStr">
        <is>
          <t>AO-C-236</t>
        </is>
      </c>
      <c r="B235" t="inlineStr">
        <is>
          <t>Franklin Templeton</t>
        </is>
      </c>
      <c r="H235" t="inlineStr">
        <is>
          <t>none</t>
        </is>
      </c>
      <c r="I235" t="inlineStr">
        <is>
          <t>linkedin</t>
        </is>
      </c>
      <c r="J235">
        <f>IF(AX235="pass",ROUND(CU235+CV235+CW235+CX235+CY235+CZ235,1),0)</f>
        <v/>
      </c>
      <c r="K235" t="inlineStr">
        <is>
          <t>Tuesday estimate 225 to 4508 (low confidence), 5,000+ staff company-wide, no attendance signal, occupied at a high-confidence address; contacts not researched yet (below the top 50).</t>
        </is>
      </c>
      <c r="L235" t="inlineStr">
        <is>
          <t>over-500</t>
        </is>
      </c>
      <c r="R235" t="inlineStr">
        <is>
          <t>N</t>
        </is>
      </c>
      <c r="S235" t="inlineStr">
        <is>
          <t>unknown</t>
        </is>
      </c>
      <c r="T235" t="inlineStr">
        <is>
          <t>N</t>
        </is>
      </c>
      <c r="U235" t="inlineStr">
        <is>
          <t>new</t>
        </is>
      </c>
      <c r="V235" t="inlineStr">
        <is>
          <t>https://slgreen.com/sl-green-signs-new-64000-square-foot-lease-with-sigma-computing-at-one-madison-avenue/</t>
        </is>
      </c>
      <c r="W235" t="inlineStr">
        <is>
          <t>2026-10-23</t>
        </is>
      </c>
      <c r="X235" t="inlineStr">
        <is>
          <t>office</t>
        </is>
      </c>
      <c r="Y235">
        <f>IF(EU235&lt;&gt;"Y","",COUNTIFS($EU$2:$EU$1000,"Y",$J$2:$J$1000,"&gt;"&amp;J235)+COUNTIFS($EU$2:$EU$1000,"Y",$J$2:$J$1000,J235,$EW$2:$EW$1000,"&lt;"&amp;EW235)+1)</f>
        <v/>
      </c>
      <c r="Z235" t="n">
        <v>234</v>
      </c>
      <c r="AA235" t="inlineStr">
        <is>
          <t>N</t>
        </is>
      </c>
      <c r="AB235" t="inlineStr">
        <is>
          <t>Tuesday estimate band over-500: founder's call (set founder_ok_to_queue = Y to queue)</t>
        </is>
      </c>
      <c r="AD235" t="inlineStr">
        <is>
          <t>none</t>
        </is>
      </c>
      <c r="AH235" t="inlineStr">
        <is>
          <t>none</t>
        </is>
      </c>
      <c r="AI235" t="inlineStr">
        <is>
          <t>1 Madison Avenue</t>
        </is>
      </c>
      <c r="AJ235" t="inlineStr">
        <is>
          <t>unknown</t>
        </is>
      </c>
      <c r="AK235" t="inlineStr">
        <is>
          <t>occupied</t>
        </is>
      </c>
      <c r="AL235" t="n">
        <v>225</v>
      </c>
      <c r="AM235" t="n">
        <v>4508</v>
      </c>
      <c r="AN235" t="inlineStr">
        <is>
          <t>low</t>
        </is>
      </c>
      <c r="AO235" t="inlineStr">
        <is>
          <t>unknown</t>
        </is>
      </c>
      <c r="AP235" t="inlineStr">
        <is>
          <t>AO-C-236</t>
        </is>
      </c>
      <c r="AQ235" t="inlineStr">
        <is>
          <t>N</t>
        </is>
      </c>
      <c r="AT235">
        <f>IF(AND(AX235="pass",AQ235&lt;&gt;"Y",C235&lt;&gt;"",OR(AW235&lt;&gt;"Y",AV235="Y")),"Y","N")</f>
        <v/>
      </c>
      <c r="AU235">
        <f>_xlfn.TEXTJOIN("; ",TRUE,IF(AX235&lt;&gt;"pass","gated out",""),IF(AQ235="Y","on hold: "&amp;AR235,""),IF(C235="","no contact named on an opened page",""),IF(AND(AW235="Y",AV235&lt;&gt;"Y"),"Tuesday estimate band "&amp;L235&amp;": founder's call",""))</f>
        <v/>
      </c>
      <c r="AW235" t="inlineStr">
        <is>
          <t>Y</t>
        </is>
      </c>
      <c r="AX235" t="inlineStr">
        <is>
          <t>pass</t>
        </is>
      </c>
      <c r="AY235" t="inlineStr">
        <is>
          <t>passes all hard gates</t>
        </is>
      </c>
      <c r="AZ235" t="inlineStr">
        <is>
          <t>company</t>
        </is>
      </c>
      <c r="BA235" t="inlineStr">
        <is>
          <t>B-C-236</t>
        </is>
      </c>
      <c r="BB235" t="inlineStr">
        <is>
          <t>https://www.franklintempleton.com/</t>
        </is>
      </c>
      <c r="BC235" t="inlineStr">
        <is>
          <t>Asset management</t>
        </is>
      </c>
      <c r="BD235" t="inlineStr">
        <is>
          <t>9800</t>
        </is>
      </c>
      <c r="BF235" t="inlineStr">
        <is>
          <t>over-500</t>
        </is>
      </c>
      <c r="BG235" t="inlineStr">
        <is>
          <t>whole-company</t>
        </is>
      </c>
      <c r="BH235" t="inlineStr">
        <is>
          <t>single-source</t>
        </is>
      </c>
      <c r="BI235" t="inlineStr">
        <is>
          <t>https://en.wikipedia.org/wiki/Franklin_Templeton</t>
        </is>
      </c>
      <c r="BK235" t="inlineStr">
        <is>
          <t>5000+</t>
        </is>
      </c>
      <c r="BL235" t="inlineStr">
        <is>
          <t>unknown</t>
        </is>
      </c>
      <c r="BM235" t="inlineStr">
        <is>
          <t>unknown</t>
        </is>
      </c>
      <c r="BN235" t="inlineStr">
        <is>
          <t>unknown</t>
        </is>
      </c>
      <c r="BO235" t="inlineStr">
        <is>
          <t>unknown</t>
        </is>
      </c>
      <c r="BP235" t="inlineStr">
        <is>
          <t>10010</t>
        </is>
      </c>
      <c r="BQ235" t="n">
        <v>40.741141</v>
      </c>
      <c r="BR235" t="n">
        <v>-73.987489</v>
      </c>
      <c r="BS235" t="inlineStr">
        <is>
          <t>Y</t>
        </is>
      </c>
      <c r="BT235" t="n">
        <v>0</v>
      </c>
      <c r="BV235" t="inlineStr">
        <is>
          <t>unknown</t>
        </is>
      </c>
      <c r="BW235" t="inlineStr">
        <is>
          <t>https://slgreen.com/sl-green-signs-new-64000-square-foot-lease-with-sigma-computing-at-one-madison-avenue/</t>
        </is>
      </c>
      <c r="BX235" t="inlineStr">
        <is>
          <t>2025-07-16</t>
        </is>
      </c>
      <c r="BY235" t="inlineStr">
        <is>
          <t>press-release</t>
        </is>
      </c>
      <c r="BZ235" t="inlineStr">
        <is>
          <t>https://rebusinessonline.com/franklin-templeton-signs-347474-sf-office-lease-at-one-madison-avenue-in-manhattan/</t>
        </is>
      </c>
      <c r="CA235" t="inlineStr">
        <is>
          <t>2022-10-03</t>
        </is>
      </c>
      <c r="CC235" t="inlineStr">
        <is>
          <t>high</t>
        </is>
      </c>
      <c r="CE235" t="inlineStr">
        <is>
          <t>N</t>
        </is>
      </c>
      <c r="CH235" t="inlineStr">
        <is>
          <t>unknown</t>
        </is>
      </c>
      <c r="CJ235" t="inlineStr">
        <is>
          <t>unknown</t>
        </is>
      </c>
      <c r="CK235" t="inlineStr">
        <is>
          <t>N</t>
        </is>
      </c>
      <c r="CL235" t="inlineStr">
        <is>
          <t>unknown</t>
        </is>
      </c>
      <c r="CO235" t="n">
        <v>1007</v>
      </c>
      <c r="CP235" t="inlineStr">
        <is>
          <t>may exceed 250</t>
        </is>
      </c>
      <c r="CQ235" t="inlineStr">
        <is>
          <t>9800 (Wikipedia) staff (whole-company count) x 5% to 100% of them in the New York office (HQ city unknown; share assumed) x 46% (Partnership for NYC, firms over 5,000) in on a weekday = 225 to 4508, central 1007; low confidence; estimate until intake replaces it.</t>
        </is>
      </c>
      <c r="CR235" t="inlineStr">
        <is>
          <t>estimate until intake replaces it</t>
        </is>
      </c>
      <c r="CS235" t="n">
        <v>0.04</v>
      </c>
      <c r="CT235" t="n">
        <v>21.9</v>
      </c>
      <c r="CU235" t="n">
        <v>0.9</v>
      </c>
      <c r="CV235" t="n">
        <v>0</v>
      </c>
      <c r="CW235" t="n">
        <v>6</v>
      </c>
      <c r="CX235" t="n">
        <v>15</v>
      </c>
      <c r="CY235">
        <f>IF(AH235="exact",10,IF(AH235="adjacent",5,0))</f>
        <v/>
      </c>
      <c r="CZ235">
        <f>IF(R235="Y",15,0)</f>
        <v/>
      </c>
      <c r="DF235" t="inlineStr">
        <is>
          <t>none</t>
        </is>
      </c>
      <c r="DG235" t="inlineStr">
        <is>
          <t>near-miss-over-500</t>
        </is>
      </c>
      <c r="DH235" t="inlineStr">
        <is>
          <t>not-near (5,000 or more)</t>
        </is>
      </c>
      <c r="DI235" t="inlineStr">
        <is>
          <t>N</t>
        </is>
      </c>
      <c r="DJ235" t="inlineStr">
        <is>
          <t>347,474 sf</t>
        </is>
      </c>
      <c r="DK235" t="inlineStr">
        <is>
          <t>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S235" t="inlineStr">
        <is>
          <t>none</t>
        </is>
      </c>
      <c r="DX235" t="inlineStr">
        <is>
          <t>N</t>
        </is>
      </c>
      <c r="ER235">
        <f>IF(ISNUMBER(MATCH(U235,{"queued","contacted","replied","call_booked","call_done","yes_in_principle","materials_sent"},0)),"Y","N")</f>
        <v/>
      </c>
      <c r="ES235">
        <f>IF(COUNTIFS($AP$2:$AP$1000,AP235,$ER$2:$ER$1000,"Y")+COUNTIFS($AP$2:$AP$1000,AP235,$T$2:$T$1000,"Y")&gt;0,"Y","N")</f>
        <v/>
      </c>
      <c r="ET235">
        <f>IF(AND(U235="new",T235="N",AT235="Y",AS235="",ES235="N"),"Y","N")</f>
        <v/>
      </c>
      <c r="EU235">
        <f>IF(ET235&lt;&gt;"Y","N",IF(COUNTIFS($AP$2:$AP$1000,AP235,$ET$2:$ET$1000,"Y",$J$2:$J$1000,"&gt;"&amp;J235)+COUNTIFS($AP$2:$AP$1000,AP235,$ET$2:$ET$1000,"Y",$J$2:$J$1000,J235,$EW$2:$EW$1000,"&lt;"&amp;EW235)=0,"Y","N"))</f>
        <v/>
      </c>
      <c r="EV235">
        <f>IF(Y235="","N",IF(Y235&lt;=10,"Y","N"))</f>
        <v/>
      </c>
      <c r="EW235">
        <f>ROW()-1</f>
        <v/>
      </c>
    </row>
    <row r="236">
      <c r="A236" t="inlineStr">
        <is>
          <t>AO-C-248</t>
        </is>
      </c>
      <c r="B236" t="inlineStr">
        <is>
          <t>WME</t>
        </is>
      </c>
      <c r="H236" t="inlineStr">
        <is>
          <t>none</t>
        </is>
      </c>
      <c r="I236" t="inlineStr">
        <is>
          <t>linkedin</t>
        </is>
      </c>
      <c r="J236">
        <f>IF(AX236="pass",ROUND(CU236+CV236+CW236+CX236+CY236+CZ236,1),0)</f>
        <v/>
      </c>
      <c r="K236" t="inlineStr">
        <is>
          <t>Tuesday estimate 230 to 4600 (low confidence), 5,000+ staff company-wide, no attendance signal, occupied at a high-confidence address; contacts not researched yet (below the top 50).</t>
        </is>
      </c>
      <c r="L236" t="inlineStr">
        <is>
          <t>over-500</t>
        </is>
      </c>
      <c r="R236" t="inlineStr">
        <is>
          <t>N</t>
        </is>
      </c>
      <c r="S236" t="inlineStr">
        <is>
          <t>unknown</t>
        </is>
      </c>
      <c r="T236" t="inlineStr">
        <is>
          <t>N</t>
        </is>
      </c>
      <c r="U236" t="inlineStr">
        <is>
          <t>new</t>
        </is>
      </c>
      <c r="V236" t="inlineStr">
        <is>
          <t>https://slgreen.com/?p=12833</t>
        </is>
      </c>
      <c r="W236" t="inlineStr">
        <is>
          <t>2026-10-23</t>
        </is>
      </c>
      <c r="X236" t="inlineStr">
        <is>
          <t>office</t>
        </is>
      </c>
      <c r="Y236">
        <f>IF(EU236&lt;&gt;"Y","",COUNTIFS($EU$2:$EU$1000,"Y",$J$2:$J$1000,"&gt;"&amp;J236)+COUNTIFS($EU$2:$EU$1000,"Y",$J$2:$J$1000,J236,$EW$2:$EW$1000,"&lt;"&amp;EW236)+1)</f>
        <v/>
      </c>
      <c r="Z236" t="n">
        <v>235</v>
      </c>
      <c r="AA236" t="inlineStr">
        <is>
          <t>N</t>
        </is>
      </c>
      <c r="AB236" t="inlineStr">
        <is>
          <t>Tuesday estimate band over-500: founder's call (set founder_ok_to_queue = Y to queue)</t>
        </is>
      </c>
      <c r="AD236" t="inlineStr">
        <is>
          <t>none</t>
        </is>
      </c>
      <c r="AH236" t="inlineStr">
        <is>
          <t>none</t>
        </is>
      </c>
      <c r="AI236" t="inlineStr">
        <is>
          <t>11 Madison Avenue</t>
        </is>
      </c>
      <c r="AJ236" t="inlineStr">
        <is>
          <t>unknown</t>
        </is>
      </c>
      <c r="AK236" t="inlineStr">
        <is>
          <t>occupied</t>
        </is>
      </c>
      <c r="AL236" t="n">
        <v>230</v>
      </c>
      <c r="AM236" t="n">
        <v>4600</v>
      </c>
      <c r="AN236" t="inlineStr">
        <is>
          <t>low</t>
        </is>
      </c>
      <c r="AO236" t="inlineStr">
        <is>
          <t>unknown</t>
        </is>
      </c>
      <c r="AP236" t="inlineStr">
        <is>
          <t>AO-C-248</t>
        </is>
      </c>
      <c r="AQ236" t="inlineStr">
        <is>
          <t>N</t>
        </is>
      </c>
      <c r="AT236">
        <f>IF(AND(AX236="pass",AQ236&lt;&gt;"Y",C236&lt;&gt;"",OR(AW236&lt;&gt;"Y",AV236="Y")),"Y","N")</f>
        <v/>
      </c>
      <c r="AU236">
        <f>_xlfn.TEXTJOIN("; ",TRUE,IF(AX236&lt;&gt;"pass","gated out",""),IF(AQ236="Y","on hold: "&amp;AR236,""),IF(C236="","no contact named on an opened page",""),IF(AND(AW236="Y",AV236&lt;&gt;"Y"),"Tuesday estimate band "&amp;L236&amp;": founder's call",""))</f>
        <v/>
      </c>
      <c r="AW236" t="inlineStr">
        <is>
          <t>Y</t>
        </is>
      </c>
      <c r="AX236" t="inlineStr">
        <is>
          <t>pass</t>
        </is>
      </c>
      <c r="AY236" t="inlineStr">
        <is>
          <t>passes all hard gates</t>
        </is>
      </c>
      <c r="AZ236" t="inlineStr">
        <is>
          <t>company</t>
        </is>
      </c>
      <c r="BA236" t="inlineStr">
        <is>
          <t>B-C-248</t>
        </is>
      </c>
      <c r="BB236" t="inlineStr">
        <is>
          <t>https://www.wmeagency.com/</t>
        </is>
      </c>
      <c r="BC236" t="inlineStr">
        <is>
          <t>Talent agency / entertainment</t>
        </is>
      </c>
      <c r="BD236" t="inlineStr">
        <is>
          <t>10000</t>
        </is>
      </c>
      <c r="BF236" t="inlineStr">
        <is>
          <t>over-500</t>
        </is>
      </c>
      <c r="BG236" t="inlineStr">
        <is>
          <t>whole-company</t>
        </is>
      </c>
      <c r="BH236" t="inlineStr">
        <is>
          <t>single-source</t>
        </is>
      </c>
      <c r="BI236" t="inlineStr">
        <is>
          <t>https://en.wikipedia.org/wiki/William_Morris_Endeavor</t>
        </is>
      </c>
      <c r="BK236" t="inlineStr">
        <is>
          <t>5000+</t>
        </is>
      </c>
      <c r="BL236" t="inlineStr">
        <is>
          <t>unknown</t>
        </is>
      </c>
      <c r="BM236" t="inlineStr">
        <is>
          <t>unknown</t>
        </is>
      </c>
      <c r="BN236" t="inlineStr">
        <is>
          <t>unknown</t>
        </is>
      </c>
      <c r="BO236" t="inlineStr">
        <is>
          <t>unknown</t>
        </is>
      </c>
      <c r="BP236" t="inlineStr">
        <is>
          <t>10010</t>
        </is>
      </c>
      <c r="BQ236" t="n">
        <v>40.741761</v>
      </c>
      <c r="BR236" t="n">
        <v>-73.987033</v>
      </c>
      <c r="BS236" t="inlineStr">
        <is>
          <t>Y</t>
        </is>
      </c>
      <c r="BT236" t="n">
        <v>0</v>
      </c>
      <c r="BU236" t="inlineStr">
        <is>
          <t>B-B-052</t>
        </is>
      </c>
      <c r="BV236" t="inlineStr">
        <is>
          <t>11 Madison Avenue (SL Green); Sony Music uses 25 Madison Ave entrance</t>
        </is>
      </c>
      <c r="BW236" t="inlineStr">
        <is>
          <t>https://slgreen.com/?p=12833</t>
        </is>
      </c>
      <c r="BX236" t="inlineStr">
        <is>
          <t>2026-07-22</t>
        </is>
      </c>
      <c r="BY236" t="inlineStr">
        <is>
          <t>press-release</t>
        </is>
      </c>
      <c r="BZ236" t="inlineStr">
        <is>
          <t>https://commercialobserver.com/2026/07/ai-firm-legora-takes-98k-sl-greens-11-madison-avenue/</t>
        </is>
      </c>
      <c r="CA236" t="inlineStr">
        <is>
          <t>2026-07-23</t>
        </is>
      </c>
      <c r="CC236" t="inlineStr">
        <is>
          <t>high</t>
        </is>
      </c>
      <c r="CE236" t="inlineStr">
        <is>
          <t>N</t>
        </is>
      </c>
      <c r="CH236" t="inlineStr">
        <is>
          <t>loading dock</t>
        </is>
      </c>
      <c r="CI236" t="inlineStr">
        <is>
          <t>https://en.wikipedia.org/wiki/11_Madison_Avenue</t>
        </is>
      </c>
      <c r="CJ236" t="inlineStr">
        <is>
          <t>unknown</t>
        </is>
      </c>
      <c r="CK236" t="inlineStr">
        <is>
          <t>N</t>
        </is>
      </c>
      <c r="CL236" t="inlineStr">
        <is>
          <t>unknown</t>
        </is>
      </c>
      <c r="CO236" t="n">
        <v>1029</v>
      </c>
      <c r="CP236" t="inlineStr">
        <is>
          <t>may exceed 250</t>
        </is>
      </c>
      <c r="CQ236" t="inlineStr">
        <is>
          <t>10000 (Wikipedia) staff (whole-company count) x 5% to 100% of them in the New York office (HQ city unknown; share assumed) x 46% (Partnership for NYC, firms over 5,000) in on a weekday = 230 to 4600, central 1029; low confidence; estimate until intake replaces it.</t>
        </is>
      </c>
      <c r="CR236" t="inlineStr">
        <is>
          <t>estimate until intake replaces it</t>
        </is>
      </c>
      <c r="CS236" t="n">
        <v>0.03</v>
      </c>
      <c r="CT236" t="n">
        <v>21.7</v>
      </c>
      <c r="CU236" t="n">
        <v>0.7</v>
      </c>
      <c r="CV236" t="n">
        <v>0</v>
      </c>
      <c r="CW236" t="n">
        <v>6</v>
      </c>
      <c r="CX236" t="n">
        <v>15</v>
      </c>
      <c r="CY236">
        <f>IF(AH236="exact",10,IF(AH236="adjacent",5,0))</f>
        <v/>
      </c>
      <c r="CZ236">
        <f>IF(R236="Y",15,0)</f>
        <v/>
      </c>
      <c r="DF236" t="inlineStr">
        <is>
          <t>none</t>
        </is>
      </c>
      <c r="DG236" t="inlineStr">
        <is>
          <t>near-miss-over-500</t>
        </is>
      </c>
      <c r="DH236" t="inlineStr">
        <is>
          <t>not-near (5,000 or more)</t>
        </is>
      </c>
      <c r="DI236" t="inlineStr">
        <is>
          <t>N</t>
        </is>
      </c>
      <c r="DK236" t="inlineStr">
        <is>
          <t>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36" t="inlineStr">
        <is>
          <t>none</t>
        </is>
      </c>
      <c r="DX236" t="inlineStr">
        <is>
          <t>N</t>
        </is>
      </c>
      <c r="ER236">
        <f>IF(ISNUMBER(MATCH(U236,{"queued","contacted","replied","call_booked","call_done","yes_in_principle","materials_sent"},0)),"Y","N")</f>
        <v/>
      </c>
      <c r="ES236">
        <f>IF(COUNTIFS($AP$2:$AP$1000,AP236,$ER$2:$ER$1000,"Y")+COUNTIFS($AP$2:$AP$1000,AP236,$T$2:$T$1000,"Y")&gt;0,"Y","N")</f>
        <v/>
      </c>
      <c r="ET236">
        <f>IF(AND(U236="new",T236="N",AT236="Y",AS236="",ES236="N"),"Y","N")</f>
        <v/>
      </c>
      <c r="EU236">
        <f>IF(ET236&lt;&gt;"Y","N",IF(COUNTIFS($AP$2:$AP$1000,AP236,$ET$2:$ET$1000,"Y",$J$2:$J$1000,"&gt;"&amp;J236)+COUNTIFS($AP$2:$AP$1000,AP236,$ET$2:$ET$1000,"Y",$J$2:$J$1000,J236,$EW$2:$EW$1000,"&lt;"&amp;EW236)=0,"Y","N"))</f>
        <v/>
      </c>
      <c r="EV236">
        <f>IF(Y236="","N",IF(Y236&lt;=10,"Y","N"))</f>
        <v/>
      </c>
      <c r="EW236">
        <f>ROW()-1</f>
        <v/>
      </c>
    </row>
    <row r="237">
      <c r="A237" t="inlineStr">
        <is>
          <t>AO-C-243</t>
        </is>
      </c>
      <c r="B237" t="inlineStr">
        <is>
          <t>Pinterest</t>
        </is>
      </c>
      <c r="H237" t="inlineStr">
        <is>
          <t>none</t>
        </is>
      </c>
      <c r="I237" t="inlineStr">
        <is>
          <t>linkedin</t>
        </is>
      </c>
      <c r="J237">
        <f>IF(AX237="pass",ROUND(CU237+CV237+CW237+CX237+CY237+CZ237,1),0)</f>
        <v/>
      </c>
      <c r="K237" t="inlineStr">
        <is>
          <t>Tuesday estimate 133 to 2660 (low confidence), 1,001 to 4,999 staff company-wide, no attendance signal, signed-not-occupied at a high-confidence address (hold: lease signed, move not confirmed); contacts not researched yet (below the top 50).</t>
        </is>
      </c>
      <c r="L237" t="inlineStr">
        <is>
          <t>over-500</t>
        </is>
      </c>
      <c r="R237" t="inlineStr">
        <is>
          <t>N</t>
        </is>
      </c>
      <c r="S237" t="inlineStr">
        <is>
          <t>unknown</t>
        </is>
      </c>
      <c r="T237" t="inlineStr">
        <is>
          <t>N</t>
        </is>
      </c>
      <c r="U237" t="inlineStr">
        <is>
          <t>new</t>
        </is>
      </c>
      <c r="V237" t="inlineStr">
        <is>
          <t>https://commercialobserver.com/2026/07/ai-firm-legora-takes-98k-sl-greens-11-madison-avenue/</t>
        </is>
      </c>
      <c r="W237" t="inlineStr">
        <is>
          <t>2026-10-23</t>
        </is>
      </c>
      <c r="X237" t="inlineStr">
        <is>
          <t>office</t>
        </is>
      </c>
      <c r="Y237">
        <f>IF(EU237&lt;&gt;"Y","",COUNTIFS($EU$2:$EU$1000,"Y",$J$2:$J$1000,"&gt;"&amp;J237)+COUNTIFS($EU$2:$EU$1000,"Y",$J$2:$J$1000,J237,$EW$2:$EW$1000,"&lt;"&amp;EW237)+1)</f>
        <v/>
      </c>
      <c r="Z237" t="n">
        <v>236</v>
      </c>
      <c r="AA237" t="inlineStr">
        <is>
          <t>N</t>
        </is>
      </c>
      <c r="AB237" t="inlineStr">
        <is>
          <t>Tuesday estimate band over-500: founder's call (set founder_ok_to_queue = Y to queue)</t>
        </is>
      </c>
      <c r="AD237" t="inlineStr">
        <is>
          <t>none</t>
        </is>
      </c>
      <c r="AH237" t="inlineStr">
        <is>
          <t>none</t>
        </is>
      </c>
      <c r="AI237" t="inlineStr">
        <is>
          <t>11 Madison Avenue</t>
        </is>
      </c>
      <c r="AJ237" t="inlineStr">
        <is>
          <t>13</t>
        </is>
      </c>
      <c r="AK237" t="inlineStr">
        <is>
          <t>signed-not-occupied</t>
        </is>
      </c>
      <c r="AL237" t="n">
        <v>133</v>
      </c>
      <c r="AM237" t="n">
        <v>2660</v>
      </c>
      <c r="AN237" t="inlineStr">
        <is>
          <t>low</t>
        </is>
      </c>
      <c r="AO237" t="inlineStr">
        <is>
          <t>unknown</t>
        </is>
      </c>
      <c r="AP237" t="inlineStr">
        <is>
          <t>AO-C-243</t>
        </is>
      </c>
      <c r="AQ237" t="inlineStr">
        <is>
          <t>Y</t>
        </is>
      </c>
      <c r="AR237" t="inlineStr">
        <is>
          <t>lease signed, move not confirmed: check the lobby directory before outreach (B)</t>
        </is>
      </c>
      <c r="AT237">
        <f>IF(AND(AX237="pass",AQ237&lt;&gt;"Y",C237&lt;&gt;"",OR(AW237&lt;&gt;"Y",AV237="Y")),"Y","N")</f>
        <v/>
      </c>
      <c r="AU237">
        <f>_xlfn.TEXTJOIN("; ",TRUE,IF(AX237&lt;&gt;"pass","gated out",""),IF(AQ237="Y","on hold: "&amp;AR237,""),IF(C237="","no contact named on an opened page",""),IF(AND(AW237="Y",AV237&lt;&gt;"Y"),"Tuesday estimate band "&amp;L237&amp;": founder's call",""))</f>
        <v/>
      </c>
      <c r="AW237" t="inlineStr">
        <is>
          <t>Y</t>
        </is>
      </c>
      <c r="AX237" t="inlineStr">
        <is>
          <t>pass</t>
        </is>
      </c>
      <c r="AY237" t="inlineStr">
        <is>
          <t>passes all hard gates</t>
        </is>
      </c>
      <c r="AZ237" t="inlineStr">
        <is>
          <t>company</t>
        </is>
      </c>
      <c r="BA237" t="inlineStr">
        <is>
          <t>B-C-243</t>
        </is>
      </c>
      <c r="BB237" t="inlineStr">
        <is>
          <t>https://www.pinterest.com/</t>
        </is>
      </c>
      <c r="BC237" t="inlineStr">
        <is>
          <t>Social media / technology</t>
        </is>
      </c>
      <c r="BD237" t="inlineStr">
        <is>
          <t>4666</t>
        </is>
      </c>
      <c r="BF237" t="inlineStr">
        <is>
          <t>over-500</t>
        </is>
      </c>
      <c r="BG237" t="inlineStr">
        <is>
          <t>whole-company</t>
        </is>
      </c>
      <c r="BH237" t="inlineStr">
        <is>
          <t>single-source</t>
        </is>
      </c>
      <c r="BI237" t="inlineStr">
        <is>
          <t>https://en.wikipedia.org/wiki/Pinterest</t>
        </is>
      </c>
      <c r="BK237" t="inlineStr">
        <is>
          <t>1001-4999</t>
        </is>
      </c>
      <c r="BL237" t="inlineStr">
        <is>
          <t>unknown</t>
        </is>
      </c>
      <c r="BM237" t="inlineStr">
        <is>
          <t>unknown</t>
        </is>
      </c>
      <c r="BN237" t="inlineStr">
        <is>
          <t>unknown</t>
        </is>
      </c>
      <c r="BO237" t="inlineStr">
        <is>
          <t>unknown</t>
        </is>
      </c>
      <c r="BP237" t="inlineStr">
        <is>
          <t>10010</t>
        </is>
      </c>
      <c r="BQ237" t="n">
        <v>40.741761</v>
      </c>
      <c r="BR237" t="n">
        <v>-73.987033</v>
      </c>
      <c r="BS237" t="inlineStr">
        <is>
          <t>Y</t>
        </is>
      </c>
      <c r="BT237" t="n">
        <v>0</v>
      </c>
      <c r="BU237" t="inlineStr">
        <is>
          <t>B-B-052</t>
        </is>
      </c>
      <c r="BV237" t="inlineStr">
        <is>
          <t>11 Madison Avenue (SL Green); Sony Music uses 25 Madison Ave entrance</t>
        </is>
      </c>
      <c r="BW237" t="inlineStr">
        <is>
          <t>https://commercialobserver.com/2026/07/ai-firm-legora-takes-98k-sl-greens-11-madison-avenue/</t>
        </is>
      </c>
      <c r="BX237" t="inlineStr">
        <is>
          <t>2026-07-23</t>
        </is>
      </c>
      <c r="BY237" t="inlineStr">
        <is>
          <t>leasing-press</t>
        </is>
      </c>
      <c r="BZ237" t="inlineStr">
        <is>
          <t>https://slgreen.com/?p=12833</t>
        </is>
      </c>
      <c r="CA237" t="inlineStr">
        <is>
          <t>2026-07-22</t>
        </is>
      </c>
      <c r="CC237" t="inlineStr">
        <is>
          <t>high</t>
        </is>
      </c>
      <c r="CD237" t="inlineStr">
        <is>
          <t>unknown</t>
        </is>
      </c>
      <c r="CE237" t="inlineStr">
        <is>
          <t>N</t>
        </is>
      </c>
      <c r="CH237" t="inlineStr">
        <is>
          <t>loading dock</t>
        </is>
      </c>
      <c r="CI237" t="inlineStr">
        <is>
          <t>https://en.wikipedia.org/wiki/11_Madison_Avenue</t>
        </is>
      </c>
      <c r="CJ237" t="inlineStr">
        <is>
          <t>unknown</t>
        </is>
      </c>
      <c r="CK237" t="inlineStr">
        <is>
          <t>N</t>
        </is>
      </c>
      <c r="CL237" t="inlineStr">
        <is>
          <t>unknown</t>
        </is>
      </c>
      <c r="CO237" t="n">
        <v>595</v>
      </c>
      <c r="CP237" t="inlineStr">
        <is>
          <t>may exceed 250</t>
        </is>
      </c>
      <c r="CQ237" t="inlineStr">
        <is>
          <t>4666 (Wikipedia) staff (whole-company count) x 5% to 100% of them in the New York office (HQ city unknown; share assumed) x 57% (Partnership for NYC, all Manhattan firms; no figure for 500 to 4,999) in on a weekday = 133 to 2660, central 595; low confidence; estimate until intake replaces it.</t>
        </is>
      </c>
      <c r="CR237" t="inlineStr">
        <is>
          <t>estimate until intake replaces it</t>
        </is>
      </c>
      <c r="CS237" t="n">
        <v>0.21</v>
      </c>
      <c r="CT237" t="n">
        <v>20.3</v>
      </c>
      <c r="CU237" t="n">
        <v>5.3</v>
      </c>
      <c r="CV237" t="n">
        <v>2</v>
      </c>
      <c r="CW237" t="n">
        <v>6</v>
      </c>
      <c r="CX237" t="n">
        <v>7</v>
      </c>
      <c r="CY237">
        <f>IF(AH237="exact",10,IF(AH237="adjacent",5,0))</f>
        <v/>
      </c>
      <c r="CZ237">
        <f>IF(R237="Y",15,0)</f>
        <v/>
      </c>
      <c r="DF237" t="inlineStr">
        <is>
          <t>none</t>
        </is>
      </c>
      <c r="DG237" t="inlineStr">
        <is>
          <t>near-miss-over-500</t>
        </is>
      </c>
      <c r="DH237" t="inlineStr">
        <is>
          <t>over-1,000 (1,001 to 4,999)</t>
        </is>
      </c>
      <c r="DI237" t="inlineStr">
        <is>
          <t>N</t>
        </is>
      </c>
      <c r="DJ237" t="inlineStr">
        <is>
          <t>83,000 sf</t>
        </is>
      </c>
      <c r="DK237" t="inlineStr">
        <is>
          <t>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37" t="inlineStr">
        <is>
          <t>none</t>
        </is>
      </c>
      <c r="DX237" t="inlineStr">
        <is>
          <t>N</t>
        </is>
      </c>
      <c r="ER237">
        <f>IF(ISNUMBER(MATCH(U237,{"queued","contacted","replied","call_booked","call_done","yes_in_principle","materials_sent"},0)),"Y","N")</f>
        <v/>
      </c>
      <c r="ES237">
        <f>IF(COUNTIFS($AP$2:$AP$1000,AP237,$ER$2:$ER$1000,"Y")+COUNTIFS($AP$2:$AP$1000,AP237,$T$2:$T$1000,"Y")&gt;0,"Y","N")</f>
        <v/>
      </c>
      <c r="ET237">
        <f>IF(AND(U237="new",T237="N",AT237="Y",AS237="",ES237="N"),"Y","N")</f>
        <v/>
      </c>
      <c r="EU237">
        <f>IF(ET237&lt;&gt;"Y","N",IF(COUNTIFS($AP$2:$AP$1000,AP237,$ET$2:$ET$1000,"Y",$J$2:$J$1000,"&gt;"&amp;J237)+COUNTIFS($AP$2:$AP$1000,AP237,$ET$2:$ET$1000,"Y",$J$2:$J$1000,J237,$EW$2:$EW$1000,"&lt;"&amp;EW237)=0,"Y","N"))</f>
        <v/>
      </c>
      <c r="EV237">
        <f>IF(Y237="","N",IF(Y237&lt;=10,"Y","N"))</f>
        <v/>
      </c>
      <c r="EW237">
        <f>ROW()-1</f>
        <v/>
      </c>
    </row>
    <row r="238">
      <c r="A238" t="inlineStr">
        <is>
          <t>AO-C-182</t>
        </is>
      </c>
      <c r="B238" t="inlineStr">
        <is>
          <t>Adyen</t>
        </is>
      </c>
      <c r="H238" t="inlineStr">
        <is>
          <t>none</t>
        </is>
      </c>
      <c r="I238" t="inlineStr">
        <is>
          <t>linkedin</t>
        </is>
      </c>
      <c r="J238">
        <f>IF(AX238="pass",ROUND(CU238+CV238+CW238+CX238+CY238+CZ238,1),0)</f>
        <v/>
      </c>
      <c r="K238" t="inlineStr">
        <is>
          <t>Tuesday estimate 136 to 2719 (low confidence), 1,001 to 4,999 staff company-wide, hybrid (days not stated), moving-out at a high-confidence address (hold: moving out of this address); contacts not researched yet (below the top 50).</t>
        </is>
      </c>
      <c r="L238" t="inlineStr">
        <is>
          <t>over-500</t>
        </is>
      </c>
      <c r="R238" t="inlineStr">
        <is>
          <t>N</t>
        </is>
      </c>
      <c r="S238" t="inlineStr">
        <is>
          <t>unknown</t>
        </is>
      </c>
      <c r="T238" t="inlineStr">
        <is>
          <t>N</t>
        </is>
      </c>
      <c r="U238" t="inlineStr">
        <is>
          <t>new</t>
        </is>
      </c>
      <c r="V238" t="inlineStr">
        <is>
          <t>https://www.adyen.com/offices</t>
        </is>
      </c>
      <c r="W238" t="inlineStr">
        <is>
          <t>2026-10-23</t>
        </is>
      </c>
      <c r="X238" t="inlineStr">
        <is>
          <t>office</t>
        </is>
      </c>
      <c r="Y238">
        <f>IF(EU238&lt;&gt;"Y","",COUNTIFS($EU$2:$EU$1000,"Y",$J$2:$J$1000,"&gt;"&amp;J238)+COUNTIFS($EU$2:$EU$1000,"Y",$J$2:$J$1000,J238,$EW$2:$EW$1000,"&lt;"&amp;EW238)+1)</f>
        <v/>
      </c>
      <c r="Z238" t="n">
        <v>237</v>
      </c>
      <c r="AA238" t="inlineStr">
        <is>
          <t>N</t>
        </is>
      </c>
      <c r="AB238" t="inlineStr">
        <is>
          <t>Tuesday estimate band over-500: founder's call (set founder_ok_to_queue = Y to queue)</t>
        </is>
      </c>
      <c r="AD238" t="inlineStr">
        <is>
          <t>none</t>
        </is>
      </c>
      <c r="AH238" t="inlineStr">
        <is>
          <t>none</t>
        </is>
      </c>
      <c r="AI238" t="inlineStr">
        <is>
          <t>71 Fifth Avenue</t>
        </is>
      </c>
      <c r="AJ238" t="inlineStr">
        <is>
          <t>11</t>
        </is>
      </c>
      <c r="AK238" t="inlineStr">
        <is>
          <t>moving-out</t>
        </is>
      </c>
      <c r="AL238" t="n">
        <v>136</v>
      </c>
      <c r="AM238" t="n">
        <v>2719</v>
      </c>
      <c r="AN238" t="inlineStr">
        <is>
          <t>low</t>
        </is>
      </c>
      <c r="AO238" t="inlineStr">
        <is>
          <t>hybrid-unspecified</t>
        </is>
      </c>
      <c r="AP238" t="inlineStr">
        <is>
          <t>AO-C-182</t>
        </is>
      </c>
      <c r="AQ238" t="inlineStr">
        <is>
          <t>Y</t>
        </is>
      </c>
      <c r="AR238" t="inlineStr">
        <is>
          <t>moving out of this address: confirm where the office will be before outreach (B)</t>
        </is>
      </c>
      <c r="AT238">
        <f>IF(AND(AX238="pass",AQ238&lt;&gt;"Y",C238&lt;&gt;"",OR(AW238&lt;&gt;"Y",AV238="Y")),"Y","N")</f>
        <v/>
      </c>
      <c r="AU238">
        <f>_xlfn.TEXTJOIN("; ",TRUE,IF(AX238&lt;&gt;"pass","gated out",""),IF(AQ238="Y","on hold: "&amp;AR238,""),IF(C238="","no contact named on an opened page",""),IF(AND(AW238="Y",AV238&lt;&gt;"Y"),"Tuesday estimate band "&amp;L238&amp;": founder's call",""))</f>
        <v/>
      </c>
      <c r="AW238" t="inlineStr">
        <is>
          <t>Y</t>
        </is>
      </c>
      <c r="AX238" t="inlineStr">
        <is>
          <t>pass</t>
        </is>
      </c>
      <c r="AY238" t="inlineStr">
        <is>
          <t>passes all hard gates</t>
        </is>
      </c>
      <c r="AZ238" t="inlineStr">
        <is>
          <t>company</t>
        </is>
      </c>
      <c r="BA238" t="inlineStr">
        <is>
          <t>B-C-182</t>
        </is>
      </c>
      <c r="BB238" t="inlineStr">
        <is>
          <t>https://www.adyen.com</t>
        </is>
      </c>
      <c r="BC238" t="inlineStr">
        <is>
          <t>payments</t>
        </is>
      </c>
      <c r="BD238" t="inlineStr">
        <is>
          <t>4771</t>
        </is>
      </c>
      <c r="BF238" t="inlineStr">
        <is>
          <t>over-500</t>
        </is>
      </c>
      <c r="BG238" t="inlineStr">
        <is>
          <t>whole-company</t>
        </is>
      </c>
      <c r="BH238" t="inlineStr">
        <is>
          <t>single-source</t>
        </is>
      </c>
      <c r="BI238" t="inlineStr">
        <is>
          <t>https://www.builtinnyc.com/company/adyen</t>
        </is>
      </c>
      <c r="BK238" t="inlineStr">
        <is>
          <t>1001-4999</t>
        </is>
      </c>
      <c r="BL238" t="inlineStr">
        <is>
          <t>unknown</t>
        </is>
      </c>
      <c r="BM238" t="inlineStr">
        <is>
          <t>unknown</t>
        </is>
      </c>
      <c r="BN238" t="inlineStr">
        <is>
          <t>unknown</t>
        </is>
      </c>
      <c r="BO238" t="inlineStr">
        <is>
          <t>unknown</t>
        </is>
      </c>
      <c r="BP238" t="inlineStr">
        <is>
          <t>10003</t>
        </is>
      </c>
      <c r="BQ238" t="n">
        <v>40.736419</v>
      </c>
      <c r="BR238" t="n">
        <v>-73.99309599999999</v>
      </c>
      <c r="BS238" t="inlineStr">
        <is>
          <t>Y</t>
        </is>
      </c>
      <c r="BT238" t="n">
        <v>0</v>
      </c>
      <c r="BU238" t="inlineStr">
        <is>
          <t>B-B-004</t>
        </is>
      </c>
      <c r="BV238" t="inlineStr">
        <is>
          <t>71 Fifth Avenue</t>
        </is>
      </c>
      <c r="BW238" t="inlineStr">
        <is>
          <t>https://www.adyen.com/offices</t>
        </is>
      </c>
      <c r="BX238" t="inlineStr">
        <is>
          <t>2026-10-23</t>
        </is>
      </c>
      <c r="BY238" t="inlineStr">
        <is>
          <t>company-site</t>
        </is>
      </c>
      <c r="BZ238" t="inlineStr">
        <is>
          <t>https://www.connectcre.com/stories/ayden-doubles-footprint-of-union-square-offices/</t>
        </is>
      </c>
      <c r="CA238" t="inlineStr">
        <is>
          <t>2021-09-02</t>
        </is>
      </c>
      <c r="CC238" t="inlineStr">
        <is>
          <t>high</t>
        </is>
      </c>
      <c r="CD238" t="inlineStr">
        <is>
          <t>unknown</t>
        </is>
      </c>
      <c r="CE238" t="inlineStr">
        <is>
          <t>N</t>
        </is>
      </c>
      <c r="CH238" t="inlineStr">
        <is>
          <t>unknown</t>
        </is>
      </c>
      <c r="CJ238" t="inlineStr">
        <is>
          <t>unknown</t>
        </is>
      </c>
      <c r="CK238" t="inlineStr">
        <is>
          <t>N</t>
        </is>
      </c>
      <c r="CL238" t="inlineStr">
        <is>
          <t>Built In workplace type: Hybrid Workplace; typical time on-site: Flexible</t>
        </is>
      </c>
      <c r="CM238" t="inlineStr">
        <is>
          <t>https://www.builtinnyc.com/company/adyen/offices</t>
        </is>
      </c>
      <c r="CN238" t="inlineStr">
        <is>
          <t>2026-10-24</t>
        </is>
      </c>
      <c r="CO238" t="n">
        <v>608</v>
      </c>
      <c r="CP238" t="inlineStr">
        <is>
          <t>may exceed 250</t>
        </is>
      </c>
      <c r="CQ238" t="inlineStr">
        <is>
          <t>4771 (Built In) staff (whole-company count) x 5% to 100% of them in the New York office (HQ city unknown; share assumed) x 57% (Partnership for NYC, all Manhattan firms; no figure for 500 to 4,999) in on a weekday = 136 to 2719, central 608; low confidence; estimate until intake replaces it.</t>
        </is>
      </c>
      <c r="CR238" t="inlineStr">
        <is>
          <t>estimate until intake replaces it</t>
        </is>
      </c>
      <c r="CS238" t="n">
        <v>0.2</v>
      </c>
      <c r="CT238" t="n">
        <v>19.1</v>
      </c>
      <c r="CU238" t="n">
        <v>5.1</v>
      </c>
      <c r="CV238" t="n">
        <v>2</v>
      </c>
      <c r="CW238" t="n">
        <v>7</v>
      </c>
      <c r="CX238" t="n">
        <v>5</v>
      </c>
      <c r="CY238">
        <f>IF(AH238="exact",10,IF(AH238="adjacent",5,0))</f>
        <v/>
      </c>
      <c r="CZ238">
        <f>IF(R238="Y",15,0)</f>
        <v/>
      </c>
      <c r="DF238" t="inlineStr">
        <is>
          <t>none</t>
        </is>
      </c>
      <c r="DG238" t="inlineStr">
        <is>
          <t>near-miss-over-500</t>
        </is>
      </c>
      <c r="DH238" t="inlineStr">
        <is>
          <t>over-1,000 (1,001 to 4,999)</t>
        </is>
      </c>
      <c r="DI238" t="inlineStr">
        <is>
          <t>N</t>
        </is>
      </c>
      <c r="DJ238" t="inlineStr">
        <is>
          <t>30,415 sf;90,000 sf</t>
        </is>
      </c>
      <c r="DK238" t="inlineStr">
        <is>
          <t>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is>
      </c>
      <c r="DS238" t="inlineStr">
        <is>
          <t>none</t>
        </is>
      </c>
      <c r="DX238" t="inlineStr">
        <is>
          <t>N</t>
        </is>
      </c>
      <c r="ER238">
        <f>IF(ISNUMBER(MATCH(U238,{"queued","contacted","replied","call_booked","call_done","yes_in_principle","materials_sent"},0)),"Y","N")</f>
        <v/>
      </c>
      <c r="ES238">
        <f>IF(COUNTIFS($AP$2:$AP$1000,AP238,$ER$2:$ER$1000,"Y")+COUNTIFS($AP$2:$AP$1000,AP238,$T$2:$T$1000,"Y")&gt;0,"Y","N")</f>
        <v/>
      </c>
      <c r="ET238">
        <f>IF(AND(U238="new",T238="N",AT238="Y",AS238="",ES238="N"),"Y","N")</f>
        <v/>
      </c>
      <c r="EU238">
        <f>IF(ET238&lt;&gt;"Y","N",IF(COUNTIFS($AP$2:$AP$1000,AP238,$ET$2:$ET$1000,"Y",$J$2:$J$1000,"&gt;"&amp;J238)+COUNTIFS($AP$2:$AP$1000,AP238,$ET$2:$ET$1000,"Y",$J$2:$J$1000,J238,$EW$2:$EW$1000,"&lt;"&amp;EW238)=0,"Y","N"))</f>
        <v/>
      </c>
      <c r="EV238">
        <f>IF(Y238="","N",IF(Y238&lt;=10,"Y","N"))</f>
        <v/>
      </c>
      <c r="EW238">
        <f>ROW()-1</f>
        <v/>
      </c>
    </row>
    <row r="239">
      <c r="A239" t="inlineStr">
        <is>
          <t>AO-C-269</t>
        </is>
      </c>
      <c r="B239" t="inlineStr">
        <is>
          <t>Octus (formerly Reorg)</t>
        </is>
      </c>
      <c r="H239" t="inlineStr">
        <is>
          <t>none</t>
        </is>
      </c>
      <c r="I239" t="inlineStr">
        <is>
          <t>linkedin</t>
        </is>
      </c>
      <c r="J239">
        <f>IF(AX239="pass",ROUND(CU239+CV239+CW239+CX239+CY239+CZ239,1),0)</f>
        <v/>
      </c>
      <c r="K239" t="inlineStr">
        <is>
          <t>Tuesday estimate 230 to 461 (low confidence), 501 to 1,000 staff company-wide, hybrid 2 days or fewer, signed-not-occupied at a medium-confidence address (hold: lease signed, move not confirmed); contacts not researched yet (below the top 50).</t>
        </is>
      </c>
      <c r="L239" t="inlineStr">
        <is>
          <t>251-500</t>
        </is>
      </c>
      <c r="R239" t="inlineStr">
        <is>
          <t>N</t>
        </is>
      </c>
      <c r="S239" t="inlineStr">
        <is>
          <t>unknown</t>
        </is>
      </c>
      <c r="T239" t="inlineStr">
        <is>
          <t>N</t>
        </is>
      </c>
      <c r="U239" t="inlineStr">
        <is>
          <t>new</t>
        </is>
      </c>
      <c r="V239" t="inlineStr">
        <is>
          <t>https://commercialobserver.com/2025/03/octus-lease-295-fifth-avenue/</t>
        </is>
      </c>
      <c r="W239" t="inlineStr">
        <is>
          <t>2026-10-23</t>
        </is>
      </c>
      <c r="X239" t="inlineStr">
        <is>
          <t>office</t>
        </is>
      </c>
      <c r="Y239">
        <f>IF(EU239&lt;&gt;"Y","",COUNTIFS($EU$2:$EU$1000,"Y",$J$2:$J$1000,"&gt;"&amp;J239)+COUNTIFS($EU$2:$EU$1000,"Y",$J$2:$J$1000,J239,$EW$2:$EW$1000,"&lt;"&amp;EW239)+1)</f>
        <v/>
      </c>
      <c r="Z239" t="n">
        <v>238</v>
      </c>
      <c r="AA239" t="inlineStr">
        <is>
          <t>N</t>
        </is>
      </c>
      <c r="AB239" t="inlineStr">
        <is>
          <t>Tuesday estimate band 251-500: founder's call (set founder_ok_to_queue = Y to queue)</t>
        </is>
      </c>
      <c r="AD239" t="inlineStr">
        <is>
          <t>none</t>
        </is>
      </c>
      <c r="AH239" t="inlineStr">
        <is>
          <t>none</t>
        </is>
      </c>
      <c r="AI239" t="inlineStr">
        <is>
          <t>295 Fifth Avenue</t>
        </is>
      </c>
      <c r="AJ239" t="inlineStr">
        <is>
          <t>6</t>
        </is>
      </c>
      <c r="AK239" t="inlineStr">
        <is>
          <t>signed-not-occupied</t>
        </is>
      </c>
      <c r="AL239" t="n">
        <v>230</v>
      </c>
      <c r="AM239" t="n">
        <v>461</v>
      </c>
      <c r="AN239" t="inlineStr">
        <is>
          <t>low</t>
        </is>
      </c>
      <c r="AO239" t="inlineStr">
        <is>
          <t>hybrid-2-or-less</t>
        </is>
      </c>
      <c r="AP239" t="inlineStr">
        <is>
          <t>AO-C-269</t>
        </is>
      </c>
      <c r="AQ239" t="inlineStr">
        <is>
          <t>Y</t>
        </is>
      </c>
      <c r="AR239" t="inlineStr">
        <is>
          <t>lease signed, move not confirmed: check the lobby directory before outreach (B)</t>
        </is>
      </c>
      <c r="AT239">
        <f>IF(AND(AX239="pass",AQ239&lt;&gt;"Y",C239&lt;&gt;"",OR(AW239&lt;&gt;"Y",AV239="Y")),"Y","N")</f>
        <v/>
      </c>
      <c r="AU239">
        <f>_xlfn.TEXTJOIN("; ",TRUE,IF(AX239&lt;&gt;"pass","gated out",""),IF(AQ239="Y","on hold: "&amp;AR239,""),IF(C239="","no contact named on an opened page",""),IF(AND(AW239="Y",AV239&lt;&gt;"Y"),"Tuesday estimate band "&amp;L239&amp;": founder's call",""))</f>
        <v/>
      </c>
      <c r="AW239" t="inlineStr">
        <is>
          <t>Y</t>
        </is>
      </c>
      <c r="AX239" t="inlineStr">
        <is>
          <t>pass</t>
        </is>
      </c>
      <c r="AY239" t="inlineStr">
        <is>
          <t>passes all hard gates</t>
        </is>
      </c>
      <c r="AZ239" t="inlineStr">
        <is>
          <t>company</t>
        </is>
      </c>
      <c r="BA239" t="inlineStr">
        <is>
          <t>B-C-269</t>
        </is>
      </c>
      <c r="BB239" t="inlineStr">
        <is>
          <t>https://octus.com</t>
        </is>
      </c>
      <c r="BC239" t="inlineStr">
        <is>
          <t>credit data and intelligence</t>
        </is>
      </c>
      <c r="BD239" t="inlineStr">
        <is>
          <t>808</t>
        </is>
      </c>
      <c r="BF239" t="inlineStr">
        <is>
          <t>over-500</t>
        </is>
      </c>
      <c r="BG239" t="inlineStr">
        <is>
          <t>whole-company</t>
        </is>
      </c>
      <c r="BH239" t="inlineStr">
        <is>
          <t>single-source</t>
        </is>
      </c>
      <c r="BI239" t="inlineStr">
        <is>
          <t>https://www.builtinnyc.com/company/octus/offices</t>
        </is>
      </c>
      <c r="BK239" t="inlineStr">
        <is>
          <t>501-1000</t>
        </is>
      </c>
      <c r="BL239" t="inlineStr">
        <is>
          <t>New York</t>
        </is>
      </c>
      <c r="BM239" t="inlineStr">
        <is>
          <t>Y</t>
        </is>
      </c>
      <c r="BN239" t="inlineStr">
        <is>
          <t>unknown</t>
        </is>
      </c>
      <c r="BO239" t="inlineStr">
        <is>
          <t>unknown</t>
        </is>
      </c>
      <c r="BP239" t="inlineStr">
        <is>
          <t>10016</t>
        </is>
      </c>
      <c r="BQ239" t="n">
        <v>40.746186</v>
      </c>
      <c r="BR239" t="n">
        <v>-73.985981</v>
      </c>
      <c r="BS239" t="inlineStr">
        <is>
          <t>Y</t>
        </is>
      </c>
      <c r="BT239" t="n">
        <v>0</v>
      </c>
      <c r="BU239" t="inlineStr">
        <is>
          <t>B-B-082</t>
        </is>
      </c>
      <c r="BV239" t="inlineStr">
        <is>
          <t>Textile Building, 295 Fifth Avenue (Tribeca Investment Group, PGIM Real Estate, Meadow Partners)</t>
        </is>
      </c>
      <c r="BW239" t="inlineStr">
        <is>
          <t>https://commercialobserver.com/2025/03/octus-lease-295-fifth-avenue/</t>
        </is>
      </c>
      <c r="BX239" t="inlineStr">
        <is>
          <t>2025-03-31</t>
        </is>
      </c>
      <c r="BY239" t="inlineStr">
        <is>
          <t>leasing-press</t>
        </is>
      </c>
      <c r="CC239" t="inlineStr">
        <is>
          <t>medium</t>
        </is>
      </c>
      <c r="CD239" t="inlineStr">
        <is>
          <t>unknown</t>
        </is>
      </c>
      <c r="CE239" t="inlineStr">
        <is>
          <t>N</t>
        </is>
      </c>
      <c r="CH239" t="inlineStr">
        <is>
          <t>unknown</t>
        </is>
      </c>
      <c r="CJ239" t="inlineStr">
        <is>
          <t>unknown</t>
        </is>
      </c>
      <c r="CK239" t="inlineStr">
        <is>
          <t>N</t>
        </is>
      </c>
      <c r="CL239" t="inlineStr">
        <is>
          <t>Built In workplace type: Hybrid Workplace; typical time on-site: 2 days a week</t>
        </is>
      </c>
      <c r="CM239" t="inlineStr">
        <is>
          <t>https://www.builtinnyc.com/company/octus/offices</t>
        </is>
      </c>
      <c r="CN239" t="inlineStr">
        <is>
          <t>2026-10-24</t>
        </is>
      </c>
      <c r="CO239" t="n">
        <v>326</v>
      </c>
      <c r="CP239" t="inlineStr">
        <is>
          <t>may exceed 250</t>
        </is>
      </c>
      <c r="CQ239" t="inlineStr">
        <is>
          <t>808 (Built In) staff (whole-company count) x 50% to 100% of them in the New York office (HQ New York; share assumed) x 57% (Partnership for NYC, all Manhattan firms; no figure for 500 to 4,999) in on a weekday = 230 to 461, central 326; low confidence; estimate until intake replaces it.</t>
        </is>
      </c>
      <c r="CR239" t="inlineStr">
        <is>
          <t>estimate until intake replaces it</t>
        </is>
      </c>
      <c r="CS239" t="n">
        <v>0.12</v>
      </c>
      <c r="CT239" t="n">
        <v>19</v>
      </c>
      <c r="CU239" t="n">
        <v>3</v>
      </c>
      <c r="CV239" t="n">
        <v>6</v>
      </c>
      <c r="CW239" t="n">
        <v>5</v>
      </c>
      <c r="CX239" t="n">
        <v>5</v>
      </c>
      <c r="CY239">
        <f>IF(AH239="exact",10,IF(AH239="adjacent",5,0))</f>
        <v/>
      </c>
      <c r="CZ239">
        <f>IF(R239="Y",15,0)</f>
        <v/>
      </c>
      <c r="DF239" t="inlineStr">
        <is>
          <t>none</t>
        </is>
      </c>
      <c r="DG239" t="inlineStr">
        <is>
          <t>near-miss-over-500</t>
        </is>
      </c>
      <c r="DH239" t="inlineStr">
        <is>
          <t>just-over-500 (501 to 1,000)</t>
        </is>
      </c>
      <c r="DI239" t="inlineStr">
        <is>
          <t>N</t>
        </is>
      </c>
      <c r="DJ239" t="inlineStr">
        <is>
          <t>43,000 sf</t>
        </is>
      </c>
      <c r="DK239" t="inlineStr">
        <is>
          <t>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is>
      </c>
      <c r="DS239" t="inlineStr">
        <is>
          <t>none</t>
        </is>
      </c>
      <c r="DX239" t="inlineStr">
        <is>
          <t>N</t>
        </is>
      </c>
      <c r="ER239">
        <f>IF(ISNUMBER(MATCH(U239,{"queued","contacted","replied","call_booked","call_done","yes_in_principle","materials_sent"},0)),"Y","N")</f>
        <v/>
      </c>
      <c r="ES239">
        <f>IF(COUNTIFS($AP$2:$AP$1000,AP239,$ER$2:$ER$1000,"Y")+COUNTIFS($AP$2:$AP$1000,AP239,$T$2:$T$1000,"Y")&gt;0,"Y","N")</f>
        <v/>
      </c>
      <c r="ET239">
        <f>IF(AND(U239="new",T239="N",AT239="Y",AS239="",ES239="N"),"Y","N")</f>
        <v/>
      </c>
      <c r="EU239">
        <f>IF(ET239&lt;&gt;"Y","N",IF(COUNTIFS($AP$2:$AP$1000,AP239,$ET$2:$ET$1000,"Y",$J$2:$J$1000,"&gt;"&amp;J239)+COUNTIFS($AP$2:$AP$1000,AP239,$ET$2:$ET$1000,"Y",$J$2:$J$1000,J239,$EW$2:$EW$1000,"&lt;"&amp;EW239)=0,"Y","N"))</f>
        <v/>
      </c>
      <c r="EV239">
        <f>IF(Y239="","N",IF(Y239&lt;=10,"Y","N"))</f>
        <v/>
      </c>
      <c r="EW239">
        <f>ROW()-1</f>
        <v/>
      </c>
    </row>
    <row r="240">
      <c r="A240" t="inlineStr">
        <is>
          <t>AO-C-202</t>
        </is>
      </c>
      <c r="B240" t="inlineStr">
        <is>
          <t>Palantir Technologies</t>
        </is>
      </c>
      <c r="H240" t="inlineStr">
        <is>
          <t>none</t>
        </is>
      </c>
      <c r="I240" t="inlineStr">
        <is>
          <t>linkedin</t>
        </is>
      </c>
      <c r="J240">
        <f>IF(AX240="pass",ROUND(CU240+CV240+CW240+CX240+CY240+CZ240,1),0)</f>
        <v/>
      </c>
      <c r="K240" t="inlineStr">
        <is>
          <t>Tuesday estimate 126 to 2525 (low confidence), 1,001 to 4,999 staff company-wide, no attendance signal, occupancy-unconfirmed at a low-confidence address; contacts not researched yet (below the top 50).</t>
        </is>
      </c>
      <c r="L240" t="inlineStr">
        <is>
          <t>over-500</t>
        </is>
      </c>
      <c r="R240" t="inlineStr">
        <is>
          <t>N</t>
        </is>
      </c>
      <c r="S240" t="inlineStr">
        <is>
          <t>unknown</t>
        </is>
      </c>
      <c r="T240" t="inlineStr">
        <is>
          <t>N</t>
        </is>
      </c>
      <c r="U240" t="inlineStr">
        <is>
          <t>new</t>
        </is>
      </c>
      <c r="V240" t="inlineStr">
        <is>
          <t>https://commercialobserver.com/2024/05/palantir-lease-620-avenue-of-the-americas/</t>
        </is>
      </c>
      <c r="W240" t="inlineStr">
        <is>
          <t>2026-10-23</t>
        </is>
      </c>
      <c r="X240" t="inlineStr">
        <is>
          <t>office</t>
        </is>
      </c>
      <c r="Y240">
        <f>IF(EU240&lt;&gt;"Y","",COUNTIFS($EU$2:$EU$1000,"Y",$J$2:$J$1000,"&gt;"&amp;J240)+COUNTIFS($EU$2:$EU$1000,"Y",$J$2:$J$1000,J240,$EW$2:$EW$1000,"&lt;"&amp;EW240)+1)</f>
        <v/>
      </c>
      <c r="Z240" t="n">
        <v>239</v>
      </c>
      <c r="AA240" t="inlineStr">
        <is>
          <t>N</t>
        </is>
      </c>
      <c r="AB240" t="inlineStr">
        <is>
          <t>Tuesday estimate band over-500: founder's call (set founder_ok_to_queue = Y to queue)</t>
        </is>
      </c>
      <c r="AD240" t="inlineStr">
        <is>
          <t>none</t>
        </is>
      </c>
      <c r="AH240" t="inlineStr">
        <is>
          <t>none</t>
        </is>
      </c>
      <c r="AI240" t="inlineStr">
        <is>
          <t>620 Avenue of the Americas</t>
        </is>
      </c>
      <c r="AJ240" t="inlineStr">
        <is>
          <t>unknown</t>
        </is>
      </c>
      <c r="AK240" t="inlineStr">
        <is>
          <t>occupancy-unconfirmed</t>
        </is>
      </c>
      <c r="AL240" t="n">
        <v>126</v>
      </c>
      <c r="AM240" t="n">
        <v>2525</v>
      </c>
      <c r="AN240" t="inlineStr">
        <is>
          <t>low</t>
        </is>
      </c>
      <c r="AO240" t="inlineStr">
        <is>
          <t>unknown</t>
        </is>
      </c>
      <c r="AP240" t="inlineStr">
        <is>
          <t>AO-C-202</t>
        </is>
      </c>
      <c r="AQ240" t="inlineStr">
        <is>
          <t>N</t>
        </is>
      </c>
      <c r="AT240">
        <f>IF(AND(AX240="pass",AQ240&lt;&gt;"Y",C240&lt;&gt;"",OR(AW240&lt;&gt;"Y",AV240="Y")),"Y","N")</f>
        <v/>
      </c>
      <c r="AU240">
        <f>_xlfn.TEXTJOIN("; ",TRUE,IF(AX240&lt;&gt;"pass","gated out",""),IF(AQ240="Y","on hold: "&amp;AR240,""),IF(C240="","no contact named on an opened page",""),IF(AND(AW240="Y",AV240&lt;&gt;"Y"),"Tuesday estimate band "&amp;L240&amp;": founder's call",""))</f>
        <v/>
      </c>
      <c r="AW240" t="inlineStr">
        <is>
          <t>Y</t>
        </is>
      </c>
      <c r="AX240" t="inlineStr">
        <is>
          <t>pass</t>
        </is>
      </c>
      <c r="AY240" t="inlineStr">
        <is>
          <t>passes all hard gates</t>
        </is>
      </c>
      <c r="AZ240" t="inlineStr">
        <is>
          <t>company</t>
        </is>
      </c>
      <c r="BA240" t="inlineStr">
        <is>
          <t>B-C-202</t>
        </is>
      </c>
      <c r="BB240" t="inlineStr">
        <is>
          <t>https://www.palantir.com</t>
        </is>
      </c>
      <c r="BC240" t="inlineStr">
        <is>
          <t>data analytics software</t>
        </is>
      </c>
      <c r="BD240" t="inlineStr">
        <is>
          <t>4429</t>
        </is>
      </c>
      <c r="BF240" t="inlineStr">
        <is>
          <t>over-500</t>
        </is>
      </c>
      <c r="BG240" t="inlineStr">
        <is>
          <t>whole-company</t>
        </is>
      </c>
      <c r="BH240" t="inlineStr">
        <is>
          <t>single-source</t>
        </is>
      </c>
      <c r="BI240" t="inlineStr">
        <is>
          <t>https://en.wikipedia.org/wiki/Palantir_Technologies</t>
        </is>
      </c>
      <c r="BK240" t="inlineStr">
        <is>
          <t>1001-4999</t>
        </is>
      </c>
      <c r="BL240" t="inlineStr">
        <is>
          <t>unknown</t>
        </is>
      </c>
      <c r="BM240" t="inlineStr">
        <is>
          <t>unknown</t>
        </is>
      </c>
      <c r="BN240" t="inlineStr">
        <is>
          <t>unknown</t>
        </is>
      </c>
      <c r="BO240" t="inlineStr">
        <is>
          <t>unknown</t>
        </is>
      </c>
      <c r="BP240" t="inlineStr">
        <is>
          <t>10011</t>
        </is>
      </c>
      <c r="BQ240" t="n">
        <v>40.740084</v>
      </c>
      <c r="BR240" t="n">
        <v>-73.994613</v>
      </c>
      <c r="BS240" t="inlineStr">
        <is>
          <t>Y</t>
        </is>
      </c>
      <c r="BT240" t="n">
        <v>0</v>
      </c>
      <c r="BU240" t="inlineStr">
        <is>
          <t>B-B-021</t>
        </is>
      </c>
      <c r="BV240" t="inlineStr">
        <is>
          <t>Siegel-Cooper Building (RXR / Hudson Bay)</t>
        </is>
      </c>
      <c r="BW240" t="inlineStr">
        <is>
          <t>https://commercialobserver.com/2024/05/palantir-lease-620-avenue-of-the-americas/</t>
        </is>
      </c>
      <c r="BX240" t="inlineStr">
        <is>
          <t>2024-05</t>
        </is>
      </c>
      <c r="BY240" t="inlineStr">
        <is>
          <t>leasing-press</t>
        </is>
      </c>
      <c r="CC240" t="inlineStr">
        <is>
          <t>low</t>
        </is>
      </c>
      <c r="CE240" t="inlineStr">
        <is>
          <t>N</t>
        </is>
      </c>
      <c r="CH240" t="inlineStr">
        <is>
          <t>loading dock</t>
        </is>
      </c>
      <c r="CI240" t="inlineStr">
        <is>
          <t>https://www.metro-manhattan.com/buildings/620-avenue-of-the-americas/</t>
        </is>
      </c>
      <c r="CJ240" t="inlineStr">
        <is>
          <t>unknown</t>
        </is>
      </c>
      <c r="CK240" t="inlineStr">
        <is>
          <t>N</t>
        </is>
      </c>
      <c r="CL240" t="inlineStr">
        <is>
          <t>unknown</t>
        </is>
      </c>
      <c r="CO240" t="n">
        <v>564</v>
      </c>
      <c r="CP240" t="inlineStr">
        <is>
          <t>may exceed 250</t>
        </is>
      </c>
      <c r="CQ240" t="inlineStr">
        <is>
          <t>4429 (Wikipedia) staff (whole-company count) x 5% to 100% of them in the New York office (HQ city unknown; share assumed) x 57% (Partnership for NYC, all Manhattan firms; no figure for 500 to 4,999) in on a weekday = 126 to 2525, central 564; low confidence; estimate until intake replaces it.</t>
        </is>
      </c>
      <c r="CR240" t="inlineStr">
        <is>
          <t>estimate until intake replaces it</t>
        </is>
      </c>
      <c r="CS240" t="n">
        <v>0.23</v>
      </c>
      <c r="CT240" t="n">
        <v>18.7</v>
      </c>
      <c r="CU240" t="n">
        <v>5.7</v>
      </c>
      <c r="CV240" t="n">
        <v>2</v>
      </c>
      <c r="CW240" t="n">
        <v>6</v>
      </c>
      <c r="CX240" t="n">
        <v>5</v>
      </c>
      <c r="CY240">
        <f>IF(AH240="exact",10,IF(AH240="adjacent",5,0))</f>
        <v/>
      </c>
      <c r="CZ240">
        <f>IF(R240="Y",15,0)</f>
        <v/>
      </c>
      <c r="DF240" t="inlineStr">
        <is>
          <t>none</t>
        </is>
      </c>
      <c r="DG240" t="inlineStr">
        <is>
          <t>near-miss-over-500</t>
        </is>
      </c>
      <c r="DH240" t="inlineStr">
        <is>
          <t>over-1,000 (1,001 to 4,999)</t>
        </is>
      </c>
      <c r="DI240" t="inlineStr">
        <is>
          <t>N</t>
        </is>
      </c>
      <c r="DJ240" t="inlineStr">
        <is>
          <t>140,345 sf</t>
        </is>
      </c>
      <c r="DK240" t="inlineStr">
        <is>
          <t>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DS240" t="inlineStr">
        <is>
          <t>none</t>
        </is>
      </c>
      <c r="DX240" t="inlineStr">
        <is>
          <t>N</t>
        </is>
      </c>
      <c r="ER240">
        <f>IF(ISNUMBER(MATCH(U240,{"queued","contacted","replied","call_booked","call_done","yes_in_principle","materials_sent"},0)),"Y","N")</f>
        <v/>
      </c>
      <c r="ES240">
        <f>IF(COUNTIFS($AP$2:$AP$1000,AP240,$ER$2:$ER$1000,"Y")+COUNTIFS($AP$2:$AP$1000,AP240,$T$2:$T$1000,"Y")&gt;0,"Y","N")</f>
        <v/>
      </c>
      <c r="ET240">
        <f>IF(AND(U240="new",T240="N",AT240="Y",AS240="",ES240="N"),"Y","N")</f>
        <v/>
      </c>
      <c r="EU240">
        <f>IF(ET240&lt;&gt;"Y","N",IF(COUNTIFS($AP$2:$AP$1000,AP240,$ET$2:$ET$1000,"Y",$J$2:$J$1000,"&gt;"&amp;J240)+COUNTIFS($AP$2:$AP$1000,AP240,$ET$2:$ET$1000,"Y",$J$2:$J$1000,J240,$EW$2:$EW$1000,"&lt;"&amp;EW240)=0,"Y","N"))</f>
        <v/>
      </c>
      <c r="EV240">
        <f>IF(Y240="","N",IF(Y240&lt;=10,"Y","N"))</f>
        <v/>
      </c>
      <c r="EW240">
        <f>ROW()-1</f>
        <v/>
      </c>
    </row>
    <row r="241">
      <c r="A241" t="inlineStr">
        <is>
          <t>AO-C-222</t>
        </is>
      </c>
      <c r="B241" t="inlineStr">
        <is>
          <t>Instacart</t>
        </is>
      </c>
      <c r="H241" t="inlineStr">
        <is>
          <t>none</t>
        </is>
      </c>
      <c r="I241" t="inlineStr">
        <is>
          <t>linkedin</t>
        </is>
      </c>
      <c r="J241">
        <f>IF(AX241="pass",ROUND(CU241+CV241+CW241+CX241+CY241+CZ241,1),0)</f>
        <v/>
      </c>
      <c r="K241" t="inlineStr">
        <is>
          <t>Tuesday estimate 85 to 1710 (low confidence), 1,001 to 4,999 staff company-wide, hybrid (days not stated), moving-out at a low-confidence address (hold: moving out of this address); contacts not researched yet (below the top 50).</t>
        </is>
      </c>
      <c r="L241" t="inlineStr">
        <is>
          <t>251-500</t>
        </is>
      </c>
      <c r="R241" t="inlineStr">
        <is>
          <t>N</t>
        </is>
      </c>
      <c r="S241" t="inlineStr">
        <is>
          <t>unknown</t>
        </is>
      </c>
      <c r="T241" t="inlineStr">
        <is>
          <t>N</t>
        </is>
      </c>
      <c r="U241" t="inlineStr">
        <is>
          <t>new</t>
        </is>
      </c>
      <c r="V241" t="inlineStr">
        <is>
          <t>https://nyrej.com/index.php/two-new-leases-signed-at-50-west-23rd-st</t>
        </is>
      </c>
      <c r="W241" t="inlineStr">
        <is>
          <t>2026-10-23</t>
        </is>
      </c>
      <c r="X241" t="inlineStr">
        <is>
          <t>office</t>
        </is>
      </c>
      <c r="Y241">
        <f>IF(EU241&lt;&gt;"Y","",COUNTIFS($EU$2:$EU$1000,"Y",$J$2:$J$1000,"&gt;"&amp;J241)+COUNTIFS($EU$2:$EU$1000,"Y",$J$2:$J$1000,J241,$EW$2:$EW$1000,"&lt;"&amp;EW241)+1)</f>
        <v/>
      </c>
      <c r="Z241" t="n">
        <v>240</v>
      </c>
      <c r="AA241" t="inlineStr">
        <is>
          <t>N</t>
        </is>
      </c>
      <c r="AB241" t="inlineStr">
        <is>
          <t>Tuesday estimate band 251-500: founder's call (set founder_ok_to_queue = Y to queue)</t>
        </is>
      </c>
      <c r="AD241" t="inlineStr">
        <is>
          <t>none</t>
        </is>
      </c>
      <c r="AH241" t="inlineStr">
        <is>
          <t>none</t>
        </is>
      </c>
      <c r="AI241" t="inlineStr">
        <is>
          <t>50 West 23rd Street</t>
        </is>
      </c>
      <c r="AJ241" t="inlineStr">
        <is>
          <t>unknown</t>
        </is>
      </c>
      <c r="AK241" t="inlineStr">
        <is>
          <t>moving-out</t>
        </is>
      </c>
      <c r="AL241" t="n">
        <v>85</v>
      </c>
      <c r="AM241" t="n">
        <v>1710</v>
      </c>
      <c r="AN241" t="inlineStr">
        <is>
          <t>low</t>
        </is>
      </c>
      <c r="AO241" t="inlineStr">
        <is>
          <t>hybrid-unspecified</t>
        </is>
      </c>
      <c r="AP241" t="inlineStr">
        <is>
          <t>AO-C-222</t>
        </is>
      </c>
      <c r="AQ241" t="inlineStr">
        <is>
          <t>Y</t>
        </is>
      </c>
      <c r="AR241" t="inlineStr">
        <is>
          <t>moving out of this address: confirm where the office will be before outreach (B)</t>
        </is>
      </c>
      <c r="AT241">
        <f>IF(AND(AX241="pass",AQ241&lt;&gt;"Y",C241&lt;&gt;"",OR(AW241&lt;&gt;"Y",AV241="Y")),"Y","N")</f>
        <v/>
      </c>
      <c r="AU241">
        <f>_xlfn.TEXTJOIN("; ",TRUE,IF(AX241&lt;&gt;"pass","gated out",""),IF(AQ241="Y","on hold: "&amp;AR241,""),IF(C241="","no contact named on an opened page",""),IF(AND(AW241="Y",AV241&lt;&gt;"Y"),"Tuesday estimate band "&amp;L241&amp;": founder's call",""))</f>
        <v/>
      </c>
      <c r="AW241" t="inlineStr">
        <is>
          <t>Y</t>
        </is>
      </c>
      <c r="AX241" t="inlineStr">
        <is>
          <t>pass</t>
        </is>
      </c>
      <c r="AY241" t="inlineStr">
        <is>
          <t>passes all hard gates</t>
        </is>
      </c>
      <c r="AZ241" t="inlineStr">
        <is>
          <t>company</t>
        </is>
      </c>
      <c r="BA241" t="inlineStr">
        <is>
          <t>B-C-222</t>
        </is>
      </c>
      <c r="BB241" t="inlineStr">
        <is>
          <t>https://www.instacart.com/</t>
        </is>
      </c>
      <c r="BC241" t="inlineStr">
        <is>
          <t>Grocery delivery technology</t>
        </is>
      </c>
      <c r="BD241" t="inlineStr">
        <is>
          <t>3000</t>
        </is>
      </c>
      <c r="BF241" t="inlineStr">
        <is>
          <t>over-500</t>
        </is>
      </c>
      <c r="BG241" t="inlineStr">
        <is>
          <t>whole-company</t>
        </is>
      </c>
      <c r="BH241" t="inlineStr">
        <is>
          <t>single-source</t>
        </is>
      </c>
      <c r="BI241" t="inlineStr">
        <is>
          <t>https://www.builtinnyc.com/company/instacart/offices</t>
        </is>
      </c>
      <c r="BK241" t="inlineStr">
        <is>
          <t>1001-4999</t>
        </is>
      </c>
      <c r="BL241" t="inlineStr">
        <is>
          <t>San Francisco</t>
        </is>
      </c>
      <c r="BM241" t="inlineStr">
        <is>
          <t>N</t>
        </is>
      </c>
      <c r="BN241" t="inlineStr">
        <is>
          <t>unknown</t>
        </is>
      </c>
      <c r="BO241" t="inlineStr">
        <is>
          <t>unknown</t>
        </is>
      </c>
      <c r="BP241" t="inlineStr">
        <is>
          <t>10010</t>
        </is>
      </c>
      <c r="BQ241" t="n">
        <v>40.742199</v>
      </c>
      <c r="BR241" t="n">
        <v>-73.99172</v>
      </c>
      <c r="BS241" t="inlineStr">
        <is>
          <t>Y</t>
        </is>
      </c>
      <c r="BT241" t="n">
        <v>0</v>
      </c>
      <c r="BU241" t="inlineStr">
        <is>
          <t>B-B-046</t>
        </is>
      </c>
      <c r="BV241" t="inlineStr">
        <is>
          <t>50 West 23rd Street (Two Trees Management)</t>
        </is>
      </c>
      <c r="BW241" t="inlineStr">
        <is>
          <t>https://nyrej.com/index.php/two-new-leases-signed-at-50-west-23rd-st</t>
        </is>
      </c>
      <c r="BX241" t="inlineStr">
        <is>
          <t>2025-10-14</t>
        </is>
      </c>
      <c r="BY241" t="inlineStr">
        <is>
          <t>leasing-press</t>
        </is>
      </c>
      <c r="BZ241" t="inlineStr">
        <is>
          <t>https://commercialobserver.com/2026/07/instacart-lease-esrt-111-west-33rd-street/</t>
        </is>
      </c>
      <c r="CA241" t="inlineStr">
        <is>
          <t>2026-07-20</t>
        </is>
      </c>
      <c r="CC241" t="inlineStr">
        <is>
          <t>low</t>
        </is>
      </c>
      <c r="CD241" t="inlineStr">
        <is>
          <t>unknown</t>
        </is>
      </c>
      <c r="CE241" t="inlineStr">
        <is>
          <t>N</t>
        </is>
      </c>
      <c r="CH241" t="inlineStr">
        <is>
          <t>security desk</t>
        </is>
      </c>
      <c r="CI241" t="inlineStr">
        <is>
          <t>https://nyrej.com/index.php/two-new-leases-signed-at-50-west-23rd-st</t>
        </is>
      </c>
      <c r="CJ241" t="inlineStr">
        <is>
          <t>unknown</t>
        </is>
      </c>
      <c r="CK241" t="inlineStr">
        <is>
          <t>N</t>
        </is>
      </c>
      <c r="CL241" t="inlineStr">
        <is>
          <t>Built In workplace type: Hybrid Workplace; typical time on-site: Flexible</t>
        </is>
      </c>
      <c r="CM241" t="inlineStr">
        <is>
          <t>https://www.builtinnyc.com/company/instacart/offices</t>
        </is>
      </c>
      <c r="CN241" t="inlineStr">
        <is>
          <t>2026-10-24</t>
        </is>
      </c>
      <c r="CO241" t="n">
        <v>381</v>
      </c>
      <c r="CP241" t="inlineStr">
        <is>
          <t>may exceed 250</t>
        </is>
      </c>
      <c r="CQ241" t="inlineStr">
        <is>
          <t>3000 (Built In) staff (whole-company count) x 5% to 100% of them in the New York office (HQ outside New York; share assumed) x 57% (Partnership for NYC, all Manhattan firms; no figure for 500 to 4,999) in on a weekday = 85 to 1710, central 381; low confidence; estimate until intake replaces it.</t>
        </is>
      </c>
      <c r="CR241" t="inlineStr">
        <is>
          <t>estimate until intake replaces it</t>
        </is>
      </c>
      <c r="CS241" t="n">
        <v>0.36</v>
      </c>
      <c r="CT241" t="n">
        <v>18</v>
      </c>
      <c r="CU241" t="n">
        <v>9</v>
      </c>
      <c r="CV241" t="n">
        <v>2</v>
      </c>
      <c r="CW241" t="n">
        <v>7</v>
      </c>
      <c r="CX241" t="n">
        <v>0</v>
      </c>
      <c r="CY241">
        <f>IF(AH241="exact",10,IF(AH241="adjacent",5,0))</f>
        <v/>
      </c>
      <c r="CZ241">
        <f>IF(R241="Y",15,0)</f>
        <v/>
      </c>
      <c r="DF241" t="inlineStr">
        <is>
          <t>none</t>
        </is>
      </c>
      <c r="DG241" t="inlineStr">
        <is>
          <t>near-miss-over-500</t>
        </is>
      </c>
      <c r="DH241" t="inlineStr">
        <is>
          <t>over-1,000 (1,001 to 4,999)</t>
        </is>
      </c>
      <c r="DI241" t="inlineStr">
        <is>
          <t>N</t>
        </is>
      </c>
      <c r="DJ241" t="inlineStr">
        <is>
          <t>21,000 sf;26,134 sf</t>
        </is>
      </c>
      <c r="DK241" t="inlineStr">
        <is>
          <t>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S241" t="inlineStr">
        <is>
          <t>none</t>
        </is>
      </c>
      <c r="DX241" t="inlineStr">
        <is>
          <t>N</t>
        </is>
      </c>
      <c r="ER241">
        <f>IF(ISNUMBER(MATCH(U241,{"queued","contacted","replied","call_booked","call_done","yes_in_principle","materials_sent"},0)),"Y","N")</f>
        <v/>
      </c>
      <c r="ES241">
        <f>IF(COUNTIFS($AP$2:$AP$1000,AP241,$ER$2:$ER$1000,"Y")+COUNTIFS($AP$2:$AP$1000,AP241,$T$2:$T$1000,"Y")&gt;0,"Y","N")</f>
        <v/>
      </c>
      <c r="ET241">
        <f>IF(AND(U241="new",T241="N",AT241="Y",AS241="",ES241="N"),"Y","N")</f>
        <v/>
      </c>
      <c r="EU241">
        <f>IF(ET241&lt;&gt;"Y","N",IF(COUNTIFS($AP$2:$AP$1000,AP241,$ET$2:$ET$1000,"Y",$J$2:$J$1000,"&gt;"&amp;J241)+COUNTIFS($AP$2:$AP$1000,AP241,$ET$2:$ET$1000,"Y",$J$2:$J$1000,J241,$EW$2:$EW$1000,"&lt;"&amp;EW241)=0,"Y","N"))</f>
        <v/>
      </c>
      <c r="EV241">
        <f>IF(Y241="","N",IF(Y241&lt;=10,"Y","N"))</f>
        <v/>
      </c>
      <c r="EW241">
        <f>ROW()-1</f>
        <v/>
      </c>
    </row>
    <row r="242">
      <c r="A242" t="inlineStr">
        <is>
          <t>AO-C-212</t>
        </is>
      </c>
      <c r="B242" t="inlineStr">
        <is>
          <t>MillerKnoll</t>
        </is>
      </c>
      <c r="H242" t="inlineStr">
        <is>
          <t>none</t>
        </is>
      </c>
      <c r="I242" t="inlineStr">
        <is>
          <t>linkedin</t>
        </is>
      </c>
      <c r="J242">
        <f>IF(AX242="pass",ROUND(CU242+CV242+CW242+CX242+CY242+CZ242,1),0)</f>
        <v/>
      </c>
      <c r="K242" t="inlineStr">
        <is>
          <t>Tuesday estimate 219 to 4380 (low confidence), 5,000+ staff company-wide, remote-first signal, occupancy-unconfirmed at a low-confidence address; contacts not researched yet (below the top 50).</t>
        </is>
      </c>
      <c r="L242" t="inlineStr">
        <is>
          <t>over-500</t>
        </is>
      </c>
      <c r="R242" t="inlineStr">
        <is>
          <t>N</t>
        </is>
      </c>
      <c r="S242" t="inlineStr">
        <is>
          <t>unknown</t>
        </is>
      </c>
      <c r="T242" t="inlineStr">
        <is>
          <t>N</t>
        </is>
      </c>
      <c r="U242" t="inlineStr">
        <is>
          <t>new</t>
        </is>
      </c>
      <c r="V242" t="inlineStr">
        <is>
          <t>https://commercialobserver.com/2023/05/office-furniture-giant-millerknoll-adds-15k-sf-to-251-park-avenue-south-footprint/</t>
        </is>
      </c>
      <c r="W242" t="inlineStr">
        <is>
          <t>2026-10-23</t>
        </is>
      </c>
      <c r="X242" t="inlineStr">
        <is>
          <t>office</t>
        </is>
      </c>
      <c r="Y242">
        <f>IF(EU242&lt;&gt;"Y","",COUNTIFS($EU$2:$EU$1000,"Y",$J$2:$J$1000,"&gt;"&amp;J242)+COUNTIFS($EU$2:$EU$1000,"Y",$J$2:$J$1000,J242,$EW$2:$EW$1000,"&lt;"&amp;EW242)+1)</f>
        <v/>
      </c>
      <c r="Z242" t="n">
        <v>241</v>
      </c>
      <c r="AA242" t="inlineStr">
        <is>
          <t>N</t>
        </is>
      </c>
      <c r="AB242" t="inlineStr">
        <is>
          <t>Tuesday estimate band over-500: founder's call (set founder_ok_to_queue = Y to queue)</t>
        </is>
      </c>
      <c r="AD242" t="inlineStr">
        <is>
          <t>none</t>
        </is>
      </c>
      <c r="AH242" t="inlineStr">
        <is>
          <t>none</t>
        </is>
      </c>
      <c r="AI242" t="inlineStr">
        <is>
          <t>251 Park Avenue South</t>
        </is>
      </c>
      <c r="AJ242" t="inlineStr">
        <is>
          <t>incl. 6-7</t>
        </is>
      </c>
      <c r="AK242" t="inlineStr">
        <is>
          <t>occupancy-unconfirmed</t>
        </is>
      </c>
      <c r="AL242" t="n">
        <v>219</v>
      </c>
      <c r="AM242" t="n">
        <v>4380</v>
      </c>
      <c r="AN242" t="inlineStr">
        <is>
          <t>low</t>
        </is>
      </c>
      <c r="AO242" t="inlineStr">
        <is>
          <t>remote</t>
        </is>
      </c>
      <c r="AP242" t="inlineStr">
        <is>
          <t>AO-C-212</t>
        </is>
      </c>
      <c r="AQ242" t="inlineStr">
        <is>
          <t>N</t>
        </is>
      </c>
      <c r="AT242">
        <f>IF(AND(AX242="pass",AQ242&lt;&gt;"Y",C242&lt;&gt;"",OR(AW242&lt;&gt;"Y",AV242="Y")),"Y","N")</f>
        <v/>
      </c>
      <c r="AU242">
        <f>_xlfn.TEXTJOIN("; ",TRUE,IF(AX242&lt;&gt;"pass","gated out",""),IF(AQ242="Y","on hold: "&amp;AR242,""),IF(C242="","no contact named on an opened page",""),IF(AND(AW242="Y",AV242&lt;&gt;"Y"),"Tuesday estimate band "&amp;L242&amp;": founder's call",""))</f>
        <v/>
      </c>
      <c r="AW242" t="inlineStr">
        <is>
          <t>Y</t>
        </is>
      </c>
      <c r="AX242" t="inlineStr">
        <is>
          <t>pass</t>
        </is>
      </c>
      <c r="AY242" t="inlineStr">
        <is>
          <t>passes all hard gates</t>
        </is>
      </c>
      <c r="AZ242" t="inlineStr">
        <is>
          <t>company</t>
        </is>
      </c>
      <c r="BA242" t="inlineStr">
        <is>
          <t>B-C-212</t>
        </is>
      </c>
      <c r="BB242" t="inlineStr">
        <is>
          <t>https://www.millerknoll.com</t>
        </is>
      </c>
      <c r="BC242" t="inlineStr">
        <is>
          <t>office furniture (showroom and office)</t>
        </is>
      </c>
      <c r="BD242" t="inlineStr">
        <is>
          <t>9522</t>
        </is>
      </c>
      <c r="BF242" t="inlineStr">
        <is>
          <t>over-500</t>
        </is>
      </c>
      <c r="BG242" t="inlineStr">
        <is>
          <t>whole-company</t>
        </is>
      </c>
      <c r="BH242" t="inlineStr">
        <is>
          <t>single-source</t>
        </is>
      </c>
      <c r="BI242" t="inlineStr">
        <is>
          <t>https://www.builtinnyc.com/company/millerknoll</t>
        </is>
      </c>
      <c r="BK242" t="inlineStr">
        <is>
          <t>5000+</t>
        </is>
      </c>
      <c r="BL242" t="inlineStr">
        <is>
          <t>Zeeland</t>
        </is>
      </c>
      <c r="BM242" t="inlineStr">
        <is>
          <t>N</t>
        </is>
      </c>
      <c r="BN242" t="inlineStr">
        <is>
          <t>unknown</t>
        </is>
      </c>
      <c r="BO242" t="inlineStr">
        <is>
          <t>unknown</t>
        </is>
      </c>
      <c r="BQ242" t="n">
        <v>40.738448</v>
      </c>
      <c r="BR242" t="n">
        <v>-73.987379</v>
      </c>
      <c r="BS242" t="inlineStr">
        <is>
          <t>Y</t>
        </is>
      </c>
      <c r="BT242" t="n">
        <v>0</v>
      </c>
      <c r="BV242" t="inlineStr">
        <is>
          <t>unknown</t>
        </is>
      </c>
      <c r="BW242" t="inlineStr">
        <is>
          <t>https://commercialobserver.com/2023/05/office-furniture-giant-millerknoll-adds-15k-sf-to-251-park-avenue-south-footprint/</t>
        </is>
      </c>
      <c r="BX242" t="inlineStr">
        <is>
          <t>2023-05-08</t>
        </is>
      </c>
      <c r="BY242" t="inlineStr">
        <is>
          <t>leasing-press</t>
        </is>
      </c>
      <c r="CC242" t="inlineStr">
        <is>
          <t>low</t>
        </is>
      </c>
      <c r="CE242" t="inlineStr">
        <is>
          <t>N</t>
        </is>
      </c>
      <c r="CH242" t="inlineStr">
        <is>
          <t>unknown</t>
        </is>
      </c>
      <c r="CJ242" t="inlineStr">
        <is>
          <t>unknown</t>
        </is>
      </c>
      <c r="CK242" t="inlineStr">
        <is>
          <t>N</t>
        </is>
      </c>
      <c r="CL242" t="inlineStr">
        <is>
          <t>Built In workplace type: Remote Workplace; recent job tags: 1 Remote</t>
        </is>
      </c>
      <c r="CM242" t="inlineStr">
        <is>
          <t>https://www.builtinnyc.com/company/millerknoll/offices</t>
        </is>
      </c>
      <c r="CN242" t="inlineStr">
        <is>
          <t>2026-10-24</t>
        </is>
      </c>
      <c r="CO242" t="n">
        <v>979</v>
      </c>
      <c r="CP242" t="inlineStr">
        <is>
          <t>may exceed 250</t>
        </is>
      </c>
      <c r="CQ242" t="inlineStr">
        <is>
          <t>9522 (Built In) staff (whole-company count) x 5% to 100% of them in the New York office (HQ outside New York; share assumed) x 46% (Partnership for NYC, firms over 5,000) in on a weekday = 219 to 4380, central 979; low confidence; estimate until intake replaces it.</t>
        </is>
      </c>
      <c r="CR242" t="inlineStr">
        <is>
          <t>estimate until intake replaces it</t>
        </is>
      </c>
      <c r="CS242" t="n">
        <v>0.04</v>
      </c>
      <c r="CT242" t="n">
        <v>1.1</v>
      </c>
      <c r="CU242" t="n">
        <v>1.1</v>
      </c>
      <c r="CV242" t="n">
        <v>0</v>
      </c>
      <c r="CW242" t="n">
        <v>-5</v>
      </c>
      <c r="CX242" t="n">
        <v>5</v>
      </c>
      <c r="CY242">
        <f>IF(AH242="exact",10,IF(AH242="adjacent",5,0))</f>
        <v/>
      </c>
      <c r="CZ242">
        <f>IF(R242="Y",15,0)</f>
        <v/>
      </c>
      <c r="DF242" t="inlineStr">
        <is>
          <t>none</t>
        </is>
      </c>
      <c r="DG242" t="inlineStr">
        <is>
          <t>near-miss-over-500</t>
        </is>
      </c>
      <c r="DH242" t="inlineStr">
        <is>
          <t>not-near (5,000 or more)</t>
        </is>
      </c>
      <c r="DI242" t="inlineStr">
        <is>
          <t>N</t>
        </is>
      </c>
      <c r="DJ242" t="inlineStr">
        <is>
          <t>60,000 sf</t>
        </is>
      </c>
      <c r="DK242" t="inlineStr">
        <is>
          <t>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is>
      </c>
      <c r="DS242" t="inlineStr">
        <is>
          <t>none</t>
        </is>
      </c>
      <c r="DX242" t="inlineStr">
        <is>
          <t>N</t>
        </is>
      </c>
      <c r="ER242">
        <f>IF(ISNUMBER(MATCH(U242,{"queued","contacted","replied","call_booked","call_done","yes_in_principle","materials_sent"},0)),"Y","N")</f>
        <v/>
      </c>
      <c r="ES242">
        <f>IF(COUNTIFS($AP$2:$AP$1000,AP242,$ER$2:$ER$1000,"Y")+COUNTIFS($AP$2:$AP$1000,AP242,$T$2:$T$1000,"Y")&gt;0,"Y","N")</f>
        <v/>
      </c>
      <c r="ET242">
        <f>IF(AND(U242="new",T242="N",AT242="Y",AS242="",ES242="N"),"Y","N")</f>
        <v/>
      </c>
      <c r="EU242">
        <f>IF(ET242&lt;&gt;"Y","N",IF(COUNTIFS($AP$2:$AP$1000,AP242,$ET$2:$ET$1000,"Y",$J$2:$J$1000,"&gt;"&amp;J242)+COUNTIFS($AP$2:$AP$1000,AP242,$ET$2:$ET$1000,"Y",$J$2:$J$1000,J242,$EW$2:$EW$1000,"&lt;"&amp;EW242)=0,"Y","N"))</f>
        <v/>
      </c>
      <c r="EV242">
        <f>IF(Y242="","N",IF(Y242&lt;=10,"Y","N"))</f>
        <v/>
      </c>
      <c r="EW242">
        <f>ROW()-1</f>
        <v/>
      </c>
    </row>
    <row r="243">
      <c r="A243" t="inlineStr">
        <is>
          <t>AO-C-271</t>
        </is>
      </c>
      <c r="B243" t="inlineStr">
        <is>
          <t>RepRally</t>
        </is>
      </c>
      <c r="H243" t="inlineStr">
        <is>
          <t>none</t>
        </is>
      </c>
      <c r="I243" t="inlineStr">
        <is>
          <t>linkedin</t>
        </is>
      </c>
      <c r="J243">
        <f>IF(AX243="pass",ROUND(CU243+CV243+CW243+CX243+CY243+CZ243,1),0)</f>
        <v/>
      </c>
      <c r="K243" t="inlineStr">
        <is>
          <t>Gated out: outside the cluster (1.7 blocks outside the line).</t>
        </is>
      </c>
      <c r="L243" t="inlineStr">
        <is>
          <t>40-75</t>
        </is>
      </c>
      <c r="R243" t="inlineStr">
        <is>
          <t>N</t>
        </is>
      </c>
      <c r="S243" t="inlineStr">
        <is>
          <t>unknown</t>
        </is>
      </c>
      <c r="T243" t="inlineStr">
        <is>
          <t>N</t>
        </is>
      </c>
      <c r="U243" t="inlineStr">
        <is>
          <t>new</t>
        </is>
      </c>
      <c r="V243" t="inlineStr">
        <is>
          <t>https://www.reprally.com/company/msa</t>
        </is>
      </c>
      <c r="W243" t="inlineStr">
        <is>
          <t>2026-10-23</t>
        </is>
      </c>
      <c r="X243" t="inlineStr">
        <is>
          <t>office</t>
        </is>
      </c>
      <c r="Y243">
        <f>IF(EU243&lt;&gt;"Y","",COUNTIFS($EU$2:$EU$1000,"Y",$J$2:$J$1000,"&gt;"&amp;J243)+COUNTIFS($EU$2:$EU$1000,"Y",$J$2:$J$1000,J243,$EW$2:$EW$1000,"&lt;"&amp;EW243)+1)</f>
        <v/>
      </c>
      <c r="AA243" t="inlineStr">
        <is>
          <t>N</t>
        </is>
      </c>
      <c r="AD243" t="inlineStr">
        <is>
          <t>none</t>
        </is>
      </c>
      <c r="AH243" t="inlineStr">
        <is>
          <t>none</t>
        </is>
      </c>
      <c r="AI243" t="inlineStr">
        <is>
          <t>137 East 25th Street</t>
        </is>
      </c>
      <c r="AJ243" t="inlineStr">
        <is>
          <t>6</t>
        </is>
      </c>
      <c r="AK243" t="inlineStr">
        <is>
          <t>occupied</t>
        </is>
      </c>
      <c r="AL243" t="n">
        <v>40</v>
      </c>
      <c r="AM243" t="n">
        <v>80</v>
      </c>
      <c r="AN243" t="inlineStr">
        <is>
          <t>low</t>
        </is>
      </c>
      <c r="AO243" t="inlineStr">
        <is>
          <t>unknown</t>
        </is>
      </c>
      <c r="AP243" t="inlineStr">
        <is>
          <t>AO-C-271</t>
        </is>
      </c>
      <c r="AQ243" t="inlineStr">
        <is>
          <t>N</t>
        </is>
      </c>
      <c r="AT243">
        <f>IF(AND(AX243="pass",AQ243&lt;&gt;"Y",C243&lt;&gt;"",OR(AW243&lt;&gt;"Y",AV243="Y")),"Y","N")</f>
        <v/>
      </c>
      <c r="AU243">
        <f>_xlfn.TEXTJOIN("; ",TRUE,IF(AX243&lt;&gt;"pass","gated out",""),IF(AQ243="Y","on hold: "&amp;AR243,""),IF(C243="","no contact named on an opened page",""),IF(AND(AW243="Y",AV243&lt;&gt;"Y"),"Tuesday estimate band "&amp;L243&amp;": founder's call",""))</f>
        <v/>
      </c>
      <c r="AW243" t="inlineStr">
        <is>
          <t>N</t>
        </is>
      </c>
      <c r="AX243" t="inlineStr">
        <is>
          <t>fail</t>
        </is>
      </c>
      <c r="AY243" t="inlineStr">
        <is>
          <t>outside the cluster (1.7 blocks outside the line)</t>
        </is>
      </c>
      <c r="AZ243" t="inlineStr">
        <is>
          <t>company</t>
        </is>
      </c>
      <c r="BA243" t="inlineStr">
        <is>
          <t>B-C-271</t>
        </is>
      </c>
      <c r="BB243" t="inlineStr">
        <is>
          <t>https://www.reprally.com/</t>
        </is>
      </c>
      <c r="BC243" t="inlineStr">
        <is>
          <t>B2B wholesale platform for independent retailers (snacks, candy, beverages)</t>
        </is>
      </c>
      <c r="BD243" t="inlineStr">
        <is>
          <t>120</t>
        </is>
      </c>
      <c r="BF243" t="inlineStr">
        <is>
          <t>76-150</t>
        </is>
      </c>
      <c r="BG243" t="inlineStr">
        <is>
          <t>whole-company</t>
        </is>
      </c>
      <c r="BH243" t="inlineStr">
        <is>
          <t>single-source</t>
        </is>
      </c>
      <c r="BI243" t="inlineStr">
        <is>
          <t>https://www.builtinnyc.com/company/reprally/offices</t>
        </is>
      </c>
      <c r="BK243" t="inlineStr">
        <is>
          <t>le500</t>
        </is>
      </c>
      <c r="BL243" t="inlineStr">
        <is>
          <t>New York</t>
        </is>
      </c>
      <c r="BM243" t="inlineStr">
        <is>
          <t>Y</t>
        </is>
      </c>
      <c r="BN243" t="inlineStr">
        <is>
          <t>unknown</t>
        </is>
      </c>
      <c r="BO243" t="inlineStr">
        <is>
          <t>unknown</t>
        </is>
      </c>
      <c r="BP243" t="inlineStr">
        <is>
          <t>10010</t>
        </is>
      </c>
      <c r="BQ243" t="n">
        <v>40.740766</v>
      </c>
      <c r="BR243" t="n">
        <v>-73.98321300000001</v>
      </c>
      <c r="BS243" t="inlineStr">
        <is>
          <t>N</t>
        </is>
      </c>
      <c r="BT243" t="n">
        <v>1.7</v>
      </c>
      <c r="BV243" t="inlineStr">
        <is>
          <t>unknown</t>
        </is>
      </c>
      <c r="BW243" t="inlineStr">
        <is>
          <t>https://www.reprally.com/company/msa</t>
        </is>
      </c>
      <c r="BX243" t="inlineStr">
        <is>
          <t>2026-10-24</t>
        </is>
      </c>
      <c r="BY243" t="inlineStr">
        <is>
          <t>company-site</t>
        </is>
      </c>
      <c r="BZ243" t="inlineStr">
        <is>
          <t>https://commercialobserver.com/2025/09/reprally-lease-137-east-25th-street/</t>
        </is>
      </c>
      <c r="CA243" t="inlineStr">
        <is>
          <t>2025-09-30</t>
        </is>
      </c>
      <c r="CC243" t="inlineStr">
        <is>
          <t>high</t>
        </is>
      </c>
      <c r="CE243" t="inlineStr">
        <is>
          <t>N</t>
        </is>
      </c>
      <c r="CH243" t="inlineStr">
        <is>
          <t>unknown</t>
        </is>
      </c>
      <c r="CJ243" t="inlineStr">
        <is>
          <t>unknown</t>
        </is>
      </c>
      <c r="CK243" t="inlineStr">
        <is>
          <t>N</t>
        </is>
      </c>
      <c r="CL243" t="inlineStr">
        <is>
          <t>unknown</t>
        </is>
      </c>
      <c r="CO243" t="n">
        <v>57</v>
      </c>
      <c r="CQ243" t="inlineStr">
        <is>
          <t>120 (Built In) staff (whole-company count) x 50% to 100% of them in the New York office (HQ New York; share assumed) x 67% (Partnership for NYC, firms under 500) in on a weekday = 40 to 80, central 57; low confidence; estimate until intake replaces it.</t>
        </is>
      </c>
      <c r="CR243" t="inlineStr">
        <is>
          <t>estimate until intake replaces it</t>
        </is>
      </c>
      <c r="CS243" t="n">
        <v>1</v>
      </c>
      <c r="CT243" t="n">
        <v>61</v>
      </c>
      <c r="CU243" t="n">
        <v>25</v>
      </c>
      <c r="CV243" t="n">
        <v>15</v>
      </c>
      <c r="CW243" t="n">
        <v>6</v>
      </c>
      <c r="CX243" t="n">
        <v>15</v>
      </c>
      <c r="CY243">
        <f>IF(AH243="exact",10,IF(AH243="adjacent",5,0))</f>
        <v/>
      </c>
      <c r="CZ243">
        <f>IF(R243="Y",15,0)</f>
        <v/>
      </c>
      <c r="DF243" t="inlineStr">
        <is>
          <t>none</t>
        </is>
      </c>
      <c r="DG243" t="inlineStr">
        <is>
          <t>near-miss-outside</t>
        </is>
      </c>
      <c r="DH243" t="inlineStr">
        <is>
          <t>outside-line</t>
        </is>
      </c>
      <c r="DI243" t="inlineStr">
        <is>
          <t>N</t>
        </is>
      </c>
      <c r="DJ243" t="inlineStr">
        <is>
          <t>8,308 sf</t>
        </is>
      </c>
      <c r="DK243" t="inlineStr">
        <is>
          <t>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is>
      </c>
      <c r="DS243" t="inlineStr">
        <is>
          <t>none</t>
        </is>
      </c>
      <c r="DX243" t="inlineStr">
        <is>
          <t>N</t>
        </is>
      </c>
      <c r="ER243">
        <f>IF(ISNUMBER(MATCH(U243,{"queued","contacted","replied","call_booked","call_done","yes_in_principle","materials_sent"},0)),"Y","N")</f>
        <v/>
      </c>
      <c r="ES243">
        <f>IF(COUNTIFS($AP$2:$AP$1000,AP243,$ER$2:$ER$1000,"Y")+COUNTIFS($AP$2:$AP$1000,AP243,$T$2:$T$1000,"Y")&gt;0,"Y","N")</f>
        <v/>
      </c>
      <c r="ET243">
        <f>IF(AND(U243="new",T243="N",AT243="Y",AS243="",ES243="N"),"Y","N")</f>
        <v/>
      </c>
      <c r="EU243">
        <f>IF(ET243&lt;&gt;"Y","N",IF(COUNTIFS($AP$2:$AP$1000,AP243,$ET$2:$ET$1000,"Y",$J$2:$J$1000,"&gt;"&amp;J243)+COUNTIFS($AP$2:$AP$1000,AP243,$ET$2:$ET$1000,"Y",$J$2:$J$1000,J243,$EW$2:$EW$1000,"&lt;"&amp;EW243)=0,"Y","N"))</f>
        <v/>
      </c>
      <c r="EV243">
        <f>IF(Y243="","N",IF(Y243&lt;=10,"Y","N"))</f>
        <v/>
      </c>
      <c r="EW243">
        <f>ROW()-1</f>
        <v/>
      </c>
    </row>
    <row r="244">
      <c r="A244" t="inlineStr">
        <is>
          <t>AO-C-178</t>
        </is>
      </c>
      <c r="B244" t="inlineStr">
        <is>
          <t>Augury</t>
        </is>
      </c>
      <c r="H244" t="inlineStr">
        <is>
          <t>none</t>
        </is>
      </c>
      <c r="I244" t="inlineStr">
        <is>
          <t>linkedin</t>
        </is>
      </c>
      <c r="J244">
        <f>IF(AX244="pass",ROUND(CU244+CV244+CW244+CX244+CY244+CZ244,1),0)</f>
        <v/>
      </c>
      <c r="K244" t="inlineStr">
        <is>
          <t>Gated out: no staffed office shown at the address (B: excluded-not-office).</t>
        </is>
      </c>
      <c r="L244" t="inlineStr">
        <is>
          <t>76-150</t>
        </is>
      </c>
      <c r="R244" t="inlineStr">
        <is>
          <t>N</t>
        </is>
      </c>
      <c r="S244" t="inlineStr">
        <is>
          <t>unknown</t>
        </is>
      </c>
      <c r="T244" t="inlineStr">
        <is>
          <t>N</t>
        </is>
      </c>
      <c r="U244" t="inlineStr">
        <is>
          <t>new</t>
        </is>
      </c>
      <c r="V244" t="inlineStr">
        <is>
          <t>https://www.builtinnyc.com/company/augury/offices</t>
        </is>
      </c>
      <c r="W244" t="inlineStr">
        <is>
          <t>2026-10-23</t>
        </is>
      </c>
      <c r="X244" t="inlineStr">
        <is>
          <t>office</t>
        </is>
      </c>
      <c r="Y244">
        <f>IF(EU244&lt;&gt;"Y","",COUNTIFS($EU$2:$EU$1000,"Y",$J$2:$J$1000,"&gt;"&amp;J244)+COUNTIFS($EU$2:$EU$1000,"Y",$J$2:$J$1000,J244,$EW$2:$EW$1000,"&lt;"&amp;EW244)+1)</f>
        <v/>
      </c>
      <c r="AA244" t="inlineStr">
        <is>
          <t>N</t>
        </is>
      </c>
      <c r="AD244" t="inlineStr">
        <is>
          <t>none</t>
        </is>
      </c>
      <c r="AH244" t="inlineStr">
        <is>
          <t>none</t>
        </is>
      </c>
      <c r="AI244" t="inlineStr">
        <is>
          <t>1178 Broadway</t>
        </is>
      </c>
      <c r="AJ244" t="inlineStr">
        <is>
          <t>3 (#169)</t>
        </is>
      </c>
      <c r="AK244" t="inlineStr">
        <is>
          <t>occupancy-unconfirmed</t>
        </is>
      </c>
      <c r="AL244" t="n">
        <v>68</v>
      </c>
      <c r="AM244" t="n">
        <v>136</v>
      </c>
      <c r="AN244" t="inlineStr">
        <is>
          <t>low</t>
        </is>
      </c>
      <c r="AO244" t="inlineStr">
        <is>
          <t>remote</t>
        </is>
      </c>
      <c r="AP244" t="inlineStr">
        <is>
          <t>AO-C-178</t>
        </is>
      </c>
      <c r="AQ244" t="inlineStr">
        <is>
          <t>N</t>
        </is>
      </c>
      <c r="AT244">
        <f>IF(AND(AX244="pass",AQ244&lt;&gt;"Y",C244&lt;&gt;"",OR(AW244&lt;&gt;"Y",AV244="Y")),"Y","N")</f>
        <v/>
      </c>
      <c r="AU244">
        <f>_xlfn.TEXTJOIN("; ",TRUE,IF(AX244&lt;&gt;"pass","gated out",""),IF(AQ244="Y","on hold: "&amp;AR244,""),IF(C244="","no contact named on an opened page",""),IF(AND(AW244="Y",AV244&lt;&gt;"Y"),"Tuesday estimate band "&amp;L244&amp;": founder's call",""))</f>
        <v/>
      </c>
      <c r="AW244" t="inlineStr">
        <is>
          <t>N</t>
        </is>
      </c>
      <c r="AX244" t="inlineStr">
        <is>
          <t>fail</t>
        </is>
      </c>
      <c r="AY244" t="inlineStr">
        <is>
          <t>no staffed office shown at the address (B: excluded-not-office)</t>
        </is>
      </c>
      <c r="AZ244" t="inlineStr">
        <is>
          <t>company</t>
        </is>
      </c>
      <c r="BA244" t="inlineStr">
        <is>
          <t>B-C-178</t>
        </is>
      </c>
      <c r="BB244" t="inlineStr">
        <is>
          <t>https://www.augury.com</t>
        </is>
      </c>
      <c r="BC244" t="inlineStr">
        <is>
          <t>industrial AI (machine health)</t>
        </is>
      </c>
      <c r="BD244" t="inlineStr">
        <is>
          <t>203</t>
        </is>
      </c>
      <c r="BF244" t="inlineStr">
        <is>
          <t>151-250</t>
        </is>
      </c>
      <c r="BG244" t="inlineStr">
        <is>
          <t>whole-company</t>
        </is>
      </c>
      <c r="BH244" t="inlineStr">
        <is>
          <t>single-source</t>
        </is>
      </c>
      <c r="BI244" t="inlineStr">
        <is>
          <t>https://www.builtinnyc.com/company/augury/offices</t>
        </is>
      </c>
      <c r="BK244" t="inlineStr">
        <is>
          <t>le500</t>
        </is>
      </c>
      <c r="BL244" t="inlineStr">
        <is>
          <t>New York</t>
        </is>
      </c>
      <c r="BM244" t="inlineStr">
        <is>
          <t>Y</t>
        </is>
      </c>
      <c r="BN244" t="inlineStr">
        <is>
          <t>unknown</t>
        </is>
      </c>
      <c r="BO244" t="inlineStr">
        <is>
          <t>unknown</t>
        </is>
      </c>
      <c r="BP244" t="inlineStr">
        <is>
          <t>10001</t>
        </is>
      </c>
      <c r="BQ244" t="n">
        <v>40.745352</v>
      </c>
      <c r="BR244" t="n">
        <v>-73.98855500000001</v>
      </c>
      <c r="BS244" t="inlineStr">
        <is>
          <t>Y</t>
        </is>
      </c>
      <c r="BT244" t="n">
        <v>0</v>
      </c>
      <c r="BV244" t="inlineStr">
        <is>
          <t>unknown</t>
        </is>
      </c>
      <c r="BW244" t="inlineStr">
        <is>
          <t>https://www.builtinnyc.com/company/augury/offices</t>
        </is>
      </c>
      <c r="BX244" t="inlineStr">
        <is>
          <t>2026-10-23</t>
        </is>
      </c>
      <c r="BY244" t="inlineStr">
        <is>
          <t>builtin</t>
        </is>
      </c>
      <c r="CC244" t="inlineStr">
        <is>
          <t>low</t>
        </is>
      </c>
      <c r="CE244" t="inlineStr">
        <is>
          <t>N</t>
        </is>
      </c>
      <c r="CH244" t="inlineStr">
        <is>
          <t>unknown</t>
        </is>
      </c>
      <c r="CJ244" t="inlineStr">
        <is>
          <t>unknown</t>
        </is>
      </c>
      <c r="CK244" t="inlineStr">
        <is>
          <t>N</t>
        </is>
      </c>
      <c r="CL244" t="inlineStr">
        <is>
          <t>Built In lists HQ at 1178 Broadway, 3rd Floor #169 but marks the company 'Remote Workplace'; 203 total employees. The add</t>
        </is>
      </c>
      <c r="CM244" t="inlineStr">
        <is>
          <t>https://www.builtinnyc.com/company/augury/offices</t>
        </is>
      </c>
      <c r="CN244" t="inlineStr">
        <is>
          <t>2026-10-23</t>
        </is>
      </c>
      <c r="CO244" t="n">
        <v>96</v>
      </c>
      <c r="CQ244" t="inlineStr">
        <is>
          <t>203 (Built In) staff (whole-company count) x 50% to 100% of them in the New York office (HQ New York; share assumed) x 67% (Partnership for NYC, firms under 500) in on a weekday = 68 to 136, central 96; low confidence; estimate until intake replaces it.</t>
        </is>
      </c>
      <c r="CR244" t="inlineStr">
        <is>
          <t>estimate until intake replaces it</t>
        </is>
      </c>
      <c r="CS244" t="n">
        <v>1</v>
      </c>
      <c r="CT244" t="n">
        <v>40</v>
      </c>
      <c r="CU244" t="n">
        <v>25</v>
      </c>
      <c r="CV244" t="n">
        <v>15</v>
      </c>
      <c r="CW244" t="n">
        <v>-5</v>
      </c>
      <c r="CX244" t="n">
        <v>5</v>
      </c>
      <c r="CY244">
        <f>IF(AH244="exact",10,IF(AH244="adjacent",5,0))</f>
        <v/>
      </c>
      <c r="CZ244">
        <f>IF(R244="Y",15,0)</f>
        <v/>
      </c>
      <c r="DF244" t="inlineStr">
        <is>
          <t>none</t>
        </is>
      </c>
      <c r="DG244" t="inlineStr">
        <is>
          <t>excluded-not-office</t>
        </is>
      </c>
      <c r="DK244" t="inlineStr">
        <is>
          <t>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is>
      </c>
      <c r="DS244" t="inlineStr">
        <is>
          <t>none</t>
        </is>
      </c>
      <c r="DX244" t="inlineStr">
        <is>
          <t>N</t>
        </is>
      </c>
      <c r="ER244">
        <f>IF(ISNUMBER(MATCH(U244,{"queued","contacted","replied","call_booked","call_done","yes_in_principle","materials_sent"},0)),"Y","N")</f>
        <v/>
      </c>
      <c r="ES244">
        <f>IF(COUNTIFS($AP$2:$AP$1000,AP244,$ER$2:$ER$1000,"Y")+COUNTIFS($AP$2:$AP$1000,AP244,$T$2:$T$1000,"Y")&gt;0,"Y","N")</f>
        <v/>
      </c>
      <c r="ET244">
        <f>IF(AND(U244="new",T244="N",AT244="Y",AS244="",ES244="N"),"Y","N")</f>
        <v/>
      </c>
      <c r="EU244">
        <f>IF(ET244&lt;&gt;"Y","N",IF(COUNTIFS($AP$2:$AP$1000,AP244,$ET$2:$ET$1000,"Y",$J$2:$J$1000,"&gt;"&amp;J244)+COUNTIFS($AP$2:$AP$1000,AP244,$ET$2:$ET$1000,"Y",$J$2:$J$1000,J244,$EW$2:$EW$1000,"&lt;"&amp;EW244)=0,"Y","N"))</f>
        <v/>
      </c>
      <c r="EV244">
        <f>IF(Y244="","N",IF(Y244&lt;=10,"Y","N"))</f>
        <v/>
      </c>
      <c r="EW244">
        <f>ROW()-1</f>
        <v/>
      </c>
    </row>
    <row r="245">
      <c r="A245" t="inlineStr">
        <is>
          <t>AO-C-272</t>
        </is>
      </c>
      <c r="B245" t="inlineStr">
        <is>
          <t>Runwise</t>
        </is>
      </c>
      <c r="H245" t="inlineStr">
        <is>
          <t>none</t>
        </is>
      </c>
      <c r="I245" t="inlineStr">
        <is>
          <t>linkedin</t>
        </is>
      </c>
      <c r="J245">
        <f>IF(AX245="pass",ROUND(CU245+CV245+CW245+CX245+CY245+CZ245,1),0)</f>
        <v/>
      </c>
      <c r="K245" t="inlineStr">
        <is>
          <t>Gated out: outside the cluster (0.1 blocks outside the line).</t>
        </is>
      </c>
      <c r="L245" t="inlineStr">
        <is>
          <t>76-150</t>
        </is>
      </c>
      <c r="R245" t="inlineStr">
        <is>
          <t>N</t>
        </is>
      </c>
      <c r="S245" t="inlineStr">
        <is>
          <t>unknown</t>
        </is>
      </c>
      <c r="T245" t="inlineStr">
        <is>
          <t>N</t>
        </is>
      </c>
      <c r="U245" t="inlineStr">
        <is>
          <t>new</t>
        </is>
      </c>
      <c r="V245" t="inlineStr">
        <is>
          <t>https://www.builtinnyc.com/company/runwise-2/offices</t>
        </is>
      </c>
      <c r="W245" t="inlineStr">
        <is>
          <t>2026-10-23</t>
        </is>
      </c>
      <c r="X245" t="inlineStr">
        <is>
          <t>office</t>
        </is>
      </c>
      <c r="Y245">
        <f>IF(EU245&lt;&gt;"Y","",COUNTIFS($EU$2:$EU$1000,"Y",$J$2:$J$1000,"&gt;"&amp;J245)+COUNTIFS($EU$2:$EU$1000,"Y",$J$2:$J$1000,J245,$EW$2:$EW$1000,"&lt;"&amp;EW245)+1)</f>
        <v/>
      </c>
      <c r="AA245" t="inlineStr">
        <is>
          <t>N</t>
        </is>
      </c>
      <c r="AD245" t="inlineStr">
        <is>
          <t>none</t>
        </is>
      </c>
      <c r="AH245" t="inlineStr">
        <is>
          <t>none</t>
        </is>
      </c>
      <c r="AI245" t="inlineStr">
        <is>
          <t>104 West 27th Street</t>
        </is>
      </c>
      <c r="AJ245" t="inlineStr">
        <is>
          <t>unknown</t>
        </is>
      </c>
      <c r="AK245" t="inlineStr">
        <is>
          <t>occupancy-unconfirmed</t>
        </is>
      </c>
      <c r="AL245" t="n">
        <v>67</v>
      </c>
      <c r="AM245" t="n">
        <v>133</v>
      </c>
      <c r="AN245" t="inlineStr">
        <is>
          <t>low</t>
        </is>
      </c>
      <c r="AO245" t="inlineStr">
        <is>
          <t>hybrid-3</t>
        </is>
      </c>
      <c r="AP245" t="inlineStr">
        <is>
          <t>AO-C-272</t>
        </is>
      </c>
      <c r="AQ245" t="inlineStr">
        <is>
          <t>N</t>
        </is>
      </c>
      <c r="AT245">
        <f>IF(AND(AX245="pass",AQ245&lt;&gt;"Y",C245&lt;&gt;"",OR(AW245&lt;&gt;"Y",AV245="Y")),"Y","N")</f>
        <v/>
      </c>
      <c r="AU245">
        <f>_xlfn.TEXTJOIN("; ",TRUE,IF(AX245&lt;&gt;"pass","gated out",""),IF(AQ245="Y","on hold: "&amp;AR245,""),IF(C245="","no contact named on an opened page",""),IF(AND(AW245="Y",AV245&lt;&gt;"Y"),"Tuesday estimate band "&amp;L245&amp;": founder's call",""))</f>
        <v/>
      </c>
      <c r="AW245" t="inlineStr">
        <is>
          <t>N</t>
        </is>
      </c>
      <c r="AX245" t="inlineStr">
        <is>
          <t>fail</t>
        </is>
      </c>
      <c r="AY245" t="inlineStr">
        <is>
          <t>outside the cluster (0.1 blocks outside the line)</t>
        </is>
      </c>
      <c r="AZ245" t="inlineStr">
        <is>
          <t>company</t>
        </is>
      </c>
      <c r="BA245" t="inlineStr">
        <is>
          <t>B-C-272</t>
        </is>
      </c>
      <c r="BB245" t="inlineStr">
        <is>
          <t>https://www.runwise.com</t>
        </is>
      </c>
      <c r="BC245" t="inlineStr">
        <is>
          <t>proptech (building heating controls)</t>
        </is>
      </c>
      <c r="BD245" t="inlineStr">
        <is>
          <t>199</t>
        </is>
      </c>
      <c r="BF245" t="inlineStr">
        <is>
          <t>151-250</t>
        </is>
      </c>
      <c r="BG245" t="inlineStr">
        <is>
          <t>whole-company</t>
        </is>
      </c>
      <c r="BH245" t="inlineStr">
        <is>
          <t>single-source</t>
        </is>
      </c>
      <c r="BI245" t="inlineStr">
        <is>
          <t>https://www.builtinnyc.com/company/runwise-2/offices</t>
        </is>
      </c>
      <c r="BK245" t="inlineStr">
        <is>
          <t>le500</t>
        </is>
      </c>
      <c r="BL245" t="inlineStr">
        <is>
          <t>New York</t>
        </is>
      </c>
      <c r="BM245" t="inlineStr">
        <is>
          <t>Y</t>
        </is>
      </c>
      <c r="BN245" t="inlineStr">
        <is>
          <t>unknown</t>
        </is>
      </c>
      <c r="BO245" t="inlineStr">
        <is>
          <t>unknown</t>
        </is>
      </c>
      <c r="BP245" t="inlineStr">
        <is>
          <t>10001</t>
        </is>
      </c>
      <c r="BQ245" t="n">
        <v>40.745488</v>
      </c>
      <c r="BR245" t="n">
        <v>-73.991668</v>
      </c>
      <c r="BS245" t="inlineStr">
        <is>
          <t>N</t>
        </is>
      </c>
      <c r="BT245" t="n">
        <v>0.1</v>
      </c>
      <c r="BV245" t="inlineStr">
        <is>
          <t>unknown</t>
        </is>
      </c>
      <c r="BW245" t="inlineStr">
        <is>
          <t>https://www.builtinnyc.com/company/runwise-2/offices</t>
        </is>
      </c>
      <c r="BX245" t="inlineStr">
        <is>
          <t>2026-10-23</t>
        </is>
      </c>
      <c r="BY245" t="inlineStr">
        <is>
          <t>builtin</t>
        </is>
      </c>
      <c r="CC245" t="inlineStr">
        <is>
          <t>low</t>
        </is>
      </c>
      <c r="CE245" t="inlineStr">
        <is>
          <t>N</t>
        </is>
      </c>
      <c r="CH245" t="inlineStr">
        <is>
          <t>unknown</t>
        </is>
      </c>
      <c r="CJ245" t="inlineStr">
        <is>
          <t>unknown</t>
        </is>
      </c>
      <c r="CK245" t="inlineStr">
        <is>
          <t>N</t>
        </is>
      </c>
      <c r="CL245" t="inlineStr">
        <is>
          <t>Built In lists HQ at 104 W 27th Street; 199 total employees; hybrid, 3 days a week on site. Outside: west</t>
        </is>
      </c>
      <c r="CM245" t="inlineStr">
        <is>
          <t>https://www.builtinnyc.com/company/runwise-2/offices</t>
        </is>
      </c>
      <c r="CN245" t="inlineStr">
        <is>
          <t>2026-10-23</t>
        </is>
      </c>
      <c r="CO245" t="n">
        <v>94</v>
      </c>
      <c r="CQ245" t="inlineStr">
        <is>
          <t>199 (Built In) staff (whole-company count) x 50% to 100% of them in the New York office (HQ New York; share assumed) x 67% (Partnership for NYC, firms under 500) in on a weekday = 67 to 133, central 94; low confidence; estimate until intake replaces it.</t>
        </is>
      </c>
      <c r="CR245" t="inlineStr">
        <is>
          <t>estimate until intake replaces it</t>
        </is>
      </c>
      <c r="CS245" t="n">
        <v>1</v>
      </c>
      <c r="CT245" t="n">
        <v>55</v>
      </c>
      <c r="CU245" t="n">
        <v>25</v>
      </c>
      <c r="CV245" t="n">
        <v>15</v>
      </c>
      <c r="CW245" t="n">
        <v>10</v>
      </c>
      <c r="CX245" t="n">
        <v>5</v>
      </c>
      <c r="CY245">
        <f>IF(AH245="exact",10,IF(AH245="adjacent",5,0))</f>
        <v/>
      </c>
      <c r="CZ245">
        <f>IF(R245="Y",15,0)</f>
        <v/>
      </c>
      <c r="DF245" t="inlineStr">
        <is>
          <t>none</t>
        </is>
      </c>
      <c r="DG245" t="inlineStr">
        <is>
          <t>near-miss-outside</t>
        </is>
      </c>
      <c r="DH245" t="inlineStr">
        <is>
          <t>outside-line</t>
        </is>
      </c>
      <c r="DI245" t="inlineStr">
        <is>
          <t>N</t>
        </is>
      </c>
      <c r="DK245" t="inlineStr">
        <is>
          <t>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S245" t="inlineStr">
        <is>
          <t>none</t>
        </is>
      </c>
      <c r="DX245" t="inlineStr">
        <is>
          <t>N</t>
        </is>
      </c>
      <c r="ER245">
        <f>IF(ISNUMBER(MATCH(U245,{"queued","contacted","replied","call_booked","call_done","yes_in_principle","materials_sent"},0)),"Y","N")</f>
        <v/>
      </c>
      <c r="ES245">
        <f>IF(COUNTIFS($AP$2:$AP$1000,AP245,$ER$2:$ER$1000,"Y")+COUNTIFS($AP$2:$AP$1000,AP245,$T$2:$T$1000,"Y")&gt;0,"Y","N")</f>
        <v/>
      </c>
      <c r="ET245">
        <f>IF(AND(U245="new",T245="N",AT245="Y",AS245="",ES245="N"),"Y","N")</f>
        <v/>
      </c>
      <c r="EU245">
        <f>IF(ET245&lt;&gt;"Y","N",IF(COUNTIFS($AP$2:$AP$1000,AP245,$ET$2:$ET$1000,"Y",$J$2:$J$1000,"&gt;"&amp;J245)+COUNTIFS($AP$2:$AP$1000,AP245,$ET$2:$ET$1000,"Y",$J$2:$J$1000,J245,$EW$2:$EW$1000,"&lt;"&amp;EW245)=0,"Y","N"))</f>
        <v/>
      </c>
      <c r="EV245">
        <f>IF(Y245="","N",IF(Y245&lt;=10,"Y","N"))</f>
        <v/>
      </c>
      <c r="EW245">
        <f>ROW()-1</f>
        <v/>
      </c>
    </row>
    <row r="246">
      <c r="A246" t="inlineStr">
        <is>
          <t>AO-C-273</t>
        </is>
      </c>
      <c r="B246" t="inlineStr">
        <is>
          <t>GumGum (NYC office)</t>
        </is>
      </c>
      <c r="H246" t="inlineStr">
        <is>
          <t>none</t>
        </is>
      </c>
      <c r="I246" t="inlineStr">
        <is>
          <t>linkedin</t>
        </is>
      </c>
      <c r="J246">
        <f>IF(AX246="pass",ROUND(CU246+CV246+CW246+CX246+CY246+CZ246,1),0)</f>
        <v/>
      </c>
      <c r="K246" t="inlineStr">
        <is>
          <t>Gated out: outside the cluster (0.1 blocks outside the line).</t>
        </is>
      </c>
      <c r="L246" t="inlineStr">
        <is>
          <t>40-75</t>
        </is>
      </c>
      <c r="R246" t="inlineStr">
        <is>
          <t>N</t>
        </is>
      </c>
      <c r="S246" t="inlineStr">
        <is>
          <t>unknown</t>
        </is>
      </c>
      <c r="T246" t="inlineStr">
        <is>
          <t>N</t>
        </is>
      </c>
      <c r="U246" t="inlineStr">
        <is>
          <t>new</t>
        </is>
      </c>
      <c r="V246" t="inlineStr">
        <is>
          <t>https://commercialobserver.com/2022/10/online-advertising-firm-gumgum-heads-to-1245-broadway/</t>
        </is>
      </c>
      <c r="W246" t="inlineStr">
        <is>
          <t>2026-10-23</t>
        </is>
      </c>
      <c r="X246" t="inlineStr">
        <is>
          <t>office</t>
        </is>
      </c>
      <c r="Y246">
        <f>IF(EU246&lt;&gt;"Y","",COUNTIFS($EU$2:$EU$1000,"Y",$J$2:$J$1000,"&gt;"&amp;J246)+COUNTIFS($EU$2:$EU$1000,"Y",$J$2:$J$1000,J246,$EW$2:$EW$1000,"&lt;"&amp;EW246)+1)</f>
        <v/>
      </c>
      <c r="AA246" t="inlineStr">
        <is>
          <t>N</t>
        </is>
      </c>
      <c r="AD246" t="inlineStr">
        <is>
          <t>none</t>
        </is>
      </c>
      <c r="AH246" t="inlineStr">
        <is>
          <t>none</t>
        </is>
      </c>
      <c r="AI246" t="inlineStr">
        <is>
          <t>1245 Broadway</t>
        </is>
      </c>
      <c r="AJ246" t="inlineStr">
        <is>
          <t>one full tower floor</t>
        </is>
      </c>
      <c r="AK246" t="inlineStr">
        <is>
          <t>occupancy-unconfirmed</t>
        </is>
      </c>
      <c r="AL246" t="n">
        <v>17</v>
      </c>
      <c r="AM246" t="n">
        <v>335</v>
      </c>
      <c r="AN246" t="inlineStr">
        <is>
          <t>low</t>
        </is>
      </c>
      <c r="AO246" t="inlineStr">
        <is>
          <t>unknown</t>
        </is>
      </c>
      <c r="AP246" t="inlineStr">
        <is>
          <t>AO-C-273</t>
        </is>
      </c>
      <c r="AQ246" t="inlineStr">
        <is>
          <t>N</t>
        </is>
      </c>
      <c r="AT246">
        <f>IF(AND(AX246="pass",AQ246&lt;&gt;"Y",C246&lt;&gt;"",OR(AW246&lt;&gt;"Y",AV246="Y")),"Y","N")</f>
        <v/>
      </c>
      <c r="AU246">
        <f>_xlfn.TEXTJOIN("; ",TRUE,IF(AX246&lt;&gt;"pass","gated out",""),IF(AQ246="Y","on hold: "&amp;AR246,""),IF(C246="","no contact named on an opened page",""),IF(AND(AW246="Y",AV246&lt;&gt;"Y"),"Tuesday estimate band "&amp;L246&amp;": founder's call",""))</f>
        <v/>
      </c>
      <c r="AW246" t="inlineStr">
        <is>
          <t>N</t>
        </is>
      </c>
      <c r="AX246" t="inlineStr">
        <is>
          <t>fail</t>
        </is>
      </c>
      <c r="AY246" t="inlineStr">
        <is>
          <t>outside the cluster (0.1 blocks outside the line)</t>
        </is>
      </c>
      <c r="AZ246" t="inlineStr">
        <is>
          <t>company</t>
        </is>
      </c>
      <c r="BA246" t="inlineStr">
        <is>
          <t>B-C-273</t>
        </is>
      </c>
      <c r="BB246" t="inlineStr">
        <is>
          <t>unknown</t>
        </is>
      </c>
      <c r="BC246" t="inlineStr">
        <is>
          <t>adtech (contextual AI advertising)</t>
        </is>
      </c>
      <c r="BD246" t="inlineStr">
        <is>
          <t>500</t>
        </is>
      </c>
      <c r="BF246" t="inlineStr">
        <is>
          <t>251-500</t>
        </is>
      </c>
      <c r="BG246" t="inlineStr">
        <is>
          <t>whole-company</t>
        </is>
      </c>
      <c r="BH246" t="inlineStr">
        <is>
          <t>single-source</t>
        </is>
      </c>
      <c r="BI246" t="inlineStr">
        <is>
          <t>https://www.builtinnyc.com/company/gumgum/offices</t>
        </is>
      </c>
      <c r="BK246" t="inlineStr">
        <is>
          <t>le500</t>
        </is>
      </c>
      <c r="BL246" t="inlineStr">
        <is>
          <t>Santa Monica</t>
        </is>
      </c>
      <c r="BM246" t="inlineStr">
        <is>
          <t>N</t>
        </is>
      </c>
      <c r="BN246" t="inlineStr">
        <is>
          <t>unknown</t>
        </is>
      </c>
      <c r="BO246" t="inlineStr">
        <is>
          <t>unknown</t>
        </is>
      </c>
      <c r="BP246" t="inlineStr">
        <is>
          <t>10001</t>
        </is>
      </c>
      <c r="BQ246" t="n">
        <v>40.747365</v>
      </c>
      <c r="BR246" t="n">
        <v>-73.988522</v>
      </c>
      <c r="BS246" t="inlineStr">
        <is>
          <t>N</t>
        </is>
      </c>
      <c r="BT246" t="n">
        <v>0.1</v>
      </c>
      <c r="BV246" t="inlineStr">
        <is>
          <t>unknown</t>
        </is>
      </c>
      <c r="BW246" t="inlineStr">
        <is>
          <t>https://commercialobserver.com/2022/10/online-advertising-firm-gumgum-heads-to-1245-broadway/</t>
        </is>
      </c>
      <c r="BX246" t="inlineStr">
        <is>
          <t>2022-10-05</t>
        </is>
      </c>
      <c r="BY246" t="inlineStr">
        <is>
          <t>leasing-press</t>
        </is>
      </c>
      <c r="CC246" t="inlineStr">
        <is>
          <t>low</t>
        </is>
      </c>
      <c r="CE246" t="inlineStr">
        <is>
          <t>N</t>
        </is>
      </c>
      <c r="CH246" t="inlineStr">
        <is>
          <t>unknown</t>
        </is>
      </c>
      <c r="CJ246" t="inlineStr">
        <is>
          <t>unknown</t>
        </is>
      </c>
      <c r="CK246" t="inlineStr">
        <is>
          <t>N</t>
        </is>
      </c>
      <c r="CL246" t="inlineStr">
        <is>
          <t>unknown</t>
        </is>
      </c>
      <c r="CO246" t="n">
        <v>75</v>
      </c>
      <c r="CP246" t="inlineStr">
        <is>
          <t>may be under 30;may exceed 250</t>
        </is>
      </c>
      <c r="CQ246" t="inlineStr">
        <is>
          <t>500 (Built In) staff (whole-company count) x 5% to 100% of them in the New York office (HQ outside New York; share assumed) x 67% (Partnership for NYC, firms under 500) in on a weekday = 17 to 335, central 75; low confidence; estimate until intake replaces it.</t>
        </is>
      </c>
      <c r="CR246" t="inlineStr">
        <is>
          <t>estimate until intake replaces it</t>
        </is>
      </c>
      <c r="CS246" t="n">
        <v>0.61</v>
      </c>
      <c r="CT246" t="n">
        <v>41.4</v>
      </c>
      <c r="CU246" t="n">
        <v>15.4</v>
      </c>
      <c r="CV246" t="n">
        <v>15</v>
      </c>
      <c r="CW246" t="n">
        <v>6</v>
      </c>
      <c r="CX246" t="n">
        <v>5</v>
      </c>
      <c r="CY246">
        <f>IF(AH246="exact",10,IF(AH246="adjacent",5,0))</f>
        <v/>
      </c>
      <c r="CZ246">
        <f>IF(R246="Y",15,0)</f>
        <v/>
      </c>
      <c r="DF246" t="inlineStr">
        <is>
          <t>none</t>
        </is>
      </c>
      <c r="DG246" t="inlineStr">
        <is>
          <t>near-miss-outside</t>
        </is>
      </c>
      <c r="DH246" t="inlineStr">
        <is>
          <t>outside-line</t>
        </is>
      </c>
      <c r="DI246" t="inlineStr">
        <is>
          <t>N</t>
        </is>
      </c>
      <c r="DJ246" t="inlineStr">
        <is>
          <t>6,500 sf</t>
        </is>
      </c>
      <c r="DK246" t="inlineStr">
        <is>
          <t>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is>
      </c>
      <c r="DS246" t="inlineStr">
        <is>
          <t>none</t>
        </is>
      </c>
      <c r="DX246" t="inlineStr">
        <is>
          <t>N</t>
        </is>
      </c>
      <c r="ER246">
        <f>IF(ISNUMBER(MATCH(U246,{"queued","contacted","replied","call_booked","call_done","yes_in_principle","materials_sent"},0)),"Y","N")</f>
        <v/>
      </c>
      <c r="ES246">
        <f>IF(COUNTIFS($AP$2:$AP$1000,AP246,$ER$2:$ER$1000,"Y")+COUNTIFS($AP$2:$AP$1000,AP246,$T$2:$T$1000,"Y")&gt;0,"Y","N")</f>
        <v/>
      </c>
      <c r="ET246">
        <f>IF(AND(U246="new",T246="N",AT246="Y",AS246="",ES246="N"),"Y","N")</f>
        <v/>
      </c>
      <c r="EU246">
        <f>IF(ET246&lt;&gt;"Y","N",IF(COUNTIFS($AP$2:$AP$1000,AP246,$ET$2:$ET$1000,"Y",$J$2:$J$1000,"&gt;"&amp;J246)+COUNTIFS($AP$2:$AP$1000,AP246,$ET$2:$ET$1000,"Y",$J$2:$J$1000,J246,$EW$2:$EW$1000,"&lt;"&amp;EW246)=0,"Y","N"))</f>
        <v/>
      </c>
      <c r="EV246">
        <f>IF(Y246="","N",IF(Y246&lt;=10,"Y","N"))</f>
        <v/>
      </c>
      <c r="EW246">
        <f>ROW()-1</f>
        <v/>
      </c>
    </row>
    <row r="247">
      <c r="A247" t="inlineStr">
        <is>
          <t>AO-C-274</t>
        </is>
      </c>
      <c r="B247" t="inlineStr">
        <is>
          <t>Parloa</t>
        </is>
      </c>
      <c r="H247" t="inlineStr">
        <is>
          <t>none</t>
        </is>
      </c>
      <c r="I247" t="inlineStr">
        <is>
          <t>linkedin</t>
        </is>
      </c>
      <c r="J247">
        <f>IF(AX247="pass",ROUND(CU247+CV247+CW247+CX247+CY247+CZ247,1),0)</f>
        <v/>
      </c>
      <c r="K247" t="inlineStr">
        <is>
          <t>Gated out: outside the cluster (0.1 blocks outside the line).</t>
        </is>
      </c>
      <c r="L247" t="inlineStr">
        <is>
          <t>under-40</t>
        </is>
      </c>
      <c r="O247" t="inlineStr">
        <is>
          <t>New or renewed lease at 1245 Broadway reported 2026-06-11</t>
        </is>
      </c>
      <c r="P247" t="inlineStr">
        <is>
          <t>https://commercialobserver.com/2026/06/parloa-lease-expansion-gdsny-1245-broadway/</t>
        </is>
      </c>
      <c r="Q247" t="inlineStr">
        <is>
          <t>2026-06-11</t>
        </is>
      </c>
      <c r="R247" t="inlineStr">
        <is>
          <t>N</t>
        </is>
      </c>
      <c r="S247" t="inlineStr">
        <is>
          <t>unknown</t>
        </is>
      </c>
      <c r="T247" t="inlineStr">
        <is>
          <t>N</t>
        </is>
      </c>
      <c r="U247" t="inlineStr">
        <is>
          <t>new</t>
        </is>
      </c>
      <c r="V247" t="inlineStr">
        <is>
          <t>https://commercialobserver.com/2026/06/parloa-lease-expansion-gdsny-1245-broadway/</t>
        </is>
      </c>
      <c r="W247" t="inlineStr">
        <is>
          <t>2026-10-23</t>
        </is>
      </c>
      <c r="X247" t="inlineStr">
        <is>
          <t>office</t>
        </is>
      </c>
      <c r="Y247">
        <f>IF(EU247&lt;&gt;"Y","",COUNTIFS($EU$2:$EU$1000,"Y",$J$2:$J$1000,"&gt;"&amp;J247)+COUNTIFS($EU$2:$EU$1000,"Y",$J$2:$J$1000,J247,$EW$2:$EW$1000,"&lt;"&amp;EW247)+1)</f>
        <v/>
      </c>
      <c r="AA247" t="inlineStr">
        <is>
          <t>N</t>
        </is>
      </c>
      <c r="AD247" t="inlineStr">
        <is>
          <t>none</t>
        </is>
      </c>
      <c r="AH247" t="inlineStr">
        <is>
          <t>none</t>
        </is>
      </c>
      <c r="AI247" t="inlineStr">
        <is>
          <t>1245 Broadway</t>
        </is>
      </c>
      <c r="AJ247" t="inlineStr">
        <is>
          <t>2</t>
        </is>
      </c>
      <c r="AK247" t="inlineStr">
        <is>
          <t>occupied</t>
        </is>
      </c>
      <c r="AL247" t="n">
        <v>7</v>
      </c>
      <c r="AM247" t="n">
        <v>148</v>
      </c>
      <c r="AN247" t="inlineStr">
        <is>
          <t>low</t>
        </is>
      </c>
      <c r="AO247" t="inlineStr">
        <is>
          <t>unknown</t>
        </is>
      </c>
      <c r="AP247" t="inlineStr">
        <is>
          <t>AO-C-274</t>
        </is>
      </c>
      <c r="AQ247" t="inlineStr">
        <is>
          <t>N</t>
        </is>
      </c>
      <c r="AT247">
        <f>IF(AND(AX247="pass",AQ247&lt;&gt;"Y",C247&lt;&gt;"",OR(AW247&lt;&gt;"Y",AV247="Y")),"Y","N")</f>
        <v/>
      </c>
      <c r="AU247">
        <f>_xlfn.TEXTJOIN("; ",TRUE,IF(AX247&lt;&gt;"pass","gated out",""),IF(AQ247="Y","on hold: "&amp;AR247,""),IF(C247="","no contact named on an opened page",""),IF(AND(AW247="Y",AV247&lt;&gt;"Y"),"Tuesday estimate band "&amp;L247&amp;": founder's call",""))</f>
        <v/>
      </c>
      <c r="AW247" t="inlineStr">
        <is>
          <t>Y</t>
        </is>
      </c>
      <c r="AX247" t="inlineStr">
        <is>
          <t>fail</t>
        </is>
      </c>
      <c r="AY247" t="inlineStr">
        <is>
          <t>outside the cluster (0.1 blocks outside the line)</t>
        </is>
      </c>
      <c r="AZ247" t="inlineStr">
        <is>
          <t>company</t>
        </is>
      </c>
      <c r="BA247" t="inlineStr">
        <is>
          <t>B-C-274</t>
        </is>
      </c>
      <c r="BB247" t="inlineStr">
        <is>
          <t>https://www.parloa.com</t>
        </is>
      </c>
      <c r="BC247" t="inlineStr">
        <is>
          <t>software (AI customer service agents)</t>
        </is>
      </c>
      <c r="BD247" t="inlineStr">
        <is>
          <t>221</t>
        </is>
      </c>
      <c r="BF247" t="inlineStr">
        <is>
          <t>151-250</t>
        </is>
      </c>
      <c r="BG247" t="inlineStr">
        <is>
          <t>whole-company</t>
        </is>
      </c>
      <c r="BH247" t="inlineStr">
        <is>
          <t>single-source</t>
        </is>
      </c>
      <c r="BI247" t="inlineStr">
        <is>
          <t>https://www.builtinnyc.com/company/parloa/offices</t>
        </is>
      </c>
      <c r="BK247" t="inlineStr">
        <is>
          <t>le500</t>
        </is>
      </c>
      <c r="BL247" t="inlineStr">
        <is>
          <t>unknown</t>
        </is>
      </c>
      <c r="BM247" t="inlineStr">
        <is>
          <t>unknown</t>
        </is>
      </c>
      <c r="BN247" t="inlineStr">
        <is>
          <t>unknown</t>
        </is>
      </c>
      <c r="BO247" t="inlineStr">
        <is>
          <t>unknown</t>
        </is>
      </c>
      <c r="BP247" t="inlineStr">
        <is>
          <t>10001</t>
        </is>
      </c>
      <c r="BQ247" t="n">
        <v>40.747365</v>
      </c>
      <c r="BR247" t="n">
        <v>-73.988522</v>
      </c>
      <c r="BS247" t="inlineStr">
        <is>
          <t>N</t>
        </is>
      </c>
      <c r="BT247" t="n">
        <v>0.1</v>
      </c>
      <c r="BV247" t="inlineStr">
        <is>
          <t>unknown</t>
        </is>
      </c>
      <c r="BW247" t="inlineStr">
        <is>
          <t>https://commercialobserver.com/2026/06/parloa-lease-expansion-gdsny-1245-broadway/</t>
        </is>
      </c>
      <c r="BX247" t="inlineStr">
        <is>
          <t>2026-06-11</t>
        </is>
      </c>
      <c r="BY247" t="inlineStr">
        <is>
          <t>leasing-press</t>
        </is>
      </c>
      <c r="BZ247" t="inlineStr">
        <is>
          <t>https://www.parloa.com/contact/</t>
        </is>
      </c>
      <c r="CA247" t="inlineStr">
        <is>
          <t>2026-10-23</t>
        </is>
      </c>
      <c r="CC247" t="inlineStr">
        <is>
          <t>high</t>
        </is>
      </c>
      <c r="CE247" t="inlineStr">
        <is>
          <t>N</t>
        </is>
      </c>
      <c r="CH247" t="inlineStr">
        <is>
          <t>unknown</t>
        </is>
      </c>
      <c r="CJ247" t="inlineStr">
        <is>
          <t>unknown</t>
        </is>
      </c>
      <c r="CK247" t="inlineStr">
        <is>
          <t>N</t>
        </is>
      </c>
      <c r="CL247" t="inlineStr">
        <is>
          <t>unknown</t>
        </is>
      </c>
      <c r="CO247" t="n">
        <v>32</v>
      </c>
      <c r="CP247" t="inlineStr">
        <is>
          <t>may be under 30;30 to 39 is the founder's call</t>
        </is>
      </c>
      <c r="CQ247" t="inlineStr">
        <is>
          <t>221 (Built In) staff (whole-company count) x 5% to 100% of them in the New York office (HQ city unknown; share assumed) x 67% (Partnership for NYC, firms under 500) in on a weekday = 7 to 148, central 32; low confidence; estimate until intake replaces it.</t>
        </is>
      </c>
      <c r="CR247" t="inlineStr">
        <is>
          <t>estimate until intake replaces it</t>
        </is>
      </c>
      <c r="CS247" t="n">
        <v>0.43</v>
      </c>
      <c r="CT247" t="n">
        <v>46.7</v>
      </c>
      <c r="CU247" t="n">
        <v>10.7</v>
      </c>
      <c r="CV247" t="n">
        <v>15</v>
      </c>
      <c r="CW247" t="n">
        <v>6</v>
      </c>
      <c r="CX247" t="n">
        <v>15</v>
      </c>
      <c r="CY247">
        <f>IF(AH247="exact",10,IF(AH247="adjacent",5,0))</f>
        <v/>
      </c>
      <c r="CZ247">
        <f>IF(R247="Y",15,0)</f>
        <v/>
      </c>
      <c r="DF247" t="inlineStr">
        <is>
          <t>none</t>
        </is>
      </c>
      <c r="DG247" t="inlineStr">
        <is>
          <t>near-miss-outside</t>
        </is>
      </c>
      <c r="DH247" t="inlineStr">
        <is>
          <t>outside-line</t>
        </is>
      </c>
      <c r="DI247" t="inlineStr">
        <is>
          <t>N</t>
        </is>
      </c>
      <c r="DJ247" t="inlineStr">
        <is>
          <t>14,731 sf;23,031 sf</t>
        </is>
      </c>
      <c r="DK247" t="inlineStr">
        <is>
          <t>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is>
      </c>
      <c r="DS247" t="inlineStr">
        <is>
          <t>none</t>
        </is>
      </c>
      <c r="DX247" t="inlineStr">
        <is>
          <t>N</t>
        </is>
      </c>
      <c r="ER247">
        <f>IF(ISNUMBER(MATCH(U247,{"queued","contacted","replied","call_booked","call_done","yes_in_principle","materials_sent"},0)),"Y","N")</f>
        <v/>
      </c>
      <c r="ES247">
        <f>IF(COUNTIFS($AP$2:$AP$1000,AP247,$ER$2:$ER$1000,"Y")+COUNTIFS($AP$2:$AP$1000,AP247,$T$2:$T$1000,"Y")&gt;0,"Y","N")</f>
        <v/>
      </c>
      <c r="ET247">
        <f>IF(AND(U247="new",T247="N",AT247="Y",AS247="",ES247="N"),"Y","N")</f>
        <v/>
      </c>
      <c r="EU247">
        <f>IF(ET247&lt;&gt;"Y","N",IF(COUNTIFS($AP$2:$AP$1000,AP247,$ET$2:$ET$1000,"Y",$J$2:$J$1000,"&gt;"&amp;J247)+COUNTIFS($AP$2:$AP$1000,AP247,$ET$2:$ET$1000,"Y",$J$2:$J$1000,J247,$EW$2:$EW$1000,"&lt;"&amp;EW247)=0,"Y","N"))</f>
        <v/>
      </c>
      <c r="EV247">
        <f>IF(Y247="","N",IF(Y247&lt;=10,"Y","N"))</f>
        <v/>
      </c>
      <c r="EW247">
        <f>ROW()-1</f>
        <v/>
      </c>
    </row>
    <row r="248">
      <c r="A248" t="inlineStr">
        <is>
          <t>AO-C-174</t>
        </is>
      </c>
      <c r="B248" t="inlineStr">
        <is>
          <t>Deerfield Management</t>
        </is>
      </c>
      <c r="H248" t="inlineStr">
        <is>
          <t>none</t>
        </is>
      </c>
      <c r="I248" t="inlineStr">
        <is>
          <t>linkedin</t>
        </is>
      </c>
      <c r="J248">
        <f>IF(AX248="pass",ROUND(CU248+CV248+CW248+CX248+CY248+CZ248,1),0)</f>
        <v/>
      </c>
      <c r="K248" t="inlineStr">
        <is>
          <t>Gated out: inside a coworking space (B-W-013).</t>
        </is>
      </c>
      <c r="L248" t="inlineStr">
        <is>
          <t>under-40</t>
        </is>
      </c>
      <c r="R248" t="inlineStr">
        <is>
          <t>N</t>
        </is>
      </c>
      <c r="S248" t="inlineStr">
        <is>
          <t>unknown</t>
        </is>
      </c>
      <c r="T248" t="inlineStr">
        <is>
          <t>N</t>
        </is>
      </c>
      <c r="U248" t="inlineStr">
        <is>
          <t>new</t>
        </is>
      </c>
      <c r="V248" t="inlineStr">
        <is>
          <t>https://www.deerfield.com/contact</t>
        </is>
      </c>
      <c r="W248" t="inlineStr">
        <is>
          <t>2026-10-23</t>
        </is>
      </c>
      <c r="X248" t="inlineStr">
        <is>
          <t>office</t>
        </is>
      </c>
      <c r="Y248">
        <f>IF(EU248&lt;&gt;"Y","",COUNTIFS($EU$2:$EU$1000,"Y",$J$2:$J$1000,"&gt;"&amp;J248)+COUNTIFS($EU$2:$EU$1000,"Y",$J$2:$J$1000,J248,$EW$2:$EW$1000,"&lt;"&amp;EW248)+1)</f>
        <v/>
      </c>
      <c r="AA248" t="inlineStr">
        <is>
          <t>N</t>
        </is>
      </c>
      <c r="AD248" t="inlineStr">
        <is>
          <t>none</t>
        </is>
      </c>
      <c r="AH248" t="inlineStr">
        <is>
          <t>none</t>
        </is>
      </c>
      <c r="AI248" t="inlineStr">
        <is>
          <t>345 Park Avenue South</t>
        </is>
      </c>
      <c r="AJ248" t="inlineStr">
        <is>
          <t>unknown</t>
        </is>
      </c>
      <c r="AK248" t="inlineStr">
        <is>
          <t>occupied</t>
        </is>
      </c>
      <c r="AL248" t="n">
        <v>6</v>
      </c>
      <c r="AM248" t="n">
        <v>117</v>
      </c>
      <c r="AN248" t="inlineStr">
        <is>
          <t>low</t>
        </is>
      </c>
      <c r="AO248" t="inlineStr">
        <is>
          <t>unknown</t>
        </is>
      </c>
      <c r="AP248" t="inlineStr">
        <is>
          <t>AO-C-174</t>
        </is>
      </c>
      <c r="AQ248" t="inlineStr">
        <is>
          <t>N</t>
        </is>
      </c>
      <c r="AT248">
        <f>IF(AND(AX248="pass",AQ248&lt;&gt;"Y",C248&lt;&gt;"",OR(AW248&lt;&gt;"Y",AV248="Y")),"Y","N")</f>
        <v/>
      </c>
      <c r="AU248">
        <f>_xlfn.TEXTJOIN("; ",TRUE,IF(AX248&lt;&gt;"pass","gated out",""),IF(AQ248="Y","on hold: "&amp;AR248,""),IF(C248="","no contact named on an opened page",""),IF(AND(AW248="Y",AV248&lt;&gt;"Y"),"Tuesday estimate band "&amp;L248&amp;": founder's call",""))</f>
        <v/>
      </c>
      <c r="AW248" t="inlineStr">
        <is>
          <t>Y</t>
        </is>
      </c>
      <c r="AX248" t="inlineStr">
        <is>
          <t>fail</t>
        </is>
      </c>
      <c r="AY248" t="inlineStr">
        <is>
          <t>inside a coworking space (B-W-013)</t>
        </is>
      </c>
      <c r="AZ248" t="inlineStr">
        <is>
          <t>company</t>
        </is>
      </c>
      <c r="BA248" t="inlineStr">
        <is>
          <t>B-C-174</t>
        </is>
      </c>
      <c r="BB248" t="inlineStr">
        <is>
          <t>https://www.deerfield.com/</t>
        </is>
      </c>
      <c r="BC248" t="inlineStr">
        <is>
          <t>Healthcare investment firm</t>
        </is>
      </c>
      <c r="BD248" t="inlineStr">
        <is>
          <t>175</t>
        </is>
      </c>
      <c r="BF248" t="inlineStr">
        <is>
          <t>151-250</t>
        </is>
      </c>
      <c r="BG248" t="inlineStr">
        <is>
          <t>whole-company</t>
        </is>
      </c>
      <c r="BH248" t="inlineStr">
        <is>
          <t>single-source</t>
        </is>
      </c>
      <c r="BI248" t="inlineStr">
        <is>
          <t>https://en.wikipedia.org/wiki/Deerfield_Management</t>
        </is>
      </c>
      <c r="BK248" t="inlineStr">
        <is>
          <t>le500</t>
        </is>
      </c>
      <c r="BL248" t="inlineStr">
        <is>
          <t>unknown</t>
        </is>
      </c>
      <c r="BM248" t="inlineStr">
        <is>
          <t>unknown</t>
        </is>
      </c>
      <c r="BN248" t="inlineStr">
        <is>
          <t>unknown</t>
        </is>
      </c>
      <c r="BO248" t="inlineStr">
        <is>
          <t>unknown</t>
        </is>
      </c>
      <c r="BP248" t="inlineStr">
        <is>
          <t>10010</t>
        </is>
      </c>
      <c r="BQ248" t="n">
        <v>40.741737</v>
      </c>
      <c r="BR248" t="n">
        <v>-73.98485599999999</v>
      </c>
      <c r="BS248" t="inlineStr">
        <is>
          <t>Y</t>
        </is>
      </c>
      <c r="BT248" t="n">
        <v>0</v>
      </c>
      <c r="BU248" t="inlineStr">
        <is>
          <t>B-B-058</t>
        </is>
      </c>
      <c r="BV248" t="inlineStr">
        <is>
          <t>345 Park Avenue South (Deerfield Management; home of Cure)</t>
        </is>
      </c>
      <c r="BW248" t="inlineStr">
        <is>
          <t>https://www.deerfield.com/contact</t>
        </is>
      </c>
      <c r="BX248" t="inlineStr">
        <is>
          <t>2026-10-24</t>
        </is>
      </c>
      <c r="BY248" t="inlineStr">
        <is>
          <t>company-site</t>
        </is>
      </c>
      <c r="BZ248" t="inlineStr">
        <is>
          <t>https://en.wikipedia.org/wiki/Deerfield_Management</t>
        </is>
      </c>
      <c r="CA248" t="inlineStr">
        <is>
          <t>2026-10-24</t>
        </is>
      </c>
      <c r="CC248" t="inlineStr">
        <is>
          <t>high</t>
        </is>
      </c>
      <c r="CE248" t="inlineStr">
        <is>
          <t>Y</t>
        </is>
      </c>
      <c r="CF248" t="inlineStr">
        <is>
          <t>B-W-013</t>
        </is>
      </c>
      <c r="CH248" t="inlineStr">
        <is>
          <t>unknown</t>
        </is>
      </c>
      <c r="CJ248" t="inlineStr">
        <is>
          <t>unknown</t>
        </is>
      </c>
      <c r="CK248" t="inlineStr">
        <is>
          <t>N</t>
        </is>
      </c>
      <c r="CL248" t="inlineStr">
        <is>
          <t>unknown</t>
        </is>
      </c>
      <c r="CO248" t="n">
        <v>26</v>
      </c>
      <c r="CP248" t="inlineStr">
        <is>
          <t>may be under 30;central estimate under 30</t>
        </is>
      </c>
      <c r="CQ248" t="inlineStr">
        <is>
          <t>175 (Wikipedia) staff (whole-company count) x 5% to 100% of them in the New York office (HQ city unknown; share assumed) x 67% (Partnership for NYC, firms under 500) in on a weekday = 6 to 117, central 26; low confidence; estimate until intake replaces it.</t>
        </is>
      </c>
      <c r="CR248" t="inlineStr">
        <is>
          <t>estimate until intake replaces it</t>
        </is>
      </c>
      <c r="CS248" t="n">
        <v>0.36</v>
      </c>
      <c r="CT248" t="n">
        <v>45</v>
      </c>
      <c r="CU248" t="n">
        <v>9</v>
      </c>
      <c r="CV248" t="n">
        <v>15</v>
      </c>
      <c r="CW248" t="n">
        <v>6</v>
      </c>
      <c r="CX248" t="n">
        <v>15</v>
      </c>
      <c r="CY248">
        <f>IF(AH248="exact",10,IF(AH248="adjacent",5,0))</f>
        <v/>
      </c>
      <c r="CZ248">
        <f>IF(R248="Y",15,0)</f>
        <v/>
      </c>
      <c r="DF248" t="inlineStr">
        <is>
          <t>none</t>
        </is>
      </c>
      <c r="DG248" t="inlineStr">
        <is>
          <t>excluded-coworking</t>
        </is>
      </c>
      <c r="DK248" t="inlineStr">
        <is>
          <t>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is>
      </c>
      <c r="DS248" t="inlineStr">
        <is>
          <t>none</t>
        </is>
      </c>
      <c r="DX248" t="inlineStr">
        <is>
          <t>N</t>
        </is>
      </c>
      <c r="ER248">
        <f>IF(ISNUMBER(MATCH(U248,{"queued","contacted","replied","call_booked","call_done","yes_in_principle","materials_sent"},0)),"Y","N")</f>
        <v/>
      </c>
      <c r="ES248">
        <f>IF(COUNTIFS($AP$2:$AP$1000,AP248,$ER$2:$ER$1000,"Y")+COUNTIFS($AP$2:$AP$1000,AP248,$T$2:$T$1000,"Y")&gt;0,"Y","N")</f>
        <v/>
      </c>
      <c r="ET248">
        <f>IF(AND(U248="new",T248="N",AT248="Y",AS248="",ES248="N"),"Y","N")</f>
        <v/>
      </c>
      <c r="EU248">
        <f>IF(ET248&lt;&gt;"Y","N",IF(COUNTIFS($AP$2:$AP$1000,AP248,$ET$2:$ET$1000,"Y",$J$2:$J$1000,"&gt;"&amp;J248)+COUNTIFS($AP$2:$AP$1000,AP248,$ET$2:$ET$1000,"Y",$J$2:$J$1000,J248,$EW$2:$EW$1000,"&lt;"&amp;EW248)=0,"Y","N"))</f>
        <v/>
      </c>
      <c r="EV248">
        <f>IF(Y248="","N",IF(Y248&lt;=10,"Y","N"))</f>
        <v/>
      </c>
      <c r="EW248">
        <f>ROW()-1</f>
        <v/>
      </c>
    </row>
    <row r="249">
      <c r="A249" t="inlineStr">
        <is>
          <t>AO-C-177</t>
        </is>
      </c>
      <c r="B249" t="inlineStr">
        <is>
          <t>Monte Carlo (Monte Carlo Data)</t>
        </is>
      </c>
      <c r="H249" t="inlineStr">
        <is>
          <t>none</t>
        </is>
      </c>
      <c r="I249" t="inlineStr">
        <is>
          <t>linkedin</t>
        </is>
      </c>
      <c r="J249">
        <f>IF(AX249="pass",ROUND(CU249+CV249+CW249+CX249+CY249+CZ249,1),0)</f>
        <v/>
      </c>
      <c r="K249" t="inlineStr">
        <is>
          <t>Gated out: inside a coworking space (B-W-020).</t>
        </is>
      </c>
      <c r="L249" t="inlineStr">
        <is>
          <t>under-40</t>
        </is>
      </c>
      <c r="R249" t="inlineStr">
        <is>
          <t>N</t>
        </is>
      </c>
      <c r="S249" t="inlineStr">
        <is>
          <t>unknown</t>
        </is>
      </c>
      <c r="T249" t="inlineStr">
        <is>
          <t>N</t>
        </is>
      </c>
      <c r="U249" t="inlineStr">
        <is>
          <t>new</t>
        </is>
      </c>
      <c r="V249" t="inlineStr">
        <is>
          <t>https://www.builtinnyc.com/company/monte-carlo/offices</t>
        </is>
      </c>
      <c r="W249" t="inlineStr">
        <is>
          <t>2026-10-23</t>
        </is>
      </c>
      <c r="X249" t="inlineStr">
        <is>
          <t>office</t>
        </is>
      </c>
      <c r="Y249">
        <f>IF(EU249&lt;&gt;"Y","",COUNTIFS($EU$2:$EU$1000,"Y",$J$2:$J$1000,"&gt;"&amp;J249)+COUNTIFS($EU$2:$EU$1000,"Y",$J$2:$J$1000,J249,$EW$2:$EW$1000,"&lt;"&amp;EW249)+1)</f>
        <v/>
      </c>
      <c r="AA249" t="inlineStr">
        <is>
          <t>N</t>
        </is>
      </c>
      <c r="AD249" t="inlineStr">
        <is>
          <t>none</t>
        </is>
      </c>
      <c r="AH249" t="inlineStr">
        <is>
          <t>none</t>
        </is>
      </c>
      <c r="AI249" t="inlineStr">
        <is>
          <t>27 East 28th Street</t>
        </is>
      </c>
      <c r="AJ249" t="inlineStr">
        <is>
          <t>Suite 1656</t>
        </is>
      </c>
      <c r="AK249" t="inlineStr">
        <is>
          <t>occupancy-unconfirmed</t>
        </is>
      </c>
      <c r="AL249" t="n">
        <v>5</v>
      </c>
      <c r="AM249" t="n">
        <v>90</v>
      </c>
      <c r="AN249" t="inlineStr">
        <is>
          <t>low</t>
        </is>
      </c>
      <c r="AO249" t="inlineStr">
        <is>
          <t>remote</t>
        </is>
      </c>
      <c r="AP249" t="inlineStr">
        <is>
          <t>AO-C-177</t>
        </is>
      </c>
      <c r="AQ249" t="inlineStr">
        <is>
          <t>N</t>
        </is>
      </c>
      <c r="AT249">
        <f>IF(AND(AX249="pass",AQ249&lt;&gt;"Y",C249&lt;&gt;"",OR(AW249&lt;&gt;"Y",AV249="Y")),"Y","N")</f>
        <v/>
      </c>
      <c r="AU249">
        <f>_xlfn.TEXTJOIN("; ",TRUE,IF(AX249&lt;&gt;"pass","gated out",""),IF(AQ249="Y","on hold: "&amp;AR249,""),IF(C249="","no contact named on an opened page",""),IF(AND(AW249="Y",AV249&lt;&gt;"Y"),"Tuesday estimate band "&amp;L249&amp;": founder's call",""))</f>
        <v/>
      </c>
      <c r="AW249" t="inlineStr">
        <is>
          <t>Y</t>
        </is>
      </c>
      <c r="AX249" t="inlineStr">
        <is>
          <t>fail</t>
        </is>
      </c>
      <c r="AY249" t="inlineStr">
        <is>
          <t>inside a coworking space (B-W-020)</t>
        </is>
      </c>
      <c r="AZ249" t="inlineStr">
        <is>
          <t>company</t>
        </is>
      </c>
      <c r="BA249" t="inlineStr">
        <is>
          <t>B-C-177</t>
        </is>
      </c>
      <c r="BB249" t="inlineStr">
        <is>
          <t>https://montecarlo.ai</t>
        </is>
      </c>
      <c r="BC249" t="inlineStr">
        <is>
          <t>software (data observability)</t>
        </is>
      </c>
      <c r="BD249" t="inlineStr">
        <is>
          <t>135</t>
        </is>
      </c>
      <c r="BF249" t="inlineStr">
        <is>
          <t>76-150</t>
        </is>
      </c>
      <c r="BG249" t="inlineStr">
        <is>
          <t>whole-company</t>
        </is>
      </c>
      <c r="BH249" t="inlineStr">
        <is>
          <t>single-source</t>
        </is>
      </c>
      <c r="BI249" t="inlineStr">
        <is>
          <t>https://www.builtinnyc.com/company/monte-carlo/offices</t>
        </is>
      </c>
      <c r="BK249" t="inlineStr">
        <is>
          <t>le500</t>
        </is>
      </c>
      <c r="BL249" t="inlineStr">
        <is>
          <t>San Francisco</t>
        </is>
      </c>
      <c r="BM249" t="inlineStr">
        <is>
          <t>N</t>
        </is>
      </c>
      <c r="BN249" t="inlineStr">
        <is>
          <t>unknown</t>
        </is>
      </c>
      <c r="BO249" t="inlineStr">
        <is>
          <t>unknown</t>
        </is>
      </c>
      <c r="BP249" t="inlineStr">
        <is>
          <t>10016</t>
        </is>
      </c>
      <c r="BQ249" t="n">
        <v>40.744057</v>
      </c>
      <c r="BR249" t="n">
        <v>-73.985252</v>
      </c>
      <c r="BS249" t="inlineStr">
        <is>
          <t>Y</t>
        </is>
      </c>
      <c r="BT249" t="n">
        <v>0</v>
      </c>
      <c r="BU249" t="inlineStr">
        <is>
          <t>B-B-076</t>
        </is>
      </c>
      <c r="BV249" t="inlineStr">
        <is>
          <t>79 Madison Avenue / 27 East 28th Street (Williams Equities)</t>
        </is>
      </c>
      <c r="BW249" t="inlineStr">
        <is>
          <t>https://www.builtinnyc.com/company/monte-carlo/offices</t>
        </is>
      </c>
      <c r="BX249" t="inlineStr">
        <is>
          <t>2026-10-23</t>
        </is>
      </c>
      <c r="BY249" t="inlineStr">
        <is>
          <t>builtin</t>
        </is>
      </c>
      <c r="BZ249" t="inlineStr">
        <is>
          <t>https://liquidspace.com/us/ny/new-york/wework-27-e-28th-st</t>
        </is>
      </c>
      <c r="CA249" t="inlineStr">
        <is>
          <t>2026-10-23</t>
        </is>
      </c>
      <c r="CC249" t="inlineStr">
        <is>
          <t>low</t>
        </is>
      </c>
      <c r="CE249" t="inlineStr">
        <is>
          <t>Y</t>
        </is>
      </c>
      <c r="CF249" t="inlineStr">
        <is>
          <t>B-W-020</t>
        </is>
      </c>
      <c r="CH249" t="inlineStr">
        <is>
          <t>unknown</t>
        </is>
      </c>
      <c r="CJ249" t="inlineStr">
        <is>
          <t>unknown</t>
        </is>
      </c>
      <c r="CK249" t="inlineStr">
        <is>
          <t>N</t>
        </is>
      </c>
      <c r="CL249" t="inlineStr">
        <is>
          <t>Built In lists a 'New York Hub' at 27 E 28th St, Suite 1656; company is remote-first and covers coworking; 135 tot</t>
        </is>
      </c>
      <c r="CM249" t="inlineStr">
        <is>
          <t>https://www.builtinnyc.com/company/monte-carlo/offices</t>
        </is>
      </c>
      <c r="CN249" t="inlineStr">
        <is>
          <t>2026-10-23</t>
        </is>
      </c>
      <c r="CO249" t="n">
        <v>21</v>
      </c>
      <c r="CP249" t="inlineStr">
        <is>
          <t>may be under 30;central estimate under 30</t>
        </is>
      </c>
      <c r="CQ249" t="inlineStr">
        <is>
          <t>135 (Built In) staff (whole-company count) x 5% to 100% of them in the New York office (HQ outside New York; share assumed) x 67% (Partnership for NYC, firms under 500) in on a weekday = 5 to 90, central 21; low confidence; estimate until intake replaces it.</t>
        </is>
      </c>
      <c r="CR249" t="inlineStr">
        <is>
          <t>estimate until intake replaces it</t>
        </is>
      </c>
      <c r="CS249" t="n">
        <v>0.28</v>
      </c>
      <c r="CT249" t="n">
        <v>22</v>
      </c>
      <c r="CU249" t="n">
        <v>7</v>
      </c>
      <c r="CV249" t="n">
        <v>15</v>
      </c>
      <c r="CW249" t="n">
        <v>-5</v>
      </c>
      <c r="CX249" t="n">
        <v>5</v>
      </c>
      <c r="CY249">
        <f>IF(AH249="exact",10,IF(AH249="adjacent",5,0))</f>
        <v/>
      </c>
      <c r="CZ249">
        <f>IF(R249="Y",15,0)</f>
        <v/>
      </c>
      <c r="DF249" t="inlineStr">
        <is>
          <t>none</t>
        </is>
      </c>
      <c r="DG249" t="inlineStr">
        <is>
          <t>excluded-coworking</t>
        </is>
      </c>
      <c r="DK249" t="inlineStr">
        <is>
          <t>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S249" t="inlineStr">
        <is>
          <t>none</t>
        </is>
      </c>
      <c r="DX249" t="inlineStr">
        <is>
          <t>N</t>
        </is>
      </c>
      <c r="ER249">
        <f>IF(ISNUMBER(MATCH(U249,{"queued","contacted","replied","call_booked","call_done","yes_in_principle","materials_sent"},0)),"Y","N")</f>
        <v/>
      </c>
      <c r="ES249">
        <f>IF(COUNTIFS($AP$2:$AP$1000,AP249,$ER$2:$ER$1000,"Y")+COUNTIFS($AP$2:$AP$1000,AP249,$T$2:$T$1000,"Y")&gt;0,"Y","N")</f>
        <v/>
      </c>
      <c r="ET249">
        <f>IF(AND(U249="new",T249="N",AT249="Y",AS249="",ES249="N"),"Y","N")</f>
        <v/>
      </c>
      <c r="EU249">
        <f>IF(ET249&lt;&gt;"Y","N",IF(COUNTIFS($AP$2:$AP$1000,AP249,$ET$2:$ET$1000,"Y",$J$2:$J$1000,"&gt;"&amp;J249)+COUNTIFS($AP$2:$AP$1000,AP249,$ET$2:$ET$1000,"Y",$J$2:$J$1000,J249,$EW$2:$EW$1000,"&lt;"&amp;EW249)=0,"Y","N"))</f>
        <v/>
      </c>
      <c r="EV249">
        <f>IF(Y249="","N",IF(Y249&lt;=10,"Y","N"))</f>
        <v/>
      </c>
      <c r="EW249">
        <f>ROW()-1</f>
        <v/>
      </c>
    </row>
    <row r="250">
      <c r="A250" t="inlineStr">
        <is>
          <t>AO-C-175</t>
        </is>
      </c>
      <c r="B250" t="inlineStr">
        <is>
          <t>Insilico Medicine</t>
        </is>
      </c>
      <c r="H250" t="inlineStr">
        <is>
          <t>none</t>
        </is>
      </c>
      <c r="I250" t="inlineStr">
        <is>
          <t>linkedin</t>
        </is>
      </c>
      <c r="J250">
        <f>IF(AX250="pass",ROUND(CU250+CV250+CW250+CX250+CY250+CZ250,1),0)</f>
        <v/>
      </c>
      <c r="K250" t="inlineStr">
        <is>
          <t>Gated out: inside a coworking space (B-W-013).</t>
        </is>
      </c>
      <c r="L250" t="inlineStr">
        <is>
          <t>under-40</t>
        </is>
      </c>
      <c r="R250" t="inlineStr">
        <is>
          <t>N</t>
        </is>
      </c>
      <c r="S250" t="inlineStr">
        <is>
          <t>unknown</t>
        </is>
      </c>
      <c r="T250" t="inlineStr">
        <is>
          <t>N</t>
        </is>
      </c>
      <c r="U250" t="inlineStr">
        <is>
          <t>new</t>
        </is>
      </c>
      <c r="V250" t="inlineStr">
        <is>
          <t>https://wewillcure.com/community/residents</t>
        </is>
      </c>
      <c r="W250" t="inlineStr">
        <is>
          <t>2026-10-23</t>
        </is>
      </c>
      <c r="X250" t="inlineStr">
        <is>
          <t>office</t>
        </is>
      </c>
      <c r="Y250">
        <f>IF(EU250&lt;&gt;"Y","",COUNTIFS($EU$2:$EU$1000,"Y",$J$2:$J$1000,"&gt;"&amp;J250)+COUNTIFS($EU$2:$EU$1000,"Y",$J$2:$J$1000,J250,$EW$2:$EW$1000,"&lt;"&amp;EW250)+1)</f>
        <v/>
      </c>
      <c r="AA250" t="inlineStr">
        <is>
          <t>N</t>
        </is>
      </c>
      <c r="AD250" t="inlineStr">
        <is>
          <t>none</t>
        </is>
      </c>
      <c r="AH250" t="inlineStr">
        <is>
          <t>none</t>
        </is>
      </c>
      <c r="AI250" t="inlineStr">
        <is>
          <t>345 Park Avenue South</t>
        </is>
      </c>
      <c r="AJ250" t="inlineStr">
        <is>
          <t>unknown</t>
        </is>
      </c>
      <c r="AK250" t="inlineStr">
        <is>
          <t>occupied</t>
        </is>
      </c>
      <c r="AL250" t="n">
        <v>4</v>
      </c>
      <c r="AM250" t="n">
        <v>77</v>
      </c>
      <c r="AN250" t="inlineStr">
        <is>
          <t>low</t>
        </is>
      </c>
      <c r="AO250" t="inlineStr">
        <is>
          <t>unknown</t>
        </is>
      </c>
      <c r="AP250" t="inlineStr">
        <is>
          <t>AO-C-175</t>
        </is>
      </c>
      <c r="AQ250" t="inlineStr">
        <is>
          <t>N</t>
        </is>
      </c>
      <c r="AT250">
        <f>IF(AND(AX250="pass",AQ250&lt;&gt;"Y",C250&lt;&gt;"",OR(AW250&lt;&gt;"Y",AV250="Y")),"Y","N")</f>
        <v/>
      </c>
      <c r="AU250">
        <f>_xlfn.TEXTJOIN("; ",TRUE,IF(AX250&lt;&gt;"pass","gated out",""),IF(AQ250="Y","on hold: "&amp;AR250,""),IF(C250="","no contact named on an opened page",""),IF(AND(AW250="Y",AV250&lt;&gt;"Y"),"Tuesday estimate band "&amp;L250&amp;": founder's call",""))</f>
        <v/>
      </c>
      <c r="AW250" t="inlineStr">
        <is>
          <t>Y</t>
        </is>
      </c>
      <c r="AX250" t="inlineStr">
        <is>
          <t>fail</t>
        </is>
      </c>
      <c r="AY250" t="inlineStr">
        <is>
          <t>inside a coworking space (B-W-013)</t>
        </is>
      </c>
      <c r="AZ250" t="inlineStr">
        <is>
          <t>company</t>
        </is>
      </c>
      <c r="BA250" t="inlineStr">
        <is>
          <t>B-C-175</t>
        </is>
      </c>
      <c r="BB250" t="inlineStr">
        <is>
          <t>https://insilico.com/</t>
        </is>
      </c>
      <c r="BC250" t="inlineStr">
        <is>
          <t>Biotech / AI drug discovery</t>
        </is>
      </c>
      <c r="BD250" t="inlineStr">
        <is>
          <t>115</t>
        </is>
      </c>
      <c r="BF250" t="inlineStr">
        <is>
          <t>76-150</t>
        </is>
      </c>
      <c r="BG250" t="inlineStr">
        <is>
          <t>whole-company</t>
        </is>
      </c>
      <c r="BH250" t="inlineStr">
        <is>
          <t>single-source</t>
        </is>
      </c>
      <c r="BI250" t="inlineStr">
        <is>
          <t>https://www.builtinnyc.com/company/insilico-medicine/offices</t>
        </is>
      </c>
      <c r="BK250" t="inlineStr">
        <is>
          <t>le500</t>
        </is>
      </c>
      <c r="BL250" t="inlineStr">
        <is>
          <t>unknown</t>
        </is>
      </c>
      <c r="BM250" t="inlineStr">
        <is>
          <t>unknown</t>
        </is>
      </c>
      <c r="BN250" t="inlineStr">
        <is>
          <t>unknown</t>
        </is>
      </c>
      <c r="BO250" t="inlineStr">
        <is>
          <t>unknown</t>
        </is>
      </c>
      <c r="BP250" t="inlineStr">
        <is>
          <t>10010</t>
        </is>
      </c>
      <c r="BQ250" t="n">
        <v>40.741737</v>
      </c>
      <c r="BR250" t="n">
        <v>-73.98485599999999</v>
      </c>
      <c r="BS250" t="inlineStr">
        <is>
          <t>Y</t>
        </is>
      </c>
      <c r="BT250" t="n">
        <v>0</v>
      </c>
      <c r="BU250" t="inlineStr">
        <is>
          <t>B-B-058</t>
        </is>
      </c>
      <c r="BV250" t="inlineStr">
        <is>
          <t>345 Park Avenue South (Deerfield Management; home of Cure)</t>
        </is>
      </c>
      <c r="BW250" t="inlineStr">
        <is>
          <t>https://wewillcure.com/community/residents</t>
        </is>
      </c>
      <c r="BX250" t="inlineStr">
        <is>
          <t>2026-10-24</t>
        </is>
      </c>
      <c r="BY250" t="inlineStr">
        <is>
          <t>building-site</t>
        </is>
      </c>
      <c r="CC250" t="inlineStr">
        <is>
          <t>medium</t>
        </is>
      </c>
      <c r="CE250" t="inlineStr">
        <is>
          <t>Y</t>
        </is>
      </c>
      <c r="CF250" t="inlineStr">
        <is>
          <t>B-W-013</t>
        </is>
      </c>
      <c r="CH250" t="inlineStr">
        <is>
          <t>unknown</t>
        </is>
      </c>
      <c r="CJ250" t="inlineStr">
        <is>
          <t>unknown</t>
        </is>
      </c>
      <c r="CK250" t="inlineStr">
        <is>
          <t>N</t>
        </is>
      </c>
      <c r="CL250" t="inlineStr">
        <is>
          <t>unknown</t>
        </is>
      </c>
      <c r="CO250" t="n">
        <v>18</v>
      </c>
      <c r="CP250" t="inlineStr">
        <is>
          <t>may be under 30;central estimate under 30</t>
        </is>
      </c>
      <c r="CQ250" t="inlineStr">
        <is>
          <t>115 (Built In) staff (whole-company count) x 5% to 100% of them in the New York office (HQ city unknown; share assumed) x 67% (Partnership for NYC, firms under 500) in on a weekday = 4 to 77, central 18; low confidence; estimate until intake replaces it.</t>
        </is>
      </c>
      <c r="CR250" t="inlineStr">
        <is>
          <t>estimate until intake replaces it</t>
        </is>
      </c>
      <c r="CS250" t="n">
        <v>0.22</v>
      </c>
      <c r="CT250" t="n">
        <v>39.5</v>
      </c>
      <c r="CU250" t="n">
        <v>5.5</v>
      </c>
      <c r="CV250" t="n">
        <v>15</v>
      </c>
      <c r="CW250" t="n">
        <v>6</v>
      </c>
      <c r="CX250" t="n">
        <v>13</v>
      </c>
      <c r="CY250">
        <f>IF(AH250="exact",10,IF(AH250="adjacent",5,0))</f>
        <v/>
      </c>
      <c r="CZ250">
        <f>IF(R250="Y",15,0)</f>
        <v/>
      </c>
      <c r="DF250" t="inlineStr">
        <is>
          <t>none</t>
        </is>
      </c>
      <c r="DG250" t="inlineStr">
        <is>
          <t>excluded-coworking</t>
        </is>
      </c>
      <c r="DK250" t="inlineStr">
        <is>
          <t>Cure resident page (live): testimonial says Cure 'has since become our NYC headquarters'. Built In: 115 total employees (no office address shown). In coworking (Cure), so excluded later.</t>
        </is>
      </c>
      <c r="DS250" t="inlineStr">
        <is>
          <t>none</t>
        </is>
      </c>
      <c r="DX250" t="inlineStr">
        <is>
          <t>N</t>
        </is>
      </c>
      <c r="ER250">
        <f>IF(ISNUMBER(MATCH(U250,{"queued","contacted","replied","call_booked","call_done","yes_in_principle","materials_sent"},0)),"Y","N")</f>
        <v/>
      </c>
      <c r="ES250">
        <f>IF(COUNTIFS($AP$2:$AP$1000,AP250,$ER$2:$ER$1000,"Y")+COUNTIFS($AP$2:$AP$1000,AP250,$T$2:$T$1000,"Y")&gt;0,"Y","N")</f>
        <v/>
      </c>
      <c r="ET250">
        <f>IF(AND(U250="new",T250="N",AT250="Y",AS250="",ES250="N"),"Y","N")</f>
        <v/>
      </c>
      <c r="EU250">
        <f>IF(ET250&lt;&gt;"Y","N",IF(COUNTIFS($AP$2:$AP$1000,AP250,$ET$2:$ET$1000,"Y",$J$2:$J$1000,"&gt;"&amp;J250)+COUNTIFS($AP$2:$AP$1000,AP250,$ET$2:$ET$1000,"Y",$J$2:$J$1000,J250,$EW$2:$EW$1000,"&lt;"&amp;EW250)=0,"Y","N"))</f>
        <v/>
      </c>
      <c r="EV250">
        <f>IF(Y250="","N",IF(Y250&lt;=10,"Y","N"))</f>
        <v/>
      </c>
      <c r="EW250">
        <f>ROW()-1</f>
        <v/>
      </c>
    </row>
    <row r="251">
      <c r="A251" t="inlineStr">
        <is>
          <t>AO-C-220</t>
        </is>
      </c>
      <c r="B251" t="inlineStr">
        <is>
          <t>FanDuel</t>
        </is>
      </c>
      <c r="H251" t="inlineStr">
        <is>
          <t>none</t>
        </is>
      </c>
      <c r="I251" t="inlineStr">
        <is>
          <t>linkedin</t>
        </is>
      </c>
      <c r="J251">
        <f>IF(AX251="pass",ROUND(CU251+CV251+CW251+CX251+CY251+CZ251,1),0)</f>
        <v/>
      </c>
      <c r="K251" t="inlineStr">
        <is>
          <t>Gated out: Tuesday estimate over 250 (1053 to 2105).</t>
        </is>
      </c>
      <c r="L251" t="inlineStr">
        <is>
          <t>over-500</t>
        </is>
      </c>
      <c r="R251" t="inlineStr">
        <is>
          <t>N</t>
        </is>
      </c>
      <c r="S251" t="inlineStr">
        <is>
          <t>unknown</t>
        </is>
      </c>
      <c r="T251" t="inlineStr">
        <is>
          <t>N</t>
        </is>
      </c>
      <c r="U251" t="inlineStr">
        <is>
          <t>new</t>
        </is>
      </c>
      <c r="V251" t="inlineStr">
        <is>
          <t>https://rockrose.com/office/300-park-ave-s/</t>
        </is>
      </c>
      <c r="W251" t="inlineStr">
        <is>
          <t>2026-10-23</t>
        </is>
      </c>
      <c r="X251" t="inlineStr">
        <is>
          <t>office</t>
        </is>
      </c>
      <c r="Y251">
        <f>IF(EU251&lt;&gt;"Y","",COUNTIFS($EU$2:$EU$1000,"Y",$J$2:$J$1000,"&gt;"&amp;J251)+COUNTIFS($EU$2:$EU$1000,"Y",$J$2:$J$1000,J251,$EW$2:$EW$1000,"&lt;"&amp;EW251)+1)</f>
        <v/>
      </c>
      <c r="AA251" t="inlineStr">
        <is>
          <t>N</t>
        </is>
      </c>
      <c r="AD251" t="inlineStr">
        <is>
          <t>none</t>
        </is>
      </c>
      <c r="AH251" t="inlineStr">
        <is>
          <t>none</t>
        </is>
      </c>
      <c r="AI251" t="inlineStr">
        <is>
          <t>300 Park Avenue South</t>
        </is>
      </c>
      <c r="AJ251" t="inlineStr">
        <is>
          <t>unknown</t>
        </is>
      </c>
      <c r="AK251" t="inlineStr">
        <is>
          <t>occupied</t>
        </is>
      </c>
      <c r="AL251" t="n">
        <v>1053</v>
      </c>
      <c r="AM251" t="n">
        <v>2105</v>
      </c>
      <c r="AN251" t="inlineStr">
        <is>
          <t>low</t>
        </is>
      </c>
      <c r="AO251" t="inlineStr">
        <is>
          <t>unknown</t>
        </is>
      </c>
      <c r="AP251" t="inlineStr">
        <is>
          <t>AO-C-220</t>
        </is>
      </c>
      <c r="AQ251" t="inlineStr">
        <is>
          <t>N</t>
        </is>
      </c>
      <c r="AT251">
        <f>IF(AND(AX251="pass",AQ251&lt;&gt;"Y",C251&lt;&gt;"",OR(AW251&lt;&gt;"Y",AV251="Y")),"Y","N")</f>
        <v/>
      </c>
      <c r="AU251">
        <f>_xlfn.TEXTJOIN("; ",TRUE,IF(AX251&lt;&gt;"pass","gated out",""),IF(AQ251="Y","on hold: "&amp;AR251,""),IF(C251="","no contact named on an opened page",""),IF(AND(AW251="Y",AV251&lt;&gt;"Y"),"Tuesday estimate band "&amp;L251&amp;": founder's call",""))</f>
        <v/>
      </c>
      <c r="AW251" t="inlineStr">
        <is>
          <t>Y</t>
        </is>
      </c>
      <c r="AX251" t="inlineStr">
        <is>
          <t>fail</t>
        </is>
      </c>
      <c r="AY251" t="inlineStr">
        <is>
          <t>Tuesday estimate over 250 (1053 to 2105)</t>
        </is>
      </c>
      <c r="AZ251" t="inlineStr">
        <is>
          <t>company</t>
        </is>
      </c>
      <c r="BA251" t="inlineStr">
        <is>
          <t>B-C-220</t>
        </is>
      </c>
      <c r="BB251" t="inlineStr">
        <is>
          <t>https://www.fanduel.com/</t>
        </is>
      </c>
      <c r="BC251" t="inlineStr">
        <is>
          <t>Sports betting / gaming technology</t>
        </is>
      </c>
      <c r="BD251" t="inlineStr">
        <is>
          <t>3693</t>
        </is>
      </c>
      <c r="BF251" t="inlineStr">
        <is>
          <t>over-500</t>
        </is>
      </c>
      <c r="BG251" t="inlineStr">
        <is>
          <t>whole-company</t>
        </is>
      </c>
      <c r="BH251" t="inlineStr">
        <is>
          <t>single-source</t>
        </is>
      </c>
      <c r="BI251" t="inlineStr">
        <is>
          <t>https://www.builtinnyc.com/company/fanduel/offices</t>
        </is>
      </c>
      <c r="BK251" t="inlineStr">
        <is>
          <t>1001-4999</t>
        </is>
      </c>
      <c r="BL251" t="inlineStr">
        <is>
          <t>New York</t>
        </is>
      </c>
      <c r="BM251" t="inlineStr">
        <is>
          <t>Y</t>
        </is>
      </c>
      <c r="BN251" t="inlineStr">
        <is>
          <t>unknown</t>
        </is>
      </c>
      <c r="BO251" t="inlineStr">
        <is>
          <t>unknown</t>
        </is>
      </c>
      <c r="BP251" t="inlineStr">
        <is>
          <t>10010</t>
        </is>
      </c>
      <c r="BQ251" t="n">
        <v>40.739819</v>
      </c>
      <c r="BR251" t="n">
        <v>-73.986885</v>
      </c>
      <c r="BS251" t="inlineStr">
        <is>
          <t>Y</t>
        </is>
      </c>
      <c r="BT251" t="n">
        <v>0</v>
      </c>
      <c r="BU251" t="inlineStr">
        <is>
          <t>B-B-044</t>
        </is>
      </c>
      <c r="BV251" t="inlineStr">
        <is>
          <t>300 Park Avenue South (Rockrose); also addressed 290 Park Avenue South</t>
        </is>
      </c>
      <c r="BW251" t="inlineStr">
        <is>
          <t>https://rockrose.com/office/300-park-ave-s/</t>
        </is>
      </c>
      <c r="BX251" t="inlineStr">
        <is>
          <t>2026-10-23</t>
        </is>
      </c>
      <c r="BY251" t="inlineStr">
        <is>
          <t>building-site</t>
        </is>
      </c>
      <c r="BZ251" t="inlineStr">
        <is>
          <t>https://www.builtinnyc.com/company/fanduel/offices</t>
        </is>
      </c>
      <c r="CA251" t="inlineStr">
        <is>
          <t>2026-10-23</t>
        </is>
      </c>
      <c r="CC251" t="inlineStr">
        <is>
          <t>high</t>
        </is>
      </c>
      <c r="CE251" t="inlineStr">
        <is>
          <t>N</t>
        </is>
      </c>
      <c r="CH251" t="inlineStr">
        <is>
          <t>security desk</t>
        </is>
      </c>
      <c r="CI251" t="inlineStr">
        <is>
          <t>https://rockrose.com/office/300-park-ave-s/</t>
        </is>
      </c>
      <c r="CJ251" t="inlineStr">
        <is>
          <t>unknown</t>
        </is>
      </c>
      <c r="CK251" t="inlineStr">
        <is>
          <t>N</t>
        </is>
      </c>
      <c r="CL251" t="inlineStr">
        <is>
          <t>unknown</t>
        </is>
      </c>
      <c r="CO251" t="n">
        <v>1489</v>
      </c>
      <c r="CP251" t="inlineStr">
        <is>
          <t>over-250</t>
        </is>
      </c>
      <c r="CQ251" t="inlineStr">
        <is>
          <t>3693 (Built In) staff (whole-company count) x 50% to 100% of them in the New York office (HQ New York; share assumed) x 57% (Partnership for NYC, all Manhattan firms; no figure for 500 to 4,999) in on a weekday = 1053 to 2105, central 1489; low confidence; estimate until intake replaces it.</t>
        </is>
      </c>
      <c r="CR251" t="inlineStr">
        <is>
          <t>estimate until intake replaces it</t>
        </is>
      </c>
      <c r="CS251" t="n">
        <v>0</v>
      </c>
      <c r="CT251" t="n">
        <v>23</v>
      </c>
      <c r="CU251" t="n">
        <v>0</v>
      </c>
      <c r="CV251" t="n">
        <v>2</v>
      </c>
      <c r="CW251" t="n">
        <v>6</v>
      </c>
      <c r="CX251" t="n">
        <v>15</v>
      </c>
      <c r="CY251">
        <f>IF(AH251="exact",10,IF(AH251="adjacent",5,0))</f>
        <v/>
      </c>
      <c r="CZ251">
        <f>IF(R251="Y",15,0)</f>
        <v/>
      </c>
      <c r="DF251" t="inlineStr">
        <is>
          <t>none</t>
        </is>
      </c>
      <c r="DG251" t="inlineStr">
        <is>
          <t>near-miss-over-500</t>
        </is>
      </c>
      <c r="DH251" t="inlineStr">
        <is>
          <t>over-1,000 (1,001 to 4,999)</t>
        </is>
      </c>
      <c r="DI251" t="inlineStr">
        <is>
          <t>N</t>
        </is>
      </c>
      <c r="DK251" t="inlineStr">
        <is>
          <t>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is>
      </c>
      <c r="DS251" t="inlineStr">
        <is>
          <t>none</t>
        </is>
      </c>
      <c r="DX251" t="inlineStr">
        <is>
          <t>N</t>
        </is>
      </c>
      <c r="ER251">
        <f>IF(ISNUMBER(MATCH(U251,{"queued","contacted","replied","call_booked","call_done","yes_in_principle","materials_sent"},0)),"Y","N")</f>
        <v/>
      </c>
      <c r="ES251">
        <f>IF(COUNTIFS($AP$2:$AP$1000,AP251,$ER$2:$ER$1000,"Y")+COUNTIFS($AP$2:$AP$1000,AP251,$T$2:$T$1000,"Y")&gt;0,"Y","N")</f>
        <v/>
      </c>
      <c r="ET251">
        <f>IF(AND(U251="new",T251="N",AT251="Y",AS251="",ES251="N"),"Y","N")</f>
        <v/>
      </c>
      <c r="EU251">
        <f>IF(ET251&lt;&gt;"Y","N",IF(COUNTIFS($AP$2:$AP$1000,AP251,$ET$2:$ET$1000,"Y",$J$2:$J$1000,"&gt;"&amp;J251)+COUNTIFS($AP$2:$AP$1000,AP251,$ET$2:$ET$1000,"Y",$J$2:$J$1000,J251,$EW$2:$EW$1000,"&lt;"&amp;EW251)=0,"Y","N"))</f>
        <v/>
      </c>
      <c r="EV251">
        <f>IF(Y251="","N",IF(Y251&lt;=10,"Y","N"))</f>
        <v/>
      </c>
      <c r="EW251">
        <f>ROW()-1</f>
        <v/>
      </c>
    </row>
    <row r="252">
      <c r="A252" t="inlineStr">
        <is>
          <t>AO-C-237</t>
        </is>
      </c>
      <c r="B252" t="inlineStr">
        <is>
          <t>IBM</t>
        </is>
      </c>
      <c r="H252" t="inlineStr">
        <is>
          <t>none</t>
        </is>
      </c>
      <c r="I252" t="inlineStr">
        <is>
          <t>linkedin</t>
        </is>
      </c>
      <c r="J252">
        <f>IF(AX252="pass",ROUND(CU252+CV252+CW252+CX252+CY252+CZ252,1),0)</f>
        <v/>
      </c>
      <c r="K252" t="inlineStr">
        <is>
          <t>Gated out: Tuesday estimate over 250 (6079 to 121578).</t>
        </is>
      </c>
      <c r="L252" t="inlineStr">
        <is>
          <t>over-500</t>
        </is>
      </c>
      <c r="R252" t="inlineStr">
        <is>
          <t>N</t>
        </is>
      </c>
      <c r="S252" t="inlineStr">
        <is>
          <t>unknown</t>
        </is>
      </c>
      <c r="T252" t="inlineStr">
        <is>
          <t>N</t>
        </is>
      </c>
      <c r="U252" t="inlineStr">
        <is>
          <t>new</t>
        </is>
      </c>
      <c r="V252" t="inlineStr">
        <is>
          <t>https://commercialobserver.com/2026/03/harvey-ai-expansion-lease-sl-green-one-madison-avenue/</t>
        </is>
      </c>
      <c r="W252" t="inlineStr">
        <is>
          <t>2026-10-23</t>
        </is>
      </c>
      <c r="X252" t="inlineStr">
        <is>
          <t>office</t>
        </is>
      </c>
      <c r="Y252">
        <f>IF(EU252&lt;&gt;"Y","",COUNTIFS($EU$2:$EU$1000,"Y",$J$2:$J$1000,"&gt;"&amp;J252)+COUNTIFS($EU$2:$EU$1000,"Y",$J$2:$J$1000,J252,$EW$2:$EW$1000,"&lt;"&amp;EW252)+1)</f>
        <v/>
      </c>
      <c r="AA252" t="inlineStr">
        <is>
          <t>N</t>
        </is>
      </c>
      <c r="AD252" t="inlineStr">
        <is>
          <t>none</t>
        </is>
      </c>
      <c r="AH252" t="inlineStr">
        <is>
          <t>none</t>
        </is>
      </c>
      <c r="AI252" t="inlineStr">
        <is>
          <t>1 Madison Avenue</t>
        </is>
      </c>
      <c r="AJ252" t="inlineStr">
        <is>
          <t>multiple (362,092 sf)</t>
        </is>
      </c>
      <c r="AK252" t="inlineStr">
        <is>
          <t>occupied</t>
        </is>
      </c>
      <c r="AL252" t="n">
        <v>6079</v>
      </c>
      <c r="AM252" t="n">
        <v>121578</v>
      </c>
      <c r="AN252" t="inlineStr">
        <is>
          <t>low</t>
        </is>
      </c>
      <c r="AO252" t="inlineStr">
        <is>
          <t>unknown</t>
        </is>
      </c>
      <c r="AP252" t="inlineStr">
        <is>
          <t>AO-C-237</t>
        </is>
      </c>
      <c r="AQ252" t="inlineStr">
        <is>
          <t>N</t>
        </is>
      </c>
      <c r="AT252">
        <f>IF(AND(AX252="pass",AQ252&lt;&gt;"Y",C252&lt;&gt;"",OR(AW252&lt;&gt;"Y",AV252="Y")),"Y","N")</f>
        <v/>
      </c>
      <c r="AU252">
        <f>_xlfn.TEXTJOIN("; ",TRUE,IF(AX252&lt;&gt;"pass","gated out",""),IF(AQ252="Y","on hold: "&amp;AR252,""),IF(C252="","no contact named on an opened page",""),IF(AND(AW252="Y",AV252&lt;&gt;"Y"),"Tuesday estimate band "&amp;L252&amp;": founder's call",""))</f>
        <v/>
      </c>
      <c r="AW252" t="inlineStr">
        <is>
          <t>Y</t>
        </is>
      </c>
      <c r="AX252" t="inlineStr">
        <is>
          <t>fail</t>
        </is>
      </c>
      <c r="AY252" t="inlineStr">
        <is>
          <t>Tuesday estimate over 250 (6079 to 121578)</t>
        </is>
      </c>
      <c r="AZ252" t="inlineStr">
        <is>
          <t>company</t>
        </is>
      </c>
      <c r="BA252" t="inlineStr">
        <is>
          <t>B-C-237</t>
        </is>
      </c>
      <c r="BB252" t="inlineStr">
        <is>
          <t>https://www.ibm.com/</t>
        </is>
      </c>
      <c r="BC252" t="inlineStr">
        <is>
          <t>Technology</t>
        </is>
      </c>
      <c r="BD252" t="inlineStr">
        <is>
          <t>264300</t>
        </is>
      </c>
      <c r="BF252" t="inlineStr">
        <is>
          <t>over-500</t>
        </is>
      </c>
      <c r="BG252" t="inlineStr">
        <is>
          <t>whole-company</t>
        </is>
      </c>
      <c r="BH252" t="inlineStr">
        <is>
          <t>single-source</t>
        </is>
      </c>
      <c r="BI252" t="inlineStr">
        <is>
          <t>https://en.wikipedia.org/wiki/IBM</t>
        </is>
      </c>
      <c r="BK252" t="inlineStr">
        <is>
          <t>5000+</t>
        </is>
      </c>
      <c r="BL252" t="inlineStr">
        <is>
          <t>unknown</t>
        </is>
      </c>
      <c r="BM252" t="inlineStr">
        <is>
          <t>unknown</t>
        </is>
      </c>
      <c r="BN252" t="inlineStr">
        <is>
          <t>unknown</t>
        </is>
      </c>
      <c r="BO252" t="inlineStr">
        <is>
          <t>unknown</t>
        </is>
      </c>
      <c r="BP252" t="inlineStr">
        <is>
          <t>10010</t>
        </is>
      </c>
      <c r="BQ252" t="n">
        <v>40.741141</v>
      </c>
      <c r="BR252" t="n">
        <v>-73.987489</v>
      </c>
      <c r="BS252" t="inlineStr">
        <is>
          <t>Y</t>
        </is>
      </c>
      <c r="BT252" t="n">
        <v>0</v>
      </c>
      <c r="BV252" t="inlineStr">
        <is>
          <t>unknown</t>
        </is>
      </c>
      <c r="BW252" t="inlineStr">
        <is>
          <t>https://commercialobserver.com/2026/03/harvey-ai-expansion-lease-sl-green-one-madison-avenue/</t>
        </is>
      </c>
      <c r="BX252" t="inlineStr">
        <is>
          <t>2026-03-09</t>
        </is>
      </c>
      <c r="BY252" t="inlineStr">
        <is>
          <t>leasing-press</t>
        </is>
      </c>
      <c r="BZ252" t="inlineStr">
        <is>
          <t>https://slgreen.com/sl-green-signs-new-64000-square-foot-lease-with-sigma-computing-at-one-madison-avenue/</t>
        </is>
      </c>
      <c r="CA252" t="inlineStr">
        <is>
          <t>2025-07-16</t>
        </is>
      </c>
      <c r="CC252" t="inlineStr">
        <is>
          <t>high</t>
        </is>
      </c>
      <c r="CE252" t="inlineStr">
        <is>
          <t>N</t>
        </is>
      </c>
      <c r="CH252" t="inlineStr">
        <is>
          <t>unknown</t>
        </is>
      </c>
      <c r="CJ252" t="inlineStr">
        <is>
          <t>unknown</t>
        </is>
      </c>
      <c r="CK252" t="inlineStr">
        <is>
          <t>N</t>
        </is>
      </c>
      <c r="CL252" t="inlineStr">
        <is>
          <t>unknown</t>
        </is>
      </c>
      <c r="CO252" t="n">
        <v>27186</v>
      </c>
      <c r="CP252" t="inlineStr">
        <is>
          <t>over-250</t>
        </is>
      </c>
      <c r="CQ252" t="inlineStr">
        <is>
          <t>264300 (Wikipedia) staff (whole-company count) x 5% to 100% of them in the New York office (HQ city unknown; share assumed) x 46% (Partnership for NYC, firms over 5,000) in on a weekday = 6079 to 121578, central 27186; low confidence; estimate until intake replaces it.</t>
        </is>
      </c>
      <c r="CR252" t="inlineStr">
        <is>
          <t>estimate until intake replaces it</t>
        </is>
      </c>
      <c r="CS252" t="n">
        <v>0</v>
      </c>
      <c r="CT252" t="n">
        <v>21</v>
      </c>
      <c r="CU252" t="n">
        <v>0</v>
      </c>
      <c r="CV252" t="n">
        <v>0</v>
      </c>
      <c r="CW252" t="n">
        <v>6</v>
      </c>
      <c r="CX252" t="n">
        <v>15</v>
      </c>
      <c r="CY252">
        <f>IF(AH252="exact",10,IF(AH252="adjacent",5,0))</f>
        <v/>
      </c>
      <c r="CZ252">
        <f>IF(R252="Y",15,0)</f>
        <v/>
      </c>
      <c r="DF252" t="inlineStr">
        <is>
          <t>none</t>
        </is>
      </c>
      <c r="DG252" t="inlineStr">
        <is>
          <t>near-miss-over-500</t>
        </is>
      </c>
      <c r="DH252" t="inlineStr">
        <is>
          <t>not-near (5,000 or more)</t>
        </is>
      </c>
      <c r="DI252" t="inlineStr">
        <is>
          <t>N</t>
        </is>
      </c>
      <c r="DJ252" t="inlineStr">
        <is>
          <t>362,092 sf</t>
        </is>
      </c>
      <c r="DK252" t="inlineStr">
        <is>
          <t>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S252" t="inlineStr">
        <is>
          <t>none</t>
        </is>
      </c>
      <c r="DX252" t="inlineStr">
        <is>
          <t>N</t>
        </is>
      </c>
      <c r="ER252">
        <f>IF(ISNUMBER(MATCH(U252,{"queued","contacted","replied","call_booked","call_done","yes_in_principle","materials_sent"},0)),"Y","N")</f>
        <v/>
      </c>
      <c r="ES252">
        <f>IF(COUNTIFS($AP$2:$AP$1000,AP252,$ER$2:$ER$1000,"Y")+COUNTIFS($AP$2:$AP$1000,AP252,$T$2:$T$1000,"Y")&gt;0,"Y","N")</f>
        <v/>
      </c>
      <c r="ET252">
        <f>IF(AND(U252="new",T252="N",AT252="Y",AS252="",ES252="N"),"Y","N")</f>
        <v/>
      </c>
      <c r="EU252">
        <f>IF(ET252&lt;&gt;"Y","N",IF(COUNTIFS($AP$2:$AP$1000,AP252,$ET$2:$ET$1000,"Y",$J$2:$J$1000,"&gt;"&amp;J252)+COUNTIFS($AP$2:$AP$1000,AP252,$ET$2:$ET$1000,"Y",$J$2:$J$1000,J252,$EW$2:$EW$1000,"&lt;"&amp;EW252)=0,"Y","N"))</f>
        <v/>
      </c>
      <c r="EV252">
        <f>IF(Y252="","N",IF(Y252&lt;=10,"Y","N"))</f>
        <v/>
      </c>
      <c r="EW252">
        <f>ROW()-1</f>
        <v/>
      </c>
    </row>
    <row r="253">
      <c r="A253" t="inlineStr">
        <is>
          <t>AO-C-176</t>
        </is>
      </c>
      <c r="B253" t="inlineStr">
        <is>
          <t>Lexeo Therapeutics</t>
        </is>
      </c>
      <c r="H253" t="inlineStr">
        <is>
          <t>none</t>
        </is>
      </c>
      <c r="I253" t="inlineStr">
        <is>
          <t>linkedin</t>
        </is>
      </c>
      <c r="J253">
        <f>IF(AX253="pass",ROUND(CU253+CV253+CW253+CX253+CY253+CZ253,1),0)</f>
        <v/>
      </c>
      <c r="K253" t="inlineStr">
        <is>
          <t>Gated out: inside a coworking space (B-W-013).</t>
        </is>
      </c>
      <c r="L253" t="inlineStr">
        <is>
          <t>under-40</t>
        </is>
      </c>
      <c r="R253" t="inlineStr">
        <is>
          <t>N</t>
        </is>
      </c>
      <c r="S253" t="inlineStr">
        <is>
          <t>unknown</t>
        </is>
      </c>
      <c r="T253" t="inlineStr">
        <is>
          <t>N</t>
        </is>
      </c>
      <c r="U253" t="inlineStr">
        <is>
          <t>new</t>
        </is>
      </c>
      <c r="V253" t="inlineStr">
        <is>
          <t>https://wewillcure.com/community/residents</t>
        </is>
      </c>
      <c r="W253" t="inlineStr">
        <is>
          <t>2026-10-23</t>
        </is>
      </c>
      <c r="X253" t="inlineStr">
        <is>
          <t>office</t>
        </is>
      </c>
      <c r="Y253">
        <f>IF(EU253&lt;&gt;"Y","",COUNTIFS($EU$2:$EU$1000,"Y",$J$2:$J$1000,"&gt;"&amp;J253)+COUNTIFS($EU$2:$EU$1000,"Y",$J$2:$J$1000,J253,$EW$2:$EW$1000,"&lt;"&amp;EW253)+1)</f>
        <v/>
      </c>
      <c r="AA253" t="inlineStr">
        <is>
          <t>N</t>
        </is>
      </c>
      <c r="AD253" t="inlineStr">
        <is>
          <t>none</t>
        </is>
      </c>
      <c r="AH253" t="inlineStr">
        <is>
          <t>none</t>
        </is>
      </c>
      <c r="AI253" t="inlineStr">
        <is>
          <t>345 Park Avenue South</t>
        </is>
      </c>
      <c r="AJ253" t="inlineStr">
        <is>
          <t>6</t>
        </is>
      </c>
      <c r="AK253" t="inlineStr">
        <is>
          <t>occupied</t>
        </is>
      </c>
      <c r="AL253" t="n">
        <v>17</v>
      </c>
      <c r="AM253" t="n">
        <v>35</v>
      </c>
      <c r="AN253" t="inlineStr">
        <is>
          <t>low</t>
        </is>
      </c>
      <c r="AO253" t="inlineStr">
        <is>
          <t>unknown</t>
        </is>
      </c>
      <c r="AP253" t="inlineStr">
        <is>
          <t>AO-C-176</t>
        </is>
      </c>
      <c r="AQ253" t="inlineStr">
        <is>
          <t>N</t>
        </is>
      </c>
      <c r="AT253">
        <f>IF(AND(AX253="pass",AQ253&lt;&gt;"Y",C253&lt;&gt;"",OR(AW253&lt;&gt;"Y",AV253="Y")),"Y","N")</f>
        <v/>
      </c>
      <c r="AU253">
        <f>_xlfn.TEXTJOIN("; ",TRUE,IF(AX253&lt;&gt;"pass","gated out",""),IF(AQ253="Y","on hold: "&amp;AR253,""),IF(C253="","no contact named on an opened page",""),IF(AND(AW253="Y",AV253&lt;&gt;"Y"),"Tuesday estimate band "&amp;L253&amp;": founder's call",""))</f>
        <v/>
      </c>
      <c r="AW253" t="inlineStr">
        <is>
          <t>Y</t>
        </is>
      </c>
      <c r="AX253" t="inlineStr">
        <is>
          <t>fail</t>
        </is>
      </c>
      <c r="AY253" t="inlineStr">
        <is>
          <t>inside a coworking space (B-W-013)</t>
        </is>
      </c>
      <c r="AZ253" t="inlineStr">
        <is>
          <t>company</t>
        </is>
      </c>
      <c r="BA253" t="inlineStr">
        <is>
          <t>B-C-176</t>
        </is>
      </c>
      <c r="BB253" t="inlineStr">
        <is>
          <t>https://www.lexeotx.com/</t>
        </is>
      </c>
      <c r="BC253" t="inlineStr">
        <is>
          <t>Biotech (gene therapy)</t>
        </is>
      </c>
      <c r="BD253" t="inlineStr">
        <is>
          <t>52</t>
        </is>
      </c>
      <c r="BF253" t="inlineStr">
        <is>
          <t>40-75</t>
        </is>
      </c>
      <c r="BG253" t="inlineStr">
        <is>
          <t>whole-company</t>
        </is>
      </c>
      <c r="BH253" t="inlineStr">
        <is>
          <t>single-source</t>
        </is>
      </c>
      <c r="BI253" t="inlineStr">
        <is>
          <t>https://www.builtinnyc.com/company/lexeo-therapeutics/offices</t>
        </is>
      </c>
      <c r="BK253" t="inlineStr">
        <is>
          <t>le500</t>
        </is>
      </c>
      <c r="BL253" t="inlineStr">
        <is>
          <t>New York</t>
        </is>
      </c>
      <c r="BM253" t="inlineStr">
        <is>
          <t>Y</t>
        </is>
      </c>
      <c r="BN253" t="inlineStr">
        <is>
          <t>unknown</t>
        </is>
      </c>
      <c r="BO253" t="inlineStr">
        <is>
          <t>unknown</t>
        </is>
      </c>
      <c r="BP253" t="inlineStr">
        <is>
          <t>10010</t>
        </is>
      </c>
      <c r="BQ253" t="n">
        <v>40.741737</v>
      </c>
      <c r="BR253" t="n">
        <v>-73.98485599999999</v>
      </c>
      <c r="BS253" t="inlineStr">
        <is>
          <t>Y</t>
        </is>
      </c>
      <c r="BT253" t="n">
        <v>0</v>
      </c>
      <c r="BU253" t="inlineStr">
        <is>
          <t>B-B-058</t>
        </is>
      </c>
      <c r="BV253" t="inlineStr">
        <is>
          <t>345 Park Avenue South (Deerfield Management; home of Cure)</t>
        </is>
      </c>
      <c r="BW253" t="inlineStr">
        <is>
          <t>https://wewillcure.com/community/residents</t>
        </is>
      </c>
      <c r="BX253" t="inlineStr">
        <is>
          <t>2026-10-24</t>
        </is>
      </c>
      <c r="BY253" t="inlineStr">
        <is>
          <t>building-site</t>
        </is>
      </c>
      <c r="BZ253" t="inlineStr">
        <is>
          <t>https://www.builtinnyc.com/company/lexeo-therapeutics/offices</t>
        </is>
      </c>
      <c r="CA253" t="inlineStr">
        <is>
          <t>2026-10-24</t>
        </is>
      </c>
      <c r="CC253" t="inlineStr">
        <is>
          <t>high</t>
        </is>
      </c>
      <c r="CE253" t="inlineStr">
        <is>
          <t>Y</t>
        </is>
      </c>
      <c r="CF253" t="inlineStr">
        <is>
          <t>B-W-013</t>
        </is>
      </c>
      <c r="CH253" t="inlineStr">
        <is>
          <t>unknown</t>
        </is>
      </c>
      <c r="CJ253" t="inlineStr">
        <is>
          <t>unknown</t>
        </is>
      </c>
      <c r="CK253" t="inlineStr">
        <is>
          <t>N</t>
        </is>
      </c>
      <c r="CL253" t="inlineStr">
        <is>
          <t>unknown</t>
        </is>
      </c>
      <c r="CO253" t="n">
        <v>24</v>
      </c>
      <c r="CP253" t="inlineStr">
        <is>
          <t>may be under 30;central estimate under 30</t>
        </is>
      </c>
      <c r="CQ253" t="inlineStr">
        <is>
          <t>52 (Built In) staff (whole-company count) x 50% to 100% of them in the New York office (HQ New York; share assumed) x 67% (Partnership for NYC, firms under 500) in on a weekday = 17 to 35, central 24; low confidence; estimate until intake replaces it.</t>
        </is>
      </c>
      <c r="CR253" t="inlineStr">
        <is>
          <t>estimate until intake replaces it</t>
        </is>
      </c>
      <c r="CS253" t="n">
        <v>0</v>
      </c>
      <c r="CT253" t="n">
        <v>36</v>
      </c>
      <c r="CU253" t="n">
        <v>0</v>
      </c>
      <c r="CV253" t="n">
        <v>15</v>
      </c>
      <c r="CW253" t="n">
        <v>6</v>
      </c>
      <c r="CX253" t="n">
        <v>15</v>
      </c>
      <c r="CY253">
        <f>IF(AH253="exact",10,IF(AH253="adjacent",5,0))</f>
        <v/>
      </c>
      <c r="CZ253">
        <f>IF(R253="Y",15,0)</f>
        <v/>
      </c>
      <c r="DF253" t="inlineStr">
        <is>
          <t>none</t>
        </is>
      </c>
      <c r="DG253" t="inlineStr">
        <is>
          <t>excluded-coworking</t>
        </is>
      </c>
      <c r="DK253" t="inlineStr">
        <is>
          <t>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is>
      </c>
      <c r="DS253" t="inlineStr">
        <is>
          <t>none</t>
        </is>
      </c>
      <c r="DX253" t="inlineStr">
        <is>
          <t>N</t>
        </is>
      </c>
      <c r="ER253">
        <f>IF(ISNUMBER(MATCH(U253,{"queued","contacted","replied","call_booked","call_done","yes_in_principle","materials_sent"},0)),"Y","N")</f>
        <v/>
      </c>
      <c r="ES253">
        <f>IF(COUNTIFS($AP$2:$AP$1000,AP253,$ER$2:$ER$1000,"Y")+COUNTIFS($AP$2:$AP$1000,AP253,$T$2:$T$1000,"Y")&gt;0,"Y","N")</f>
        <v/>
      </c>
      <c r="ET253">
        <f>IF(AND(U253="new",T253="N",AT253="Y",AS253="",ES253="N"),"Y","N")</f>
        <v/>
      </c>
      <c r="EU253">
        <f>IF(ET253&lt;&gt;"Y","N",IF(COUNTIFS($AP$2:$AP$1000,AP253,$ET$2:$ET$1000,"Y",$J$2:$J$1000,"&gt;"&amp;J253)+COUNTIFS($AP$2:$AP$1000,AP253,$ET$2:$ET$1000,"Y",$J$2:$J$1000,J253,$EW$2:$EW$1000,"&lt;"&amp;EW253)=0,"Y","N"))</f>
        <v/>
      </c>
      <c r="EV253">
        <f>IF(Y253="","N",IF(Y253&lt;=10,"Y","N"))</f>
        <v/>
      </c>
      <c r="EW253">
        <f>ROW()-1</f>
        <v/>
      </c>
    </row>
    <row r="254">
      <c r="A254" t="inlineStr">
        <is>
          <t>AO-C-252</t>
        </is>
      </c>
      <c r="B254" t="inlineStr">
        <is>
          <t>Marriott International (Luxury Group NYC office)</t>
        </is>
      </c>
      <c r="H254" t="inlineStr">
        <is>
          <t>none</t>
        </is>
      </c>
      <c r="I254" t="inlineStr">
        <is>
          <t>linkedin</t>
        </is>
      </c>
      <c r="J254">
        <f>IF(AX254="pass",ROUND(CU254+CV254+CW254+CX254+CY254+CZ254,1),0)</f>
        <v/>
      </c>
      <c r="K254" t="inlineStr">
        <is>
          <t>Gated out: Tuesday estimate over 250 (9614 to 192280).</t>
        </is>
      </c>
      <c r="L254" t="inlineStr">
        <is>
          <t>over-500</t>
        </is>
      </c>
      <c r="R254" t="inlineStr">
        <is>
          <t>N</t>
        </is>
      </c>
      <c r="S254" t="inlineStr">
        <is>
          <t>unknown</t>
        </is>
      </c>
      <c r="T254" t="inlineStr">
        <is>
          <t>N</t>
        </is>
      </c>
      <c r="U254" t="inlineStr">
        <is>
          <t>new</t>
        </is>
      </c>
      <c r="V254" t="inlineStr">
        <is>
          <t>https://www.connectcre.com/stories/bxp-secures-230k-sf-of-leases-at-360-park-ave-south/</t>
        </is>
      </c>
      <c r="W254" t="inlineStr">
        <is>
          <t>2026-10-23</t>
        </is>
      </c>
      <c r="X254" t="inlineStr">
        <is>
          <t>office</t>
        </is>
      </c>
      <c r="Y254">
        <f>IF(EU254&lt;&gt;"Y","",COUNTIFS($EU$2:$EU$1000,"Y",$J$2:$J$1000,"&gt;"&amp;J254)+COUNTIFS($EU$2:$EU$1000,"Y",$J$2:$J$1000,J254,$EW$2:$EW$1000,"&lt;"&amp;EW254)+1)</f>
        <v/>
      </c>
      <c r="AA254" t="inlineStr">
        <is>
          <t>N</t>
        </is>
      </c>
      <c r="AD254" t="inlineStr">
        <is>
          <t>none</t>
        </is>
      </c>
      <c r="AH254" t="inlineStr">
        <is>
          <t>none</t>
        </is>
      </c>
      <c r="AI254" t="inlineStr">
        <is>
          <t>360 Park Avenue South</t>
        </is>
      </c>
      <c r="AJ254" t="inlineStr">
        <is>
          <t>14</t>
        </is>
      </c>
      <c r="AK254" t="inlineStr">
        <is>
          <t>occupancy-unconfirmed</t>
        </is>
      </c>
      <c r="AL254" t="n">
        <v>9614</v>
      </c>
      <c r="AM254" t="n">
        <v>192280</v>
      </c>
      <c r="AN254" t="inlineStr">
        <is>
          <t>low</t>
        </is>
      </c>
      <c r="AO254" t="inlineStr">
        <is>
          <t>unknown</t>
        </is>
      </c>
      <c r="AP254" t="inlineStr">
        <is>
          <t>AO-C-252</t>
        </is>
      </c>
      <c r="AQ254" t="inlineStr">
        <is>
          <t>N</t>
        </is>
      </c>
      <c r="AT254">
        <f>IF(AND(AX254="pass",AQ254&lt;&gt;"Y",C254&lt;&gt;"",OR(AW254&lt;&gt;"Y",AV254="Y")),"Y","N")</f>
        <v/>
      </c>
      <c r="AU254">
        <f>_xlfn.TEXTJOIN("; ",TRUE,IF(AX254&lt;&gt;"pass","gated out",""),IF(AQ254="Y","on hold: "&amp;AR254,""),IF(C254="","no contact named on an opened page",""),IF(AND(AW254="Y",AV254&lt;&gt;"Y"),"Tuesday estimate band "&amp;L254&amp;": founder's call",""))</f>
        <v/>
      </c>
      <c r="AW254" t="inlineStr">
        <is>
          <t>Y</t>
        </is>
      </c>
      <c r="AX254" t="inlineStr">
        <is>
          <t>fail</t>
        </is>
      </c>
      <c r="AY254" t="inlineStr">
        <is>
          <t>Tuesday estimate over 250 (9614 to 192280)</t>
        </is>
      </c>
      <c r="AZ254" t="inlineStr">
        <is>
          <t>company</t>
        </is>
      </c>
      <c r="BA254" t="inlineStr">
        <is>
          <t>B-C-252</t>
        </is>
      </c>
      <c r="BB254" t="inlineStr">
        <is>
          <t>https://www.marriott.com/</t>
        </is>
      </c>
      <c r="BC254" t="inlineStr">
        <is>
          <t>Hospitality (corporate office)</t>
        </is>
      </c>
      <c r="BD254" t="inlineStr">
        <is>
          <t>418000</t>
        </is>
      </c>
      <c r="BF254" t="inlineStr">
        <is>
          <t>over-500</t>
        </is>
      </c>
      <c r="BG254" t="inlineStr">
        <is>
          <t>whole-company</t>
        </is>
      </c>
      <c r="BH254" t="inlineStr">
        <is>
          <t>single-source</t>
        </is>
      </c>
      <c r="BI254" t="inlineStr">
        <is>
          <t>https://en.wikipedia.org/wiki/Marriott_International</t>
        </is>
      </c>
      <c r="BK254" t="inlineStr">
        <is>
          <t>5000+</t>
        </is>
      </c>
      <c r="BL254" t="inlineStr">
        <is>
          <t>unknown</t>
        </is>
      </c>
      <c r="BM254" t="inlineStr">
        <is>
          <t>unknown</t>
        </is>
      </c>
      <c r="BN254" t="inlineStr">
        <is>
          <t>unknown</t>
        </is>
      </c>
      <c r="BO254" t="inlineStr">
        <is>
          <t>unknown</t>
        </is>
      </c>
      <c r="BP254" t="inlineStr">
        <is>
          <t>10010</t>
        </is>
      </c>
      <c r="BQ254" t="n">
        <v>40.741968</v>
      </c>
      <c r="BR254" t="n">
        <v>-73.985327</v>
      </c>
      <c r="BS254" t="inlineStr">
        <is>
          <t>Y</t>
        </is>
      </c>
      <c r="BT254" t="n">
        <v>0</v>
      </c>
      <c r="BU254" t="inlineStr">
        <is>
          <t>B-B-059</t>
        </is>
      </c>
      <c r="BV254" t="inlineStr">
        <is>
          <t>360 Park Avenue South (BXP)</t>
        </is>
      </c>
      <c r="BW254" t="inlineStr">
        <is>
          <t>https://www.connectcre.com/stories/bxp-secures-230k-sf-of-leases-at-360-park-ave-south/</t>
        </is>
      </c>
      <c r="BX254" t="inlineStr">
        <is>
          <t>2026-03-16</t>
        </is>
      </c>
      <c r="BY254" t="inlineStr">
        <is>
          <t>leasing-press</t>
        </is>
      </c>
      <c r="BZ254" t="inlineStr">
        <is>
          <t>https://commercialobserver.com/2026/09/rogo-technologies-360-park-avenue-south-lease-expansion/</t>
        </is>
      </c>
      <c r="CA254" t="inlineStr">
        <is>
          <t>2026-09-22</t>
        </is>
      </c>
      <c r="CC254" t="inlineStr">
        <is>
          <t>high</t>
        </is>
      </c>
      <c r="CE254" t="inlineStr">
        <is>
          <t>N</t>
        </is>
      </c>
      <c r="CH254" t="inlineStr">
        <is>
          <t>unknown</t>
        </is>
      </c>
      <c r="CJ254" t="inlineStr">
        <is>
          <t>unknown</t>
        </is>
      </c>
      <c r="CK254" t="inlineStr">
        <is>
          <t>N</t>
        </is>
      </c>
      <c r="CL254" t="inlineStr">
        <is>
          <t>unknown</t>
        </is>
      </c>
      <c r="CO254" t="n">
        <v>42995</v>
      </c>
      <c r="CP254" t="inlineStr">
        <is>
          <t>over-250</t>
        </is>
      </c>
      <c r="CQ254" t="inlineStr">
        <is>
          <t>418000 (Wikipedia) staff (whole-company count) x 5% to 100% of them in the New York office (HQ city unknown; share assumed) x 46% (Partnership for NYC, firms over 5,000) in on a weekday = 9614 to 192280, central 42995; low confidence; estimate until intake replaces it.</t>
        </is>
      </c>
      <c r="CR254" t="inlineStr">
        <is>
          <t>estimate until intake replaces it</t>
        </is>
      </c>
      <c r="CS254" t="n">
        <v>0</v>
      </c>
      <c r="CT254" t="n">
        <v>16</v>
      </c>
      <c r="CU254" t="n">
        <v>0</v>
      </c>
      <c r="CV254" t="n">
        <v>0</v>
      </c>
      <c r="CW254" t="n">
        <v>6</v>
      </c>
      <c r="CX254" t="n">
        <v>10</v>
      </c>
      <c r="CY254">
        <f>IF(AH254="exact",10,IF(AH254="adjacent",5,0))</f>
        <v/>
      </c>
      <c r="CZ254">
        <f>IF(R254="Y",15,0)</f>
        <v/>
      </c>
      <c r="DF254" t="inlineStr">
        <is>
          <t>none</t>
        </is>
      </c>
      <c r="DG254" t="inlineStr">
        <is>
          <t>near-miss-over-500</t>
        </is>
      </c>
      <c r="DH254" t="inlineStr">
        <is>
          <t>not-near (5,000 or more)</t>
        </is>
      </c>
      <c r="DI254" t="inlineStr">
        <is>
          <t>Y</t>
        </is>
      </c>
      <c r="DJ254" t="inlineStr">
        <is>
          <t>23,000 sf</t>
        </is>
      </c>
      <c r="DK254" t="inlineStr">
        <is>
          <t>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is>
      </c>
      <c r="DS254" t="inlineStr">
        <is>
          <t>none</t>
        </is>
      </c>
      <c r="DX254" t="inlineStr">
        <is>
          <t>N</t>
        </is>
      </c>
      <c r="ER254">
        <f>IF(ISNUMBER(MATCH(U254,{"queued","contacted","replied","call_booked","call_done","yes_in_principle","materials_sent"},0)),"Y","N")</f>
        <v/>
      </c>
      <c r="ES254">
        <f>IF(COUNTIFS($AP$2:$AP$1000,AP254,$ER$2:$ER$1000,"Y")+COUNTIFS($AP$2:$AP$1000,AP254,$T$2:$T$1000,"Y")&gt;0,"Y","N")</f>
        <v/>
      </c>
      <c r="ET254">
        <f>IF(AND(U254="new",T254="N",AT254="Y",AS254="",ES254="N"),"Y","N")</f>
        <v/>
      </c>
      <c r="EU254">
        <f>IF(ET254&lt;&gt;"Y","N",IF(COUNTIFS($AP$2:$AP$1000,AP254,$ET$2:$ET$1000,"Y",$J$2:$J$1000,"&gt;"&amp;J254)+COUNTIFS($AP$2:$AP$1000,AP254,$ET$2:$ET$1000,"Y",$J$2:$J$1000,J254,$EW$2:$EW$1000,"&lt;"&amp;EW254)=0,"Y","N"))</f>
        <v/>
      </c>
      <c r="EV254">
        <f>IF(Y254="","N",IF(Y254&lt;=10,"Y","N"))</f>
        <v/>
      </c>
      <c r="EW254">
        <f>ROW()-1</f>
        <v/>
      </c>
    </row>
    <row r="255">
      <c r="A255" t="inlineStr">
        <is>
          <t>AO-C-206</t>
        </is>
      </c>
      <c r="B255" t="inlineStr">
        <is>
          <t>Netflix</t>
        </is>
      </c>
      <c r="H255" t="inlineStr">
        <is>
          <t>none</t>
        </is>
      </c>
      <c r="I255" t="inlineStr">
        <is>
          <t>linkedin</t>
        </is>
      </c>
      <c r="J255">
        <f>IF(AX255="pass",ROUND(CU255+CV255+CW255+CX255+CY255+CZ255,1),0)</f>
        <v/>
      </c>
      <c r="K255" t="inlineStr">
        <is>
          <t>Gated out: Tuesday estimate over 250 (304 to 6078).</t>
        </is>
      </c>
      <c r="L255" t="inlineStr">
        <is>
          <t>over-500</t>
        </is>
      </c>
      <c r="R255" t="inlineStr">
        <is>
          <t>N</t>
        </is>
      </c>
      <c r="S255" t="inlineStr">
        <is>
          <t>unknown</t>
        </is>
      </c>
      <c r="T255" t="inlineStr">
        <is>
          <t>N</t>
        </is>
      </c>
      <c r="U255" t="inlineStr">
        <is>
          <t>new</t>
        </is>
      </c>
      <c r="V255" t="inlineStr">
        <is>
          <t>https://commercialobserver.com/2026/10/williams-equities-michael-t-cohen-robert-getreu-andrew-roos-office-new-york/</t>
        </is>
      </c>
      <c r="W255" t="inlineStr">
        <is>
          <t>2026-10-23</t>
        </is>
      </c>
      <c r="X255" t="inlineStr">
        <is>
          <t>office</t>
        </is>
      </c>
      <c r="Y255">
        <f>IF(EU255&lt;&gt;"Y","",COUNTIFS($EU$2:$EU$1000,"Y",$J$2:$J$1000,"&gt;"&amp;J255)+COUNTIFS($EU$2:$EU$1000,"Y",$J$2:$J$1000,J255,$EW$2:$EW$1000,"&lt;"&amp;EW255)+1)</f>
        <v/>
      </c>
      <c r="AA255" t="inlineStr">
        <is>
          <t>N</t>
        </is>
      </c>
      <c r="AD255" t="inlineStr">
        <is>
          <t>none</t>
        </is>
      </c>
      <c r="AH255" t="inlineStr">
        <is>
          <t>none</t>
        </is>
      </c>
      <c r="AI255" t="inlineStr">
        <is>
          <t>888 Broadway</t>
        </is>
      </c>
      <c r="AJ255" t="inlineStr">
        <is>
          <t>unknown</t>
        </is>
      </c>
      <c r="AK255" t="inlineStr">
        <is>
          <t>occupied</t>
        </is>
      </c>
      <c r="AL255" t="n">
        <v>304</v>
      </c>
      <c r="AM255" t="n">
        <v>6078</v>
      </c>
      <c r="AN255" t="inlineStr">
        <is>
          <t>low</t>
        </is>
      </c>
      <c r="AO255" t="inlineStr">
        <is>
          <t>unknown</t>
        </is>
      </c>
      <c r="AP255" t="inlineStr">
        <is>
          <t>AO-C-206</t>
        </is>
      </c>
      <c r="AQ255" t="inlineStr">
        <is>
          <t>N</t>
        </is>
      </c>
      <c r="AT255">
        <f>IF(AND(AX255="pass",AQ255&lt;&gt;"Y",C255&lt;&gt;"",OR(AW255&lt;&gt;"Y",AV255="Y")),"Y","N")</f>
        <v/>
      </c>
      <c r="AU255">
        <f>_xlfn.TEXTJOIN("; ",TRUE,IF(AX255&lt;&gt;"pass","gated out",""),IF(AQ255="Y","on hold: "&amp;AR255,""),IF(C255="","no contact named on an opened page",""),IF(AND(AW255="Y",AV255&lt;&gt;"Y"),"Tuesday estimate band "&amp;L255&amp;": founder's call",""))</f>
        <v/>
      </c>
      <c r="AW255" t="inlineStr">
        <is>
          <t>Y</t>
        </is>
      </c>
      <c r="AX255" t="inlineStr">
        <is>
          <t>fail</t>
        </is>
      </c>
      <c r="AY255" t="inlineStr">
        <is>
          <t>Tuesday estimate over 250 (304 to 6078)</t>
        </is>
      </c>
      <c r="AZ255" t="inlineStr">
        <is>
          <t>company</t>
        </is>
      </c>
      <c r="BA255" t="inlineStr">
        <is>
          <t>B-C-206</t>
        </is>
      </c>
      <c r="BB255" t="inlineStr">
        <is>
          <t>https://www.netflix.com</t>
        </is>
      </c>
      <c r="BC255" t="inlineStr">
        <is>
          <t>streaming media</t>
        </is>
      </c>
      <c r="BD255" t="inlineStr">
        <is>
          <t>13212</t>
        </is>
      </c>
      <c r="BF255" t="inlineStr">
        <is>
          <t>over-500</t>
        </is>
      </c>
      <c r="BG255" t="inlineStr">
        <is>
          <t>whole-company</t>
        </is>
      </c>
      <c r="BH255" t="inlineStr">
        <is>
          <t>single-source</t>
        </is>
      </c>
      <c r="BI255" t="inlineStr">
        <is>
          <t>https://www.builtinnyc.com/company/netflix</t>
        </is>
      </c>
      <c r="BK255" t="inlineStr">
        <is>
          <t>5000+</t>
        </is>
      </c>
      <c r="BL255" t="inlineStr">
        <is>
          <t>Los Gatos</t>
        </is>
      </c>
      <c r="BM255" t="inlineStr">
        <is>
          <t>N</t>
        </is>
      </c>
      <c r="BN255" t="inlineStr">
        <is>
          <t>unknown</t>
        </is>
      </c>
      <c r="BO255" t="inlineStr">
        <is>
          <t>unknown</t>
        </is>
      </c>
      <c r="BQ255" t="n">
        <v>40.738167</v>
      </c>
      <c r="BR255" t="n">
        <v>-73.989851</v>
      </c>
      <c r="BS255" t="inlineStr">
        <is>
          <t>Y</t>
        </is>
      </c>
      <c r="BT255" t="n">
        <v>0</v>
      </c>
      <c r="BV255" t="inlineStr">
        <is>
          <t>unknown</t>
        </is>
      </c>
      <c r="BW255" t="inlineStr">
        <is>
          <t>https://commercialobserver.com/2026/10/williams-equities-michael-t-cohen-robert-getreu-andrew-roos-office-new-york/</t>
        </is>
      </c>
      <c r="BX255" t="inlineStr">
        <is>
          <t>2026-10-20</t>
        </is>
      </c>
      <c r="BY255" t="inlineStr">
        <is>
          <t>leasing-press</t>
        </is>
      </c>
      <c r="BZ255" t="inlineStr">
        <is>
          <t>https://therealdeal.com/new-york/2025/02/14/cannon-hill-recaps-888-broadway-at-amount-above-200m/</t>
        </is>
      </c>
      <c r="CA255" t="inlineStr">
        <is>
          <t>2025-02-14</t>
        </is>
      </c>
      <c r="CC255" t="inlineStr">
        <is>
          <t>high</t>
        </is>
      </c>
      <c r="CE255" t="inlineStr">
        <is>
          <t>N</t>
        </is>
      </c>
      <c r="CH255" t="inlineStr">
        <is>
          <t>unknown</t>
        </is>
      </c>
      <c r="CJ255" t="inlineStr">
        <is>
          <t>unknown</t>
        </is>
      </c>
      <c r="CK255" t="inlineStr">
        <is>
          <t>N</t>
        </is>
      </c>
      <c r="CL255" t="inlineStr">
        <is>
          <t>unknown</t>
        </is>
      </c>
      <c r="CO255" t="n">
        <v>1359</v>
      </c>
      <c r="CP255" t="inlineStr">
        <is>
          <t>over-250</t>
        </is>
      </c>
      <c r="CQ255" t="inlineStr">
        <is>
          <t>13212 (Built In) staff (whole-company count) x 5% to 100% of them in the New York office (HQ outside New York; share assumed) x 46% (Partnership for NYC, firms over 5,000) in on a weekday = 304 to 6078, central 1359; low confidence; estimate until intake replaces it.</t>
        </is>
      </c>
      <c r="CR255" t="inlineStr">
        <is>
          <t>estimate until intake replaces it</t>
        </is>
      </c>
      <c r="CS255" t="n">
        <v>0</v>
      </c>
      <c r="CT255" t="n">
        <v>21</v>
      </c>
      <c r="CU255" t="n">
        <v>0</v>
      </c>
      <c r="CV255" t="n">
        <v>0</v>
      </c>
      <c r="CW255" t="n">
        <v>6</v>
      </c>
      <c r="CX255" t="n">
        <v>15</v>
      </c>
      <c r="CY255">
        <f>IF(AH255="exact",10,IF(AH255="adjacent",5,0))</f>
        <v/>
      </c>
      <c r="CZ255">
        <f>IF(R255="Y",15,0)</f>
        <v/>
      </c>
      <c r="DF255" t="inlineStr">
        <is>
          <t>none</t>
        </is>
      </c>
      <c r="DG255" t="inlineStr">
        <is>
          <t>near-miss-over-500</t>
        </is>
      </c>
      <c r="DH255" t="inlineStr">
        <is>
          <t>not-near (5,000 or more)</t>
        </is>
      </c>
      <c r="DI255" t="inlineStr">
        <is>
          <t>N</t>
        </is>
      </c>
      <c r="DK255" t="inlineStr">
        <is>
          <t>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is>
      </c>
      <c r="DS255" t="inlineStr">
        <is>
          <t>none</t>
        </is>
      </c>
      <c r="DX255" t="inlineStr">
        <is>
          <t>N</t>
        </is>
      </c>
      <c r="ER255">
        <f>IF(ISNUMBER(MATCH(U255,{"queued","contacted","replied","call_booked","call_done","yes_in_principle","materials_sent"},0)),"Y","N")</f>
        <v/>
      </c>
      <c r="ES255">
        <f>IF(COUNTIFS($AP$2:$AP$1000,AP255,$ER$2:$ER$1000,"Y")+COUNTIFS($AP$2:$AP$1000,AP255,$T$2:$T$1000,"Y")&gt;0,"Y","N")</f>
        <v/>
      </c>
      <c r="ET255">
        <f>IF(AND(U255="new",T255="N",AT255="Y",AS255="",ES255="N"),"Y","N")</f>
        <v/>
      </c>
      <c r="EU255">
        <f>IF(ET255&lt;&gt;"Y","N",IF(COUNTIFS($AP$2:$AP$1000,AP255,$ET$2:$ET$1000,"Y",$J$2:$J$1000,"&gt;"&amp;J255)+COUNTIFS($AP$2:$AP$1000,AP255,$ET$2:$ET$1000,"Y",$J$2:$J$1000,J255,$EW$2:$EW$1000,"&lt;"&amp;EW255)=0,"Y","N"))</f>
        <v/>
      </c>
      <c r="EV255">
        <f>IF(Y255="","N",IF(Y255&lt;=10,"Y","N"))</f>
        <v/>
      </c>
      <c r="EW255">
        <f>ROW()-1</f>
        <v/>
      </c>
    </row>
    <row r="256">
      <c r="A256" t="inlineStr">
        <is>
          <t>AO-C-244</t>
        </is>
      </c>
      <c r="B256" t="inlineStr">
        <is>
          <t>Sony Music Entertainment</t>
        </is>
      </c>
      <c r="H256" t="inlineStr">
        <is>
          <t>none</t>
        </is>
      </c>
      <c r="I256" t="inlineStr">
        <is>
          <t>linkedin</t>
        </is>
      </c>
      <c r="J256">
        <f>IF(AX256="pass",ROUND(CU256+CV256+CW256+CX256+CY256+CZ256,1),0)</f>
        <v/>
      </c>
      <c r="K256" t="inlineStr">
        <is>
          <t>Gated out: Tuesday estimate over 250 (255 to 5106).</t>
        </is>
      </c>
      <c r="L256" t="inlineStr">
        <is>
          <t>over-500</t>
        </is>
      </c>
      <c r="R256" t="inlineStr">
        <is>
          <t>N</t>
        </is>
      </c>
      <c r="S256" t="inlineStr">
        <is>
          <t>unknown</t>
        </is>
      </c>
      <c r="T256" t="inlineStr">
        <is>
          <t>N</t>
        </is>
      </c>
      <c r="U256" t="inlineStr">
        <is>
          <t>new</t>
        </is>
      </c>
      <c r="V256" t="inlineStr">
        <is>
          <t>https://slgreen.com/?p=12833</t>
        </is>
      </c>
      <c r="W256" t="inlineStr">
        <is>
          <t>2026-10-23</t>
        </is>
      </c>
      <c r="X256" t="inlineStr">
        <is>
          <t>office</t>
        </is>
      </c>
      <c r="Y256">
        <f>IF(EU256&lt;&gt;"Y","",COUNTIFS($EU$2:$EU$1000,"Y",$J$2:$J$1000,"&gt;"&amp;J256)+COUNTIFS($EU$2:$EU$1000,"Y",$J$2:$J$1000,J256,$EW$2:$EW$1000,"&lt;"&amp;EW256)+1)</f>
        <v/>
      </c>
      <c r="AA256" t="inlineStr">
        <is>
          <t>N</t>
        </is>
      </c>
      <c r="AD256" t="inlineStr">
        <is>
          <t>none</t>
        </is>
      </c>
      <c r="AH256" t="inlineStr">
        <is>
          <t>none</t>
        </is>
      </c>
      <c r="AI256" t="inlineStr">
        <is>
          <t>11 Madison Avenue</t>
        </is>
      </c>
      <c r="AJ256" t="inlineStr">
        <is>
          <t>unknown</t>
        </is>
      </c>
      <c r="AK256" t="inlineStr">
        <is>
          <t>occupied</t>
        </is>
      </c>
      <c r="AL256" t="n">
        <v>255</v>
      </c>
      <c r="AM256" t="n">
        <v>5106</v>
      </c>
      <c r="AN256" t="inlineStr">
        <is>
          <t>low</t>
        </is>
      </c>
      <c r="AO256" t="inlineStr">
        <is>
          <t>unknown</t>
        </is>
      </c>
      <c r="AP256" t="inlineStr">
        <is>
          <t>AO-C-244</t>
        </is>
      </c>
      <c r="AQ256" t="inlineStr">
        <is>
          <t>N</t>
        </is>
      </c>
      <c r="AT256">
        <f>IF(AND(AX256="pass",AQ256&lt;&gt;"Y",C256&lt;&gt;"",OR(AW256&lt;&gt;"Y",AV256="Y")),"Y","N")</f>
        <v/>
      </c>
      <c r="AU256">
        <f>_xlfn.TEXTJOIN("; ",TRUE,IF(AX256&lt;&gt;"pass","gated out",""),IF(AQ256="Y","on hold: "&amp;AR256,""),IF(C256="","no contact named on an opened page",""),IF(AND(AW256="Y",AV256&lt;&gt;"Y"),"Tuesday estimate band "&amp;L256&amp;": founder's call",""))</f>
        <v/>
      </c>
      <c r="AW256" t="inlineStr">
        <is>
          <t>Y</t>
        </is>
      </c>
      <c r="AX256" t="inlineStr">
        <is>
          <t>fail</t>
        </is>
      </c>
      <c r="AY256" t="inlineStr">
        <is>
          <t>Tuesday estimate over 250 (255 to 5106)</t>
        </is>
      </c>
      <c r="AZ256" t="inlineStr">
        <is>
          <t>company</t>
        </is>
      </c>
      <c r="BA256" t="inlineStr">
        <is>
          <t>B-C-244</t>
        </is>
      </c>
      <c r="BB256" t="inlineStr">
        <is>
          <t>https://www.sonymusic.com/</t>
        </is>
      </c>
      <c r="BC256" t="inlineStr">
        <is>
          <t>Music / media</t>
        </is>
      </c>
      <c r="BD256" t="inlineStr">
        <is>
          <t>11100</t>
        </is>
      </c>
      <c r="BF256" t="inlineStr">
        <is>
          <t>over-500</t>
        </is>
      </c>
      <c r="BG256" t="inlineStr">
        <is>
          <t>whole-company</t>
        </is>
      </c>
      <c r="BH256" t="inlineStr">
        <is>
          <t>single-source</t>
        </is>
      </c>
      <c r="BI256" t="inlineStr">
        <is>
          <t>https://en.wikipedia.org/wiki/Sony_Music</t>
        </is>
      </c>
      <c r="BK256" t="inlineStr">
        <is>
          <t>5000+</t>
        </is>
      </c>
      <c r="BL256" t="inlineStr">
        <is>
          <t>unknown</t>
        </is>
      </c>
      <c r="BM256" t="inlineStr">
        <is>
          <t>unknown</t>
        </is>
      </c>
      <c r="BN256" t="inlineStr">
        <is>
          <t>unknown</t>
        </is>
      </c>
      <c r="BO256" t="inlineStr">
        <is>
          <t>unknown</t>
        </is>
      </c>
      <c r="BP256" t="inlineStr">
        <is>
          <t>10010</t>
        </is>
      </c>
      <c r="BQ256" t="n">
        <v>40.741761</v>
      </c>
      <c r="BR256" t="n">
        <v>-73.987033</v>
      </c>
      <c r="BS256" t="inlineStr">
        <is>
          <t>Y</t>
        </is>
      </c>
      <c r="BT256" t="n">
        <v>0</v>
      </c>
      <c r="BU256" t="inlineStr">
        <is>
          <t>B-B-052</t>
        </is>
      </c>
      <c r="BV256" t="inlineStr">
        <is>
          <t>11 Madison Avenue (SL Green); Sony Music uses 25 Madison Ave entrance</t>
        </is>
      </c>
      <c r="BW256" t="inlineStr">
        <is>
          <t>https://slgreen.com/?p=12833</t>
        </is>
      </c>
      <c r="BX256" t="inlineStr">
        <is>
          <t>2026-07-22</t>
        </is>
      </c>
      <c r="BY256" t="inlineStr">
        <is>
          <t>press-release</t>
        </is>
      </c>
      <c r="BZ256" t="inlineStr">
        <is>
          <t>https://en.wikipedia.org/wiki/Sony_Music</t>
        </is>
      </c>
      <c r="CA256" t="inlineStr">
        <is>
          <t>2026-10-23</t>
        </is>
      </c>
      <c r="CC256" t="inlineStr">
        <is>
          <t>high</t>
        </is>
      </c>
      <c r="CE256" t="inlineStr">
        <is>
          <t>N</t>
        </is>
      </c>
      <c r="CH256" t="inlineStr">
        <is>
          <t>loading dock</t>
        </is>
      </c>
      <c r="CI256" t="inlineStr">
        <is>
          <t>https://en.wikipedia.org/wiki/11_Madison_Avenue</t>
        </is>
      </c>
      <c r="CJ256" t="inlineStr">
        <is>
          <t>unknown</t>
        </is>
      </c>
      <c r="CK256" t="inlineStr">
        <is>
          <t>N</t>
        </is>
      </c>
      <c r="CL256" t="inlineStr">
        <is>
          <t>unknown</t>
        </is>
      </c>
      <c r="CO256" t="n">
        <v>1141</v>
      </c>
      <c r="CP256" t="inlineStr">
        <is>
          <t>over-250</t>
        </is>
      </c>
      <c r="CQ256" t="inlineStr">
        <is>
          <t>11100 (Wikipedia) staff (whole-company count) x 5% to 100% of them in the New York office (HQ city unknown; share assumed) x 46% (Partnership for NYC, firms over 5,000) in on a weekday = 255 to 5106, central 1141; low confidence; estimate until intake replaces it.</t>
        </is>
      </c>
      <c r="CR256" t="inlineStr">
        <is>
          <t>estimate until intake replaces it</t>
        </is>
      </c>
      <c r="CS256" t="n">
        <v>0</v>
      </c>
      <c r="CT256" t="n">
        <v>21</v>
      </c>
      <c r="CU256" t="n">
        <v>0</v>
      </c>
      <c r="CV256" t="n">
        <v>0</v>
      </c>
      <c r="CW256" t="n">
        <v>6</v>
      </c>
      <c r="CX256" t="n">
        <v>15</v>
      </c>
      <c r="CY256">
        <f>IF(AH256="exact",10,IF(AH256="adjacent",5,0))</f>
        <v/>
      </c>
      <c r="CZ256">
        <f>IF(R256="Y",15,0)</f>
        <v/>
      </c>
      <c r="DF256" t="inlineStr">
        <is>
          <t>none</t>
        </is>
      </c>
      <c r="DG256" t="inlineStr">
        <is>
          <t>near-miss-over-500</t>
        </is>
      </c>
      <c r="DH256" t="inlineStr">
        <is>
          <t>not-near (5,000 or more)</t>
        </is>
      </c>
      <c r="DI256" t="inlineStr">
        <is>
          <t>N</t>
        </is>
      </c>
      <c r="DK256" t="inlineStr">
        <is>
          <t>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56" t="inlineStr">
        <is>
          <t>none</t>
        </is>
      </c>
      <c r="DX256" t="inlineStr">
        <is>
          <t>N</t>
        </is>
      </c>
      <c r="ER256">
        <f>IF(ISNUMBER(MATCH(U256,{"queued","contacted","replied","call_booked","call_done","yes_in_principle","materials_sent"},0)),"Y","N")</f>
        <v/>
      </c>
      <c r="ES256">
        <f>IF(COUNTIFS($AP$2:$AP$1000,AP256,$ER$2:$ER$1000,"Y")+COUNTIFS($AP$2:$AP$1000,AP256,$T$2:$T$1000,"Y")&gt;0,"Y","N")</f>
        <v/>
      </c>
      <c r="ET256">
        <f>IF(AND(U256="new",T256="N",AT256="Y",AS256="",ES256="N"),"Y","N")</f>
        <v/>
      </c>
      <c r="EU256">
        <f>IF(ET256&lt;&gt;"Y","N",IF(COUNTIFS($AP$2:$AP$1000,AP256,$ET$2:$ET$1000,"Y",$J$2:$J$1000,"&gt;"&amp;J256)+COUNTIFS($AP$2:$AP$1000,AP256,$ET$2:$ET$1000,"Y",$J$2:$J$1000,J256,$EW$2:$EW$1000,"&lt;"&amp;EW256)=0,"Y","N"))</f>
        <v/>
      </c>
      <c r="EV256">
        <f>IF(Y256="","N",IF(Y256&lt;=10,"Y","N"))</f>
        <v/>
      </c>
      <c r="EW256">
        <f>ROW()-1</f>
        <v/>
      </c>
    </row>
    <row r="257">
      <c r="A257" t="inlineStr">
        <is>
          <t>AO-C-233</t>
        </is>
      </c>
      <c r="B257" t="inlineStr">
        <is>
          <t>Tiffany &amp; Co.</t>
        </is>
      </c>
      <c r="H257" t="inlineStr">
        <is>
          <t>none</t>
        </is>
      </c>
      <c r="I257" t="inlineStr">
        <is>
          <t>linkedin</t>
        </is>
      </c>
      <c r="J257">
        <f>IF(AX257="pass",ROUND(CU257+CV257+CW257+CX257+CY257+CZ257,1),0)</f>
        <v/>
      </c>
      <c r="K257" t="inlineStr">
        <is>
          <t>Gated out: Tuesday estimate over 250 (2140 to 4280).</t>
        </is>
      </c>
      <c r="L257" t="inlineStr">
        <is>
          <t>over-500</t>
        </is>
      </c>
      <c r="R257" t="inlineStr">
        <is>
          <t>N</t>
        </is>
      </c>
      <c r="S257" t="inlineStr">
        <is>
          <t>unknown</t>
        </is>
      </c>
      <c r="T257" t="inlineStr">
        <is>
          <t>N</t>
        </is>
      </c>
      <c r="U257" t="inlineStr">
        <is>
          <t>new</t>
        </is>
      </c>
      <c r="V257" t="inlineStr">
        <is>
          <t>https://therealdeal.com/new-york/2025/04/03/bxps-200-fifth-avenue-lands-law-firm-tenant</t>
        </is>
      </c>
      <c r="W257" t="inlineStr">
        <is>
          <t>2026-10-23</t>
        </is>
      </c>
      <c r="X257" t="inlineStr">
        <is>
          <t>office</t>
        </is>
      </c>
      <c r="Y257">
        <f>IF(EU257&lt;&gt;"Y","",COUNTIFS($EU$2:$EU$1000,"Y",$J$2:$J$1000,"&gt;"&amp;J257)+COUNTIFS($EU$2:$EU$1000,"Y",$J$2:$J$1000,J257,$EW$2:$EW$1000,"&lt;"&amp;EW257)+1)</f>
        <v/>
      </c>
      <c r="AA257" t="inlineStr">
        <is>
          <t>N</t>
        </is>
      </c>
      <c r="AD257" t="inlineStr">
        <is>
          <t>none</t>
        </is>
      </c>
      <c r="AH257" t="inlineStr">
        <is>
          <t>none</t>
        </is>
      </c>
      <c r="AI257" t="inlineStr">
        <is>
          <t>200 Fifth Avenue</t>
        </is>
      </c>
      <c r="AJ257" t="inlineStr">
        <is>
          <t>unknown</t>
        </is>
      </c>
      <c r="AK257" t="inlineStr">
        <is>
          <t>occupied</t>
        </is>
      </c>
      <c r="AL257" t="n">
        <v>2140</v>
      </c>
      <c r="AM257" t="n">
        <v>4280</v>
      </c>
      <c r="AN257" t="inlineStr">
        <is>
          <t>low</t>
        </is>
      </c>
      <c r="AO257" t="inlineStr">
        <is>
          <t>unknown</t>
        </is>
      </c>
      <c r="AP257" t="inlineStr">
        <is>
          <t>AO-C-233</t>
        </is>
      </c>
      <c r="AQ257" t="inlineStr">
        <is>
          <t>N</t>
        </is>
      </c>
      <c r="AT257">
        <f>IF(AND(AX257="pass",AQ257&lt;&gt;"Y",C257&lt;&gt;"",OR(AW257&lt;&gt;"Y",AV257="Y")),"Y","N")</f>
        <v/>
      </c>
      <c r="AU257">
        <f>_xlfn.TEXTJOIN("; ",TRUE,IF(AX257&lt;&gt;"pass","gated out",""),IF(AQ257="Y","on hold: "&amp;AR257,""),IF(C257="","no contact named on an opened page",""),IF(AND(AW257="Y",AV257&lt;&gt;"Y"),"Tuesday estimate band "&amp;L257&amp;": founder's call",""))</f>
        <v/>
      </c>
      <c r="AW257" t="inlineStr">
        <is>
          <t>Y</t>
        </is>
      </c>
      <c r="AX257" t="inlineStr">
        <is>
          <t>fail</t>
        </is>
      </c>
      <c r="AY257" t="inlineStr">
        <is>
          <t>Tuesday estimate over 250 (2140 to 4280)</t>
        </is>
      </c>
      <c r="AZ257" t="inlineStr">
        <is>
          <t>company</t>
        </is>
      </c>
      <c r="BA257" t="inlineStr">
        <is>
          <t>B-C-233</t>
        </is>
      </c>
      <c r="BB257" t="inlineStr">
        <is>
          <t>https://www.tiffany.com/</t>
        </is>
      </c>
      <c r="BC257" t="inlineStr">
        <is>
          <t>Luxury jewelry (consumer brand)</t>
        </is>
      </c>
      <c r="BD257" t="inlineStr">
        <is>
          <t>9305</t>
        </is>
      </c>
      <c r="BF257" t="inlineStr">
        <is>
          <t>over-500</t>
        </is>
      </c>
      <c r="BG257" t="inlineStr">
        <is>
          <t>whole-company</t>
        </is>
      </c>
      <c r="BH257" t="inlineStr">
        <is>
          <t>single-source</t>
        </is>
      </c>
      <c r="BI257" t="inlineStr">
        <is>
          <t>https://www.builtinnyc.com/company/tiffany-co/offices</t>
        </is>
      </c>
      <c r="BK257" t="inlineStr">
        <is>
          <t>5000+</t>
        </is>
      </c>
      <c r="BL257" t="inlineStr">
        <is>
          <t>New York</t>
        </is>
      </c>
      <c r="BM257" t="inlineStr">
        <is>
          <t>Y</t>
        </is>
      </c>
      <c r="BN257" t="inlineStr">
        <is>
          <t>unknown</t>
        </is>
      </c>
      <c r="BO257" t="inlineStr">
        <is>
          <t>unknown</t>
        </is>
      </c>
      <c r="BP257" t="inlineStr">
        <is>
          <t>10010</t>
        </is>
      </c>
      <c r="BQ257" t="n">
        <v>40.741986</v>
      </c>
      <c r="BR257" t="n">
        <v>-73.98947699999999</v>
      </c>
      <c r="BS257" t="inlineStr">
        <is>
          <t>Y</t>
        </is>
      </c>
      <c r="BT257" t="n">
        <v>0</v>
      </c>
      <c r="BV257" t="inlineStr">
        <is>
          <t>unknown</t>
        </is>
      </c>
      <c r="BW257" t="inlineStr">
        <is>
          <t>https://therealdeal.com/new-york/2025/04/03/bxps-200-fifth-avenue-lands-law-firm-tenant</t>
        </is>
      </c>
      <c r="BX257" t="inlineStr">
        <is>
          <t>2025-04-03</t>
        </is>
      </c>
      <c r="BY257" t="inlineStr">
        <is>
          <t>leasing-press</t>
        </is>
      </c>
      <c r="BZ257" t="inlineStr">
        <is>
          <t>https://www.builtinnyc.com/company/tiffany-co/offices</t>
        </is>
      </c>
      <c r="CA257" t="inlineStr">
        <is>
          <t>2026-10-23</t>
        </is>
      </c>
      <c r="CC257" t="inlineStr">
        <is>
          <t>high</t>
        </is>
      </c>
      <c r="CE257" t="inlineStr">
        <is>
          <t>N</t>
        </is>
      </c>
      <c r="CH257" t="inlineStr">
        <is>
          <t>unknown</t>
        </is>
      </c>
      <c r="CJ257" t="inlineStr">
        <is>
          <t>unknown</t>
        </is>
      </c>
      <c r="CK257" t="inlineStr">
        <is>
          <t>N</t>
        </is>
      </c>
      <c r="CL257" t="inlineStr">
        <is>
          <t>unknown</t>
        </is>
      </c>
      <c r="CO257" t="n">
        <v>3026</v>
      </c>
      <c r="CP257" t="inlineStr">
        <is>
          <t>over-250</t>
        </is>
      </c>
      <c r="CQ257" t="inlineStr">
        <is>
          <t>9305 (Built In) staff (whole-company count) x 50% to 100% of them in the New York office (HQ New York; share assumed) x 46% (Partnership for NYC, firms over 5,000) in on a weekday = 2140 to 4280, central 3026; low confidence; estimate until intake replaces it.</t>
        </is>
      </c>
      <c r="CR257" t="inlineStr">
        <is>
          <t>estimate until intake replaces it</t>
        </is>
      </c>
      <c r="CS257" t="n">
        <v>0</v>
      </c>
      <c r="CT257" t="n">
        <v>21</v>
      </c>
      <c r="CU257" t="n">
        <v>0</v>
      </c>
      <c r="CV257" t="n">
        <v>0</v>
      </c>
      <c r="CW257" t="n">
        <v>6</v>
      </c>
      <c r="CX257" t="n">
        <v>15</v>
      </c>
      <c r="CY257">
        <f>IF(AH257="exact",10,IF(AH257="adjacent",5,0))</f>
        <v/>
      </c>
      <c r="CZ257">
        <f>IF(R257="Y",15,0)</f>
        <v/>
      </c>
      <c r="DF257" t="inlineStr">
        <is>
          <t>none</t>
        </is>
      </c>
      <c r="DG257" t="inlineStr">
        <is>
          <t>near-miss-over-500</t>
        </is>
      </c>
      <c r="DH257" t="inlineStr">
        <is>
          <t>not-near (5,000 or more)</t>
        </is>
      </c>
      <c r="DI257" t="inlineStr">
        <is>
          <t>N</t>
        </is>
      </c>
      <c r="DK257" t="inlineStr">
        <is>
          <t>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is>
      </c>
      <c r="DS257" t="inlineStr">
        <is>
          <t>none</t>
        </is>
      </c>
      <c r="DX257" t="inlineStr">
        <is>
          <t>N</t>
        </is>
      </c>
      <c r="ER257">
        <f>IF(ISNUMBER(MATCH(U257,{"queued","contacted","replied","call_booked","call_done","yes_in_principle","materials_sent"},0)),"Y","N")</f>
        <v/>
      </c>
      <c r="ES257">
        <f>IF(COUNTIFS($AP$2:$AP$1000,AP257,$ER$2:$ER$1000,"Y")+COUNTIFS($AP$2:$AP$1000,AP257,$T$2:$T$1000,"Y")&gt;0,"Y","N")</f>
        <v/>
      </c>
      <c r="ET257">
        <f>IF(AND(U257="new",T257="N",AT257="Y",AS257="",ES257="N"),"Y","N")</f>
        <v/>
      </c>
      <c r="EU257">
        <f>IF(ET257&lt;&gt;"Y","N",IF(COUNTIFS($AP$2:$AP$1000,AP257,$ET$2:$ET$1000,"Y",$J$2:$J$1000,"&gt;"&amp;J257)+COUNTIFS($AP$2:$AP$1000,AP257,$ET$2:$ET$1000,"Y",$J$2:$J$1000,J257,$EW$2:$EW$1000,"&lt;"&amp;EW257)=0,"Y","N"))</f>
        <v/>
      </c>
      <c r="EV257">
        <f>IF(Y257="","N",IF(Y257&lt;=10,"Y","N"))</f>
        <v/>
      </c>
      <c r="EW257">
        <f>ROW()-1</f>
        <v/>
      </c>
    </row>
    <row r="258">
      <c r="A258" t="inlineStr">
        <is>
          <t>AO-C-247</t>
        </is>
      </c>
      <c r="B258" t="inlineStr">
        <is>
          <t>UBS</t>
        </is>
      </c>
      <c r="H258" t="inlineStr">
        <is>
          <t>none</t>
        </is>
      </c>
      <c r="I258" t="inlineStr">
        <is>
          <t>linkedin</t>
        </is>
      </c>
      <c r="J258">
        <f>IF(AX258="pass",ROUND(CU258+CV258+CW258+CX258+CY258+CZ258,1),0)</f>
        <v/>
      </c>
      <c r="K258" t="inlineStr">
        <is>
          <t>Gated out: Tuesday estimate over 250 (2420 to 48409).</t>
        </is>
      </c>
      <c r="L258" t="inlineStr">
        <is>
          <t>over-500</t>
        </is>
      </c>
      <c r="R258" t="inlineStr">
        <is>
          <t>N</t>
        </is>
      </c>
      <c r="S258" t="inlineStr">
        <is>
          <t>unknown</t>
        </is>
      </c>
      <c r="T258" t="inlineStr">
        <is>
          <t>N</t>
        </is>
      </c>
      <c r="U258" t="inlineStr">
        <is>
          <t>new</t>
        </is>
      </c>
      <c r="V258" t="inlineStr">
        <is>
          <t>https://slgreen.com/?p=12833</t>
        </is>
      </c>
      <c r="W258" t="inlineStr">
        <is>
          <t>2026-10-23</t>
        </is>
      </c>
      <c r="X258" t="inlineStr">
        <is>
          <t>office</t>
        </is>
      </c>
      <c r="Y258">
        <f>IF(EU258&lt;&gt;"Y","",COUNTIFS($EU$2:$EU$1000,"Y",$J$2:$J$1000,"&gt;"&amp;J258)+COUNTIFS($EU$2:$EU$1000,"Y",$J$2:$J$1000,J258,$EW$2:$EW$1000,"&lt;"&amp;EW258)+1)</f>
        <v/>
      </c>
      <c r="AA258" t="inlineStr">
        <is>
          <t>N</t>
        </is>
      </c>
      <c r="AD258" t="inlineStr">
        <is>
          <t>none</t>
        </is>
      </c>
      <c r="AH258" t="inlineStr">
        <is>
          <t>none</t>
        </is>
      </c>
      <c r="AI258" t="inlineStr">
        <is>
          <t>11 Madison Avenue</t>
        </is>
      </c>
      <c r="AJ258" t="inlineStr">
        <is>
          <t>unknown</t>
        </is>
      </c>
      <c r="AK258" t="inlineStr">
        <is>
          <t>occupied</t>
        </is>
      </c>
      <c r="AL258" t="n">
        <v>2420</v>
      </c>
      <c r="AM258" t="n">
        <v>48409</v>
      </c>
      <c r="AN258" t="inlineStr">
        <is>
          <t>low</t>
        </is>
      </c>
      <c r="AO258" t="inlineStr">
        <is>
          <t>unknown</t>
        </is>
      </c>
      <c r="AP258" t="inlineStr">
        <is>
          <t>AO-C-247</t>
        </is>
      </c>
      <c r="AQ258" t="inlineStr">
        <is>
          <t>N</t>
        </is>
      </c>
      <c r="AT258">
        <f>IF(AND(AX258="pass",AQ258&lt;&gt;"Y",C258&lt;&gt;"",OR(AW258&lt;&gt;"Y",AV258="Y")),"Y","N")</f>
        <v/>
      </c>
      <c r="AU258">
        <f>_xlfn.TEXTJOIN("; ",TRUE,IF(AX258&lt;&gt;"pass","gated out",""),IF(AQ258="Y","on hold: "&amp;AR258,""),IF(C258="","no contact named on an opened page",""),IF(AND(AW258="Y",AV258&lt;&gt;"Y"),"Tuesday estimate band "&amp;L258&amp;": founder's call",""))</f>
        <v/>
      </c>
      <c r="AW258" t="inlineStr">
        <is>
          <t>Y</t>
        </is>
      </c>
      <c r="AX258" t="inlineStr">
        <is>
          <t>fail</t>
        </is>
      </c>
      <c r="AY258" t="inlineStr">
        <is>
          <t>Tuesday estimate over 250 (2420 to 48409)</t>
        </is>
      </c>
      <c r="AZ258" t="inlineStr">
        <is>
          <t>company</t>
        </is>
      </c>
      <c r="BA258" t="inlineStr">
        <is>
          <t>B-C-247</t>
        </is>
      </c>
      <c r="BB258" t="inlineStr">
        <is>
          <t>https://www.ubs.com/</t>
        </is>
      </c>
      <c r="BC258" t="inlineStr">
        <is>
          <t>Banking / financial services</t>
        </is>
      </c>
      <c r="BD258" t="inlineStr">
        <is>
          <t>105236</t>
        </is>
      </c>
      <c r="BF258" t="inlineStr">
        <is>
          <t>over-500</t>
        </is>
      </c>
      <c r="BG258" t="inlineStr">
        <is>
          <t>whole-company</t>
        </is>
      </c>
      <c r="BH258" t="inlineStr">
        <is>
          <t>single-source</t>
        </is>
      </c>
      <c r="BI258" t="inlineStr">
        <is>
          <t>https://en.wikipedia.org/wiki/UBS</t>
        </is>
      </c>
      <c r="BK258" t="inlineStr">
        <is>
          <t>5000+</t>
        </is>
      </c>
      <c r="BL258" t="inlineStr">
        <is>
          <t>unknown</t>
        </is>
      </c>
      <c r="BM258" t="inlineStr">
        <is>
          <t>unknown</t>
        </is>
      </c>
      <c r="BN258" t="inlineStr">
        <is>
          <t>unknown</t>
        </is>
      </c>
      <c r="BO258" t="inlineStr">
        <is>
          <t>unknown</t>
        </is>
      </c>
      <c r="BP258" t="inlineStr">
        <is>
          <t>10010</t>
        </is>
      </c>
      <c r="BQ258" t="n">
        <v>40.741761</v>
      </c>
      <c r="BR258" t="n">
        <v>-73.987033</v>
      </c>
      <c r="BS258" t="inlineStr">
        <is>
          <t>Y</t>
        </is>
      </c>
      <c r="BT258" t="n">
        <v>0</v>
      </c>
      <c r="BU258" t="inlineStr">
        <is>
          <t>B-B-052</t>
        </is>
      </c>
      <c r="BV258" t="inlineStr">
        <is>
          <t>11 Madison Avenue (SL Green); Sony Music uses 25 Madison Ave entrance</t>
        </is>
      </c>
      <c r="BW258" t="inlineStr">
        <is>
          <t>https://slgreen.com/?p=12833</t>
        </is>
      </c>
      <c r="BX258" t="inlineStr">
        <is>
          <t>2026-07-22</t>
        </is>
      </c>
      <c r="BY258" t="inlineStr">
        <is>
          <t>press-release</t>
        </is>
      </c>
      <c r="BZ258" t="inlineStr">
        <is>
          <t>https://commercialobserver.com/2026/07/ai-firm-legora-takes-98k-sl-greens-11-madison-avenue/</t>
        </is>
      </c>
      <c r="CA258" t="inlineStr">
        <is>
          <t>2026-07-23</t>
        </is>
      </c>
      <c r="CC258" t="inlineStr">
        <is>
          <t>high</t>
        </is>
      </c>
      <c r="CE258" t="inlineStr">
        <is>
          <t>N</t>
        </is>
      </c>
      <c r="CH258" t="inlineStr">
        <is>
          <t>loading dock</t>
        </is>
      </c>
      <c r="CI258" t="inlineStr">
        <is>
          <t>https://en.wikipedia.org/wiki/11_Madison_Avenue</t>
        </is>
      </c>
      <c r="CJ258" t="inlineStr">
        <is>
          <t>unknown</t>
        </is>
      </c>
      <c r="CK258" t="inlineStr">
        <is>
          <t>N</t>
        </is>
      </c>
      <c r="CL258" t="inlineStr">
        <is>
          <t>unknown</t>
        </is>
      </c>
      <c r="CO258" t="n">
        <v>10824</v>
      </c>
      <c r="CP258" t="inlineStr">
        <is>
          <t>over-250</t>
        </is>
      </c>
      <c r="CQ258" t="inlineStr">
        <is>
          <t>105236 (Wikipedia) staff (whole-company count) x 5% to 100% of them in the New York office (HQ city unknown; share assumed) x 46% (Partnership for NYC, firms over 5,000) in on a weekday = 2420 to 48409, central 10824; low confidence; estimate until intake replaces it.</t>
        </is>
      </c>
      <c r="CR258" t="inlineStr">
        <is>
          <t>estimate until intake replaces it</t>
        </is>
      </c>
      <c r="CS258" t="n">
        <v>0</v>
      </c>
      <c r="CT258" t="n">
        <v>21</v>
      </c>
      <c r="CU258" t="n">
        <v>0</v>
      </c>
      <c r="CV258" t="n">
        <v>0</v>
      </c>
      <c r="CW258" t="n">
        <v>6</v>
      </c>
      <c r="CX258" t="n">
        <v>15</v>
      </c>
      <c r="CY258">
        <f>IF(AH258="exact",10,IF(AH258="adjacent",5,0))</f>
        <v/>
      </c>
      <c r="CZ258">
        <f>IF(R258="Y",15,0)</f>
        <v/>
      </c>
      <c r="DF258" t="inlineStr">
        <is>
          <t>none</t>
        </is>
      </c>
      <c r="DG258" t="inlineStr">
        <is>
          <t>near-miss-over-500</t>
        </is>
      </c>
      <c r="DH258" t="inlineStr">
        <is>
          <t>not-near (5,000 or more)</t>
        </is>
      </c>
      <c r="DI258" t="inlineStr">
        <is>
          <t>N</t>
        </is>
      </c>
      <c r="DK258" t="inlineStr">
        <is>
          <t>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58" t="inlineStr">
        <is>
          <t>none</t>
        </is>
      </c>
      <c r="DX258" t="inlineStr">
        <is>
          <t>N</t>
        </is>
      </c>
      <c r="ER258">
        <f>IF(ISNUMBER(MATCH(U258,{"queued","contacted","replied","call_booked","call_done","yes_in_principle","materials_sent"},0)),"Y","N")</f>
        <v/>
      </c>
      <c r="ES258">
        <f>IF(COUNTIFS($AP$2:$AP$1000,AP258,$ER$2:$ER$1000,"Y")+COUNTIFS($AP$2:$AP$1000,AP258,$T$2:$T$1000,"Y")&gt;0,"Y","N")</f>
        <v/>
      </c>
      <c r="ET258">
        <f>IF(AND(U258="new",T258="N",AT258="Y",AS258="",ES258="N"),"Y","N")</f>
        <v/>
      </c>
      <c r="EU258">
        <f>IF(ET258&lt;&gt;"Y","N",IF(COUNTIFS($AP$2:$AP$1000,AP258,$ET$2:$ET$1000,"Y",$J$2:$J$1000,"&gt;"&amp;J258)+COUNTIFS($AP$2:$AP$1000,AP258,$ET$2:$ET$1000,"Y",$J$2:$J$1000,J258,$EW$2:$EW$1000,"&lt;"&amp;EW258)=0,"Y","N"))</f>
        <v/>
      </c>
      <c r="EV258">
        <f>IF(Y258="","N",IF(Y258&lt;=10,"Y","N"))</f>
        <v/>
      </c>
      <c r="EW258">
        <f>ROW()-1</f>
        <v/>
      </c>
    </row>
    <row r="259">
      <c r="A259" t="inlineStr">
        <is>
          <t>AO-C-203</t>
        </is>
      </c>
      <c r="B259" t="inlineStr">
        <is>
          <t>Warner Bros. Discovery</t>
        </is>
      </c>
      <c r="H259" t="inlineStr">
        <is>
          <t>none</t>
        </is>
      </c>
      <c r="I259" t="inlineStr">
        <is>
          <t>linkedin</t>
        </is>
      </c>
      <c r="J259">
        <f>IF(AX259="pass",ROUND(CU259+CV259+CW259+CX259+CY259+CZ259,1),0)</f>
        <v/>
      </c>
      <c r="K259" t="inlineStr">
        <is>
          <t>Gated out: Tuesday estimate over 250 (9200 to 18400).</t>
        </is>
      </c>
      <c r="L259" t="inlineStr">
        <is>
          <t>over-500</t>
        </is>
      </c>
      <c r="R259" t="inlineStr">
        <is>
          <t>N</t>
        </is>
      </c>
      <c r="S259" t="inlineStr">
        <is>
          <t>unknown</t>
        </is>
      </c>
      <c r="T259" t="inlineStr">
        <is>
          <t>N</t>
        </is>
      </c>
      <c r="U259" t="inlineStr">
        <is>
          <t>new</t>
        </is>
      </c>
      <c r="V259" t="inlineStr">
        <is>
          <t>https://data.sec.gov/submissions/CIK0001437107.json</t>
        </is>
      </c>
      <c r="W259" t="inlineStr">
        <is>
          <t>2026-10-23</t>
        </is>
      </c>
      <c r="X259" t="inlineStr">
        <is>
          <t>office</t>
        </is>
      </c>
      <c r="Y259">
        <f>IF(EU259&lt;&gt;"Y","",COUNTIFS($EU$2:$EU$1000,"Y",$J$2:$J$1000,"&gt;"&amp;J259)+COUNTIFS($EU$2:$EU$1000,"Y",$J$2:$J$1000,J259,$EW$2:$EW$1000,"&lt;"&amp;EW259)+1)</f>
        <v/>
      </c>
      <c r="AA259" t="inlineStr">
        <is>
          <t>N</t>
        </is>
      </c>
      <c r="AD259" t="inlineStr">
        <is>
          <t>none</t>
        </is>
      </c>
      <c r="AH259" t="inlineStr">
        <is>
          <t>none</t>
        </is>
      </c>
      <c r="AI259" t="inlineStr">
        <is>
          <t>230 Park Avenue South</t>
        </is>
      </c>
      <c r="AJ259" t="inlineStr">
        <is>
          <t>whole building</t>
        </is>
      </c>
      <c r="AK259" t="inlineStr">
        <is>
          <t>occupied</t>
        </is>
      </c>
      <c r="AL259" t="n">
        <v>9200</v>
      </c>
      <c r="AM259" t="n">
        <v>18400</v>
      </c>
      <c r="AN259" t="inlineStr">
        <is>
          <t>low</t>
        </is>
      </c>
      <c r="AO259" t="inlineStr">
        <is>
          <t>unknown</t>
        </is>
      </c>
      <c r="AP259" t="inlineStr">
        <is>
          <t>AO-C-203</t>
        </is>
      </c>
      <c r="AQ259" t="inlineStr">
        <is>
          <t>N</t>
        </is>
      </c>
      <c r="AT259">
        <f>IF(AND(AX259="pass",AQ259&lt;&gt;"Y",C259&lt;&gt;"",OR(AW259&lt;&gt;"Y",AV259="Y")),"Y","N")</f>
        <v/>
      </c>
      <c r="AU259">
        <f>_xlfn.TEXTJOIN("; ",TRUE,IF(AX259&lt;&gt;"pass","gated out",""),IF(AQ259="Y","on hold: "&amp;AR259,""),IF(C259="","no contact named on an opened page",""),IF(AND(AW259="Y",AV259&lt;&gt;"Y"),"Tuesday estimate band "&amp;L259&amp;": founder's call",""))</f>
        <v/>
      </c>
      <c r="AW259" t="inlineStr">
        <is>
          <t>Y</t>
        </is>
      </c>
      <c r="AX259" t="inlineStr">
        <is>
          <t>fail</t>
        </is>
      </c>
      <c r="AY259" t="inlineStr">
        <is>
          <t>Tuesday estimate over 250 (9200 to 18400)</t>
        </is>
      </c>
      <c r="AZ259" t="inlineStr">
        <is>
          <t>company</t>
        </is>
      </c>
      <c r="BA259" t="inlineStr">
        <is>
          <t>B-C-203</t>
        </is>
      </c>
      <c r="BB259" t="inlineStr">
        <is>
          <t>https://www.wbd.com</t>
        </is>
      </c>
      <c r="BC259" t="inlineStr">
        <is>
          <t>media (Food Network and other networks)</t>
        </is>
      </c>
      <c r="BD259" t="inlineStr">
        <is>
          <t>40000</t>
        </is>
      </c>
      <c r="BF259" t="inlineStr">
        <is>
          <t>over-500</t>
        </is>
      </c>
      <c r="BG259" t="inlineStr">
        <is>
          <t>whole-company</t>
        </is>
      </c>
      <c r="BH259" t="inlineStr">
        <is>
          <t>single-source</t>
        </is>
      </c>
      <c r="BI259" t="inlineStr">
        <is>
          <t>https://www.builtinnyc.com/company/warner-bros-discovery</t>
        </is>
      </c>
      <c r="BK259" t="inlineStr">
        <is>
          <t>5000+</t>
        </is>
      </c>
      <c r="BL259" t="inlineStr">
        <is>
          <t>New York</t>
        </is>
      </c>
      <c r="BM259" t="inlineStr">
        <is>
          <t>Y</t>
        </is>
      </c>
      <c r="BN259" t="inlineStr">
        <is>
          <t>unknown</t>
        </is>
      </c>
      <c r="BO259" t="inlineStr">
        <is>
          <t>unknown</t>
        </is>
      </c>
      <c r="BP259" t="inlineStr">
        <is>
          <t>10003</t>
        </is>
      </c>
      <c r="BQ259" t="n">
        <v>40.737622</v>
      </c>
      <c r="BR259" t="n">
        <v>-73.988544</v>
      </c>
      <c r="BS259" t="inlineStr">
        <is>
          <t>Y</t>
        </is>
      </c>
      <c r="BT259" t="n">
        <v>0</v>
      </c>
      <c r="BV259" t="inlineStr">
        <is>
          <t>unknown</t>
        </is>
      </c>
      <c r="BW259" t="inlineStr">
        <is>
          <t>https://data.sec.gov/submissions/CIK0001437107.json</t>
        </is>
      </c>
      <c r="BX259" t="inlineStr">
        <is>
          <t>2026-10-23</t>
        </is>
      </c>
      <c r="BY259" t="inlineStr">
        <is>
          <t>other</t>
        </is>
      </c>
      <c r="BZ259" t="inlineStr">
        <is>
          <t>https://commercialobserver.com/2023/01/warner-brothers-discovery-park-avenue-south/</t>
        </is>
      </c>
      <c r="CA259" t="inlineStr">
        <is>
          <t>2023-01-25</t>
        </is>
      </c>
      <c r="CB259" t="inlineStr">
        <is>
          <t>cites a sec.gov filing: agents do not open it (EDGAR demands a contact email); the founder may open it in a browser</t>
        </is>
      </c>
      <c r="CC259" t="inlineStr">
        <is>
          <t>high</t>
        </is>
      </c>
      <c r="CE259" t="inlineStr">
        <is>
          <t>N</t>
        </is>
      </c>
      <c r="CH259" t="inlineStr">
        <is>
          <t>security desk</t>
        </is>
      </c>
      <c r="CJ259" t="inlineStr">
        <is>
          <t>unknown</t>
        </is>
      </c>
      <c r="CK259" t="inlineStr">
        <is>
          <t>N</t>
        </is>
      </c>
      <c r="CL259" t="inlineStr">
        <is>
          <t>unknown</t>
        </is>
      </c>
      <c r="CO259" t="n">
        <v>13011</v>
      </c>
      <c r="CP259" t="inlineStr">
        <is>
          <t>over-250</t>
        </is>
      </c>
      <c r="CQ259" t="inlineStr">
        <is>
          <t>40000 (Built In) staff (whole-company count) x 50% to 100% of them in the New York office (HQ New York; share assumed) x 46% (Partnership for NYC, firms over 5,000) in on a weekday = 9200 to 18400, central 13011; low confidence; estimate until intake replaces it.</t>
        </is>
      </c>
      <c r="CR259" t="inlineStr">
        <is>
          <t>estimate until intake replaces it</t>
        </is>
      </c>
      <c r="CS259" t="n">
        <v>0</v>
      </c>
      <c r="CT259" t="n">
        <v>21</v>
      </c>
      <c r="CU259" t="n">
        <v>0</v>
      </c>
      <c r="CV259" t="n">
        <v>0</v>
      </c>
      <c r="CW259" t="n">
        <v>6</v>
      </c>
      <c r="CX259" t="n">
        <v>15</v>
      </c>
      <c r="CY259">
        <f>IF(AH259="exact",10,IF(AH259="adjacent",5,0))</f>
        <v/>
      </c>
      <c r="CZ259">
        <f>IF(R259="Y",15,0)</f>
        <v/>
      </c>
      <c r="DF259" t="inlineStr">
        <is>
          <t>none</t>
        </is>
      </c>
      <c r="DG259" t="inlineStr">
        <is>
          <t>near-miss-over-500</t>
        </is>
      </c>
      <c r="DH259" t="inlineStr">
        <is>
          <t>not-near (5,000 or more)</t>
        </is>
      </c>
      <c r="DI259" t="inlineStr">
        <is>
          <t>N</t>
        </is>
      </c>
      <c r="DJ259" t="inlineStr">
        <is>
          <t>375,000 sf</t>
        </is>
      </c>
      <c r="DK259" t="inlineStr">
        <is>
          <t>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is>
      </c>
      <c r="DS259" t="inlineStr">
        <is>
          <t>none</t>
        </is>
      </c>
      <c r="DX259" t="inlineStr">
        <is>
          <t>N</t>
        </is>
      </c>
      <c r="ER259">
        <f>IF(ISNUMBER(MATCH(U259,{"queued","contacted","replied","call_booked","call_done","yes_in_principle","materials_sent"},0)),"Y","N")</f>
        <v/>
      </c>
      <c r="ES259">
        <f>IF(COUNTIFS($AP$2:$AP$1000,AP259,$ER$2:$ER$1000,"Y")+COUNTIFS($AP$2:$AP$1000,AP259,$T$2:$T$1000,"Y")&gt;0,"Y","N")</f>
        <v/>
      </c>
      <c r="ET259">
        <f>IF(AND(U259="new",T259="N",AT259="Y",AS259="",ES259="N"),"Y","N")</f>
        <v/>
      </c>
      <c r="EU259">
        <f>IF(ET259&lt;&gt;"Y","N",IF(COUNTIFS($AP$2:$AP$1000,AP259,$ET$2:$ET$1000,"Y",$J$2:$J$1000,"&gt;"&amp;J259)+COUNTIFS($AP$2:$AP$1000,AP259,$ET$2:$ET$1000,"Y",$J$2:$J$1000,J259,$EW$2:$EW$1000,"&lt;"&amp;EW259)=0,"Y","N"))</f>
        <v/>
      </c>
      <c r="EV259">
        <f>IF(Y259="","N",IF(Y259&lt;=10,"Y","N"))</f>
        <v/>
      </c>
      <c r="EW259">
        <f>ROW()-1</f>
        <v/>
      </c>
    </row>
    <row r="260">
      <c r="A260" t="inlineStr">
        <is>
          <t>AO-C-256</t>
        </is>
      </c>
      <c r="B260" t="inlineStr">
        <is>
          <t>Ziff Davis</t>
        </is>
      </c>
      <c r="H260" t="inlineStr">
        <is>
          <t>none</t>
        </is>
      </c>
      <c r="I260" t="inlineStr">
        <is>
          <t>linkedin</t>
        </is>
      </c>
      <c r="J260">
        <f>IF(AX260="pass",ROUND(CU260+CV260+CW260+CX260+CY260+CZ260,1),0)</f>
        <v/>
      </c>
      <c r="K260" t="inlineStr">
        <is>
          <t>Gated out: Tuesday estimate over 250 (609 to 1219).</t>
        </is>
      </c>
      <c r="L260" t="inlineStr">
        <is>
          <t>over-500</t>
        </is>
      </c>
      <c r="R260" t="inlineStr">
        <is>
          <t>N</t>
        </is>
      </c>
      <c r="S260" t="inlineStr">
        <is>
          <t>unknown</t>
        </is>
      </c>
      <c r="T260" t="inlineStr">
        <is>
          <t>N</t>
        </is>
      </c>
      <c r="U260" t="inlineStr">
        <is>
          <t>new</t>
        </is>
      </c>
      <c r="V260" t="inlineStr">
        <is>
          <t>https://commercialobserver.com/2025/05/optiver-lease-360-park-avenue-south/</t>
        </is>
      </c>
      <c r="W260" t="inlineStr">
        <is>
          <t>2026-10-23</t>
        </is>
      </c>
      <c r="X260" t="inlineStr">
        <is>
          <t>office</t>
        </is>
      </c>
      <c r="Y260">
        <f>IF(EU260&lt;&gt;"Y","",COUNTIFS($EU$2:$EU$1000,"Y",$J$2:$J$1000,"&gt;"&amp;J260)+COUNTIFS($EU$2:$EU$1000,"Y",$J$2:$J$1000,J260,$EW$2:$EW$1000,"&lt;"&amp;EW260)+1)</f>
        <v/>
      </c>
      <c r="AA260" t="inlineStr">
        <is>
          <t>N</t>
        </is>
      </c>
      <c r="AD260" t="inlineStr">
        <is>
          <t>none</t>
        </is>
      </c>
      <c r="AH260" t="inlineStr">
        <is>
          <t>none</t>
        </is>
      </c>
      <c r="AI260" t="inlineStr">
        <is>
          <t>360 Park Avenue South</t>
        </is>
      </c>
      <c r="AJ260" t="inlineStr">
        <is>
          <t>unknown</t>
        </is>
      </c>
      <c r="AK260" t="inlineStr">
        <is>
          <t>occupied</t>
        </is>
      </c>
      <c r="AL260" t="n">
        <v>609</v>
      </c>
      <c r="AM260" t="n">
        <v>1219</v>
      </c>
      <c r="AN260" t="inlineStr">
        <is>
          <t>low</t>
        </is>
      </c>
      <c r="AO260" t="inlineStr">
        <is>
          <t>unknown</t>
        </is>
      </c>
      <c r="AP260" t="inlineStr">
        <is>
          <t>AO-C-256</t>
        </is>
      </c>
      <c r="AQ260" t="inlineStr">
        <is>
          <t>N</t>
        </is>
      </c>
      <c r="AT260">
        <f>IF(AND(AX260="pass",AQ260&lt;&gt;"Y",C260&lt;&gt;"",OR(AW260&lt;&gt;"Y",AV260="Y")),"Y","N")</f>
        <v/>
      </c>
      <c r="AU260">
        <f>_xlfn.TEXTJOIN("; ",TRUE,IF(AX260&lt;&gt;"pass","gated out",""),IF(AQ260="Y","on hold: "&amp;AR260,""),IF(C260="","no contact named on an opened page",""),IF(AND(AW260="Y",AV260&lt;&gt;"Y"),"Tuesday estimate band "&amp;L260&amp;": founder's call",""))</f>
        <v/>
      </c>
      <c r="AW260" t="inlineStr">
        <is>
          <t>Y</t>
        </is>
      </c>
      <c r="AX260" t="inlineStr">
        <is>
          <t>fail</t>
        </is>
      </c>
      <c r="AY260" t="inlineStr">
        <is>
          <t>Tuesday estimate over 250 (609 to 1219)</t>
        </is>
      </c>
      <c r="AZ260" t="inlineStr">
        <is>
          <t>company</t>
        </is>
      </c>
      <c r="BA260" t="inlineStr">
        <is>
          <t>B-C-256</t>
        </is>
      </c>
      <c r="BB260" t="inlineStr">
        <is>
          <t>https://www.ziffdavis.com</t>
        </is>
      </c>
      <c r="BC260" t="inlineStr">
        <is>
          <t>digital media</t>
        </is>
      </c>
      <c r="BD260" t="inlineStr">
        <is>
          <t>2138</t>
        </is>
      </c>
      <c r="BF260" t="inlineStr">
        <is>
          <t>over-500</t>
        </is>
      </c>
      <c r="BG260" t="inlineStr">
        <is>
          <t>whole-company</t>
        </is>
      </c>
      <c r="BH260" t="inlineStr">
        <is>
          <t>single-source</t>
        </is>
      </c>
      <c r="BI260" t="inlineStr">
        <is>
          <t>https://www.builtinnyc.com/company/ziff-davis/offices</t>
        </is>
      </c>
      <c r="BK260" t="inlineStr">
        <is>
          <t>1001-4999</t>
        </is>
      </c>
      <c r="BL260" t="inlineStr">
        <is>
          <t>New York</t>
        </is>
      </c>
      <c r="BM260" t="inlineStr">
        <is>
          <t>Y</t>
        </is>
      </c>
      <c r="BN260" t="inlineStr">
        <is>
          <t>unknown</t>
        </is>
      </c>
      <c r="BO260" t="inlineStr">
        <is>
          <t>unknown</t>
        </is>
      </c>
      <c r="BP260" t="inlineStr">
        <is>
          <t>10010</t>
        </is>
      </c>
      <c r="BQ260" t="n">
        <v>40.741968</v>
      </c>
      <c r="BR260" t="n">
        <v>-73.985327</v>
      </c>
      <c r="BS260" t="inlineStr">
        <is>
          <t>Y</t>
        </is>
      </c>
      <c r="BT260" t="n">
        <v>0</v>
      </c>
      <c r="BU260" t="inlineStr">
        <is>
          <t>B-B-059</t>
        </is>
      </c>
      <c r="BV260" t="inlineStr">
        <is>
          <t>360 Park Avenue South (BXP)</t>
        </is>
      </c>
      <c r="BW260" t="inlineStr">
        <is>
          <t>https://commercialobserver.com/2025/05/optiver-lease-360-park-avenue-south/</t>
        </is>
      </c>
      <c r="BX260" t="inlineStr">
        <is>
          <t>2025-05-20</t>
        </is>
      </c>
      <c r="BY260" t="inlineStr">
        <is>
          <t>leasing-press</t>
        </is>
      </c>
      <c r="BZ260" t="inlineStr">
        <is>
          <t>https://www.ziffdavis.com/</t>
        </is>
      </c>
      <c r="CA260" t="inlineStr">
        <is>
          <t>2026-10-24</t>
        </is>
      </c>
      <c r="CC260" t="inlineStr">
        <is>
          <t>high</t>
        </is>
      </c>
      <c r="CE260" t="inlineStr">
        <is>
          <t>N</t>
        </is>
      </c>
      <c r="CH260" t="inlineStr">
        <is>
          <t>unknown</t>
        </is>
      </c>
      <c r="CJ260" t="inlineStr">
        <is>
          <t>unknown</t>
        </is>
      </c>
      <c r="CK260" t="inlineStr">
        <is>
          <t>N</t>
        </is>
      </c>
      <c r="CL260" t="inlineStr">
        <is>
          <t>unknown</t>
        </is>
      </c>
      <c r="CO260" t="n">
        <v>862</v>
      </c>
      <c r="CP260" t="inlineStr">
        <is>
          <t>over-250</t>
        </is>
      </c>
      <c r="CQ260" t="inlineStr">
        <is>
          <t>2138 (Built In) staff (whole-company count) x 50% to 100% of them in the New York office (HQ New York; share assumed) x 57% (Partnership for NYC, all Manhattan firms; no figure for 500 to 4,999) in on a weekday = 609 to 1219, central 862; low confidence; estimate until intake replaces it.</t>
        </is>
      </c>
      <c r="CR260" t="inlineStr">
        <is>
          <t>estimate until intake replaces it</t>
        </is>
      </c>
      <c r="CS260" t="n">
        <v>0</v>
      </c>
      <c r="CT260" t="n">
        <v>23</v>
      </c>
      <c r="CU260" t="n">
        <v>0</v>
      </c>
      <c r="CV260" t="n">
        <v>2</v>
      </c>
      <c r="CW260" t="n">
        <v>6</v>
      </c>
      <c r="CX260" t="n">
        <v>15</v>
      </c>
      <c r="CY260">
        <f>IF(AH260="exact",10,IF(AH260="adjacent",5,0))</f>
        <v/>
      </c>
      <c r="CZ260">
        <f>IF(R260="Y",15,0)</f>
        <v/>
      </c>
      <c r="DF260" t="inlineStr">
        <is>
          <t>none</t>
        </is>
      </c>
      <c r="DG260" t="inlineStr">
        <is>
          <t>near-miss-over-500</t>
        </is>
      </c>
      <c r="DH260" t="inlineStr">
        <is>
          <t>over-1,000 (1,001 to 4,999)</t>
        </is>
      </c>
      <c r="DI260" t="inlineStr">
        <is>
          <t>N</t>
        </is>
      </c>
      <c r="DK260" t="inlineStr">
        <is>
          <t>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is>
      </c>
      <c r="DS260" t="inlineStr">
        <is>
          <t>none</t>
        </is>
      </c>
      <c r="DX260" t="inlineStr">
        <is>
          <t>N</t>
        </is>
      </c>
      <c r="ER260">
        <f>IF(ISNUMBER(MATCH(U260,{"queued","contacted","replied","call_booked","call_done","yes_in_principle","materials_sent"},0)),"Y","N")</f>
        <v/>
      </c>
      <c r="ES260">
        <f>IF(COUNTIFS($AP$2:$AP$1000,AP260,$ER$2:$ER$1000,"Y")+COUNTIFS($AP$2:$AP$1000,AP260,$T$2:$T$1000,"Y")&gt;0,"Y","N")</f>
        <v/>
      </c>
      <c r="ET260">
        <f>IF(AND(U260="new",T260="N",AT260="Y",AS260="",ES260="N"),"Y","N")</f>
        <v/>
      </c>
      <c r="EU260">
        <f>IF(ET260&lt;&gt;"Y","N",IF(COUNTIFS($AP$2:$AP$1000,AP260,$ET$2:$ET$1000,"Y",$J$2:$J$1000,"&gt;"&amp;J260)+COUNTIFS($AP$2:$AP$1000,AP260,$ET$2:$ET$1000,"Y",$J$2:$J$1000,J260,$EW$2:$EW$1000,"&lt;"&amp;EW260)=0,"Y","N"))</f>
        <v/>
      </c>
      <c r="EV260">
        <f>IF(Y260="","N",IF(Y260&lt;=10,"Y","N"))</f>
        <v/>
      </c>
      <c r="EW260">
        <f>ROW()-1</f>
        <v/>
      </c>
    </row>
    <row r="261">
      <c r="A261" t="inlineStr">
        <is>
          <t>AO-C-198</t>
        </is>
      </c>
      <c r="B261" t="inlineStr">
        <is>
          <t>Airbnb</t>
        </is>
      </c>
      <c r="H261" t="inlineStr">
        <is>
          <t>none</t>
        </is>
      </c>
      <c r="I261" t="inlineStr">
        <is>
          <t>linkedin</t>
        </is>
      </c>
      <c r="J261">
        <f>IF(AX261="pass",ROUND(CU261+CV261+CW261+CX261+CY261+CZ261,1),0)</f>
        <v/>
      </c>
      <c r="K261" t="inlineStr">
        <is>
          <t>Gated out: Tuesday estimate over 250 (336 to 6726).</t>
        </is>
      </c>
      <c r="L261" t="inlineStr">
        <is>
          <t>over-500</t>
        </is>
      </c>
      <c r="R261" t="inlineStr">
        <is>
          <t>N</t>
        </is>
      </c>
      <c r="S261" t="inlineStr">
        <is>
          <t>unknown</t>
        </is>
      </c>
      <c r="T261" t="inlineStr">
        <is>
          <t>N</t>
        </is>
      </c>
      <c r="U261" t="inlineStr">
        <is>
          <t>new</t>
        </is>
      </c>
      <c r="V261" t="inlineStr">
        <is>
          <t>https://commercialobserver.com/2024/12/airbnb-lease-130-fifth-avenue/</t>
        </is>
      </c>
      <c r="W261" t="inlineStr">
        <is>
          <t>2026-10-23</t>
        </is>
      </c>
      <c r="X261" t="inlineStr">
        <is>
          <t>office</t>
        </is>
      </c>
      <c r="Y261">
        <f>IF(EU261&lt;&gt;"Y","",COUNTIFS($EU$2:$EU$1000,"Y",$J$2:$J$1000,"&gt;"&amp;J261)+COUNTIFS($EU$2:$EU$1000,"Y",$J$2:$J$1000,J261,$EW$2:$EW$1000,"&lt;"&amp;EW261)+1)</f>
        <v/>
      </c>
      <c r="AA261" t="inlineStr">
        <is>
          <t>N</t>
        </is>
      </c>
      <c r="AD261" t="inlineStr">
        <is>
          <t>none</t>
        </is>
      </c>
      <c r="AH261" t="inlineStr">
        <is>
          <t>none</t>
        </is>
      </c>
      <c r="AI261" t="inlineStr">
        <is>
          <t>130 Fifth Avenue</t>
        </is>
      </c>
      <c r="AJ261" t="inlineStr">
        <is>
          <t>3</t>
        </is>
      </c>
      <c r="AK261" t="inlineStr">
        <is>
          <t>occupied</t>
        </is>
      </c>
      <c r="AL261" t="n">
        <v>336</v>
      </c>
      <c r="AM261" t="n">
        <v>6726</v>
      </c>
      <c r="AN261" t="inlineStr">
        <is>
          <t>low</t>
        </is>
      </c>
      <c r="AO261" t="inlineStr">
        <is>
          <t>unknown</t>
        </is>
      </c>
      <c r="AP261" t="inlineStr">
        <is>
          <t>AO-C-198</t>
        </is>
      </c>
      <c r="AQ261" t="inlineStr">
        <is>
          <t>N</t>
        </is>
      </c>
      <c r="AT261">
        <f>IF(AND(AX261="pass",AQ261&lt;&gt;"Y",C261&lt;&gt;"",OR(AW261&lt;&gt;"Y",AV261="Y")),"Y","N")</f>
        <v/>
      </c>
      <c r="AU261">
        <f>_xlfn.TEXTJOIN("; ",TRUE,IF(AX261&lt;&gt;"pass","gated out",""),IF(AQ261="Y","on hold: "&amp;AR261,""),IF(C261="","no contact named on an opened page",""),IF(AND(AW261="Y",AV261&lt;&gt;"Y"),"Tuesday estimate band "&amp;L261&amp;": founder's call",""))</f>
        <v/>
      </c>
      <c r="AW261" t="inlineStr">
        <is>
          <t>Y</t>
        </is>
      </c>
      <c r="AX261" t="inlineStr">
        <is>
          <t>fail</t>
        </is>
      </c>
      <c r="AY261" t="inlineStr">
        <is>
          <t>Tuesday estimate over 250 (336 to 6726)</t>
        </is>
      </c>
      <c r="AZ261" t="inlineStr">
        <is>
          <t>company</t>
        </is>
      </c>
      <c r="BA261" t="inlineStr">
        <is>
          <t>B-C-198</t>
        </is>
      </c>
      <c r="BB261" t="inlineStr">
        <is>
          <t>https://www.airbnb.com</t>
        </is>
      </c>
      <c r="BC261" t="inlineStr">
        <is>
          <t>travel marketplace</t>
        </is>
      </c>
      <c r="BD261" t="inlineStr">
        <is>
          <t>14622</t>
        </is>
      </c>
      <c r="BF261" t="inlineStr">
        <is>
          <t>over-500</t>
        </is>
      </c>
      <c r="BG261" t="inlineStr">
        <is>
          <t>whole-company</t>
        </is>
      </c>
      <c r="BH261" t="inlineStr">
        <is>
          <t>single-source</t>
        </is>
      </c>
      <c r="BI261" t="inlineStr">
        <is>
          <t>https://www.builtinnyc.com/company/airbnb</t>
        </is>
      </c>
      <c r="BK261" t="inlineStr">
        <is>
          <t>5000+</t>
        </is>
      </c>
      <c r="BL261" t="inlineStr">
        <is>
          <t>San Francisco</t>
        </is>
      </c>
      <c r="BM261" t="inlineStr">
        <is>
          <t>N</t>
        </is>
      </c>
      <c r="BN261" t="inlineStr">
        <is>
          <t>unknown</t>
        </is>
      </c>
      <c r="BO261" t="inlineStr">
        <is>
          <t>unknown</t>
        </is>
      </c>
      <c r="BP261" t="inlineStr">
        <is>
          <t>10011</t>
        </is>
      </c>
      <c r="BQ261" t="n">
        <v>40.738793</v>
      </c>
      <c r="BR261" t="n">
        <v>-73.991823</v>
      </c>
      <c r="BS261" t="inlineStr">
        <is>
          <t>Y</t>
        </is>
      </c>
      <c r="BT261" t="n">
        <v>0</v>
      </c>
      <c r="BU261" t="inlineStr">
        <is>
          <t>B-B-017</t>
        </is>
      </c>
      <c r="BV261" t="inlineStr">
        <is>
          <t>130 Fifth Avenue (Olnick Organization)</t>
        </is>
      </c>
      <c r="BW261" t="inlineStr">
        <is>
          <t>https://commercialobserver.com/2024/12/airbnb-lease-130-fifth-avenue/</t>
        </is>
      </c>
      <c r="BX261" t="inlineStr">
        <is>
          <t>2024-12-02</t>
        </is>
      </c>
      <c r="BY261" t="inlineStr">
        <is>
          <t>leasing-press</t>
        </is>
      </c>
      <c r="BZ261" t="inlineStr">
        <is>
          <t>https://commercialobserver.com/2026/07/airbnb-buys-281-park-avenue-south-office/</t>
        </is>
      </c>
      <c r="CA261" t="inlineStr">
        <is>
          <t>2026-07-09</t>
        </is>
      </c>
      <c r="CC261" t="inlineStr">
        <is>
          <t>medium</t>
        </is>
      </c>
      <c r="CE261" t="inlineStr">
        <is>
          <t>N</t>
        </is>
      </c>
      <c r="CH261" t="inlineStr">
        <is>
          <t>unknown</t>
        </is>
      </c>
      <c r="CJ261" t="inlineStr">
        <is>
          <t>unknown</t>
        </is>
      </c>
      <c r="CK261" t="inlineStr">
        <is>
          <t>N</t>
        </is>
      </c>
      <c r="CL261" t="inlineStr">
        <is>
          <t>unknown</t>
        </is>
      </c>
      <c r="CO261" t="n">
        <v>1503</v>
      </c>
      <c r="CP261" t="inlineStr">
        <is>
          <t>over-250</t>
        </is>
      </c>
      <c r="CQ261" t="inlineStr">
        <is>
          <t>14622 (Built In) staff (whole-company count) x 5% to 100% of them in the New York office (HQ outside New York; share assumed) x 46% (Partnership for NYC, firms over 5,000) in on a weekday = 336 to 6726, central 1503; low confidence; estimate until intake replaces it.</t>
        </is>
      </c>
      <c r="CR261" t="inlineStr">
        <is>
          <t>estimate until intake replaces it</t>
        </is>
      </c>
      <c r="CS261" t="n">
        <v>0</v>
      </c>
      <c r="CT261" t="n">
        <v>19</v>
      </c>
      <c r="CU261" t="n">
        <v>0</v>
      </c>
      <c r="CV261" t="n">
        <v>0</v>
      </c>
      <c r="CW261" t="n">
        <v>6</v>
      </c>
      <c r="CX261" t="n">
        <v>13</v>
      </c>
      <c r="CY261">
        <f>IF(AH261="exact",10,IF(AH261="adjacent",5,0))</f>
        <v/>
      </c>
      <c r="CZ261">
        <f>IF(R261="Y",15,0)</f>
        <v/>
      </c>
      <c r="DF261" t="inlineStr">
        <is>
          <t>none</t>
        </is>
      </c>
      <c r="DG261" t="inlineStr">
        <is>
          <t>near-miss-over-500</t>
        </is>
      </c>
      <c r="DH261" t="inlineStr">
        <is>
          <t>not-near (5,000 or more)</t>
        </is>
      </c>
      <c r="DI261" t="inlineStr">
        <is>
          <t>N</t>
        </is>
      </c>
      <c r="DJ261" t="inlineStr">
        <is>
          <t>13,300 sf</t>
        </is>
      </c>
      <c r="DK261" t="inlineStr">
        <is>
          <t>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is>
      </c>
      <c r="DS261" t="inlineStr">
        <is>
          <t>none</t>
        </is>
      </c>
      <c r="DX261" t="inlineStr">
        <is>
          <t>N</t>
        </is>
      </c>
      <c r="ER261">
        <f>IF(ISNUMBER(MATCH(U261,{"queued","contacted","replied","call_booked","call_done","yes_in_principle","materials_sent"},0)),"Y","N")</f>
        <v/>
      </c>
      <c r="ES261">
        <f>IF(COUNTIFS($AP$2:$AP$1000,AP261,$ER$2:$ER$1000,"Y")+COUNTIFS($AP$2:$AP$1000,AP261,$T$2:$T$1000,"Y")&gt;0,"Y","N")</f>
        <v/>
      </c>
      <c r="ET261">
        <f>IF(AND(U261="new",T261="N",AT261="Y",AS261="",ES261="N"),"Y","N")</f>
        <v/>
      </c>
      <c r="EU261">
        <f>IF(ET261&lt;&gt;"Y","N",IF(COUNTIFS($AP$2:$AP$1000,AP261,$ET$2:$ET$1000,"Y",$J$2:$J$1000,"&gt;"&amp;J261)+COUNTIFS($AP$2:$AP$1000,AP261,$ET$2:$ET$1000,"Y",$J$2:$J$1000,J261,$EW$2:$EW$1000,"&lt;"&amp;EW261)=0,"Y","N"))</f>
        <v/>
      </c>
      <c r="EV261">
        <f>IF(Y261="","N",IF(Y261&lt;=10,"Y","N"))</f>
        <v/>
      </c>
      <c r="EW261">
        <f>ROW()-1</f>
        <v/>
      </c>
    </row>
    <row r="262">
      <c r="A262" t="inlineStr">
        <is>
          <t>AO-C-239</t>
        </is>
      </c>
      <c r="B262" t="inlineStr">
        <is>
          <t>Amazon</t>
        </is>
      </c>
      <c r="H262" t="inlineStr">
        <is>
          <t>none</t>
        </is>
      </c>
      <c r="I262" t="inlineStr">
        <is>
          <t>linkedin</t>
        </is>
      </c>
      <c r="J262">
        <f>IF(AX262="pass",ROUND(CU262+CV262+CW262+CX262+CY262+CZ262,1),0)</f>
        <v/>
      </c>
      <c r="K262" t="inlineStr">
        <is>
          <t>Gated out: Tuesday estimate over 250 (36248 to 724960).</t>
        </is>
      </c>
      <c r="L262" t="inlineStr">
        <is>
          <t>over-500</t>
        </is>
      </c>
      <c r="R262" t="inlineStr">
        <is>
          <t>N</t>
        </is>
      </c>
      <c r="S262" t="inlineStr">
        <is>
          <t>unknown</t>
        </is>
      </c>
      <c r="T262" t="inlineStr">
        <is>
          <t>N</t>
        </is>
      </c>
      <c r="U262" t="inlineStr">
        <is>
          <t>new</t>
        </is>
      </c>
      <c r="V262" t="inlineStr">
        <is>
          <t>https://commercialobserver.com/2026/02/bluefish-lease-315-park-avenue-south/</t>
        </is>
      </c>
      <c r="W262" t="inlineStr">
        <is>
          <t>2026-10-23</t>
        </is>
      </c>
      <c r="X262" t="inlineStr">
        <is>
          <t>office</t>
        </is>
      </c>
      <c r="Y262">
        <f>IF(EU262&lt;&gt;"Y","",COUNTIFS($EU$2:$EU$1000,"Y",$J$2:$J$1000,"&gt;"&amp;J262)+COUNTIFS($EU$2:$EU$1000,"Y",$J$2:$J$1000,J262,$EW$2:$EW$1000,"&lt;"&amp;EW262)+1)</f>
        <v/>
      </c>
      <c r="AA262" t="inlineStr">
        <is>
          <t>N</t>
        </is>
      </c>
      <c r="AD262" t="inlineStr">
        <is>
          <t>none</t>
        </is>
      </c>
      <c r="AH262" t="inlineStr">
        <is>
          <t>none</t>
        </is>
      </c>
      <c r="AI262" t="inlineStr">
        <is>
          <t>315 Park Avenue South</t>
        </is>
      </c>
      <c r="AJ262" t="inlineStr">
        <is>
          <t>unknown</t>
        </is>
      </c>
      <c r="AK262" t="inlineStr">
        <is>
          <t>occupancy-unconfirmed</t>
        </is>
      </c>
      <c r="AL262" t="n">
        <v>36248</v>
      </c>
      <c r="AM262" t="n">
        <v>724960</v>
      </c>
      <c r="AN262" t="inlineStr">
        <is>
          <t>low</t>
        </is>
      </c>
      <c r="AO262" t="inlineStr">
        <is>
          <t>unknown</t>
        </is>
      </c>
      <c r="AP262" t="inlineStr">
        <is>
          <t>AO-C-239</t>
        </is>
      </c>
      <c r="AQ262" t="inlineStr">
        <is>
          <t>N</t>
        </is>
      </c>
      <c r="AT262">
        <f>IF(AND(AX262="pass",AQ262&lt;&gt;"Y",C262&lt;&gt;"",OR(AW262&lt;&gt;"Y",AV262="Y")),"Y","N")</f>
        <v/>
      </c>
      <c r="AU262">
        <f>_xlfn.TEXTJOIN("; ",TRUE,IF(AX262&lt;&gt;"pass","gated out",""),IF(AQ262="Y","on hold: "&amp;AR262,""),IF(C262="","no contact named on an opened page",""),IF(AND(AW262="Y",AV262&lt;&gt;"Y"),"Tuesday estimate band "&amp;L262&amp;": founder's call",""))</f>
        <v/>
      </c>
      <c r="AW262" t="inlineStr">
        <is>
          <t>Y</t>
        </is>
      </c>
      <c r="AX262" t="inlineStr">
        <is>
          <t>fail</t>
        </is>
      </c>
      <c r="AY262" t="inlineStr">
        <is>
          <t>Tuesday estimate over 250 (36248 to 724960)</t>
        </is>
      </c>
      <c r="AZ262" t="inlineStr">
        <is>
          <t>company</t>
        </is>
      </c>
      <c r="BA262" t="inlineStr">
        <is>
          <t>B-C-239</t>
        </is>
      </c>
      <c r="BB262" t="inlineStr">
        <is>
          <t>https://www.amazon.com/</t>
        </is>
      </c>
      <c r="BC262" t="inlineStr">
        <is>
          <t>Technology / e-commerce</t>
        </is>
      </c>
      <c r="BD262" t="inlineStr">
        <is>
          <t>1576000</t>
        </is>
      </c>
      <c r="BF262" t="inlineStr">
        <is>
          <t>over-500</t>
        </is>
      </c>
      <c r="BG262" t="inlineStr">
        <is>
          <t>whole-company</t>
        </is>
      </c>
      <c r="BH262" t="inlineStr">
        <is>
          <t>single-source</t>
        </is>
      </c>
      <c r="BI262" t="inlineStr">
        <is>
          <t>https://en.wikipedia.org/wiki/Amazon_(company)</t>
        </is>
      </c>
      <c r="BK262" t="inlineStr">
        <is>
          <t>5000+</t>
        </is>
      </c>
      <c r="BL262" t="inlineStr">
        <is>
          <t>unknown</t>
        </is>
      </c>
      <c r="BM262" t="inlineStr">
        <is>
          <t>unknown</t>
        </is>
      </c>
      <c r="BN262" t="inlineStr">
        <is>
          <t>unknown</t>
        </is>
      </c>
      <c r="BO262" t="inlineStr">
        <is>
          <t>unknown</t>
        </is>
      </c>
      <c r="BP262" t="inlineStr">
        <is>
          <t>10010</t>
        </is>
      </c>
      <c r="BQ262" t="n">
        <v>40.740567</v>
      </c>
      <c r="BR262" t="n">
        <v>-73.985832</v>
      </c>
      <c r="BS262" t="inlineStr">
        <is>
          <t>Y</t>
        </is>
      </c>
      <c r="BT262" t="n">
        <v>0</v>
      </c>
      <c r="BV262" t="inlineStr">
        <is>
          <t>unknown</t>
        </is>
      </c>
      <c r="BW262" t="inlineStr">
        <is>
          <t>https://commercialobserver.com/2026/02/bluefish-lease-315-park-avenue-south/</t>
        </is>
      </c>
      <c r="BX262" t="inlineStr">
        <is>
          <t>2026-02</t>
        </is>
      </c>
      <c r="BY262" t="inlineStr">
        <is>
          <t>leasing-press</t>
        </is>
      </c>
      <c r="CC262" t="inlineStr">
        <is>
          <t>medium</t>
        </is>
      </c>
      <c r="CE262" t="inlineStr">
        <is>
          <t>N</t>
        </is>
      </c>
      <c r="CH262" t="inlineStr">
        <is>
          <t>security desk</t>
        </is>
      </c>
      <c r="CJ262" t="inlineStr">
        <is>
          <t>unknown</t>
        </is>
      </c>
      <c r="CK262" t="inlineStr">
        <is>
          <t>N</t>
        </is>
      </c>
      <c r="CL262" t="inlineStr">
        <is>
          <t>unknown</t>
        </is>
      </c>
      <c r="CO262" t="n">
        <v>162106</v>
      </c>
      <c r="CP262" t="inlineStr">
        <is>
          <t>over-250</t>
        </is>
      </c>
      <c r="CQ262" t="inlineStr">
        <is>
          <t>1576000 (Wikipedia) staff (whole-company count) x 5% to 100% of them in the New York office (HQ city unknown; share assumed) x 46% (Partnership for NYC, firms over 5,000) in on a weekday = 36248 to 724960, central 162106; low confidence; estimate until intake replaces it.</t>
        </is>
      </c>
      <c r="CR262" t="inlineStr">
        <is>
          <t>estimate until intake replaces it</t>
        </is>
      </c>
      <c r="CS262" t="n">
        <v>0</v>
      </c>
      <c r="CT262" t="n">
        <v>14</v>
      </c>
      <c r="CU262" t="n">
        <v>0</v>
      </c>
      <c r="CV262" t="n">
        <v>0</v>
      </c>
      <c r="CW262" t="n">
        <v>6</v>
      </c>
      <c r="CX262" t="n">
        <v>8</v>
      </c>
      <c r="CY262">
        <f>IF(AH262="exact",10,IF(AH262="adjacent",5,0))</f>
        <v/>
      </c>
      <c r="CZ262">
        <f>IF(R262="Y",15,0)</f>
        <v/>
      </c>
      <c r="DF262" t="inlineStr">
        <is>
          <t>none</t>
        </is>
      </c>
      <c r="DG262" t="inlineStr">
        <is>
          <t>near-miss-over-500</t>
        </is>
      </c>
      <c r="DH262" t="inlineStr">
        <is>
          <t>not-near (5,000 or more)</t>
        </is>
      </c>
      <c r="DI262" t="inlineStr">
        <is>
          <t>N</t>
        </is>
      </c>
      <c r="DK262" t="inlineStr">
        <is>
          <t>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is>
      </c>
      <c r="DS262" t="inlineStr">
        <is>
          <t>none</t>
        </is>
      </c>
      <c r="DX262" t="inlineStr">
        <is>
          <t>N</t>
        </is>
      </c>
      <c r="ER262">
        <f>IF(ISNUMBER(MATCH(U262,{"queued","contacted","replied","call_booked","call_done","yes_in_principle","materials_sent"},0)),"Y","N")</f>
        <v/>
      </c>
      <c r="ES262">
        <f>IF(COUNTIFS($AP$2:$AP$1000,AP262,$ER$2:$ER$1000,"Y")+COUNTIFS($AP$2:$AP$1000,AP262,$T$2:$T$1000,"Y")&gt;0,"Y","N")</f>
        <v/>
      </c>
      <c r="ET262">
        <f>IF(AND(U262="new",T262="N",AT262="Y",AS262="",ES262="N"),"Y","N")</f>
        <v/>
      </c>
      <c r="EU262">
        <f>IF(ET262&lt;&gt;"Y","N",IF(COUNTIFS($AP$2:$AP$1000,AP262,$ET$2:$ET$1000,"Y",$J$2:$J$1000,"&gt;"&amp;J262)+COUNTIFS($AP$2:$AP$1000,AP262,$ET$2:$ET$1000,"Y",$J$2:$J$1000,J262,$EW$2:$EW$1000,"&lt;"&amp;EW262)=0,"Y","N"))</f>
        <v/>
      </c>
      <c r="EV262">
        <f>IF(Y262="","N",IF(Y262&lt;=10,"Y","N"))</f>
        <v/>
      </c>
      <c r="EW262">
        <f>ROW()-1</f>
        <v/>
      </c>
    </row>
    <row r="263">
      <c r="A263" t="inlineStr">
        <is>
          <t>AO-C-264</t>
        </is>
      </c>
      <c r="B263" t="inlineStr">
        <is>
          <t>American Eagle Outfitters (NYC headquarters offices)</t>
        </is>
      </c>
      <c r="H263" t="inlineStr">
        <is>
          <t>none</t>
        </is>
      </c>
      <c r="I263" t="inlineStr">
        <is>
          <t>linkedin</t>
        </is>
      </c>
      <c r="J263">
        <f>IF(AX263="pass",ROUND(CU263+CV263+CW263+CX263+CY263+CZ263,1),0)</f>
        <v/>
      </c>
      <c r="K263" t="inlineStr">
        <is>
          <t>Gated out: Tuesday estimate over 250 (391 to 7820).</t>
        </is>
      </c>
      <c r="L263" t="inlineStr">
        <is>
          <t>over-500</t>
        </is>
      </c>
      <c r="R263" t="inlineStr">
        <is>
          <t>N</t>
        </is>
      </c>
      <c r="S263" t="inlineStr">
        <is>
          <t>unknown</t>
        </is>
      </c>
      <c r="T263" t="inlineStr">
        <is>
          <t>N</t>
        </is>
      </c>
      <c r="U263" t="inlineStr">
        <is>
          <t>new</t>
        </is>
      </c>
      <c r="V263" t="inlineStr">
        <is>
          <t>https://commercialobserver.com/2025/08/american-eagle-outfitters-expansion-63-madison-avenue/</t>
        </is>
      </c>
      <c r="W263" t="inlineStr">
        <is>
          <t>2026-10-23</t>
        </is>
      </c>
      <c r="X263" t="inlineStr">
        <is>
          <t>office</t>
        </is>
      </c>
      <c r="Y263">
        <f>IF(EU263&lt;&gt;"Y","",COUNTIFS($EU$2:$EU$1000,"Y",$J$2:$J$1000,"&gt;"&amp;J263)+COUNTIFS($EU$2:$EU$1000,"Y",$J$2:$J$1000,J263,$EW$2:$EW$1000,"&lt;"&amp;EW263)+1)</f>
        <v/>
      </c>
      <c r="AA263" t="inlineStr">
        <is>
          <t>N</t>
        </is>
      </c>
      <c r="AD263" t="inlineStr">
        <is>
          <t>none</t>
        </is>
      </c>
      <c r="AH263" t="inlineStr">
        <is>
          <t>none</t>
        </is>
      </c>
      <c r="AI263" t="inlineStr">
        <is>
          <t>63 Madison Avenue</t>
        </is>
      </c>
      <c r="AJ263" t="inlineStr">
        <is>
          <t>multiple</t>
        </is>
      </c>
      <c r="AK263" t="inlineStr">
        <is>
          <t>occupied</t>
        </is>
      </c>
      <c r="AL263" t="n">
        <v>391</v>
      </c>
      <c r="AM263" t="n">
        <v>7820</v>
      </c>
      <c r="AN263" t="inlineStr">
        <is>
          <t>low</t>
        </is>
      </c>
      <c r="AO263" t="inlineStr">
        <is>
          <t>unknown</t>
        </is>
      </c>
      <c r="AP263" t="inlineStr">
        <is>
          <t>AO-C-264</t>
        </is>
      </c>
      <c r="AQ263" t="inlineStr">
        <is>
          <t>N</t>
        </is>
      </c>
      <c r="AT263">
        <f>IF(AND(AX263="pass",AQ263&lt;&gt;"Y",C263&lt;&gt;"",OR(AW263&lt;&gt;"Y",AV263="Y")),"Y","N")</f>
        <v/>
      </c>
      <c r="AU263">
        <f>_xlfn.TEXTJOIN("; ",TRUE,IF(AX263&lt;&gt;"pass","gated out",""),IF(AQ263="Y","on hold: "&amp;AR263,""),IF(C263="","no contact named on an opened page",""),IF(AND(AW263="Y",AV263&lt;&gt;"Y"),"Tuesday estimate band "&amp;L263&amp;": founder's call",""))</f>
        <v/>
      </c>
      <c r="AW263" t="inlineStr">
        <is>
          <t>Y</t>
        </is>
      </c>
      <c r="AX263" t="inlineStr">
        <is>
          <t>fail</t>
        </is>
      </c>
      <c r="AY263" t="inlineStr">
        <is>
          <t>Tuesday estimate over 250 (391 to 7820)</t>
        </is>
      </c>
      <c r="AZ263" t="inlineStr">
        <is>
          <t>company</t>
        </is>
      </c>
      <c r="BA263" t="inlineStr">
        <is>
          <t>B-C-264</t>
        </is>
      </c>
      <c r="BB263" t="inlineStr">
        <is>
          <t>https://www.ae.com</t>
        </is>
      </c>
      <c r="BC263" t="inlineStr">
        <is>
          <t>apparel retailer (corporate offices)</t>
        </is>
      </c>
      <c r="BD263" t="inlineStr">
        <is>
          <t>17000</t>
        </is>
      </c>
      <c r="BF263" t="inlineStr">
        <is>
          <t>over-500</t>
        </is>
      </c>
      <c r="BG263" t="inlineStr">
        <is>
          <t>whole-company</t>
        </is>
      </c>
      <c r="BH263" t="inlineStr">
        <is>
          <t>single-source</t>
        </is>
      </c>
      <c r="BI263" t="inlineStr">
        <is>
          <t>https://www.builtinnyc.com/company/american-eagle-outfitters/offices</t>
        </is>
      </c>
      <c r="BK263" t="inlineStr">
        <is>
          <t>5000+</t>
        </is>
      </c>
      <c r="BL263" t="inlineStr">
        <is>
          <t>Pittsburgh</t>
        </is>
      </c>
      <c r="BM263" t="inlineStr">
        <is>
          <t>N</t>
        </is>
      </c>
      <c r="BN263" t="inlineStr">
        <is>
          <t>unknown</t>
        </is>
      </c>
      <c r="BO263" t="inlineStr">
        <is>
          <t>unknown</t>
        </is>
      </c>
      <c r="BP263" t="inlineStr">
        <is>
          <t>10016</t>
        </is>
      </c>
      <c r="BQ263" t="n">
        <v>40.743639</v>
      </c>
      <c r="BR263" t="n">
        <v>-73.98576</v>
      </c>
      <c r="BS263" t="inlineStr">
        <is>
          <t>Y</t>
        </is>
      </c>
      <c r="BT263" t="n">
        <v>0</v>
      </c>
      <c r="BV263" t="inlineStr">
        <is>
          <t>unknown</t>
        </is>
      </c>
      <c r="BW263" t="inlineStr">
        <is>
          <t>https://commercialobserver.com/2025/08/american-eagle-outfitters-expansion-63-madison-avenue/</t>
        </is>
      </c>
      <c r="BX263" t="inlineStr">
        <is>
          <t>2025-08-25</t>
        </is>
      </c>
      <c r="BY263" t="inlineStr">
        <is>
          <t>leasing-press</t>
        </is>
      </c>
      <c r="CC263" t="inlineStr">
        <is>
          <t>medium</t>
        </is>
      </c>
      <c r="CE263" t="inlineStr">
        <is>
          <t>N</t>
        </is>
      </c>
      <c r="CH263" t="inlineStr">
        <is>
          <t>security desk</t>
        </is>
      </c>
      <c r="CJ263" t="inlineStr">
        <is>
          <t>unknown</t>
        </is>
      </c>
      <c r="CK263" t="inlineStr">
        <is>
          <t>N</t>
        </is>
      </c>
      <c r="CL263" t="inlineStr">
        <is>
          <t>unknown</t>
        </is>
      </c>
      <c r="CO263" t="n">
        <v>1749</v>
      </c>
      <c r="CP263" t="inlineStr">
        <is>
          <t>over-250</t>
        </is>
      </c>
      <c r="CQ263" t="inlineStr">
        <is>
          <t>17000 (Built In) staff (whole-company count) x 5% to 100% of them in the New York office (HQ outside New York; share assumed) x 46% (Partnership for NYC, firms over 5,000) in on a weekday = 391 to 7820, central 1749; low confidence; estimate until intake replaces it.</t>
        </is>
      </c>
      <c r="CR263" t="inlineStr">
        <is>
          <t>estimate until intake replaces it</t>
        </is>
      </c>
      <c r="CS263" t="n">
        <v>0</v>
      </c>
      <c r="CT263" t="n">
        <v>19</v>
      </c>
      <c r="CU263" t="n">
        <v>0</v>
      </c>
      <c r="CV263" t="n">
        <v>0</v>
      </c>
      <c r="CW263" t="n">
        <v>6</v>
      </c>
      <c r="CX263" t="n">
        <v>13</v>
      </c>
      <c r="CY263">
        <f>IF(AH263="exact",10,IF(AH263="adjacent",5,0))</f>
        <v/>
      </c>
      <c r="CZ263">
        <f>IF(R263="Y",15,0)</f>
        <v/>
      </c>
      <c r="DF263" t="inlineStr">
        <is>
          <t>none</t>
        </is>
      </c>
      <c r="DG263" t="inlineStr">
        <is>
          <t>near-miss-over-500</t>
        </is>
      </c>
      <c r="DH263" t="inlineStr">
        <is>
          <t>not-near (5,000 or more)</t>
        </is>
      </c>
      <c r="DI263" t="inlineStr">
        <is>
          <t>N</t>
        </is>
      </c>
      <c r="DJ263" t="inlineStr">
        <is>
          <t>392,185 sf</t>
        </is>
      </c>
      <c r="DK263" t="inlineStr">
        <is>
          <t>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is>
      </c>
      <c r="DS263" t="inlineStr">
        <is>
          <t>none</t>
        </is>
      </c>
      <c r="DX263" t="inlineStr">
        <is>
          <t>N</t>
        </is>
      </c>
      <c r="ER263">
        <f>IF(ISNUMBER(MATCH(U263,{"queued","contacted","replied","call_booked","call_done","yes_in_principle","materials_sent"},0)),"Y","N")</f>
        <v/>
      </c>
      <c r="ES263">
        <f>IF(COUNTIFS($AP$2:$AP$1000,AP263,$ER$2:$ER$1000,"Y")+COUNTIFS($AP$2:$AP$1000,AP263,$T$2:$T$1000,"Y")&gt;0,"Y","N")</f>
        <v/>
      </c>
      <c r="ET263">
        <f>IF(AND(U263="new",T263="N",AT263="Y",AS263="",ES263="N"),"Y","N")</f>
        <v/>
      </c>
      <c r="EU263">
        <f>IF(ET263&lt;&gt;"Y","N",IF(COUNTIFS($AP$2:$AP$1000,AP263,$ET$2:$ET$1000,"Y",$J$2:$J$1000,"&gt;"&amp;J263)+COUNTIFS($AP$2:$AP$1000,AP263,$ET$2:$ET$1000,"Y",$J$2:$J$1000,J263,$EW$2:$EW$1000,"&lt;"&amp;EW263)=0,"Y","N"))</f>
        <v/>
      </c>
      <c r="EV263">
        <f>IF(Y263="","N",IF(Y263&lt;=10,"Y","N"))</f>
        <v/>
      </c>
      <c r="EW263">
        <f>ROW()-1</f>
        <v/>
      </c>
    </row>
    <row r="264">
      <c r="A264" t="inlineStr">
        <is>
          <t>AO-C-221</t>
        </is>
      </c>
      <c r="B264" t="inlineStr">
        <is>
          <t>BuzzFeed</t>
        </is>
      </c>
      <c r="H264" t="inlineStr">
        <is>
          <t>none</t>
        </is>
      </c>
      <c r="I264" t="inlineStr">
        <is>
          <t>linkedin</t>
        </is>
      </c>
      <c r="J264">
        <f>IF(AX264="pass",ROUND(CU264+CV264+CW264+CX264+CY264+CZ264,1),0)</f>
        <v/>
      </c>
      <c r="K264" t="inlineStr">
        <is>
          <t>Gated out: Tuesday estimate over 250 (510 to 1020).</t>
        </is>
      </c>
      <c r="L264" t="inlineStr">
        <is>
          <t>over-500</t>
        </is>
      </c>
      <c r="R264" t="inlineStr">
        <is>
          <t>N</t>
        </is>
      </c>
      <c r="S264" t="inlineStr">
        <is>
          <t>unknown</t>
        </is>
      </c>
      <c r="T264" t="inlineStr">
        <is>
          <t>N</t>
        </is>
      </c>
      <c r="U264" t="inlineStr">
        <is>
          <t>new</t>
        </is>
      </c>
      <c r="V264" t="inlineStr">
        <is>
          <t>https://commercialobserver.com/2025/03/buzfeed-lease-50-west-23rd-street/</t>
        </is>
      </c>
      <c r="W264" t="inlineStr">
        <is>
          <t>2026-10-23</t>
        </is>
      </c>
      <c r="X264" t="inlineStr">
        <is>
          <t>office</t>
        </is>
      </c>
      <c r="Y264">
        <f>IF(EU264&lt;&gt;"Y","",COUNTIFS($EU$2:$EU$1000,"Y",$J$2:$J$1000,"&gt;"&amp;J264)+COUNTIFS($EU$2:$EU$1000,"Y",$J$2:$J$1000,J264,$EW$2:$EW$1000,"&lt;"&amp;EW264)+1)</f>
        <v/>
      </c>
      <c r="AA264" t="inlineStr">
        <is>
          <t>N</t>
        </is>
      </c>
      <c r="AD264" t="inlineStr">
        <is>
          <t>none</t>
        </is>
      </c>
      <c r="AH264" t="inlineStr">
        <is>
          <t>none</t>
        </is>
      </c>
      <c r="AI264" t="inlineStr">
        <is>
          <t>50 West 23rd Street</t>
        </is>
      </c>
      <c r="AJ264" t="inlineStr">
        <is>
          <t>5 (part) and 6</t>
        </is>
      </c>
      <c r="AK264" t="inlineStr">
        <is>
          <t>occupied</t>
        </is>
      </c>
      <c r="AL264" t="n">
        <v>510</v>
      </c>
      <c r="AM264" t="n">
        <v>1020</v>
      </c>
      <c r="AN264" t="inlineStr">
        <is>
          <t>low</t>
        </is>
      </c>
      <c r="AO264" t="inlineStr">
        <is>
          <t>unknown</t>
        </is>
      </c>
      <c r="AP264" t="inlineStr">
        <is>
          <t>AO-C-221</t>
        </is>
      </c>
      <c r="AQ264" t="inlineStr">
        <is>
          <t>N</t>
        </is>
      </c>
      <c r="AT264">
        <f>IF(AND(AX264="pass",AQ264&lt;&gt;"Y",C264&lt;&gt;"",OR(AW264&lt;&gt;"Y",AV264="Y")),"Y","N")</f>
        <v/>
      </c>
      <c r="AU264">
        <f>_xlfn.TEXTJOIN("; ",TRUE,IF(AX264&lt;&gt;"pass","gated out",""),IF(AQ264="Y","on hold: "&amp;AR264,""),IF(C264="","no contact named on an opened page",""),IF(AND(AW264="Y",AV264&lt;&gt;"Y"),"Tuesday estimate band "&amp;L264&amp;": founder's call",""))</f>
        <v/>
      </c>
      <c r="AW264" t="inlineStr">
        <is>
          <t>Y</t>
        </is>
      </c>
      <c r="AX264" t="inlineStr">
        <is>
          <t>fail</t>
        </is>
      </c>
      <c r="AY264" t="inlineStr">
        <is>
          <t>Tuesday estimate over 250 (510 to 1020)</t>
        </is>
      </c>
      <c r="AZ264" t="inlineStr">
        <is>
          <t>company</t>
        </is>
      </c>
      <c r="BA264" t="inlineStr">
        <is>
          <t>B-C-221</t>
        </is>
      </c>
      <c r="BB264" t="inlineStr">
        <is>
          <t>https://www.buzzfeed.com/</t>
        </is>
      </c>
      <c r="BC264" t="inlineStr">
        <is>
          <t>Digital media</t>
        </is>
      </c>
      <c r="BD264" t="inlineStr">
        <is>
          <t>1789</t>
        </is>
      </c>
      <c r="BF264" t="inlineStr">
        <is>
          <t>over-500</t>
        </is>
      </c>
      <c r="BG264" t="inlineStr">
        <is>
          <t>whole-company</t>
        </is>
      </c>
      <c r="BH264" t="inlineStr">
        <is>
          <t>single-source</t>
        </is>
      </c>
      <c r="BI264" t="inlineStr">
        <is>
          <t>https://www.builtinnyc.com/company/buzzfeed/offices</t>
        </is>
      </c>
      <c r="BK264" t="inlineStr">
        <is>
          <t>1001-4999</t>
        </is>
      </c>
      <c r="BL264" t="inlineStr">
        <is>
          <t>New York</t>
        </is>
      </c>
      <c r="BM264" t="inlineStr">
        <is>
          <t>Y</t>
        </is>
      </c>
      <c r="BN264" t="inlineStr">
        <is>
          <t>unknown</t>
        </is>
      </c>
      <c r="BO264" t="inlineStr">
        <is>
          <t>unknown</t>
        </is>
      </c>
      <c r="BP264" t="inlineStr">
        <is>
          <t>10010</t>
        </is>
      </c>
      <c r="BQ264" t="n">
        <v>40.742199</v>
      </c>
      <c r="BR264" t="n">
        <v>-73.99172</v>
      </c>
      <c r="BS264" t="inlineStr">
        <is>
          <t>Y</t>
        </is>
      </c>
      <c r="BT264" t="n">
        <v>0</v>
      </c>
      <c r="BU264" t="inlineStr">
        <is>
          <t>B-B-046</t>
        </is>
      </c>
      <c r="BV264" t="inlineStr">
        <is>
          <t>50 West 23rd Street (Two Trees Management)</t>
        </is>
      </c>
      <c r="BW264" t="inlineStr">
        <is>
          <t>https://commercialobserver.com/2025/03/buzfeed-lease-50-west-23rd-street/</t>
        </is>
      </c>
      <c r="BX264" t="inlineStr">
        <is>
          <t>2025-03-26</t>
        </is>
      </c>
      <c r="BY264" t="inlineStr">
        <is>
          <t>leasing-press</t>
        </is>
      </c>
      <c r="BZ264" t="inlineStr">
        <is>
          <t>https://commercialobserver.com/?p=544473</t>
        </is>
      </c>
      <c r="CA264" t="inlineStr">
        <is>
          <t>2025-09-09</t>
        </is>
      </c>
      <c r="CC264" t="inlineStr">
        <is>
          <t>medium</t>
        </is>
      </c>
      <c r="CE264" t="inlineStr">
        <is>
          <t>N</t>
        </is>
      </c>
      <c r="CH264" t="inlineStr">
        <is>
          <t>security desk</t>
        </is>
      </c>
      <c r="CI264" t="inlineStr">
        <is>
          <t>https://nyrej.com/index.php/two-new-leases-signed-at-50-west-23rd-st</t>
        </is>
      </c>
      <c r="CJ264" t="inlineStr">
        <is>
          <t>unknown</t>
        </is>
      </c>
      <c r="CK264" t="inlineStr">
        <is>
          <t>N</t>
        </is>
      </c>
      <c r="CL264" t="inlineStr">
        <is>
          <t>unknown</t>
        </is>
      </c>
      <c r="CO264" t="n">
        <v>721</v>
      </c>
      <c r="CP264" t="inlineStr">
        <is>
          <t>over-250</t>
        </is>
      </c>
      <c r="CQ264" t="inlineStr">
        <is>
          <t>1789 (Built In) staff (whole-company count) x 50% to 100% of them in the New York office (HQ New York; share assumed) x 57% (Partnership for NYC, all Manhattan firms; no figure for 500 to 4,999) in on a weekday = 510 to 1020, central 721; low confidence; estimate until intake replaces it.</t>
        </is>
      </c>
      <c r="CR264" t="inlineStr">
        <is>
          <t>estimate until intake replaces it</t>
        </is>
      </c>
      <c r="CS264" t="n">
        <v>0</v>
      </c>
      <c r="CT264" t="n">
        <v>21</v>
      </c>
      <c r="CU264" t="n">
        <v>0</v>
      </c>
      <c r="CV264" t="n">
        <v>2</v>
      </c>
      <c r="CW264" t="n">
        <v>6</v>
      </c>
      <c r="CX264" t="n">
        <v>13</v>
      </c>
      <c r="CY264">
        <f>IF(AH264="exact",10,IF(AH264="adjacent",5,0))</f>
        <v/>
      </c>
      <c r="CZ264">
        <f>IF(R264="Y",15,0)</f>
        <v/>
      </c>
      <c r="DF264" t="inlineStr">
        <is>
          <t>none</t>
        </is>
      </c>
      <c r="DG264" t="inlineStr">
        <is>
          <t>near-miss-over-500</t>
        </is>
      </c>
      <c r="DH264" t="inlineStr">
        <is>
          <t>over-1,000 (1,001 to 4,999)</t>
        </is>
      </c>
      <c r="DI264" t="inlineStr">
        <is>
          <t>N</t>
        </is>
      </c>
      <c r="DJ264" t="inlineStr">
        <is>
          <t>42,210 sf;11,000 sf</t>
        </is>
      </c>
      <c r="DK264" t="inlineStr">
        <is>
          <t>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S264" t="inlineStr">
        <is>
          <t>none</t>
        </is>
      </c>
      <c r="DX264" t="inlineStr">
        <is>
          <t>N</t>
        </is>
      </c>
      <c r="ER264">
        <f>IF(ISNUMBER(MATCH(U264,{"queued","contacted","replied","call_booked","call_done","yes_in_principle","materials_sent"},0)),"Y","N")</f>
        <v/>
      </c>
      <c r="ES264">
        <f>IF(COUNTIFS($AP$2:$AP$1000,AP264,$ER$2:$ER$1000,"Y")+COUNTIFS($AP$2:$AP$1000,AP264,$T$2:$T$1000,"Y")&gt;0,"Y","N")</f>
        <v/>
      </c>
      <c r="ET264">
        <f>IF(AND(U264="new",T264="N",AT264="Y",AS264="",ES264="N"),"Y","N")</f>
        <v/>
      </c>
      <c r="EU264">
        <f>IF(ET264&lt;&gt;"Y","N",IF(COUNTIFS($AP$2:$AP$1000,AP264,$ET$2:$ET$1000,"Y",$J$2:$J$1000,"&gt;"&amp;J264)+COUNTIFS($AP$2:$AP$1000,AP264,$ET$2:$ET$1000,"Y",$J$2:$J$1000,J264,$EW$2:$EW$1000,"&lt;"&amp;EW264)=0,"Y","N"))</f>
        <v/>
      </c>
      <c r="EV264">
        <f>IF(Y264="","N",IF(Y264&lt;=10,"Y","N"))</f>
        <v/>
      </c>
      <c r="EW264">
        <f>ROW()-1</f>
        <v/>
      </c>
    </row>
    <row r="265">
      <c r="A265" t="inlineStr">
        <is>
          <t>AO-C-188</t>
        </is>
      </c>
      <c r="B265" t="inlineStr">
        <is>
          <t>Capital One</t>
        </is>
      </c>
      <c r="H265" t="inlineStr">
        <is>
          <t>none</t>
        </is>
      </c>
      <c r="I265" t="inlineStr">
        <is>
          <t>linkedin</t>
        </is>
      </c>
      <c r="J265">
        <f>IF(AX265="pass",ROUND(CU265+CV265+CW265+CX265+CY265+CZ265,1),0)</f>
        <v/>
      </c>
      <c r="K265" t="inlineStr">
        <is>
          <t>Gated out: Tuesday estimate over 250 (1265 to 25300).</t>
        </is>
      </c>
      <c r="L265" t="inlineStr">
        <is>
          <t>over-500</t>
        </is>
      </c>
      <c r="R265" t="inlineStr">
        <is>
          <t>N</t>
        </is>
      </c>
      <c r="S265" t="inlineStr">
        <is>
          <t>unknown</t>
        </is>
      </c>
      <c r="T265" t="inlineStr">
        <is>
          <t>N</t>
        </is>
      </c>
      <c r="U265" t="inlineStr">
        <is>
          <t>new</t>
        </is>
      </c>
      <c r="V265" t="inlineStr">
        <is>
          <t>https://commercialobserver.com/2025/02/capital-one-expansion-114-fifth-avenue/</t>
        </is>
      </c>
      <c r="W265" t="inlineStr">
        <is>
          <t>2026-10-23</t>
        </is>
      </c>
      <c r="X265" t="inlineStr">
        <is>
          <t>office</t>
        </is>
      </c>
      <c r="Y265">
        <f>IF(EU265&lt;&gt;"Y","",COUNTIFS($EU$2:$EU$1000,"Y",$J$2:$J$1000,"&gt;"&amp;J265)+COUNTIFS($EU$2:$EU$1000,"Y",$J$2:$J$1000,J265,$EW$2:$EW$1000,"&lt;"&amp;EW265)+1)</f>
        <v/>
      </c>
      <c r="AA265" t="inlineStr">
        <is>
          <t>N</t>
        </is>
      </c>
      <c r="AD265" t="inlineStr">
        <is>
          <t>none</t>
        </is>
      </c>
      <c r="AH265" t="inlineStr">
        <is>
          <t>none</t>
        </is>
      </c>
      <c r="AI265" t="inlineStr">
        <is>
          <t>114 Fifth Avenue</t>
        </is>
      </c>
      <c r="AJ265" t="inlineStr">
        <is>
          <t>unknown</t>
        </is>
      </c>
      <c r="AK265" t="inlineStr">
        <is>
          <t>occupied</t>
        </is>
      </c>
      <c r="AL265" t="n">
        <v>1265</v>
      </c>
      <c r="AM265" t="n">
        <v>25300</v>
      </c>
      <c r="AN265" t="inlineStr">
        <is>
          <t>low</t>
        </is>
      </c>
      <c r="AO265" t="inlineStr">
        <is>
          <t>unknown</t>
        </is>
      </c>
      <c r="AP265" t="inlineStr">
        <is>
          <t>AO-C-188</t>
        </is>
      </c>
      <c r="AQ265" t="inlineStr">
        <is>
          <t>N</t>
        </is>
      </c>
      <c r="AT265">
        <f>IF(AND(AX265="pass",AQ265&lt;&gt;"Y",C265&lt;&gt;"",OR(AW265&lt;&gt;"Y",AV265="Y")),"Y","N")</f>
        <v/>
      </c>
      <c r="AU265">
        <f>_xlfn.TEXTJOIN("; ",TRUE,IF(AX265&lt;&gt;"pass","gated out",""),IF(AQ265="Y","on hold: "&amp;AR265,""),IF(C265="","no contact named on an opened page",""),IF(AND(AW265="Y",AV265&lt;&gt;"Y"),"Tuesday estimate band "&amp;L265&amp;": founder's call",""))</f>
        <v/>
      </c>
      <c r="AW265" t="inlineStr">
        <is>
          <t>Y</t>
        </is>
      </c>
      <c r="AX265" t="inlineStr">
        <is>
          <t>fail</t>
        </is>
      </c>
      <c r="AY265" t="inlineStr">
        <is>
          <t>Tuesday estimate over 250 (1265 to 25300)</t>
        </is>
      </c>
      <c r="AZ265" t="inlineStr">
        <is>
          <t>company</t>
        </is>
      </c>
      <c r="BA265" t="inlineStr">
        <is>
          <t>B-C-188</t>
        </is>
      </c>
      <c r="BB265" t="inlineStr">
        <is>
          <t>https://www.capitalone.com</t>
        </is>
      </c>
      <c r="BC265" t="inlineStr">
        <is>
          <t>banking (tech offices)</t>
        </is>
      </c>
      <c r="BD265" t="inlineStr">
        <is>
          <t>55000</t>
        </is>
      </c>
      <c r="BF265" t="inlineStr">
        <is>
          <t>over-500</t>
        </is>
      </c>
      <c r="BG265" t="inlineStr">
        <is>
          <t>whole-company</t>
        </is>
      </c>
      <c r="BH265" t="inlineStr">
        <is>
          <t>single-source</t>
        </is>
      </c>
      <c r="BI265" t="inlineStr">
        <is>
          <t>https://www.builtinnyc.com/company/capital-one</t>
        </is>
      </c>
      <c r="BK265" t="inlineStr">
        <is>
          <t>5000+</t>
        </is>
      </c>
      <c r="BL265" t="inlineStr">
        <is>
          <t>McLean</t>
        </is>
      </c>
      <c r="BM265" t="inlineStr">
        <is>
          <t>N</t>
        </is>
      </c>
      <c r="BN265" t="inlineStr">
        <is>
          <t>unknown</t>
        </is>
      </c>
      <c r="BO265" t="inlineStr">
        <is>
          <t>unknown</t>
        </is>
      </c>
      <c r="BP265" t="inlineStr">
        <is>
          <t>10011</t>
        </is>
      </c>
      <c r="BQ265" t="n">
        <v>40.737788</v>
      </c>
      <c r="BR265" t="n">
        <v>-73.992555</v>
      </c>
      <c r="BS265" t="inlineStr">
        <is>
          <t>Y</t>
        </is>
      </c>
      <c r="BT265" t="n">
        <v>0</v>
      </c>
      <c r="BU265" t="inlineStr">
        <is>
          <t>B-B-009</t>
        </is>
      </c>
      <c r="BV265" t="inlineStr">
        <is>
          <t>114 Fifth Avenue</t>
        </is>
      </c>
      <c r="BW265" t="inlineStr">
        <is>
          <t>https://commercialobserver.com/2025/02/capital-one-expansion-114-fifth-avenue/</t>
        </is>
      </c>
      <c r="BX265" t="inlineStr">
        <is>
          <t>2025-02</t>
        </is>
      </c>
      <c r="BY265" t="inlineStr">
        <is>
          <t>leasing-press</t>
        </is>
      </c>
      <c r="CC265" t="inlineStr">
        <is>
          <t>medium</t>
        </is>
      </c>
      <c r="CE265" t="inlineStr">
        <is>
          <t>N</t>
        </is>
      </c>
      <c r="CH265" t="inlineStr">
        <is>
          <t>unknown</t>
        </is>
      </c>
      <c r="CJ265" t="inlineStr">
        <is>
          <t>unknown</t>
        </is>
      </c>
      <c r="CK265" t="inlineStr">
        <is>
          <t>N</t>
        </is>
      </c>
      <c r="CL265" t="inlineStr">
        <is>
          <t>unknown</t>
        </is>
      </c>
      <c r="CO265" t="n">
        <v>5657</v>
      </c>
      <c r="CP265" t="inlineStr">
        <is>
          <t>over-250</t>
        </is>
      </c>
      <c r="CQ265" t="inlineStr">
        <is>
          <t>55000 (Built In) staff (whole-company count) x 5% to 100% of them in the New York office (HQ outside New York; share assumed) x 46% (Partnership for NYC, firms over 5,000) in on a weekday = 1265 to 25300, central 5657; low confidence; estimate until intake replaces it.</t>
        </is>
      </c>
      <c r="CR265" t="inlineStr">
        <is>
          <t>estimate until intake replaces it</t>
        </is>
      </c>
      <c r="CS265" t="n">
        <v>0</v>
      </c>
      <c r="CT265" t="n">
        <v>19</v>
      </c>
      <c r="CU265" t="n">
        <v>0</v>
      </c>
      <c r="CV265" t="n">
        <v>0</v>
      </c>
      <c r="CW265" t="n">
        <v>6</v>
      </c>
      <c r="CX265" t="n">
        <v>13</v>
      </c>
      <c r="CY265">
        <f>IF(AH265="exact",10,IF(AH265="adjacent",5,0))</f>
        <v/>
      </c>
      <c r="CZ265">
        <f>IF(R265="Y",15,0)</f>
        <v/>
      </c>
      <c r="DF265" t="inlineStr">
        <is>
          <t>none</t>
        </is>
      </c>
      <c r="DG265" t="inlineStr">
        <is>
          <t>near-miss-over-500</t>
        </is>
      </c>
      <c r="DH265" t="inlineStr">
        <is>
          <t>not-near (5,000 or more)</t>
        </is>
      </c>
      <c r="DI265" t="inlineStr">
        <is>
          <t>N</t>
        </is>
      </c>
      <c r="DJ265" t="inlineStr">
        <is>
          <t>213,500 sf;116,926 sf;96,606 sf</t>
        </is>
      </c>
      <c r="DK265" t="inlineStr">
        <is>
          <t>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is>
      </c>
      <c r="DS265" t="inlineStr">
        <is>
          <t>none</t>
        </is>
      </c>
      <c r="DX265" t="inlineStr">
        <is>
          <t>N</t>
        </is>
      </c>
      <c r="ER265">
        <f>IF(ISNUMBER(MATCH(U265,{"queued","contacted","replied","call_booked","call_done","yes_in_principle","materials_sent"},0)),"Y","N")</f>
        <v/>
      </c>
      <c r="ES265">
        <f>IF(COUNTIFS($AP$2:$AP$1000,AP265,$ER$2:$ER$1000,"Y")+COUNTIFS($AP$2:$AP$1000,AP265,$T$2:$T$1000,"Y")&gt;0,"Y","N")</f>
        <v/>
      </c>
      <c r="ET265">
        <f>IF(AND(U265="new",T265="N",AT265="Y",AS265="",ES265="N"),"Y","N")</f>
        <v/>
      </c>
      <c r="EU265">
        <f>IF(ET265&lt;&gt;"Y","N",IF(COUNTIFS($AP$2:$AP$1000,AP265,$ET$2:$ET$1000,"Y",$J$2:$J$1000,"&gt;"&amp;J265)+COUNTIFS($AP$2:$AP$1000,AP265,$ET$2:$ET$1000,"Y",$J$2:$J$1000,J265,$EW$2:$EW$1000,"&lt;"&amp;EW265)=0,"Y","N"))</f>
        <v/>
      </c>
      <c r="EV265">
        <f>IF(Y265="","N",IF(Y265&lt;=10,"Y","N"))</f>
        <v/>
      </c>
      <c r="EW265">
        <f>ROW()-1</f>
        <v/>
      </c>
    </row>
    <row r="266">
      <c r="A266" t="inlineStr">
        <is>
          <t>AO-C-196</t>
        </is>
      </c>
      <c r="B266" t="inlineStr">
        <is>
          <t>Charlie Health</t>
        </is>
      </c>
      <c r="H266" t="inlineStr">
        <is>
          <t>none</t>
        </is>
      </c>
      <c r="I266" t="inlineStr">
        <is>
          <t>linkedin</t>
        </is>
      </c>
      <c r="J266">
        <f>IF(AX266="pass",ROUND(CU266+CV266+CW266+CX266+CY266+CZ266,1),0)</f>
        <v/>
      </c>
      <c r="K266" t="inlineStr">
        <is>
          <t>Gated out: Tuesday estimate over 250 (855 to 1710).</t>
        </is>
      </c>
      <c r="L266" t="inlineStr">
        <is>
          <t>over-500</t>
        </is>
      </c>
      <c r="R266" t="inlineStr">
        <is>
          <t>N</t>
        </is>
      </c>
      <c r="S266" t="inlineStr">
        <is>
          <t>unknown</t>
        </is>
      </c>
      <c r="T266" t="inlineStr">
        <is>
          <t>N</t>
        </is>
      </c>
      <c r="U266" t="inlineStr">
        <is>
          <t>new</t>
        </is>
      </c>
      <c r="V266" t="inlineStr">
        <is>
          <t>https://www.sec.gov/Archives/edgar/data/1013454/000153949726000704/n5676_x5-424h.htm</t>
        </is>
      </c>
      <c r="W266" t="inlineStr">
        <is>
          <t>2026-10-23</t>
        </is>
      </c>
      <c r="X266" t="inlineStr">
        <is>
          <t>office</t>
        </is>
      </c>
      <c r="Y266">
        <f>IF(EU266&lt;&gt;"Y","",COUNTIFS($EU$2:$EU$1000,"Y",$J$2:$J$1000,"&gt;"&amp;J266)+COUNTIFS($EU$2:$EU$1000,"Y",$J$2:$J$1000,J266,$EW$2:$EW$1000,"&lt;"&amp;EW266)+1)</f>
        <v/>
      </c>
      <c r="AA266" t="inlineStr">
        <is>
          <t>N</t>
        </is>
      </c>
      <c r="AD266" t="inlineStr">
        <is>
          <t>none</t>
        </is>
      </c>
      <c r="AH266" t="inlineStr">
        <is>
          <t>none</t>
        </is>
      </c>
      <c r="AI266" t="inlineStr">
        <is>
          <t>215 Park Avenue South</t>
        </is>
      </c>
      <c r="AJ266" t="inlineStr">
        <is>
          <t>unknown</t>
        </is>
      </c>
      <c r="AK266" t="inlineStr">
        <is>
          <t>occupied</t>
        </is>
      </c>
      <c r="AL266" t="n">
        <v>855</v>
      </c>
      <c r="AM266" t="n">
        <v>1710</v>
      </c>
      <c r="AN266" t="inlineStr">
        <is>
          <t>low</t>
        </is>
      </c>
      <c r="AO266" t="inlineStr">
        <is>
          <t>unknown</t>
        </is>
      </c>
      <c r="AP266" t="inlineStr">
        <is>
          <t>AO-C-196</t>
        </is>
      </c>
      <c r="AQ266" t="inlineStr">
        <is>
          <t>N</t>
        </is>
      </c>
      <c r="AT266">
        <f>IF(AND(AX266="pass",AQ266&lt;&gt;"Y",C266&lt;&gt;"",OR(AW266&lt;&gt;"Y",AV266="Y")),"Y","N")</f>
        <v/>
      </c>
      <c r="AU266">
        <f>_xlfn.TEXTJOIN("; ",TRUE,IF(AX266&lt;&gt;"pass","gated out",""),IF(AQ266="Y","on hold: "&amp;AR266,""),IF(C266="","no contact named on an opened page",""),IF(AND(AW266="Y",AV266&lt;&gt;"Y"),"Tuesday estimate band "&amp;L266&amp;": founder's call",""))</f>
        <v/>
      </c>
      <c r="AW266" t="inlineStr">
        <is>
          <t>Y</t>
        </is>
      </c>
      <c r="AX266" t="inlineStr">
        <is>
          <t>fail</t>
        </is>
      </c>
      <c r="AY266" t="inlineStr">
        <is>
          <t>Tuesday estimate over 250 (855 to 1710)</t>
        </is>
      </c>
      <c r="AZ266" t="inlineStr">
        <is>
          <t>company</t>
        </is>
      </c>
      <c r="BA266" t="inlineStr">
        <is>
          <t>B-C-196</t>
        </is>
      </c>
      <c r="BB266" t="inlineStr">
        <is>
          <t>https://www.charliehealth.com</t>
        </is>
      </c>
      <c r="BC266" t="inlineStr">
        <is>
          <t>virtual behavioral health</t>
        </is>
      </c>
      <c r="BD266" t="inlineStr">
        <is>
          <t>3000</t>
        </is>
      </c>
      <c r="BF266" t="inlineStr">
        <is>
          <t>over-500</t>
        </is>
      </c>
      <c r="BG266" t="inlineStr">
        <is>
          <t>whole-company</t>
        </is>
      </c>
      <c r="BH266" t="inlineStr">
        <is>
          <t>single-source</t>
        </is>
      </c>
      <c r="BI266" t="inlineStr">
        <is>
          <t>https://www.builtinnyc.com/company/charlie-health</t>
        </is>
      </c>
      <c r="BK266" t="inlineStr">
        <is>
          <t>1001-4999</t>
        </is>
      </c>
      <c r="BL266" t="inlineStr">
        <is>
          <t>New York</t>
        </is>
      </c>
      <c r="BM266" t="inlineStr">
        <is>
          <t>Y</t>
        </is>
      </c>
      <c r="BN266" t="inlineStr">
        <is>
          <t>unknown</t>
        </is>
      </c>
      <c r="BO266" t="inlineStr">
        <is>
          <t>unknown</t>
        </is>
      </c>
      <c r="BP266" t="inlineStr">
        <is>
          <t>10003</t>
        </is>
      </c>
      <c r="BQ266" t="n">
        <v>40.73686</v>
      </c>
      <c r="BR266" t="n">
        <v>-73.988546</v>
      </c>
      <c r="BS266" t="inlineStr">
        <is>
          <t>Y</t>
        </is>
      </c>
      <c r="BT266" t="n">
        <v>0</v>
      </c>
      <c r="BU266" t="inlineStr">
        <is>
          <t>B-B-016</t>
        </is>
      </c>
      <c r="BV266" t="inlineStr">
        <is>
          <t>215 Park Avenue South (SL Green managed)</t>
        </is>
      </c>
      <c r="BW266" t="inlineStr">
        <is>
          <t>https://www.sec.gov/Archives/edgar/data/1013454/000153949726000704/n5676_x5-424h.htm</t>
        </is>
      </c>
      <c r="BX266" t="inlineStr">
        <is>
          <t>2026-02</t>
        </is>
      </c>
      <c r="BY266" t="inlineStr">
        <is>
          <t>other</t>
        </is>
      </c>
      <c r="CB266" t="inlineStr">
        <is>
          <t>cites a sec.gov filing: agents do not open it (EDGAR demands a contact email); the founder may open it in a browser</t>
        </is>
      </c>
      <c r="CC266" t="inlineStr">
        <is>
          <t>medium</t>
        </is>
      </c>
      <c r="CE266" t="inlineStr">
        <is>
          <t>N</t>
        </is>
      </c>
      <c r="CH266" t="inlineStr">
        <is>
          <t>security desk</t>
        </is>
      </c>
      <c r="CI266" t="inlineStr">
        <is>
          <t>https://www.metro-manhattan.com/buildings/215-park-avenue-south/</t>
        </is>
      </c>
      <c r="CJ266" t="inlineStr">
        <is>
          <t>unknown</t>
        </is>
      </c>
      <c r="CK266" t="inlineStr">
        <is>
          <t>N</t>
        </is>
      </c>
      <c r="CL266" t="inlineStr">
        <is>
          <t>unknown</t>
        </is>
      </c>
      <c r="CO266" t="n">
        <v>1209</v>
      </c>
      <c r="CP266" t="inlineStr">
        <is>
          <t>over-250</t>
        </is>
      </c>
      <c r="CQ266" t="inlineStr">
        <is>
          <t>3000 (Built In) staff (whole-company count) x 50% to 100% of them in the New York office (HQ New York; share assumed) x 57% (Partnership for NYC, all Manhattan firms; no figure for 500 to 4,999) in on a weekday = 855 to 1710, central 1209; low confidence; estimate until intake replaces it.</t>
        </is>
      </c>
      <c r="CR266" t="inlineStr">
        <is>
          <t>estimate until intake replaces it</t>
        </is>
      </c>
      <c r="CS266" t="n">
        <v>0</v>
      </c>
      <c r="CT266" t="n">
        <v>21</v>
      </c>
      <c r="CU266" t="n">
        <v>0</v>
      </c>
      <c r="CV266" t="n">
        <v>2</v>
      </c>
      <c r="CW266" t="n">
        <v>6</v>
      </c>
      <c r="CX266" t="n">
        <v>13</v>
      </c>
      <c r="CY266">
        <f>IF(AH266="exact",10,IF(AH266="adjacent",5,0))</f>
        <v/>
      </c>
      <c r="CZ266">
        <f>IF(R266="Y",15,0)</f>
        <v/>
      </c>
      <c r="DF266" t="inlineStr">
        <is>
          <t>none</t>
        </is>
      </c>
      <c r="DG266" t="inlineStr">
        <is>
          <t>near-miss-over-500</t>
        </is>
      </c>
      <c r="DH266" t="inlineStr">
        <is>
          <t>over-1,000 (1,001 to 4,999)</t>
        </is>
      </c>
      <c r="DI266" t="inlineStr">
        <is>
          <t>N</t>
        </is>
      </c>
      <c r="DJ266" t="inlineStr">
        <is>
          <t>17,255 sf</t>
        </is>
      </c>
      <c r="DK266" t="inlineStr">
        <is>
          <t>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S266" t="inlineStr">
        <is>
          <t>none</t>
        </is>
      </c>
      <c r="DX266" t="inlineStr">
        <is>
          <t>N</t>
        </is>
      </c>
      <c r="ER266">
        <f>IF(ISNUMBER(MATCH(U266,{"queued","contacted","replied","call_booked","call_done","yes_in_principle","materials_sent"},0)),"Y","N")</f>
        <v/>
      </c>
      <c r="ES266">
        <f>IF(COUNTIFS($AP$2:$AP$1000,AP266,$ER$2:$ER$1000,"Y")+COUNTIFS($AP$2:$AP$1000,AP266,$T$2:$T$1000,"Y")&gt;0,"Y","N")</f>
        <v/>
      </c>
      <c r="ET266">
        <f>IF(AND(U266="new",T266="N",AT266="Y",AS266="",ES266="N"),"Y","N")</f>
        <v/>
      </c>
      <c r="EU266">
        <f>IF(ET266&lt;&gt;"Y","N",IF(COUNTIFS($AP$2:$AP$1000,AP266,$ET$2:$ET$1000,"Y",$J$2:$J$1000,"&gt;"&amp;J266)+COUNTIFS($AP$2:$AP$1000,AP266,$ET$2:$ET$1000,"Y",$J$2:$J$1000,J266,$EW$2:$EW$1000,"&lt;"&amp;EW266)=0,"Y","N"))</f>
        <v/>
      </c>
      <c r="EV266">
        <f>IF(Y266="","N",IF(Y266&lt;=10,"Y","N"))</f>
        <v/>
      </c>
      <c r="EW266">
        <f>ROW()-1</f>
        <v/>
      </c>
    </row>
    <row r="267">
      <c r="A267" t="inlineStr">
        <is>
          <t>AO-C-181</t>
        </is>
      </c>
      <c r="B267" t="inlineStr">
        <is>
          <t>Con Edison</t>
        </is>
      </c>
      <c r="H267" t="inlineStr">
        <is>
          <t>none</t>
        </is>
      </c>
      <c r="I267" t="inlineStr">
        <is>
          <t>linkedin</t>
        </is>
      </c>
      <c r="J267">
        <f>IF(AX267="pass",ROUND(CU267+CV267+CW267+CX267+CY267+CZ267,1),0)</f>
        <v/>
      </c>
      <c r="K267" t="inlineStr">
        <is>
          <t>Gated out: Tuesday estimate over 250 (347 to 6945).</t>
        </is>
      </c>
      <c r="L267" t="inlineStr">
        <is>
          <t>over-500</t>
        </is>
      </c>
      <c r="R267" t="inlineStr">
        <is>
          <t>N</t>
        </is>
      </c>
      <c r="S267" t="inlineStr">
        <is>
          <t>unknown</t>
        </is>
      </c>
      <c r="T267" t="inlineStr">
        <is>
          <t>N</t>
        </is>
      </c>
      <c r="U267" t="inlineStr">
        <is>
          <t>new</t>
        </is>
      </c>
      <c r="V267" t="inlineStr">
        <is>
          <t>https://en.wikipedia.org/wiki/Consolidated_Edison_Building</t>
        </is>
      </c>
      <c r="W267" t="inlineStr">
        <is>
          <t>2026-10-23</t>
        </is>
      </c>
      <c r="X267" t="inlineStr">
        <is>
          <t>office</t>
        </is>
      </c>
      <c r="Y267">
        <f>IF(EU267&lt;&gt;"Y","",COUNTIFS($EU$2:$EU$1000,"Y",$J$2:$J$1000,"&gt;"&amp;J267)+COUNTIFS($EU$2:$EU$1000,"Y",$J$2:$J$1000,J267,$EW$2:$EW$1000,"&lt;"&amp;EW267)+1)</f>
        <v/>
      </c>
      <c r="AA267" t="inlineStr">
        <is>
          <t>N</t>
        </is>
      </c>
      <c r="AD267" t="inlineStr">
        <is>
          <t>none</t>
        </is>
      </c>
      <c r="AH267" t="inlineStr">
        <is>
          <t>none</t>
        </is>
      </c>
      <c r="AI267" t="inlineStr">
        <is>
          <t>4 Irving Place</t>
        </is>
      </c>
      <c r="AJ267" t="inlineStr">
        <is>
          <t>unknown</t>
        </is>
      </c>
      <c r="AK267" t="inlineStr">
        <is>
          <t>occupied</t>
        </is>
      </c>
      <c r="AL267" t="n">
        <v>347</v>
      </c>
      <c r="AM267" t="n">
        <v>6945</v>
      </c>
      <c r="AN267" t="inlineStr">
        <is>
          <t>low</t>
        </is>
      </c>
      <c r="AO267" t="inlineStr">
        <is>
          <t>unknown</t>
        </is>
      </c>
      <c r="AP267" t="inlineStr">
        <is>
          <t>AO-C-181</t>
        </is>
      </c>
      <c r="AQ267" t="inlineStr">
        <is>
          <t>N</t>
        </is>
      </c>
      <c r="AT267">
        <f>IF(AND(AX267="pass",AQ267&lt;&gt;"Y",C267&lt;&gt;"",OR(AW267&lt;&gt;"Y",AV267="Y")),"Y","N")</f>
        <v/>
      </c>
      <c r="AU267">
        <f>_xlfn.TEXTJOIN("; ",TRUE,IF(AX267&lt;&gt;"pass","gated out",""),IF(AQ267="Y","on hold: "&amp;AR267,""),IF(C267="","no contact named on an opened page",""),IF(AND(AW267="Y",AV267&lt;&gt;"Y"),"Tuesday estimate band "&amp;L267&amp;": founder's call",""))</f>
        <v/>
      </c>
      <c r="AW267" t="inlineStr">
        <is>
          <t>Y</t>
        </is>
      </c>
      <c r="AX267" t="inlineStr">
        <is>
          <t>fail</t>
        </is>
      </c>
      <c r="AY267" t="inlineStr">
        <is>
          <t>Tuesday estimate over 250 (347 to 6945)</t>
        </is>
      </c>
      <c r="AZ267" t="inlineStr">
        <is>
          <t>company</t>
        </is>
      </c>
      <c r="BA267" t="inlineStr">
        <is>
          <t>B-C-181</t>
        </is>
      </c>
      <c r="BB267" t="inlineStr">
        <is>
          <t>https://www.coned.com</t>
        </is>
      </c>
      <c r="BC267" t="inlineStr">
        <is>
          <t>energy utility (headquarters)</t>
        </is>
      </c>
      <c r="BD267" t="inlineStr">
        <is>
          <t>15097</t>
        </is>
      </c>
      <c r="BF267" t="inlineStr">
        <is>
          <t>over-500</t>
        </is>
      </c>
      <c r="BG267" t="inlineStr">
        <is>
          <t>whole-company</t>
        </is>
      </c>
      <c r="BH267" t="inlineStr">
        <is>
          <t>single-source</t>
        </is>
      </c>
      <c r="BI267" t="inlineStr">
        <is>
          <t>https://en.wikipedia.org/wiki/Consolidated_Edison</t>
        </is>
      </c>
      <c r="BK267" t="inlineStr">
        <is>
          <t>5000+</t>
        </is>
      </c>
      <c r="BL267" t="inlineStr">
        <is>
          <t>unknown</t>
        </is>
      </c>
      <c r="BM267" t="inlineStr">
        <is>
          <t>unknown</t>
        </is>
      </c>
      <c r="BN267" t="inlineStr">
        <is>
          <t>unknown</t>
        </is>
      </c>
      <c r="BO267" t="inlineStr">
        <is>
          <t>unknown</t>
        </is>
      </c>
      <c r="BP267" t="inlineStr">
        <is>
          <t>10003</t>
        </is>
      </c>
      <c r="BQ267" t="n">
        <v>40.734278</v>
      </c>
      <c r="BR267" t="n">
        <v>-73.988375</v>
      </c>
      <c r="BS267" t="inlineStr">
        <is>
          <t>Y</t>
        </is>
      </c>
      <c r="BT267" t="n">
        <v>0</v>
      </c>
      <c r="BV267" t="inlineStr">
        <is>
          <t>unknown</t>
        </is>
      </c>
      <c r="BW267" t="inlineStr">
        <is>
          <t>https://en.wikipedia.org/wiki/Consolidated_Edison_Building</t>
        </is>
      </c>
      <c r="BX267" t="inlineStr">
        <is>
          <t>2026-10-23</t>
        </is>
      </c>
      <c r="BY267" t="inlineStr">
        <is>
          <t>wikipedia</t>
        </is>
      </c>
      <c r="CC267" t="inlineStr">
        <is>
          <t>medium</t>
        </is>
      </c>
      <c r="CE267" t="inlineStr">
        <is>
          <t>N</t>
        </is>
      </c>
      <c r="CH267" t="inlineStr">
        <is>
          <t>unknown</t>
        </is>
      </c>
      <c r="CJ267" t="inlineStr">
        <is>
          <t>unknown</t>
        </is>
      </c>
      <c r="CK267" t="inlineStr">
        <is>
          <t>N</t>
        </is>
      </c>
      <c r="CL267" t="inlineStr">
        <is>
          <t>unknown</t>
        </is>
      </c>
      <c r="CO267" t="n">
        <v>1552</v>
      </c>
      <c r="CP267" t="inlineStr">
        <is>
          <t>over-250</t>
        </is>
      </c>
      <c r="CQ267" t="inlineStr">
        <is>
          <t>15097 (Wikipedia) staff (whole-company count) x 5% to 100% of them in the New York office (HQ city unknown; share assumed) x 46% (Partnership for NYC, firms over 5,000) in on a weekday = 347 to 6945, central 1552; low confidence; estimate until intake replaces it.</t>
        </is>
      </c>
      <c r="CR267" t="inlineStr">
        <is>
          <t>estimate until intake replaces it</t>
        </is>
      </c>
      <c r="CS267" t="n">
        <v>0</v>
      </c>
      <c r="CT267" t="n">
        <v>19</v>
      </c>
      <c r="CU267" t="n">
        <v>0</v>
      </c>
      <c r="CV267" t="n">
        <v>0</v>
      </c>
      <c r="CW267" t="n">
        <v>6</v>
      </c>
      <c r="CX267" t="n">
        <v>13</v>
      </c>
      <c r="CY267">
        <f>IF(AH267="exact",10,IF(AH267="adjacent",5,0))</f>
        <v/>
      </c>
      <c r="CZ267">
        <f>IF(R267="Y",15,0)</f>
        <v/>
      </c>
      <c r="DF267" t="inlineStr">
        <is>
          <t>none</t>
        </is>
      </c>
      <c r="DG267" t="inlineStr">
        <is>
          <t>near-miss-over-500</t>
        </is>
      </c>
      <c r="DH267" t="inlineStr">
        <is>
          <t>not-near (5,000 or more)</t>
        </is>
      </c>
      <c r="DI267" t="inlineStr">
        <is>
          <t>N</t>
        </is>
      </c>
      <c r="DK267" t="inlineStr">
        <is>
          <t>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is>
      </c>
      <c r="DS267" t="inlineStr">
        <is>
          <t>none</t>
        </is>
      </c>
      <c r="DX267" t="inlineStr">
        <is>
          <t>N</t>
        </is>
      </c>
      <c r="ER267">
        <f>IF(ISNUMBER(MATCH(U267,{"queued","contacted","replied","call_booked","call_done","yes_in_principle","materials_sent"},0)),"Y","N")</f>
        <v/>
      </c>
      <c r="ES267">
        <f>IF(COUNTIFS($AP$2:$AP$1000,AP267,$ER$2:$ER$1000,"Y")+COUNTIFS($AP$2:$AP$1000,AP267,$T$2:$T$1000,"Y")&gt;0,"Y","N")</f>
        <v/>
      </c>
      <c r="ET267">
        <f>IF(AND(U267="new",T267="N",AT267="Y",AS267="",ES267="N"),"Y","N")</f>
        <v/>
      </c>
      <c r="EU267">
        <f>IF(ET267&lt;&gt;"Y","N",IF(COUNTIFS($AP$2:$AP$1000,AP267,$ET$2:$ET$1000,"Y",$J$2:$J$1000,"&gt;"&amp;J267)+COUNTIFS($AP$2:$AP$1000,AP267,$ET$2:$ET$1000,"Y",$J$2:$J$1000,J267,$EW$2:$EW$1000,"&lt;"&amp;EW267)=0,"Y","N"))</f>
        <v/>
      </c>
      <c r="EV267">
        <f>IF(Y267="","N",IF(Y267&lt;=10,"Y","N"))</f>
        <v/>
      </c>
      <c r="EW267">
        <f>ROW()-1</f>
        <v/>
      </c>
    </row>
    <row r="268">
      <c r="A268" t="inlineStr">
        <is>
          <t>AO-C-229</t>
        </is>
      </c>
      <c r="B268" t="inlineStr">
        <is>
          <t>DoorDash</t>
        </is>
      </c>
      <c r="H268" t="inlineStr">
        <is>
          <t>none</t>
        </is>
      </c>
      <c r="I268" t="inlineStr">
        <is>
          <t>linkedin</t>
        </is>
      </c>
      <c r="J268">
        <f>IF(AX268="pass",ROUND(CU268+CV268+CW268+CX268+CY268+CZ268,1),0)</f>
        <v/>
      </c>
      <c r="K268" t="inlineStr">
        <is>
          <t>Gated out: Tuesday estimate over 250 (722 to 14444).</t>
        </is>
      </c>
      <c r="L268" t="inlineStr">
        <is>
          <t>over-500</t>
        </is>
      </c>
      <c r="R268" t="inlineStr">
        <is>
          <t>N</t>
        </is>
      </c>
      <c r="S268" t="inlineStr">
        <is>
          <t>unknown</t>
        </is>
      </c>
      <c r="T268" t="inlineStr">
        <is>
          <t>N</t>
        </is>
      </c>
      <c r="U268" t="inlineStr">
        <is>
          <t>new</t>
        </is>
      </c>
      <c r="V268" t="inlineStr">
        <is>
          <t>https://therealdeal.com/new-york/2025/04/03/bxps-200-fifth-avenue-lands-law-firm-tenant</t>
        </is>
      </c>
      <c r="W268" t="inlineStr">
        <is>
          <t>2026-10-23</t>
        </is>
      </c>
      <c r="X268" t="inlineStr">
        <is>
          <t>office</t>
        </is>
      </c>
      <c r="Y268">
        <f>IF(EU268&lt;&gt;"Y","",COUNTIFS($EU$2:$EU$1000,"Y",$J$2:$J$1000,"&gt;"&amp;J268)+COUNTIFS($EU$2:$EU$1000,"Y",$J$2:$J$1000,J268,$EW$2:$EW$1000,"&lt;"&amp;EW268)+1)</f>
        <v/>
      </c>
      <c r="AA268" t="inlineStr">
        <is>
          <t>N</t>
        </is>
      </c>
      <c r="AD268" t="inlineStr">
        <is>
          <t>none</t>
        </is>
      </c>
      <c r="AH268" t="inlineStr">
        <is>
          <t>none</t>
        </is>
      </c>
      <c r="AI268" t="inlineStr">
        <is>
          <t>200 Fifth Avenue</t>
        </is>
      </c>
      <c r="AJ268" t="inlineStr">
        <is>
          <t>unknown</t>
        </is>
      </c>
      <c r="AK268" t="inlineStr">
        <is>
          <t>occupied</t>
        </is>
      </c>
      <c r="AL268" t="n">
        <v>722</v>
      </c>
      <c r="AM268" t="n">
        <v>14444</v>
      </c>
      <c r="AN268" t="inlineStr">
        <is>
          <t>low</t>
        </is>
      </c>
      <c r="AO268" t="inlineStr">
        <is>
          <t>unknown</t>
        </is>
      </c>
      <c r="AP268" t="inlineStr">
        <is>
          <t>AO-C-229</t>
        </is>
      </c>
      <c r="AQ268" t="inlineStr">
        <is>
          <t>N</t>
        </is>
      </c>
      <c r="AT268">
        <f>IF(AND(AX268="pass",AQ268&lt;&gt;"Y",C268&lt;&gt;"",OR(AW268&lt;&gt;"Y",AV268="Y")),"Y","N")</f>
        <v/>
      </c>
      <c r="AU268">
        <f>_xlfn.TEXTJOIN("; ",TRUE,IF(AX268&lt;&gt;"pass","gated out",""),IF(AQ268="Y","on hold: "&amp;AR268,""),IF(C268="","no contact named on an opened page",""),IF(AND(AW268="Y",AV268&lt;&gt;"Y"),"Tuesday estimate band "&amp;L268&amp;": founder's call",""))</f>
        <v/>
      </c>
      <c r="AW268" t="inlineStr">
        <is>
          <t>Y</t>
        </is>
      </c>
      <c r="AX268" t="inlineStr">
        <is>
          <t>fail</t>
        </is>
      </c>
      <c r="AY268" t="inlineStr">
        <is>
          <t>Tuesday estimate over 250 (722 to 14444)</t>
        </is>
      </c>
      <c r="AZ268" t="inlineStr">
        <is>
          <t>company</t>
        </is>
      </c>
      <c r="BA268" t="inlineStr">
        <is>
          <t>B-C-229</t>
        </is>
      </c>
      <c r="BB268" t="inlineStr">
        <is>
          <t>https://www.doordash.com/</t>
        </is>
      </c>
      <c r="BC268" t="inlineStr">
        <is>
          <t>Delivery technology</t>
        </is>
      </c>
      <c r="BD268" t="inlineStr">
        <is>
          <t>31400</t>
        </is>
      </c>
      <c r="BF268" t="inlineStr">
        <is>
          <t>over-500</t>
        </is>
      </c>
      <c r="BG268" t="inlineStr">
        <is>
          <t>whole-company</t>
        </is>
      </c>
      <c r="BH268" t="inlineStr">
        <is>
          <t>single-source</t>
        </is>
      </c>
      <c r="BI268" t="inlineStr">
        <is>
          <t>https://en.wikipedia.org/wiki/DoorDash</t>
        </is>
      </c>
      <c r="BK268" t="inlineStr">
        <is>
          <t>5000+</t>
        </is>
      </c>
      <c r="BL268" t="inlineStr">
        <is>
          <t>unknown</t>
        </is>
      </c>
      <c r="BM268" t="inlineStr">
        <is>
          <t>unknown</t>
        </is>
      </c>
      <c r="BN268" t="inlineStr">
        <is>
          <t>unknown</t>
        </is>
      </c>
      <c r="BO268" t="inlineStr">
        <is>
          <t>unknown</t>
        </is>
      </c>
      <c r="BP268" t="inlineStr">
        <is>
          <t>10010</t>
        </is>
      </c>
      <c r="BQ268" t="n">
        <v>40.741986</v>
      </c>
      <c r="BR268" t="n">
        <v>-73.98947699999999</v>
      </c>
      <c r="BS268" t="inlineStr">
        <is>
          <t>Y</t>
        </is>
      </c>
      <c r="BT268" t="n">
        <v>0</v>
      </c>
      <c r="BV268" t="inlineStr">
        <is>
          <t>unknown</t>
        </is>
      </c>
      <c r="BW268" t="inlineStr">
        <is>
          <t>https://therealdeal.com/new-york/2025/04/03/bxps-200-fifth-avenue-lands-law-firm-tenant</t>
        </is>
      </c>
      <c r="BX268" t="inlineStr">
        <is>
          <t>2025-04-03</t>
        </is>
      </c>
      <c r="BY268" t="inlineStr">
        <is>
          <t>leasing-press</t>
        </is>
      </c>
      <c r="CC268" t="inlineStr">
        <is>
          <t>medium</t>
        </is>
      </c>
      <c r="CE268" t="inlineStr">
        <is>
          <t>N</t>
        </is>
      </c>
      <c r="CH268" t="inlineStr">
        <is>
          <t>unknown</t>
        </is>
      </c>
      <c r="CJ268" t="inlineStr">
        <is>
          <t>unknown</t>
        </is>
      </c>
      <c r="CK268" t="inlineStr">
        <is>
          <t>N</t>
        </is>
      </c>
      <c r="CL268" t="inlineStr">
        <is>
          <t>unknown</t>
        </is>
      </c>
      <c r="CO268" t="n">
        <v>3229</v>
      </c>
      <c r="CP268" t="inlineStr">
        <is>
          <t>over-250</t>
        </is>
      </c>
      <c r="CQ268" t="inlineStr">
        <is>
          <t>31400 (Wikipedia) staff (whole-company count) x 5% to 100% of them in the New York office (HQ city unknown; share assumed) x 46% (Partnership for NYC, firms over 5,000) in on a weekday = 722 to 14444, central 3229; low confidence; estimate until intake replaces it.</t>
        </is>
      </c>
      <c r="CR268" t="inlineStr">
        <is>
          <t>estimate until intake replaces it</t>
        </is>
      </c>
      <c r="CS268" t="n">
        <v>0</v>
      </c>
      <c r="CT268" t="n">
        <v>19</v>
      </c>
      <c r="CU268" t="n">
        <v>0</v>
      </c>
      <c r="CV268" t="n">
        <v>0</v>
      </c>
      <c r="CW268" t="n">
        <v>6</v>
      </c>
      <c r="CX268" t="n">
        <v>13</v>
      </c>
      <c r="CY268">
        <f>IF(AH268="exact",10,IF(AH268="adjacent",5,0))</f>
        <v/>
      </c>
      <c r="CZ268">
        <f>IF(R268="Y",15,0)</f>
        <v/>
      </c>
      <c r="DF268" t="inlineStr">
        <is>
          <t>none</t>
        </is>
      </c>
      <c r="DG268" t="inlineStr">
        <is>
          <t>near-miss-over-500</t>
        </is>
      </c>
      <c r="DH268" t="inlineStr">
        <is>
          <t>not-near (5,000 or more)</t>
        </is>
      </c>
      <c r="DI268" t="inlineStr">
        <is>
          <t>N</t>
        </is>
      </c>
      <c r="DJ268" t="inlineStr">
        <is>
          <t>115,000 sf</t>
        </is>
      </c>
      <c r="DK268" t="inlineStr">
        <is>
          <t>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is>
      </c>
      <c r="DS268" t="inlineStr">
        <is>
          <t>none</t>
        </is>
      </c>
      <c r="DX268" t="inlineStr">
        <is>
          <t>N</t>
        </is>
      </c>
      <c r="ER268">
        <f>IF(ISNUMBER(MATCH(U268,{"queued","contacted","replied","call_booked","call_done","yes_in_principle","materials_sent"},0)),"Y","N")</f>
        <v/>
      </c>
      <c r="ES268">
        <f>IF(COUNTIFS($AP$2:$AP$1000,AP268,$ER$2:$ER$1000,"Y")+COUNTIFS($AP$2:$AP$1000,AP268,$T$2:$T$1000,"Y")&gt;0,"Y","N")</f>
        <v/>
      </c>
      <c r="ET268">
        <f>IF(AND(U268="new",T268="N",AT268="Y",AS268="",ES268="N"),"Y","N")</f>
        <v/>
      </c>
      <c r="EU268">
        <f>IF(ET268&lt;&gt;"Y","N",IF(COUNTIFS($AP$2:$AP$1000,AP268,$ET$2:$ET$1000,"Y",$J$2:$J$1000,"&gt;"&amp;J268)+COUNTIFS($AP$2:$AP$1000,AP268,$ET$2:$ET$1000,"Y",$J$2:$J$1000,J268,$EW$2:$EW$1000,"&lt;"&amp;EW268)=0,"Y","N"))</f>
        <v/>
      </c>
      <c r="EV268">
        <f>IF(Y268="","N",IF(Y268&lt;=10,"Y","N"))</f>
        <v/>
      </c>
      <c r="EW268">
        <f>ROW()-1</f>
        <v/>
      </c>
    </row>
    <row r="269">
      <c r="A269" t="inlineStr">
        <is>
          <t>AO-C-235</t>
        </is>
      </c>
      <c r="B269" t="inlineStr">
        <is>
          <t>Flutter Entertainment</t>
        </is>
      </c>
      <c r="H269" t="inlineStr">
        <is>
          <t>none</t>
        </is>
      </c>
      <c r="I269" t="inlineStr">
        <is>
          <t>linkedin</t>
        </is>
      </c>
      <c r="J269">
        <f>IF(AX269="pass",ROUND(CU269+CV269+CW269+CX269+CY269+CZ269,1),0)</f>
        <v/>
      </c>
      <c r="K269" t="inlineStr">
        <is>
          <t>Gated out: Tuesday estimate over 250 (629 to 12579).</t>
        </is>
      </c>
      <c r="L269" t="inlineStr">
        <is>
          <t>over-500</t>
        </is>
      </c>
      <c r="R269" t="inlineStr">
        <is>
          <t>N</t>
        </is>
      </c>
      <c r="S269" t="inlineStr">
        <is>
          <t>unknown</t>
        </is>
      </c>
      <c r="T269" t="inlineStr">
        <is>
          <t>N</t>
        </is>
      </c>
      <c r="U269" t="inlineStr">
        <is>
          <t>new</t>
        </is>
      </c>
      <c r="V269" t="inlineStr">
        <is>
          <t>https://slgreen.com/sl-green-signs-new-64000-square-foot-lease-with-sigma-computing-at-one-madison-avenue/</t>
        </is>
      </c>
      <c r="W269" t="inlineStr">
        <is>
          <t>2026-10-23</t>
        </is>
      </c>
      <c r="X269" t="inlineStr">
        <is>
          <t>office</t>
        </is>
      </c>
      <c r="Y269">
        <f>IF(EU269&lt;&gt;"Y","",COUNTIFS($EU$2:$EU$1000,"Y",$J$2:$J$1000,"&gt;"&amp;J269)+COUNTIFS($EU$2:$EU$1000,"Y",$J$2:$J$1000,J269,$EW$2:$EW$1000,"&lt;"&amp;EW269)+1)</f>
        <v/>
      </c>
      <c r="AA269" t="inlineStr">
        <is>
          <t>N</t>
        </is>
      </c>
      <c r="AD269" t="inlineStr">
        <is>
          <t>none</t>
        </is>
      </c>
      <c r="AH269" t="inlineStr">
        <is>
          <t>none</t>
        </is>
      </c>
      <c r="AI269" t="inlineStr">
        <is>
          <t>1 Madison Avenue</t>
        </is>
      </c>
      <c r="AJ269" t="inlineStr">
        <is>
          <t>unknown</t>
        </is>
      </c>
      <c r="AK269" t="inlineStr">
        <is>
          <t>occupied</t>
        </is>
      </c>
      <c r="AL269" t="n">
        <v>629</v>
      </c>
      <c r="AM269" t="n">
        <v>12579</v>
      </c>
      <c r="AN269" t="inlineStr">
        <is>
          <t>low</t>
        </is>
      </c>
      <c r="AO269" t="inlineStr">
        <is>
          <t>unknown</t>
        </is>
      </c>
      <c r="AP269" t="inlineStr">
        <is>
          <t>AO-C-235</t>
        </is>
      </c>
      <c r="AQ269" t="inlineStr">
        <is>
          <t>N</t>
        </is>
      </c>
      <c r="AT269">
        <f>IF(AND(AX269="pass",AQ269&lt;&gt;"Y",C269&lt;&gt;"",OR(AW269&lt;&gt;"Y",AV269="Y")),"Y","N")</f>
        <v/>
      </c>
      <c r="AU269">
        <f>_xlfn.TEXTJOIN("; ",TRUE,IF(AX269&lt;&gt;"pass","gated out",""),IF(AQ269="Y","on hold: "&amp;AR269,""),IF(C269="","no contact named on an opened page",""),IF(AND(AW269="Y",AV269&lt;&gt;"Y"),"Tuesday estimate band "&amp;L269&amp;": founder's call",""))</f>
        <v/>
      </c>
      <c r="AW269" t="inlineStr">
        <is>
          <t>Y</t>
        </is>
      </c>
      <c r="AX269" t="inlineStr">
        <is>
          <t>fail</t>
        </is>
      </c>
      <c r="AY269" t="inlineStr">
        <is>
          <t>Tuesday estimate over 250 (629 to 12579)</t>
        </is>
      </c>
      <c r="AZ269" t="inlineStr">
        <is>
          <t>company</t>
        </is>
      </c>
      <c r="BA269" t="inlineStr">
        <is>
          <t>B-C-235</t>
        </is>
      </c>
      <c r="BB269" t="inlineStr">
        <is>
          <t>https://www.flutter.com/</t>
        </is>
      </c>
      <c r="BC269" t="inlineStr">
        <is>
          <t>Sports betting / gaming (FanDuel parent)</t>
        </is>
      </c>
      <c r="BD269" t="inlineStr">
        <is>
          <t>27345</t>
        </is>
      </c>
      <c r="BF269" t="inlineStr">
        <is>
          <t>over-500</t>
        </is>
      </c>
      <c r="BG269" t="inlineStr">
        <is>
          <t>whole-company</t>
        </is>
      </c>
      <c r="BH269" t="inlineStr">
        <is>
          <t>single-source</t>
        </is>
      </c>
      <c r="BI269" t="inlineStr">
        <is>
          <t>https://en.wikipedia.org/wiki/Flutter_Entertainment</t>
        </is>
      </c>
      <c r="BK269" t="inlineStr">
        <is>
          <t>5000+</t>
        </is>
      </c>
      <c r="BL269" t="inlineStr">
        <is>
          <t>unknown</t>
        </is>
      </c>
      <c r="BM269" t="inlineStr">
        <is>
          <t>unknown</t>
        </is>
      </c>
      <c r="BN269" t="inlineStr">
        <is>
          <t>unknown</t>
        </is>
      </c>
      <c r="BO269" t="inlineStr">
        <is>
          <t>unknown</t>
        </is>
      </c>
      <c r="BP269" t="inlineStr">
        <is>
          <t>10010</t>
        </is>
      </c>
      <c r="BQ269" t="n">
        <v>40.741141</v>
      </c>
      <c r="BR269" t="n">
        <v>-73.987489</v>
      </c>
      <c r="BS269" t="inlineStr">
        <is>
          <t>Y</t>
        </is>
      </c>
      <c r="BT269" t="n">
        <v>0</v>
      </c>
      <c r="BV269" t="inlineStr">
        <is>
          <t>unknown</t>
        </is>
      </c>
      <c r="BW269" t="inlineStr">
        <is>
          <t>https://slgreen.com/sl-green-signs-new-64000-square-foot-lease-with-sigma-computing-at-one-madison-avenue/</t>
        </is>
      </c>
      <c r="BX269" t="inlineStr">
        <is>
          <t>2025-07-16</t>
        </is>
      </c>
      <c r="BY269" t="inlineStr">
        <is>
          <t>press-release</t>
        </is>
      </c>
      <c r="CC269" t="inlineStr">
        <is>
          <t>medium</t>
        </is>
      </c>
      <c r="CE269" t="inlineStr">
        <is>
          <t>N</t>
        </is>
      </c>
      <c r="CH269" t="inlineStr">
        <is>
          <t>unknown</t>
        </is>
      </c>
      <c r="CJ269" t="inlineStr">
        <is>
          <t>unknown</t>
        </is>
      </c>
      <c r="CK269" t="inlineStr">
        <is>
          <t>N</t>
        </is>
      </c>
      <c r="CL269" t="inlineStr">
        <is>
          <t>unknown</t>
        </is>
      </c>
      <c r="CO269" t="n">
        <v>2813</v>
      </c>
      <c r="CP269" t="inlineStr">
        <is>
          <t>over-250</t>
        </is>
      </c>
      <c r="CQ269" t="inlineStr">
        <is>
          <t>27345 (Wikipedia) staff (whole-company count) x 5% to 100% of them in the New York office (HQ city unknown; share assumed) x 46% (Partnership for NYC, firms over 5,000) in on a weekday = 629 to 12579, central 2813; low confidence; estimate until intake replaces it.</t>
        </is>
      </c>
      <c r="CR269" t="inlineStr">
        <is>
          <t>estimate until intake replaces it</t>
        </is>
      </c>
      <c r="CS269" t="n">
        <v>0</v>
      </c>
      <c r="CT269" t="n">
        <v>19</v>
      </c>
      <c r="CU269" t="n">
        <v>0</v>
      </c>
      <c r="CV269" t="n">
        <v>0</v>
      </c>
      <c r="CW269" t="n">
        <v>6</v>
      </c>
      <c r="CX269" t="n">
        <v>13</v>
      </c>
      <c r="CY269">
        <f>IF(AH269="exact",10,IF(AH269="adjacent",5,0))</f>
        <v/>
      </c>
      <c r="CZ269">
        <f>IF(R269="Y",15,0)</f>
        <v/>
      </c>
      <c r="DF269" t="inlineStr">
        <is>
          <t>none</t>
        </is>
      </c>
      <c r="DG269" t="inlineStr">
        <is>
          <t>near-miss-over-500</t>
        </is>
      </c>
      <c r="DH269" t="inlineStr">
        <is>
          <t>not-near (5,000 or more)</t>
        </is>
      </c>
      <c r="DI269" t="inlineStr">
        <is>
          <t>N</t>
        </is>
      </c>
      <c r="DK269" t="inlineStr">
        <is>
          <t>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S269" t="inlineStr">
        <is>
          <t>none</t>
        </is>
      </c>
      <c r="DX269" t="inlineStr">
        <is>
          <t>N</t>
        </is>
      </c>
      <c r="ER269">
        <f>IF(ISNUMBER(MATCH(U269,{"queued","contacted","replied","call_booked","call_done","yes_in_principle","materials_sent"},0)),"Y","N")</f>
        <v/>
      </c>
      <c r="ES269">
        <f>IF(COUNTIFS($AP$2:$AP$1000,AP269,$ER$2:$ER$1000,"Y")+COUNTIFS($AP$2:$AP$1000,AP269,$T$2:$T$1000,"Y")&gt;0,"Y","N")</f>
        <v/>
      </c>
      <c r="ET269">
        <f>IF(AND(U269="new",T269="N",AT269="Y",AS269="",ES269="N"),"Y","N")</f>
        <v/>
      </c>
      <c r="EU269">
        <f>IF(ET269&lt;&gt;"Y","N",IF(COUNTIFS($AP$2:$AP$1000,AP269,$ET$2:$ET$1000,"Y",$J$2:$J$1000,"&gt;"&amp;J269)+COUNTIFS($AP$2:$AP$1000,AP269,$ET$2:$ET$1000,"Y",$J$2:$J$1000,J269,$EW$2:$EW$1000,"&lt;"&amp;EW269)=0,"Y","N"))</f>
        <v/>
      </c>
      <c r="EV269">
        <f>IF(Y269="","N",IF(Y269&lt;=10,"Y","N"))</f>
        <v/>
      </c>
      <c r="EW269">
        <f>ROW()-1</f>
        <v/>
      </c>
    </row>
    <row r="270">
      <c r="A270" t="inlineStr">
        <is>
          <t>AO-C-231</t>
        </is>
      </c>
      <c r="B270" t="inlineStr">
        <is>
          <t>Grey Group</t>
        </is>
      </c>
      <c r="H270" t="inlineStr">
        <is>
          <t>none</t>
        </is>
      </c>
      <c r="I270" t="inlineStr">
        <is>
          <t>linkedin</t>
        </is>
      </c>
      <c r="J270">
        <f>IF(AX270="pass",ROUND(CU270+CV270+CW270+CX270+CY270+CZ270,1),0)</f>
        <v/>
      </c>
      <c r="K270" t="inlineStr">
        <is>
          <t>Gated out: Tuesday estimate over 250 (894 to 1788).</t>
        </is>
      </c>
      <c r="L270" t="inlineStr">
        <is>
          <t>over-500</t>
        </is>
      </c>
      <c r="R270" t="inlineStr">
        <is>
          <t>N</t>
        </is>
      </c>
      <c r="S270" t="inlineStr">
        <is>
          <t>unknown</t>
        </is>
      </c>
      <c r="T270" t="inlineStr">
        <is>
          <t>N</t>
        </is>
      </c>
      <c r="U270" t="inlineStr">
        <is>
          <t>new</t>
        </is>
      </c>
      <c r="V270" t="inlineStr">
        <is>
          <t>https://therealdeal.com/new-york/2025/04/03/bxps-200-fifth-avenue-lands-law-firm-tenant</t>
        </is>
      </c>
      <c r="W270" t="inlineStr">
        <is>
          <t>2026-10-23</t>
        </is>
      </c>
      <c r="X270" t="inlineStr">
        <is>
          <t>office</t>
        </is>
      </c>
      <c r="Y270">
        <f>IF(EU270&lt;&gt;"Y","",COUNTIFS($EU$2:$EU$1000,"Y",$J$2:$J$1000,"&gt;"&amp;J270)+COUNTIFS($EU$2:$EU$1000,"Y",$J$2:$J$1000,J270,$EW$2:$EW$1000,"&lt;"&amp;EW270)+1)</f>
        <v/>
      </c>
      <c r="AA270" t="inlineStr">
        <is>
          <t>N</t>
        </is>
      </c>
      <c r="AD270" t="inlineStr">
        <is>
          <t>none</t>
        </is>
      </c>
      <c r="AH270" t="inlineStr">
        <is>
          <t>none</t>
        </is>
      </c>
      <c r="AI270" t="inlineStr">
        <is>
          <t>200 Fifth Avenue</t>
        </is>
      </c>
      <c r="AJ270" t="inlineStr">
        <is>
          <t>unknown</t>
        </is>
      </c>
      <c r="AK270" t="inlineStr">
        <is>
          <t>occupied</t>
        </is>
      </c>
      <c r="AL270" t="n">
        <v>894</v>
      </c>
      <c r="AM270" t="n">
        <v>1788</v>
      </c>
      <c r="AN270" t="inlineStr">
        <is>
          <t>low</t>
        </is>
      </c>
      <c r="AO270" t="inlineStr">
        <is>
          <t>unknown</t>
        </is>
      </c>
      <c r="AP270" t="inlineStr">
        <is>
          <t>AO-C-231</t>
        </is>
      </c>
      <c r="AQ270" t="inlineStr">
        <is>
          <t>N</t>
        </is>
      </c>
      <c r="AT270">
        <f>IF(AND(AX270="pass",AQ270&lt;&gt;"Y",C270&lt;&gt;"",OR(AW270&lt;&gt;"Y",AV270="Y")),"Y","N")</f>
        <v/>
      </c>
      <c r="AU270">
        <f>_xlfn.TEXTJOIN("; ",TRUE,IF(AX270&lt;&gt;"pass","gated out",""),IF(AQ270="Y","on hold: "&amp;AR270,""),IF(C270="","no contact named on an opened page",""),IF(AND(AW270="Y",AV270&lt;&gt;"Y"),"Tuesday estimate band "&amp;L270&amp;": founder's call",""))</f>
        <v/>
      </c>
      <c r="AW270" t="inlineStr">
        <is>
          <t>Y</t>
        </is>
      </c>
      <c r="AX270" t="inlineStr">
        <is>
          <t>fail</t>
        </is>
      </c>
      <c r="AY270" t="inlineStr">
        <is>
          <t>Tuesday estimate over 250 (894 to 1788)</t>
        </is>
      </c>
      <c r="AZ270" t="inlineStr">
        <is>
          <t>company</t>
        </is>
      </c>
      <c r="BA270" t="inlineStr">
        <is>
          <t>B-C-231</t>
        </is>
      </c>
      <c r="BB270" t="inlineStr">
        <is>
          <t>https://www.grey.com/</t>
        </is>
      </c>
      <c r="BC270" t="inlineStr">
        <is>
          <t>Advertising agency</t>
        </is>
      </c>
      <c r="BD270" t="inlineStr">
        <is>
          <t>3137</t>
        </is>
      </c>
      <c r="BF270" t="inlineStr">
        <is>
          <t>over-500</t>
        </is>
      </c>
      <c r="BG270" t="inlineStr">
        <is>
          <t>whole-company</t>
        </is>
      </c>
      <c r="BH270" t="inlineStr">
        <is>
          <t>single-source</t>
        </is>
      </c>
      <c r="BI270" t="inlineStr">
        <is>
          <t>https://www.builtinnyc.com/company/grey-group/offices</t>
        </is>
      </c>
      <c r="BK270" t="inlineStr">
        <is>
          <t>1001-4999</t>
        </is>
      </c>
      <c r="BL270" t="inlineStr">
        <is>
          <t>New York</t>
        </is>
      </c>
      <c r="BM270" t="inlineStr">
        <is>
          <t>Y</t>
        </is>
      </c>
      <c r="BN270" t="inlineStr">
        <is>
          <t>unknown</t>
        </is>
      </c>
      <c r="BO270" t="inlineStr">
        <is>
          <t>unknown</t>
        </is>
      </c>
      <c r="BP270" t="inlineStr">
        <is>
          <t>10010</t>
        </is>
      </c>
      <c r="BQ270" t="n">
        <v>40.741986</v>
      </c>
      <c r="BR270" t="n">
        <v>-73.98947699999999</v>
      </c>
      <c r="BS270" t="inlineStr">
        <is>
          <t>Y</t>
        </is>
      </c>
      <c r="BT270" t="n">
        <v>0</v>
      </c>
      <c r="BV270" t="inlineStr">
        <is>
          <t>unknown</t>
        </is>
      </c>
      <c r="BW270" t="inlineStr">
        <is>
          <t>https://therealdeal.com/new-york/2025/04/03/bxps-200-fifth-avenue-lands-law-firm-tenant</t>
        </is>
      </c>
      <c r="BX270" t="inlineStr">
        <is>
          <t>2025-04-03</t>
        </is>
      </c>
      <c r="BY270" t="inlineStr">
        <is>
          <t>leasing-press</t>
        </is>
      </c>
      <c r="CC270" t="inlineStr">
        <is>
          <t>medium</t>
        </is>
      </c>
      <c r="CE270" t="inlineStr">
        <is>
          <t>N</t>
        </is>
      </c>
      <c r="CH270" t="inlineStr">
        <is>
          <t>unknown</t>
        </is>
      </c>
      <c r="CJ270" t="inlineStr">
        <is>
          <t>unknown</t>
        </is>
      </c>
      <c r="CK270" t="inlineStr">
        <is>
          <t>N</t>
        </is>
      </c>
      <c r="CL270" t="inlineStr">
        <is>
          <t>unknown</t>
        </is>
      </c>
      <c r="CO270" t="n">
        <v>1264</v>
      </c>
      <c r="CP270" t="inlineStr">
        <is>
          <t>over-250</t>
        </is>
      </c>
      <c r="CQ270" t="inlineStr">
        <is>
          <t>3137 (Built In) staff (whole-company count) x 50% to 100% of them in the New York office (HQ New York; share assumed) x 57% (Partnership for NYC, all Manhattan firms; no figure for 500 to 4,999) in on a weekday = 894 to 1788, central 1264; low confidence; estimate until intake replaces it.</t>
        </is>
      </c>
      <c r="CR270" t="inlineStr">
        <is>
          <t>estimate until intake replaces it</t>
        </is>
      </c>
      <c r="CS270" t="n">
        <v>0</v>
      </c>
      <c r="CT270" t="n">
        <v>21</v>
      </c>
      <c r="CU270" t="n">
        <v>0</v>
      </c>
      <c r="CV270" t="n">
        <v>2</v>
      </c>
      <c r="CW270" t="n">
        <v>6</v>
      </c>
      <c r="CX270" t="n">
        <v>13</v>
      </c>
      <c r="CY270">
        <f>IF(AH270="exact",10,IF(AH270="adjacent",5,0))</f>
        <v/>
      </c>
      <c r="CZ270">
        <f>IF(R270="Y",15,0)</f>
        <v/>
      </c>
      <c r="DF270" t="inlineStr">
        <is>
          <t>none</t>
        </is>
      </c>
      <c r="DG270" t="inlineStr">
        <is>
          <t>near-miss-over-500</t>
        </is>
      </c>
      <c r="DH270" t="inlineStr">
        <is>
          <t>over-1,000 (1,001 to 4,999)</t>
        </is>
      </c>
      <c r="DI270" t="inlineStr">
        <is>
          <t>N</t>
        </is>
      </c>
      <c r="DK270" t="inlineStr">
        <is>
          <t>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is>
      </c>
      <c r="DS270" t="inlineStr">
        <is>
          <t>none</t>
        </is>
      </c>
      <c r="DX270" t="inlineStr">
        <is>
          <t>N</t>
        </is>
      </c>
      <c r="ER270">
        <f>IF(ISNUMBER(MATCH(U270,{"queued","contacted","replied","call_booked","call_done","yes_in_principle","materials_sent"},0)),"Y","N")</f>
        <v/>
      </c>
      <c r="ES270">
        <f>IF(COUNTIFS($AP$2:$AP$1000,AP270,$ER$2:$ER$1000,"Y")+COUNTIFS($AP$2:$AP$1000,AP270,$T$2:$T$1000,"Y")&gt;0,"Y","N")</f>
        <v/>
      </c>
      <c r="ET270">
        <f>IF(AND(U270="new",T270="N",AT270="Y",AS270="",ES270="N"),"Y","N")</f>
        <v/>
      </c>
      <c r="EU270">
        <f>IF(ET270&lt;&gt;"Y","N",IF(COUNTIFS($AP$2:$AP$1000,AP270,$ET$2:$ET$1000,"Y",$J$2:$J$1000,"&gt;"&amp;J270)+COUNTIFS($AP$2:$AP$1000,AP270,$ET$2:$ET$1000,"Y",$J$2:$J$1000,J270,$EW$2:$EW$1000,"&lt;"&amp;EW270)=0,"Y","N"))</f>
        <v/>
      </c>
      <c r="EV270">
        <f>IF(Y270="","N",IF(Y270&lt;=10,"Y","N"))</f>
        <v/>
      </c>
      <c r="EW270">
        <f>ROW()-1</f>
        <v/>
      </c>
    </row>
    <row r="271">
      <c r="A271" t="inlineStr">
        <is>
          <t>AO-C-159</t>
        </is>
      </c>
      <c r="B271" t="inlineStr">
        <is>
          <t>Hanover Park</t>
        </is>
      </c>
      <c r="H271" t="inlineStr">
        <is>
          <t>none</t>
        </is>
      </c>
      <c r="I271" t="inlineStr">
        <is>
          <t>linkedin</t>
        </is>
      </c>
      <c r="J271">
        <f>IF(AX271="pass",ROUND(CU271+CV271+CW271+CX271+CY271+CZ271,1),0)</f>
        <v/>
      </c>
      <c r="K271" t="inlineStr">
        <is>
          <t>Gated out: Tuesday estimate under 30 (14 to 28).</t>
        </is>
      </c>
      <c r="L271" t="inlineStr">
        <is>
          <t>under-40</t>
        </is>
      </c>
      <c r="O271" t="inlineStr">
        <is>
          <t>New or renewed lease at 387 Park Avenue South reported 2026-08-12</t>
        </is>
      </c>
      <c r="P271" t="inlineStr">
        <is>
          <t>https://commercialobserver.com/2026/08/hanover-park-lease-tf-cornerstone-387-park-avenue-south/</t>
        </is>
      </c>
      <c r="Q271" t="inlineStr">
        <is>
          <t>2026-08-12</t>
        </is>
      </c>
      <c r="R271" t="inlineStr">
        <is>
          <t>N</t>
        </is>
      </c>
      <c r="S271" t="inlineStr">
        <is>
          <t>unknown</t>
        </is>
      </c>
      <c r="T271" t="inlineStr">
        <is>
          <t>N</t>
        </is>
      </c>
      <c r="U271" t="inlineStr">
        <is>
          <t>new</t>
        </is>
      </c>
      <c r="V271" t="inlineStr">
        <is>
          <t>https://commercialobserver.com/2026/08/hanover-park-lease-tf-cornerstone-387-park-avenue-south/</t>
        </is>
      </c>
      <c r="W271" t="inlineStr">
        <is>
          <t>2026-10-23</t>
        </is>
      </c>
      <c r="X271" t="inlineStr">
        <is>
          <t>office</t>
        </is>
      </c>
      <c r="Y271">
        <f>IF(EU271&lt;&gt;"Y","",COUNTIFS($EU$2:$EU$1000,"Y",$J$2:$J$1000,"&gt;"&amp;J271)+COUNTIFS($EU$2:$EU$1000,"Y",$J$2:$J$1000,J271,$EW$2:$EW$1000,"&lt;"&amp;EW271)+1)</f>
        <v/>
      </c>
      <c r="AA271" t="inlineStr">
        <is>
          <t>N</t>
        </is>
      </c>
      <c r="AD271" t="inlineStr">
        <is>
          <t>none</t>
        </is>
      </c>
      <c r="AH271" t="inlineStr">
        <is>
          <t>none</t>
        </is>
      </c>
      <c r="AI271" t="inlineStr">
        <is>
          <t>387 Park Avenue South</t>
        </is>
      </c>
      <c r="AJ271" t="inlineStr">
        <is>
          <t>10</t>
        </is>
      </c>
      <c r="AK271" t="inlineStr">
        <is>
          <t>signed-not-occupied</t>
        </is>
      </c>
      <c r="AL271" t="n">
        <v>14</v>
      </c>
      <c r="AM271" t="n">
        <v>28</v>
      </c>
      <c r="AN271" t="inlineStr">
        <is>
          <t>low</t>
        </is>
      </c>
      <c r="AO271" t="inlineStr">
        <is>
          <t>unknown</t>
        </is>
      </c>
      <c r="AP271" t="inlineStr">
        <is>
          <t>AO-C-159</t>
        </is>
      </c>
      <c r="AQ271" t="inlineStr">
        <is>
          <t>Y</t>
        </is>
      </c>
      <c r="AR271" t="inlineStr">
        <is>
          <t>lease signed, move not confirmed: check the lobby directory before outreach (B)</t>
        </is>
      </c>
      <c r="AT271">
        <f>IF(AND(AX271="pass",AQ271&lt;&gt;"Y",C271&lt;&gt;"",OR(AW271&lt;&gt;"Y",AV271="Y")),"Y","N")</f>
        <v/>
      </c>
      <c r="AU271">
        <f>_xlfn.TEXTJOIN("; ",TRUE,IF(AX271&lt;&gt;"pass","gated out",""),IF(AQ271="Y","on hold: "&amp;AR271,""),IF(C271="","no contact named on an opened page",""),IF(AND(AW271="Y",AV271&lt;&gt;"Y"),"Tuesday estimate band "&amp;L271&amp;": founder's call",""))</f>
        <v/>
      </c>
      <c r="AW271" t="inlineStr">
        <is>
          <t>Y</t>
        </is>
      </c>
      <c r="AX271" t="inlineStr">
        <is>
          <t>fail</t>
        </is>
      </c>
      <c r="AY271" t="inlineStr">
        <is>
          <t>Tuesday estimate under 30 (14 to 28)</t>
        </is>
      </c>
      <c r="AZ271" t="inlineStr">
        <is>
          <t>company</t>
        </is>
      </c>
      <c r="BA271" t="inlineStr">
        <is>
          <t>B-C-159</t>
        </is>
      </c>
      <c r="BB271" t="inlineStr">
        <is>
          <t>https://www.hanoverpark.com</t>
        </is>
      </c>
      <c r="BC271" t="inlineStr">
        <is>
          <t>fintech (AI fund administration)</t>
        </is>
      </c>
      <c r="BD271" t="inlineStr">
        <is>
          <t>42</t>
        </is>
      </c>
      <c r="BF271" t="inlineStr">
        <is>
          <t>40-75</t>
        </is>
      </c>
      <c r="BG271" t="inlineStr">
        <is>
          <t>whole-company</t>
        </is>
      </c>
      <c r="BH271" t="inlineStr">
        <is>
          <t>single-source</t>
        </is>
      </c>
      <c r="BI271" t="inlineStr">
        <is>
          <t>https://www.builtinnyc.com/company/hanover-park/offices</t>
        </is>
      </c>
      <c r="BK271" t="inlineStr">
        <is>
          <t>le500</t>
        </is>
      </c>
      <c r="BL271" t="inlineStr">
        <is>
          <t>New York</t>
        </is>
      </c>
      <c r="BM271" t="inlineStr">
        <is>
          <t>Y</t>
        </is>
      </c>
      <c r="BN271" t="inlineStr">
        <is>
          <t>unknown</t>
        </is>
      </c>
      <c r="BO271" t="inlineStr">
        <is>
          <t>unknown</t>
        </is>
      </c>
      <c r="BP271" t="inlineStr">
        <is>
          <t>10016</t>
        </is>
      </c>
      <c r="BQ271" t="n">
        <v>40.742833</v>
      </c>
      <c r="BR271" t="n">
        <v>-73.984174</v>
      </c>
      <c r="BS271" t="inlineStr">
        <is>
          <t>Y</t>
        </is>
      </c>
      <c r="BT271" t="n">
        <v>0</v>
      </c>
      <c r="BU271" t="inlineStr">
        <is>
          <t>B-B-073</t>
        </is>
      </c>
      <c r="BV271" t="inlineStr">
        <is>
          <t>387 Park Avenue South (TF Cornerstone)</t>
        </is>
      </c>
      <c r="BW271" t="inlineStr">
        <is>
          <t>https://commercialobserver.com/2026/08/hanover-park-lease-tf-cornerstone-387-park-avenue-south/</t>
        </is>
      </c>
      <c r="BX271" t="inlineStr">
        <is>
          <t>2026-08-12</t>
        </is>
      </c>
      <c r="BY271" t="inlineStr">
        <is>
          <t>leasing-press</t>
        </is>
      </c>
      <c r="BZ271" t="inlineStr">
        <is>
          <t>https://www.connectcre.com/stories/ai-native-hanover-park-leases-full-floor-at-387-park-ave-south/</t>
        </is>
      </c>
      <c r="CA271" t="inlineStr">
        <is>
          <t>2026-08-14</t>
        </is>
      </c>
      <c r="CC271" t="inlineStr">
        <is>
          <t>medium</t>
        </is>
      </c>
      <c r="CD271" t="inlineStr">
        <is>
          <t>unknown</t>
        </is>
      </c>
      <c r="CE271" t="inlineStr">
        <is>
          <t>N</t>
        </is>
      </c>
      <c r="CH271" t="inlineStr">
        <is>
          <t>unknown</t>
        </is>
      </c>
      <c r="CJ271" t="inlineStr">
        <is>
          <t>unknown</t>
        </is>
      </c>
      <c r="CK271" t="inlineStr">
        <is>
          <t>N</t>
        </is>
      </c>
      <c r="CL271" t="inlineStr">
        <is>
          <t>unknown</t>
        </is>
      </c>
      <c r="CO271" t="n">
        <v>20</v>
      </c>
      <c r="CP271" t="inlineStr">
        <is>
          <t>under-30</t>
        </is>
      </c>
      <c r="CQ271" t="inlineStr">
        <is>
          <t>42 (Built In) staff (whole-company count) x 50% to 100% of them in the New York office (HQ New York; share assumed) x 67% (Partnership for NYC, firms under 500) in on a weekday = 14 to 28, central 20; low confidence; estimate until intake replaces it.</t>
        </is>
      </c>
      <c r="CR271" t="inlineStr">
        <is>
          <t>estimate until intake replaces it</t>
        </is>
      </c>
      <c r="CS271" t="n">
        <v>0</v>
      </c>
      <c r="CT271" t="n">
        <v>26</v>
      </c>
      <c r="CU271" t="n">
        <v>0</v>
      </c>
      <c r="CV271" t="n">
        <v>15</v>
      </c>
      <c r="CW271" t="n">
        <v>6</v>
      </c>
      <c r="CX271" t="n">
        <v>5</v>
      </c>
      <c r="CY271">
        <f>IF(AH271="exact",10,IF(AH271="adjacent",5,0))</f>
        <v/>
      </c>
      <c r="CZ271">
        <f>IF(R271="Y",15,0)</f>
        <v/>
      </c>
      <c r="DF271" t="inlineStr">
        <is>
          <t>none</t>
        </is>
      </c>
      <c r="DG271" t="inlineStr">
        <is>
          <t>candidate</t>
        </is>
      </c>
      <c r="DJ271" t="inlineStr">
        <is>
          <t>19,269 sf</t>
        </is>
      </c>
      <c r="DK271" t="inlineStr">
        <is>
          <t>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is>
      </c>
      <c r="DS271" t="inlineStr">
        <is>
          <t>none</t>
        </is>
      </c>
      <c r="DX271" t="inlineStr">
        <is>
          <t>N</t>
        </is>
      </c>
      <c r="ER271">
        <f>IF(ISNUMBER(MATCH(U271,{"queued","contacted","replied","call_booked","call_done","yes_in_principle","materials_sent"},0)),"Y","N")</f>
        <v/>
      </c>
      <c r="ES271">
        <f>IF(COUNTIFS($AP$2:$AP$1000,AP271,$ER$2:$ER$1000,"Y")+COUNTIFS($AP$2:$AP$1000,AP271,$T$2:$T$1000,"Y")&gt;0,"Y","N")</f>
        <v/>
      </c>
      <c r="ET271">
        <f>IF(AND(U271="new",T271="N",AT271="Y",AS271="",ES271="N"),"Y","N")</f>
        <v/>
      </c>
      <c r="EU271">
        <f>IF(ET271&lt;&gt;"Y","N",IF(COUNTIFS($AP$2:$AP$1000,AP271,$ET$2:$ET$1000,"Y",$J$2:$J$1000,"&gt;"&amp;J271)+COUNTIFS($AP$2:$AP$1000,AP271,$ET$2:$ET$1000,"Y",$J$2:$J$1000,J271,$EW$2:$EW$1000,"&lt;"&amp;EW271)=0,"Y","N"))</f>
        <v/>
      </c>
      <c r="EV271">
        <f>IF(Y271="","N",IF(Y271&lt;=10,"Y","N"))</f>
        <v/>
      </c>
      <c r="EW271">
        <f>ROW()-1</f>
        <v/>
      </c>
    </row>
    <row r="272">
      <c r="A272" t="inlineStr">
        <is>
          <t>AO-C-227</t>
        </is>
      </c>
      <c r="B272" t="inlineStr">
        <is>
          <t>Huge</t>
        </is>
      </c>
      <c r="H272" t="inlineStr">
        <is>
          <t>none</t>
        </is>
      </c>
      <c r="I272" t="inlineStr">
        <is>
          <t>linkedin</t>
        </is>
      </c>
      <c r="J272">
        <f>IF(AX272="pass",ROUND(CU272+CV272+CW272+CX272+CY272+CZ272,1),0)</f>
        <v/>
      </c>
      <c r="K272" t="inlineStr">
        <is>
          <t>Gated out: Tuesday estimate over 250 (408 to 815).</t>
        </is>
      </c>
      <c r="L272" t="inlineStr">
        <is>
          <t>over-500</t>
        </is>
      </c>
      <c r="R272" t="inlineStr">
        <is>
          <t>N</t>
        </is>
      </c>
      <c r="S272" t="inlineStr">
        <is>
          <t>unknown</t>
        </is>
      </c>
      <c r="T272" t="inlineStr">
        <is>
          <t>N</t>
        </is>
      </c>
      <c r="U272" t="inlineStr">
        <is>
          <t>new</t>
        </is>
      </c>
      <c r="V272" t="inlineStr">
        <is>
          <t>https://commercialobserver.com/2025/10/huge-lease-adams-53-west-23rd-street/</t>
        </is>
      </c>
      <c r="W272" t="inlineStr">
        <is>
          <t>2026-10-23</t>
        </is>
      </c>
      <c r="X272" t="inlineStr">
        <is>
          <t>office</t>
        </is>
      </c>
      <c r="Y272">
        <f>IF(EU272&lt;&gt;"Y","",COUNTIFS($EU$2:$EU$1000,"Y",$J$2:$J$1000,"&gt;"&amp;J272)+COUNTIFS($EU$2:$EU$1000,"Y",$J$2:$J$1000,J272,$EW$2:$EW$1000,"&lt;"&amp;EW272)+1)</f>
        <v/>
      </c>
      <c r="AA272" t="inlineStr">
        <is>
          <t>N</t>
        </is>
      </c>
      <c r="AD272" t="inlineStr">
        <is>
          <t>none</t>
        </is>
      </c>
      <c r="AH272" t="inlineStr">
        <is>
          <t>none</t>
        </is>
      </c>
      <c r="AI272" t="inlineStr">
        <is>
          <t>53 West 23rd Street</t>
        </is>
      </c>
      <c r="AJ272" t="inlineStr">
        <is>
          <t>8</t>
        </is>
      </c>
      <c r="AK272" t="inlineStr">
        <is>
          <t>signed-not-occupied</t>
        </is>
      </c>
      <c r="AL272" t="n">
        <v>408</v>
      </c>
      <c r="AM272" t="n">
        <v>815</v>
      </c>
      <c r="AN272" t="inlineStr">
        <is>
          <t>low</t>
        </is>
      </c>
      <c r="AO272" t="inlineStr">
        <is>
          <t>unknown</t>
        </is>
      </c>
      <c r="AP272" t="inlineStr">
        <is>
          <t>AO-C-227</t>
        </is>
      </c>
      <c r="AQ272" t="inlineStr">
        <is>
          <t>Y</t>
        </is>
      </c>
      <c r="AR272" t="inlineStr">
        <is>
          <t>lease signed, move not confirmed: check the lobby directory before outreach (B)</t>
        </is>
      </c>
      <c r="AT272">
        <f>IF(AND(AX272="pass",AQ272&lt;&gt;"Y",C272&lt;&gt;"",OR(AW272&lt;&gt;"Y",AV272="Y")),"Y","N")</f>
        <v/>
      </c>
      <c r="AU272">
        <f>_xlfn.TEXTJOIN("; ",TRUE,IF(AX272&lt;&gt;"pass","gated out",""),IF(AQ272="Y","on hold: "&amp;AR272,""),IF(C272="","no contact named on an opened page",""),IF(AND(AW272="Y",AV272&lt;&gt;"Y"),"Tuesday estimate band "&amp;L272&amp;": founder's call",""))</f>
        <v/>
      </c>
      <c r="AW272" t="inlineStr">
        <is>
          <t>Y</t>
        </is>
      </c>
      <c r="AX272" t="inlineStr">
        <is>
          <t>fail</t>
        </is>
      </c>
      <c r="AY272" t="inlineStr">
        <is>
          <t>Tuesday estimate over 250 (408 to 815)</t>
        </is>
      </c>
      <c r="AZ272" t="inlineStr">
        <is>
          <t>company</t>
        </is>
      </c>
      <c r="BA272" t="inlineStr">
        <is>
          <t>B-C-227</t>
        </is>
      </c>
      <c r="BB272" t="inlineStr">
        <is>
          <t>https://www.hugeinc.com/</t>
        </is>
      </c>
      <c r="BC272" t="inlineStr">
        <is>
          <t>Design and technology agency</t>
        </is>
      </c>
      <c r="BD272" t="inlineStr">
        <is>
          <t>1430</t>
        </is>
      </c>
      <c r="BF272" t="inlineStr">
        <is>
          <t>over-500</t>
        </is>
      </c>
      <c r="BG272" t="inlineStr">
        <is>
          <t>whole-company</t>
        </is>
      </c>
      <c r="BH272" t="inlineStr">
        <is>
          <t>single-source</t>
        </is>
      </c>
      <c r="BI272" t="inlineStr">
        <is>
          <t>https://www.builtinnyc.com/company/huge/offices</t>
        </is>
      </c>
      <c r="BK272" t="inlineStr">
        <is>
          <t>1001-4999</t>
        </is>
      </c>
      <c r="BL272" t="inlineStr">
        <is>
          <t>New York</t>
        </is>
      </c>
      <c r="BM272" t="inlineStr">
        <is>
          <t>Y</t>
        </is>
      </c>
      <c r="BN272" t="inlineStr">
        <is>
          <t>unknown</t>
        </is>
      </c>
      <c r="BO272" t="inlineStr">
        <is>
          <t>unknown</t>
        </is>
      </c>
      <c r="BP272" t="inlineStr">
        <is>
          <t>10010</t>
        </is>
      </c>
      <c r="BQ272" t="n">
        <v>40.742654</v>
      </c>
      <c r="BR272" t="n">
        <v>-73.991559</v>
      </c>
      <c r="BS272" t="inlineStr">
        <is>
          <t>Y</t>
        </is>
      </c>
      <c r="BT272" t="n">
        <v>0</v>
      </c>
      <c r="BU272" t="inlineStr">
        <is>
          <t>B-B-050</t>
        </is>
      </c>
      <c r="BV272" t="inlineStr">
        <is>
          <t>49-53 West 23rd Street (Adams &amp; Company)</t>
        </is>
      </c>
      <c r="BW272" t="inlineStr">
        <is>
          <t>https://commercialobserver.com/2025/10/huge-lease-adams-53-west-23rd-street/</t>
        </is>
      </c>
      <c r="BX272" t="inlineStr">
        <is>
          <t>2025-10-02</t>
        </is>
      </c>
      <c r="BY272" t="inlineStr">
        <is>
          <t>leasing-press</t>
        </is>
      </c>
      <c r="BZ272" t="inlineStr">
        <is>
          <t>https://flatironnomad.nyc/2025/11/05/october-news-roundup-6/</t>
        </is>
      </c>
      <c r="CA272" t="inlineStr">
        <is>
          <t>2025-11-05</t>
        </is>
      </c>
      <c r="CC272" t="inlineStr">
        <is>
          <t>medium</t>
        </is>
      </c>
      <c r="CD272" t="inlineStr">
        <is>
          <t>unknown</t>
        </is>
      </c>
      <c r="CE272" t="inlineStr">
        <is>
          <t>N</t>
        </is>
      </c>
      <c r="CH272" t="inlineStr">
        <is>
          <t>security desk</t>
        </is>
      </c>
      <c r="CI272" t="inlineStr">
        <is>
          <t>https://www.adamsre.com/collections/madison-square-park/products/53-west-23rd</t>
        </is>
      </c>
      <c r="CJ272" t="inlineStr">
        <is>
          <t>unknown</t>
        </is>
      </c>
      <c r="CK272" t="inlineStr">
        <is>
          <t>N</t>
        </is>
      </c>
      <c r="CL272" t="inlineStr">
        <is>
          <t>unknown</t>
        </is>
      </c>
      <c r="CO272" t="n">
        <v>577</v>
      </c>
      <c r="CP272" t="inlineStr">
        <is>
          <t>over-250</t>
        </is>
      </c>
      <c r="CQ272" t="inlineStr">
        <is>
          <t>1430 (Built In) staff (whole-company count) x 50% to 100% of them in the New York office (HQ New York; share assumed) x 57% (Partnership for NYC, all Manhattan firms; no figure for 500 to 4,999) in on a weekday = 408 to 815, central 577; low confidence; estimate until intake replaces it.</t>
        </is>
      </c>
      <c r="CR272" t="inlineStr">
        <is>
          <t>estimate until intake replaces it</t>
        </is>
      </c>
      <c r="CS272" t="n">
        <v>0</v>
      </c>
      <c r="CT272" t="n">
        <v>13</v>
      </c>
      <c r="CU272" t="n">
        <v>0</v>
      </c>
      <c r="CV272" t="n">
        <v>2</v>
      </c>
      <c r="CW272" t="n">
        <v>6</v>
      </c>
      <c r="CX272" t="n">
        <v>5</v>
      </c>
      <c r="CY272">
        <f>IF(AH272="exact",10,IF(AH272="adjacent",5,0))</f>
        <v/>
      </c>
      <c r="CZ272">
        <f>IF(R272="Y",15,0)</f>
        <v/>
      </c>
      <c r="DF272" t="inlineStr">
        <is>
          <t>none</t>
        </is>
      </c>
      <c r="DG272" t="inlineStr">
        <is>
          <t>near-miss-over-500</t>
        </is>
      </c>
      <c r="DH272" t="inlineStr">
        <is>
          <t>over-1,000 (1,001 to 4,999)</t>
        </is>
      </c>
      <c r="DI272" t="inlineStr">
        <is>
          <t>N</t>
        </is>
      </c>
      <c r="DJ272" t="inlineStr">
        <is>
          <t>16,909 sf</t>
        </is>
      </c>
      <c r="DK272" t="inlineStr">
        <is>
          <t>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DS272" t="inlineStr">
        <is>
          <t>none</t>
        </is>
      </c>
      <c r="DX272" t="inlineStr">
        <is>
          <t>N</t>
        </is>
      </c>
      <c r="ER272">
        <f>IF(ISNUMBER(MATCH(U272,{"queued","contacted","replied","call_booked","call_done","yes_in_principle","materials_sent"},0)),"Y","N")</f>
        <v/>
      </c>
      <c r="ES272">
        <f>IF(COUNTIFS($AP$2:$AP$1000,AP272,$ER$2:$ER$1000,"Y")+COUNTIFS($AP$2:$AP$1000,AP272,$T$2:$T$1000,"Y")&gt;0,"Y","N")</f>
        <v/>
      </c>
      <c r="ET272">
        <f>IF(AND(U272="new",T272="N",AT272="Y",AS272="",ES272="N"),"Y","N")</f>
        <v/>
      </c>
      <c r="EU272">
        <f>IF(ET272&lt;&gt;"Y","N",IF(COUNTIFS($AP$2:$AP$1000,AP272,$ET$2:$ET$1000,"Y",$J$2:$J$1000,"&gt;"&amp;J272)+COUNTIFS($AP$2:$AP$1000,AP272,$ET$2:$ET$1000,"Y",$J$2:$J$1000,J272,$EW$2:$EW$1000,"&lt;"&amp;EW272)=0,"Y","N"))</f>
        <v/>
      </c>
      <c r="EV272">
        <f>IF(Y272="","N",IF(Y272&lt;=10,"Y","N"))</f>
        <v/>
      </c>
      <c r="EW272">
        <f>ROW()-1</f>
        <v/>
      </c>
    </row>
    <row r="273">
      <c r="A273" t="inlineStr">
        <is>
          <t>AO-C-209</t>
        </is>
      </c>
      <c r="B273" t="inlineStr">
        <is>
          <t>Infor</t>
        </is>
      </c>
      <c r="H273" t="inlineStr">
        <is>
          <t>none</t>
        </is>
      </c>
      <c r="I273" t="inlineStr">
        <is>
          <t>linkedin</t>
        </is>
      </c>
      <c r="J273">
        <f>IF(AX273="pass",ROUND(CU273+CV273+CW273+CX273+CY273+CZ273,1),0)</f>
        <v/>
      </c>
      <c r="K273" t="inlineStr">
        <is>
          <t>Gated out: Tuesday estimate over 250 (4232 to 8465).</t>
        </is>
      </c>
      <c r="L273" t="inlineStr">
        <is>
          <t>over-500</t>
        </is>
      </c>
      <c r="R273" t="inlineStr">
        <is>
          <t>N</t>
        </is>
      </c>
      <c r="S273" t="inlineStr">
        <is>
          <t>unknown</t>
        </is>
      </c>
      <c r="T273" t="inlineStr">
        <is>
          <t>N</t>
        </is>
      </c>
      <c r="U273" t="inlineStr">
        <is>
          <t>new</t>
        </is>
      </c>
      <c r="V273" t="inlineStr">
        <is>
          <t>https://commercialobserver.com/2026/09/stash-financial-lease-641-avenue-of-the-americas/</t>
        </is>
      </c>
      <c r="W273" t="inlineStr">
        <is>
          <t>2026-10-23</t>
        </is>
      </c>
      <c r="X273" t="inlineStr">
        <is>
          <t>office</t>
        </is>
      </c>
      <c r="Y273">
        <f>IF(EU273&lt;&gt;"Y","",COUNTIFS($EU$2:$EU$1000,"Y",$J$2:$J$1000,"&gt;"&amp;J273)+COUNTIFS($EU$2:$EU$1000,"Y",$J$2:$J$1000,J273,$EW$2:$EW$1000,"&lt;"&amp;EW273)+1)</f>
        <v/>
      </c>
      <c r="AA273" t="inlineStr">
        <is>
          <t>N</t>
        </is>
      </c>
      <c r="AD273" t="inlineStr">
        <is>
          <t>none</t>
        </is>
      </c>
      <c r="AH273" t="inlineStr">
        <is>
          <t>none</t>
        </is>
      </c>
      <c r="AI273" t="inlineStr">
        <is>
          <t>641 Avenue of the Americas</t>
        </is>
      </c>
      <c r="AJ273" t="inlineStr">
        <is>
          <t>unknown</t>
        </is>
      </c>
      <c r="AK273" t="inlineStr">
        <is>
          <t>occupied</t>
        </is>
      </c>
      <c r="AL273" t="n">
        <v>4232</v>
      </c>
      <c r="AM273" t="n">
        <v>8465</v>
      </c>
      <c r="AN273" t="inlineStr">
        <is>
          <t>low</t>
        </is>
      </c>
      <c r="AO273" t="inlineStr">
        <is>
          <t>unknown</t>
        </is>
      </c>
      <c r="AP273" t="inlineStr">
        <is>
          <t>AO-C-209</t>
        </is>
      </c>
      <c r="AQ273" t="inlineStr">
        <is>
          <t>N</t>
        </is>
      </c>
      <c r="AT273">
        <f>IF(AND(AX273="pass",AQ273&lt;&gt;"Y",C273&lt;&gt;"",OR(AW273&lt;&gt;"Y",AV273="Y")),"Y","N")</f>
        <v/>
      </c>
      <c r="AU273">
        <f>_xlfn.TEXTJOIN("; ",TRUE,IF(AX273&lt;&gt;"pass","gated out",""),IF(AQ273="Y","on hold: "&amp;AR273,""),IF(C273="","no contact named on an opened page",""),IF(AND(AW273="Y",AV273&lt;&gt;"Y"),"Tuesday estimate band "&amp;L273&amp;": founder's call",""))</f>
        <v/>
      </c>
      <c r="AW273" t="inlineStr">
        <is>
          <t>Y</t>
        </is>
      </c>
      <c r="AX273" t="inlineStr">
        <is>
          <t>fail</t>
        </is>
      </c>
      <c r="AY273" t="inlineStr">
        <is>
          <t>Tuesday estimate over 250 (4232 to 8465)</t>
        </is>
      </c>
      <c r="AZ273" t="inlineStr">
        <is>
          <t>company</t>
        </is>
      </c>
      <c r="BA273" t="inlineStr">
        <is>
          <t>B-C-209</t>
        </is>
      </c>
      <c r="BB273" t="inlineStr">
        <is>
          <t>https://www.infor.com</t>
        </is>
      </c>
      <c r="BC273" t="inlineStr">
        <is>
          <t>enterprise software</t>
        </is>
      </c>
      <c r="BD273" t="inlineStr">
        <is>
          <t>18402</t>
        </is>
      </c>
      <c r="BF273" t="inlineStr">
        <is>
          <t>over-500</t>
        </is>
      </c>
      <c r="BG273" t="inlineStr">
        <is>
          <t>whole-company</t>
        </is>
      </c>
      <c r="BH273" t="inlineStr">
        <is>
          <t>single-source</t>
        </is>
      </c>
      <c r="BI273" t="inlineStr">
        <is>
          <t>https://www.builtinnyc.com/company/infor</t>
        </is>
      </c>
      <c r="BK273" t="inlineStr">
        <is>
          <t>5000+</t>
        </is>
      </c>
      <c r="BL273" t="inlineStr">
        <is>
          <t>New York</t>
        </is>
      </c>
      <c r="BM273" t="inlineStr">
        <is>
          <t>Y</t>
        </is>
      </c>
      <c r="BN273" t="inlineStr">
        <is>
          <t>unknown</t>
        </is>
      </c>
      <c r="BO273" t="inlineStr">
        <is>
          <t>unknown</t>
        </is>
      </c>
      <c r="BP273" t="inlineStr">
        <is>
          <t>10011</t>
        </is>
      </c>
      <c r="BQ273" t="n">
        <v>40.7409</v>
      </c>
      <c r="BR273" t="n">
        <v>-73.994512</v>
      </c>
      <c r="BS273" t="inlineStr">
        <is>
          <t>Y</t>
        </is>
      </c>
      <c r="BT273" t="n">
        <v>0</v>
      </c>
      <c r="BU273" t="inlineStr">
        <is>
          <t>B-B-026</t>
        </is>
      </c>
      <c r="BV273" t="inlineStr">
        <is>
          <t>635-641 Avenue of the Americas (Spear Street Capital)</t>
        </is>
      </c>
      <c r="BW273" t="inlineStr">
        <is>
          <t>https://commercialobserver.com/2026/09/stash-financial-lease-641-avenue-of-the-americas/</t>
        </is>
      </c>
      <c r="BX273" t="inlineStr">
        <is>
          <t>2026-09-02</t>
        </is>
      </c>
      <c r="BY273" t="inlineStr">
        <is>
          <t>leasing-press</t>
        </is>
      </c>
      <c r="BZ273" t="inlineStr">
        <is>
          <t>https://commercialobserver.com/2021/05/software-company-infor-reups-90k-sf-at-635-641-avenue-of-the-americas/</t>
        </is>
      </c>
      <c r="CA273" t="inlineStr">
        <is>
          <t>2021-05-06</t>
        </is>
      </c>
      <c r="CC273" t="inlineStr">
        <is>
          <t>medium</t>
        </is>
      </c>
      <c r="CE273" t="inlineStr">
        <is>
          <t>N</t>
        </is>
      </c>
      <c r="CH273" t="inlineStr">
        <is>
          <t>unknown</t>
        </is>
      </c>
      <c r="CJ273" t="inlineStr">
        <is>
          <t>unknown</t>
        </is>
      </c>
      <c r="CK273" t="inlineStr">
        <is>
          <t>N</t>
        </is>
      </c>
      <c r="CL273" t="inlineStr">
        <is>
          <t>unknown</t>
        </is>
      </c>
      <c r="CO273" t="n">
        <v>5985</v>
      </c>
      <c r="CP273" t="inlineStr">
        <is>
          <t>over-250</t>
        </is>
      </c>
      <c r="CQ273" t="inlineStr">
        <is>
          <t>18402 (Built In) staff (whole-company count) x 50% to 100% of them in the New York office (HQ New York; share assumed) x 46% (Partnership for NYC, firms over 5,000) in on a weekday = 4232 to 8465, central 5985; low confidence; estimate until intake replaces it.</t>
        </is>
      </c>
      <c r="CR273" t="inlineStr">
        <is>
          <t>estimate until intake replaces it</t>
        </is>
      </c>
      <c r="CS273" t="n">
        <v>0</v>
      </c>
      <c r="CT273" t="n">
        <v>19</v>
      </c>
      <c r="CU273" t="n">
        <v>0</v>
      </c>
      <c r="CV273" t="n">
        <v>0</v>
      </c>
      <c r="CW273" t="n">
        <v>6</v>
      </c>
      <c r="CX273" t="n">
        <v>13</v>
      </c>
      <c r="CY273">
        <f>IF(AH273="exact",10,IF(AH273="adjacent",5,0))</f>
        <v/>
      </c>
      <c r="CZ273">
        <f>IF(R273="Y",15,0)</f>
        <v/>
      </c>
      <c r="DF273" t="inlineStr">
        <is>
          <t>none</t>
        </is>
      </c>
      <c r="DG273" t="inlineStr">
        <is>
          <t>near-miss-over-500</t>
        </is>
      </c>
      <c r="DH273" t="inlineStr">
        <is>
          <t>not-near (5,000 or more)</t>
        </is>
      </c>
      <c r="DI273" t="inlineStr">
        <is>
          <t>N</t>
        </is>
      </c>
      <c r="DJ273" t="inlineStr">
        <is>
          <t>90,000 sf</t>
        </is>
      </c>
      <c r="DK273" t="inlineStr">
        <is>
          <t>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DS273" t="inlineStr">
        <is>
          <t>none</t>
        </is>
      </c>
      <c r="DX273" t="inlineStr">
        <is>
          <t>N</t>
        </is>
      </c>
      <c r="ER273">
        <f>IF(ISNUMBER(MATCH(U273,{"queued","contacted","replied","call_booked","call_done","yes_in_principle","materials_sent"},0)),"Y","N")</f>
        <v/>
      </c>
      <c r="ES273">
        <f>IF(COUNTIFS($AP$2:$AP$1000,AP273,$ER$2:$ER$1000,"Y")+COUNTIFS($AP$2:$AP$1000,AP273,$T$2:$T$1000,"Y")&gt;0,"Y","N")</f>
        <v/>
      </c>
      <c r="ET273">
        <f>IF(AND(U273="new",T273="N",AT273="Y",AS273="",ES273="N"),"Y","N")</f>
        <v/>
      </c>
      <c r="EU273">
        <f>IF(ET273&lt;&gt;"Y","N",IF(COUNTIFS($AP$2:$AP$1000,AP273,$ET$2:$ET$1000,"Y",$J$2:$J$1000,"&gt;"&amp;J273)+COUNTIFS($AP$2:$AP$1000,AP273,$ET$2:$ET$1000,"Y",$J$2:$J$1000,J273,$EW$2:$EW$1000,"&lt;"&amp;EW273)=0,"Y","N"))</f>
        <v/>
      </c>
      <c r="EV273">
        <f>IF(Y273="","N",IF(Y273&lt;=10,"Y","N"))</f>
        <v/>
      </c>
      <c r="EW273">
        <f>ROW()-1</f>
        <v/>
      </c>
    </row>
    <row r="274">
      <c r="A274" t="inlineStr">
        <is>
          <t>AO-C-078</t>
        </is>
      </c>
      <c r="B274" t="inlineStr">
        <is>
          <t>Instant</t>
        </is>
      </c>
      <c r="H274" t="inlineStr">
        <is>
          <t>none</t>
        </is>
      </c>
      <c r="I274" t="inlineStr">
        <is>
          <t>linkedin</t>
        </is>
      </c>
      <c r="J274">
        <f>IF(AX274="pass",ROUND(CU274+CV274+CW274+CX274+CY274+CZ274,1),0)</f>
        <v/>
      </c>
      <c r="K274" t="inlineStr">
        <is>
          <t>Gated out: Tuesday estimate under 30 (1 to 27).</t>
        </is>
      </c>
      <c r="L274" t="inlineStr">
        <is>
          <t>under-40</t>
        </is>
      </c>
      <c r="R274" t="inlineStr">
        <is>
          <t>N</t>
        </is>
      </c>
      <c r="S274" t="inlineStr">
        <is>
          <t>unknown</t>
        </is>
      </c>
      <c r="T274" t="inlineStr">
        <is>
          <t>N</t>
        </is>
      </c>
      <c r="U274" t="inlineStr">
        <is>
          <t>new</t>
        </is>
      </c>
      <c r="V274" t="inlineStr">
        <is>
          <t>https://commercialobserver.com/2025/05/instant-lease-moinian-53-55-west-21st-street/</t>
        </is>
      </c>
      <c r="W274" t="inlineStr">
        <is>
          <t>2026-10-23</t>
        </is>
      </c>
      <c r="X274" t="inlineStr">
        <is>
          <t>office</t>
        </is>
      </c>
      <c r="Y274">
        <f>IF(EU274&lt;&gt;"Y","",COUNTIFS($EU$2:$EU$1000,"Y",$J$2:$J$1000,"&gt;"&amp;J274)+COUNTIFS($EU$2:$EU$1000,"Y",$J$2:$J$1000,J274,$EW$2:$EW$1000,"&lt;"&amp;EW274)+1)</f>
        <v/>
      </c>
      <c r="AA274" t="inlineStr">
        <is>
          <t>N</t>
        </is>
      </c>
      <c r="AD274" t="inlineStr">
        <is>
          <t>none</t>
        </is>
      </c>
      <c r="AH274" t="inlineStr">
        <is>
          <t>none</t>
        </is>
      </c>
      <c r="AI274" t="inlineStr">
        <is>
          <t>53 West 21st Street</t>
        </is>
      </c>
      <c r="AJ274" t="inlineStr">
        <is>
          <t>unknown</t>
        </is>
      </c>
      <c r="AK274" t="inlineStr">
        <is>
          <t>occupied</t>
        </is>
      </c>
      <c r="AL274" t="n">
        <v>1</v>
      </c>
      <c r="AM274" t="n">
        <v>27</v>
      </c>
      <c r="AN274" t="inlineStr">
        <is>
          <t>low</t>
        </is>
      </c>
      <c r="AO274" t="inlineStr">
        <is>
          <t>unknown</t>
        </is>
      </c>
      <c r="AP274" t="inlineStr">
        <is>
          <t>AO-C-078</t>
        </is>
      </c>
      <c r="AQ274" t="inlineStr">
        <is>
          <t>N</t>
        </is>
      </c>
      <c r="AT274">
        <f>IF(AND(AX274="pass",AQ274&lt;&gt;"Y",C274&lt;&gt;"",OR(AW274&lt;&gt;"Y",AV274="Y")),"Y","N")</f>
        <v/>
      </c>
      <c r="AU274">
        <f>_xlfn.TEXTJOIN("; ",TRUE,IF(AX274&lt;&gt;"pass","gated out",""),IF(AQ274="Y","on hold: "&amp;AR274,""),IF(C274="","no contact named on an opened page",""),IF(AND(AW274="Y",AV274&lt;&gt;"Y"),"Tuesday estimate band "&amp;L274&amp;": founder's call",""))</f>
        <v/>
      </c>
      <c r="AW274" t="inlineStr">
        <is>
          <t>Y</t>
        </is>
      </c>
      <c r="AX274" t="inlineStr">
        <is>
          <t>fail</t>
        </is>
      </c>
      <c r="AY274" t="inlineStr">
        <is>
          <t>Tuesday estimate under 30 (1 to 27)</t>
        </is>
      </c>
      <c r="AZ274" t="inlineStr">
        <is>
          <t>company</t>
        </is>
      </c>
      <c r="BA274" t="inlineStr">
        <is>
          <t>B-C-078</t>
        </is>
      </c>
      <c r="BB274" t="inlineStr">
        <is>
          <t>https://instant.one</t>
        </is>
      </c>
      <c r="BC274" t="inlineStr">
        <is>
          <t>software (e-commerce checkout and marketing)</t>
        </is>
      </c>
      <c r="BD274" t="inlineStr">
        <is>
          <t>40</t>
        </is>
      </c>
      <c r="BF274" t="inlineStr">
        <is>
          <t>40-75</t>
        </is>
      </c>
      <c r="BG274" t="inlineStr">
        <is>
          <t>whole-company</t>
        </is>
      </c>
      <c r="BH274" t="inlineStr">
        <is>
          <t>single-source</t>
        </is>
      </c>
      <c r="BI274" t="inlineStr">
        <is>
          <t>https://www.builtinnyc.com/company/instant</t>
        </is>
      </c>
      <c r="BK274" t="inlineStr">
        <is>
          <t>le500</t>
        </is>
      </c>
      <c r="BL274" t="inlineStr">
        <is>
          <t>Sydney</t>
        </is>
      </c>
      <c r="BM274" t="inlineStr">
        <is>
          <t>N</t>
        </is>
      </c>
      <c r="BN274" t="inlineStr">
        <is>
          <t>unknown</t>
        </is>
      </c>
      <c r="BO274" t="inlineStr">
        <is>
          <t>unknown</t>
        </is>
      </c>
      <c r="BP274" t="inlineStr">
        <is>
          <t>10010</t>
        </is>
      </c>
      <c r="BQ274" t="n">
        <v>40.741548</v>
      </c>
      <c r="BR274" t="n">
        <v>-73.99300700000001</v>
      </c>
      <c r="BS274" t="inlineStr">
        <is>
          <t>Y</t>
        </is>
      </c>
      <c r="BT274" t="n">
        <v>0</v>
      </c>
      <c r="BU274" t="inlineStr">
        <is>
          <t>B-B-036</t>
        </is>
      </c>
      <c r="BV274" t="inlineStr">
        <is>
          <t>53-55 West 21st Street (Moinian Group)</t>
        </is>
      </c>
      <c r="BW274" t="inlineStr">
        <is>
          <t>https://commercialobserver.com/2025/05/instant-lease-moinian-53-55-west-21st-street/</t>
        </is>
      </c>
      <c r="BX274" t="inlineStr">
        <is>
          <t>2025-05-14</t>
        </is>
      </c>
      <c r="BY274" t="inlineStr">
        <is>
          <t>leasing-press</t>
        </is>
      </c>
      <c r="CC274" t="inlineStr">
        <is>
          <t>medium</t>
        </is>
      </c>
      <c r="CE274" t="inlineStr">
        <is>
          <t>N</t>
        </is>
      </c>
      <c r="CH274" t="inlineStr">
        <is>
          <t>unknown</t>
        </is>
      </c>
      <c r="CJ274" t="inlineStr">
        <is>
          <t>unknown</t>
        </is>
      </c>
      <c r="CK274" t="inlineStr">
        <is>
          <t>N</t>
        </is>
      </c>
      <c r="CL274" t="inlineStr">
        <is>
          <t>unknown</t>
        </is>
      </c>
      <c r="CO274" t="n">
        <v>5</v>
      </c>
      <c r="CP274" t="inlineStr">
        <is>
          <t>under-30</t>
        </is>
      </c>
      <c r="CQ274" t="inlineStr">
        <is>
          <t>40 (Built In) staff (whole-company count) x 5% to 100% of them in the New York office (HQ outside New York; share assumed) x 67% (Partnership for NYC, firms under 500) in on a weekday = 1 to 27, central 5; low confidence; estimate until intake replaces it.</t>
        </is>
      </c>
      <c r="CR274" t="inlineStr">
        <is>
          <t>estimate until intake replaces it</t>
        </is>
      </c>
      <c r="CS274" t="n">
        <v>0</v>
      </c>
      <c r="CT274" t="n">
        <v>34</v>
      </c>
      <c r="CU274" t="n">
        <v>0</v>
      </c>
      <c r="CV274" t="n">
        <v>15</v>
      </c>
      <c r="CW274" t="n">
        <v>6</v>
      </c>
      <c r="CX274" t="n">
        <v>13</v>
      </c>
      <c r="CY274">
        <f>IF(AH274="exact",10,IF(AH274="adjacent",5,0))</f>
        <v/>
      </c>
      <c r="CZ274">
        <f>IF(R274="Y",15,0)</f>
        <v/>
      </c>
      <c r="DF274" t="inlineStr">
        <is>
          <t>none</t>
        </is>
      </c>
      <c r="DG274" t="inlineStr">
        <is>
          <t>candidate</t>
        </is>
      </c>
      <c r="DJ274" t="inlineStr">
        <is>
          <t>5,000 sf</t>
        </is>
      </c>
      <c r="DK274" t="inlineStr">
        <is>
          <t>First NYC office, three-year furnished lease of 5,000 sf at 53-55 W 21st St (Moinian), move-in June 2025. Sydney-based. Built In shows 40 total employees (whole company), so the NYC team is at most 40 by arithmetic; its own count is not sourced.</t>
        </is>
      </c>
      <c r="DS274" t="inlineStr">
        <is>
          <t>none</t>
        </is>
      </c>
      <c r="DX274" t="inlineStr">
        <is>
          <t>N</t>
        </is>
      </c>
      <c r="ER274">
        <f>IF(ISNUMBER(MATCH(U274,{"queued","contacted","replied","call_booked","call_done","yes_in_principle","materials_sent"},0)),"Y","N")</f>
        <v/>
      </c>
      <c r="ES274">
        <f>IF(COUNTIFS($AP$2:$AP$1000,AP274,$ER$2:$ER$1000,"Y")+COUNTIFS($AP$2:$AP$1000,AP274,$T$2:$T$1000,"Y")&gt;0,"Y","N")</f>
        <v/>
      </c>
      <c r="ET274">
        <f>IF(AND(U274="new",T274="N",AT274="Y",AS274="",ES274="N"),"Y","N")</f>
        <v/>
      </c>
      <c r="EU274">
        <f>IF(ET274&lt;&gt;"Y","N",IF(COUNTIFS($AP$2:$AP$1000,AP274,$ET$2:$ET$1000,"Y",$J$2:$J$1000,"&gt;"&amp;J274)+COUNTIFS($AP$2:$AP$1000,AP274,$ET$2:$ET$1000,"Y",$J$2:$J$1000,J274,$EW$2:$EW$1000,"&lt;"&amp;EW274)=0,"Y","N"))</f>
        <v/>
      </c>
      <c r="EV274">
        <f>IF(Y274="","N",IF(Y274&lt;=10,"Y","N"))</f>
        <v/>
      </c>
      <c r="EW274">
        <f>ROW()-1</f>
        <v/>
      </c>
    </row>
    <row r="275">
      <c r="A275" t="inlineStr">
        <is>
          <t>AO-C-242</t>
        </is>
      </c>
      <c r="B275" t="inlineStr">
        <is>
          <t>Legora</t>
        </is>
      </c>
      <c r="H275" t="inlineStr">
        <is>
          <t>none</t>
        </is>
      </c>
      <c r="I275" t="inlineStr">
        <is>
          <t>linkedin</t>
        </is>
      </c>
      <c r="J275">
        <f>IF(AX275="pass",ROUND(CU275+CV275+CW275+CX275+CY275+CZ275,1),0)</f>
        <v/>
      </c>
      <c r="K275" t="inlineStr">
        <is>
          <t>Gated out: Tuesday estimate over 250 (314 to 627).</t>
        </is>
      </c>
      <c r="L275" t="inlineStr">
        <is>
          <t>251-500</t>
        </is>
      </c>
      <c r="O275" t="inlineStr">
        <is>
          <t>New or renewed lease at 11 Madison Avenue reported 2026-07-23</t>
        </is>
      </c>
      <c r="P275" t="inlineStr">
        <is>
          <t>https://commercialobserver.com/2026/07/ai-firm-legora-takes-98k-sl-greens-11-madison-avenue/</t>
        </is>
      </c>
      <c r="Q275" t="inlineStr">
        <is>
          <t>2026-07-23</t>
        </is>
      </c>
      <c r="R275" t="inlineStr">
        <is>
          <t>N</t>
        </is>
      </c>
      <c r="S275" t="inlineStr">
        <is>
          <t>unknown</t>
        </is>
      </c>
      <c r="T275" t="inlineStr">
        <is>
          <t>N</t>
        </is>
      </c>
      <c r="U275" t="inlineStr">
        <is>
          <t>new</t>
        </is>
      </c>
      <c r="V275" t="inlineStr">
        <is>
          <t>https://commercialobserver.com/2026/07/ai-firm-legora-takes-98k-sl-greens-11-madison-avenue/</t>
        </is>
      </c>
      <c r="W275" t="inlineStr">
        <is>
          <t>2026-10-23</t>
        </is>
      </c>
      <c r="X275" t="inlineStr">
        <is>
          <t>office</t>
        </is>
      </c>
      <c r="Y275">
        <f>IF(EU275&lt;&gt;"Y","",COUNTIFS($EU$2:$EU$1000,"Y",$J$2:$J$1000,"&gt;"&amp;J275)+COUNTIFS($EU$2:$EU$1000,"Y",$J$2:$J$1000,J275,$EW$2:$EW$1000,"&lt;"&amp;EW275)+1)</f>
        <v/>
      </c>
      <c r="AA275" t="inlineStr">
        <is>
          <t>N</t>
        </is>
      </c>
      <c r="AD275" t="inlineStr">
        <is>
          <t>none</t>
        </is>
      </c>
      <c r="AH275" t="inlineStr">
        <is>
          <t>none</t>
        </is>
      </c>
      <c r="AI275" t="inlineStr">
        <is>
          <t>11 Madison Avenue</t>
        </is>
      </c>
      <c r="AJ275" t="inlineStr">
        <is>
          <t>11</t>
        </is>
      </c>
      <c r="AK275" t="inlineStr">
        <is>
          <t>signed-not-occupied</t>
        </is>
      </c>
      <c r="AL275" t="n">
        <v>314</v>
      </c>
      <c r="AM275" t="n">
        <v>627</v>
      </c>
      <c r="AN275" t="inlineStr">
        <is>
          <t>low</t>
        </is>
      </c>
      <c r="AO275" t="inlineStr">
        <is>
          <t>unknown</t>
        </is>
      </c>
      <c r="AP275" t="inlineStr">
        <is>
          <t>AO-C-242</t>
        </is>
      </c>
      <c r="AQ275" t="inlineStr">
        <is>
          <t>Y</t>
        </is>
      </c>
      <c r="AR275" t="inlineStr">
        <is>
          <t>lease signed, move not confirmed: check the lobby directory before outreach (B)</t>
        </is>
      </c>
      <c r="AT275">
        <f>IF(AND(AX275="pass",AQ275&lt;&gt;"Y",C275&lt;&gt;"",OR(AW275&lt;&gt;"Y",AV275="Y")),"Y","N")</f>
        <v/>
      </c>
      <c r="AU275">
        <f>_xlfn.TEXTJOIN("; ",TRUE,IF(AX275&lt;&gt;"pass","gated out",""),IF(AQ275="Y","on hold: "&amp;AR275,""),IF(C275="","no contact named on an opened page",""),IF(AND(AW275="Y",AV275&lt;&gt;"Y"),"Tuesday estimate band "&amp;L275&amp;": founder's call",""))</f>
        <v/>
      </c>
      <c r="AW275" t="inlineStr">
        <is>
          <t>Y</t>
        </is>
      </c>
      <c r="AX275" t="inlineStr">
        <is>
          <t>fail</t>
        </is>
      </c>
      <c r="AY275" t="inlineStr">
        <is>
          <t>Tuesday estimate over 250 (314 to 627)</t>
        </is>
      </c>
      <c r="AZ275" t="inlineStr">
        <is>
          <t>company</t>
        </is>
      </c>
      <c r="BA275" t="inlineStr">
        <is>
          <t>B-C-242</t>
        </is>
      </c>
      <c r="BB275" t="inlineStr">
        <is>
          <t>https://legora.com/</t>
        </is>
      </c>
      <c r="BC275" t="inlineStr">
        <is>
          <t>Legal AI software</t>
        </is>
      </c>
      <c r="BD275" t="inlineStr">
        <is>
          <t>1100</t>
        </is>
      </c>
      <c r="BF275" t="inlineStr">
        <is>
          <t>over-500</t>
        </is>
      </c>
      <c r="BG275" t="inlineStr">
        <is>
          <t>whole-company</t>
        </is>
      </c>
      <c r="BH275" t="inlineStr">
        <is>
          <t>single-source</t>
        </is>
      </c>
      <c r="BI275" t="inlineStr">
        <is>
          <t>https://www.builtinnyc.com/company/legora/offices</t>
        </is>
      </c>
      <c r="BK275" t="inlineStr">
        <is>
          <t>1001-4999</t>
        </is>
      </c>
      <c r="BL275" t="inlineStr">
        <is>
          <t>New York</t>
        </is>
      </c>
      <c r="BM275" t="inlineStr">
        <is>
          <t>Y</t>
        </is>
      </c>
      <c r="BN275" t="inlineStr">
        <is>
          <t>unknown</t>
        </is>
      </c>
      <c r="BO275" t="inlineStr">
        <is>
          <t>unknown</t>
        </is>
      </c>
      <c r="BP275" t="inlineStr">
        <is>
          <t>10010</t>
        </is>
      </c>
      <c r="BQ275" t="n">
        <v>40.741761</v>
      </c>
      <c r="BR275" t="n">
        <v>-73.987033</v>
      </c>
      <c r="BS275" t="inlineStr">
        <is>
          <t>Y</t>
        </is>
      </c>
      <c r="BT275" t="n">
        <v>0</v>
      </c>
      <c r="BU275" t="inlineStr">
        <is>
          <t>B-B-052</t>
        </is>
      </c>
      <c r="BV275" t="inlineStr">
        <is>
          <t>11 Madison Avenue (SL Green); Sony Music uses 25 Madison Ave entrance</t>
        </is>
      </c>
      <c r="BW275" t="inlineStr">
        <is>
          <t>https://commercialobserver.com/2026/07/ai-firm-legora-takes-98k-sl-greens-11-madison-avenue/</t>
        </is>
      </c>
      <c r="BX275" t="inlineStr">
        <is>
          <t>2026-07-23</t>
        </is>
      </c>
      <c r="BY275" t="inlineStr">
        <is>
          <t>leasing-press</t>
        </is>
      </c>
      <c r="BZ275" t="inlineStr">
        <is>
          <t>https://flatironnomad.nyc/2026/08/05/july-news-roundup-6/</t>
        </is>
      </c>
      <c r="CA275" t="inlineStr">
        <is>
          <t>2026-08-05</t>
        </is>
      </c>
      <c r="CC275" t="inlineStr">
        <is>
          <t>medium</t>
        </is>
      </c>
      <c r="CD275" t="inlineStr">
        <is>
          <t>unknown</t>
        </is>
      </c>
      <c r="CE275" t="inlineStr">
        <is>
          <t>N</t>
        </is>
      </c>
      <c r="CH275" t="inlineStr">
        <is>
          <t>loading dock</t>
        </is>
      </c>
      <c r="CI275" t="inlineStr">
        <is>
          <t>https://en.wikipedia.org/wiki/11_Madison_Avenue</t>
        </is>
      </c>
      <c r="CJ275" t="inlineStr">
        <is>
          <t>unknown</t>
        </is>
      </c>
      <c r="CK275" t="inlineStr">
        <is>
          <t>N</t>
        </is>
      </c>
      <c r="CL275" t="inlineStr">
        <is>
          <t>unknown</t>
        </is>
      </c>
      <c r="CO275" t="n">
        <v>444</v>
      </c>
      <c r="CP275" t="inlineStr">
        <is>
          <t>over-250</t>
        </is>
      </c>
      <c r="CQ275"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CR275" t="inlineStr">
        <is>
          <t>estimate until intake replaces it</t>
        </is>
      </c>
      <c r="CS275" t="n">
        <v>0</v>
      </c>
      <c r="CT275" t="n">
        <v>13</v>
      </c>
      <c r="CU275" t="n">
        <v>0</v>
      </c>
      <c r="CV275" t="n">
        <v>2</v>
      </c>
      <c r="CW275" t="n">
        <v>6</v>
      </c>
      <c r="CX275" t="n">
        <v>5</v>
      </c>
      <c r="CY275">
        <f>IF(AH275="exact",10,IF(AH275="adjacent",5,0))</f>
        <v/>
      </c>
      <c r="CZ275">
        <f>IF(R275="Y",15,0)</f>
        <v/>
      </c>
      <c r="DF275" t="inlineStr">
        <is>
          <t>none</t>
        </is>
      </c>
      <c r="DG275" t="inlineStr">
        <is>
          <t>near-miss-over-500</t>
        </is>
      </c>
      <c r="DH275" t="inlineStr">
        <is>
          <t>over-1,000 (1,001 to 4,999)</t>
        </is>
      </c>
      <c r="DI275" t="inlineStr">
        <is>
          <t>N</t>
        </is>
      </c>
      <c r="DJ275" t="inlineStr">
        <is>
          <t>98,420 sf</t>
        </is>
      </c>
      <c r="DK275" t="inlineStr">
        <is>
          <t>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75" t="inlineStr">
        <is>
          <t>none</t>
        </is>
      </c>
      <c r="DX275" t="inlineStr">
        <is>
          <t>N</t>
        </is>
      </c>
      <c r="ER275">
        <f>IF(ISNUMBER(MATCH(U275,{"queued","contacted","replied","call_booked","call_done","yes_in_principle","materials_sent"},0)),"Y","N")</f>
        <v/>
      </c>
      <c r="ES275">
        <f>IF(COUNTIFS($AP$2:$AP$1000,AP275,$ER$2:$ER$1000,"Y")+COUNTIFS($AP$2:$AP$1000,AP275,$T$2:$T$1000,"Y")&gt;0,"Y","N")</f>
        <v/>
      </c>
      <c r="ET275">
        <f>IF(AND(U275="new",T275="N",AT275="Y",AS275="",ES275="N"),"Y","N")</f>
        <v/>
      </c>
      <c r="EU275">
        <f>IF(ET275&lt;&gt;"Y","N",IF(COUNTIFS($AP$2:$AP$1000,AP275,$ET$2:$ET$1000,"Y",$J$2:$J$1000,"&gt;"&amp;J275)+COUNTIFS($AP$2:$AP$1000,AP275,$ET$2:$ET$1000,"Y",$J$2:$J$1000,J275,$EW$2:$EW$1000,"&lt;"&amp;EW275)=0,"Y","N"))</f>
        <v/>
      </c>
      <c r="EV275">
        <f>IF(Y275="","N",IF(Y275&lt;=10,"Y","N"))</f>
        <v/>
      </c>
      <c r="EW275">
        <f>ROW()-1</f>
        <v/>
      </c>
    </row>
    <row r="276">
      <c r="A276" t="inlineStr">
        <is>
          <t>AO-C-211</t>
        </is>
      </c>
      <c r="B276" t="inlineStr">
        <is>
          <t>Mastercard</t>
        </is>
      </c>
      <c r="H276" t="inlineStr">
        <is>
          <t>none</t>
        </is>
      </c>
      <c r="I276" t="inlineStr">
        <is>
          <t>linkedin</t>
        </is>
      </c>
      <c r="J276">
        <f>IF(AX276="pass",ROUND(CU276+CV276+CW276+CX276+CY276+CZ276,1),0)</f>
        <v/>
      </c>
      <c r="K276" t="inlineStr">
        <is>
          <t>Gated out: Tuesday estimate over 250 (892 to 17848).</t>
        </is>
      </c>
      <c r="L276" t="inlineStr">
        <is>
          <t>over-500</t>
        </is>
      </c>
      <c r="R276" t="inlineStr">
        <is>
          <t>N</t>
        </is>
      </c>
      <c r="S276" t="inlineStr">
        <is>
          <t>unknown</t>
        </is>
      </c>
      <c r="T276" t="inlineStr">
        <is>
          <t>N</t>
        </is>
      </c>
      <c r="U276" t="inlineStr">
        <is>
          <t>new</t>
        </is>
      </c>
      <c r="V276" t="inlineStr">
        <is>
          <t>https://commercialobserver.com/2025/09/bam-labs-150-fifth-avenue-first-u-s-location/</t>
        </is>
      </c>
      <c r="W276" t="inlineStr">
        <is>
          <t>2026-10-23</t>
        </is>
      </c>
      <c r="X276" t="inlineStr">
        <is>
          <t>office</t>
        </is>
      </c>
      <c r="Y276">
        <f>IF(EU276&lt;&gt;"Y","",COUNTIFS($EU$2:$EU$1000,"Y",$J$2:$J$1000,"&gt;"&amp;J276)+COUNTIFS($EU$2:$EU$1000,"Y",$J$2:$J$1000,J276,$EW$2:$EW$1000,"&lt;"&amp;EW276)+1)</f>
        <v/>
      </c>
      <c r="AA276" t="inlineStr">
        <is>
          <t>N</t>
        </is>
      </c>
      <c r="AD276" t="inlineStr">
        <is>
          <t>none</t>
        </is>
      </c>
      <c r="AH276" t="inlineStr">
        <is>
          <t>none</t>
        </is>
      </c>
      <c r="AI276" t="inlineStr">
        <is>
          <t>150 Fifth Avenue</t>
        </is>
      </c>
      <c r="AJ276" t="inlineStr">
        <is>
          <t>unknown</t>
        </is>
      </c>
      <c r="AK276" t="inlineStr">
        <is>
          <t>occupied</t>
        </is>
      </c>
      <c r="AL276" t="n">
        <v>892</v>
      </c>
      <c r="AM276" t="n">
        <v>17848</v>
      </c>
      <c r="AN276" t="inlineStr">
        <is>
          <t>low</t>
        </is>
      </c>
      <c r="AO276" t="inlineStr">
        <is>
          <t>unknown</t>
        </is>
      </c>
      <c r="AP276" t="inlineStr">
        <is>
          <t>AO-C-211</t>
        </is>
      </c>
      <c r="AQ276" t="inlineStr">
        <is>
          <t>N</t>
        </is>
      </c>
      <c r="AT276">
        <f>IF(AND(AX276="pass",AQ276&lt;&gt;"Y",C276&lt;&gt;"",OR(AW276&lt;&gt;"Y",AV276="Y")),"Y","N")</f>
        <v/>
      </c>
      <c r="AU276">
        <f>_xlfn.TEXTJOIN("; ",TRUE,IF(AX276&lt;&gt;"pass","gated out",""),IF(AQ276="Y","on hold: "&amp;AR276,""),IF(C276="","no contact named on an opened page",""),IF(AND(AW276="Y",AV276&lt;&gt;"Y"),"Tuesday estimate band "&amp;L276&amp;": founder's call",""))</f>
        <v/>
      </c>
      <c r="AW276" t="inlineStr">
        <is>
          <t>Y</t>
        </is>
      </c>
      <c r="AX276" t="inlineStr">
        <is>
          <t>fail</t>
        </is>
      </c>
      <c r="AY276" t="inlineStr">
        <is>
          <t>Tuesday estimate over 250 (892 to 17848)</t>
        </is>
      </c>
      <c r="AZ276" t="inlineStr">
        <is>
          <t>company</t>
        </is>
      </c>
      <c r="BA276" t="inlineStr">
        <is>
          <t>B-C-211</t>
        </is>
      </c>
      <c r="BB276" t="inlineStr">
        <is>
          <t>https://www.mastercard.com</t>
        </is>
      </c>
      <c r="BC276" t="inlineStr">
        <is>
          <t>payments (tech hub)</t>
        </is>
      </c>
      <c r="BD276" t="inlineStr">
        <is>
          <t>38800</t>
        </is>
      </c>
      <c r="BF276" t="inlineStr">
        <is>
          <t>over-500</t>
        </is>
      </c>
      <c r="BG276" t="inlineStr">
        <is>
          <t>whole-company</t>
        </is>
      </c>
      <c r="BH276" t="inlineStr">
        <is>
          <t>single-source</t>
        </is>
      </c>
      <c r="BI276" t="inlineStr">
        <is>
          <t>https://www.builtinnyc.com/company/mastercard</t>
        </is>
      </c>
      <c r="BK276" t="inlineStr">
        <is>
          <t>5000+</t>
        </is>
      </c>
      <c r="BL276" t="inlineStr">
        <is>
          <t>Purchase</t>
        </is>
      </c>
      <c r="BM276" t="inlineStr">
        <is>
          <t>N</t>
        </is>
      </c>
      <c r="BN276" t="inlineStr">
        <is>
          <t>unknown</t>
        </is>
      </c>
      <c r="BO276" t="inlineStr">
        <is>
          <t>unknown</t>
        </is>
      </c>
      <c r="BQ276" t="n">
        <v>40.739548</v>
      </c>
      <c r="BR276" t="n">
        <v>-73.99127300000001</v>
      </c>
      <c r="BS276" t="inlineStr">
        <is>
          <t>Y</t>
        </is>
      </c>
      <c r="BT276" t="n">
        <v>0</v>
      </c>
      <c r="BV276" t="inlineStr">
        <is>
          <t>unknown</t>
        </is>
      </c>
      <c r="BW276" t="inlineStr">
        <is>
          <t>https://commercialobserver.com/2025/09/bam-labs-150-fifth-avenue-first-u-s-location/</t>
        </is>
      </c>
      <c r="BX276" t="inlineStr">
        <is>
          <t>2025-09-22</t>
        </is>
      </c>
      <c r="BY276" t="inlineStr">
        <is>
          <t>leasing-press</t>
        </is>
      </c>
      <c r="BZ276" t="inlineStr">
        <is>
          <t>https://commercialobserver.com/2021/10/150-fifth-avenue-debuts-as-mastercards-new-tech-hq/</t>
        </is>
      </c>
      <c r="CA276" t="inlineStr">
        <is>
          <t>2021-10-20</t>
        </is>
      </c>
      <c r="CC276" t="inlineStr">
        <is>
          <t>medium</t>
        </is>
      </c>
      <c r="CE276" t="inlineStr">
        <is>
          <t>N</t>
        </is>
      </c>
      <c r="CH276" t="inlineStr">
        <is>
          <t>unknown</t>
        </is>
      </c>
      <c r="CJ276" t="inlineStr">
        <is>
          <t>unknown</t>
        </is>
      </c>
      <c r="CK276" t="inlineStr">
        <is>
          <t>N</t>
        </is>
      </c>
      <c r="CL276" t="inlineStr">
        <is>
          <t>unknown</t>
        </is>
      </c>
      <c r="CO276" t="n">
        <v>3990</v>
      </c>
      <c r="CP276" t="inlineStr">
        <is>
          <t>over-250</t>
        </is>
      </c>
      <c r="CQ276" t="inlineStr">
        <is>
          <t>38800 (Built In) staff (whole-company count) x 5% to 100% of them in the New York office (HQ outside New York; share assumed) x 46% (Partnership for NYC, firms over 5,000) in on a weekday = 892 to 17848, central 3990; low confidence; estimate until intake replaces it.</t>
        </is>
      </c>
      <c r="CR276" t="inlineStr">
        <is>
          <t>estimate until intake replaces it</t>
        </is>
      </c>
      <c r="CS276" t="n">
        <v>0</v>
      </c>
      <c r="CT276" t="n">
        <v>19</v>
      </c>
      <c r="CU276" t="n">
        <v>0</v>
      </c>
      <c r="CV276" t="n">
        <v>0</v>
      </c>
      <c r="CW276" t="n">
        <v>6</v>
      </c>
      <c r="CX276" t="n">
        <v>13</v>
      </c>
      <c r="CY276">
        <f>IF(AH276="exact",10,IF(AH276="adjacent",5,0))</f>
        <v/>
      </c>
      <c r="CZ276">
        <f>IF(R276="Y",15,0)</f>
        <v/>
      </c>
      <c r="DF276" t="inlineStr">
        <is>
          <t>none</t>
        </is>
      </c>
      <c r="DG276" t="inlineStr">
        <is>
          <t>near-miss-over-500</t>
        </is>
      </c>
      <c r="DH276" t="inlineStr">
        <is>
          <t>not-near (5,000 or more)</t>
        </is>
      </c>
      <c r="DI276" t="inlineStr">
        <is>
          <t>N</t>
        </is>
      </c>
      <c r="DJ276" t="inlineStr">
        <is>
          <t>212,000 sf</t>
        </is>
      </c>
      <c r="DK276" t="inlineStr">
        <is>
          <t>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is>
      </c>
      <c r="DS276" t="inlineStr">
        <is>
          <t>none</t>
        </is>
      </c>
      <c r="DX276" t="inlineStr">
        <is>
          <t>N</t>
        </is>
      </c>
      <c r="ER276">
        <f>IF(ISNUMBER(MATCH(U276,{"queued","contacted","replied","call_booked","call_done","yes_in_principle","materials_sent"},0)),"Y","N")</f>
        <v/>
      </c>
      <c r="ES276">
        <f>IF(COUNTIFS($AP$2:$AP$1000,AP276,$ER$2:$ER$1000,"Y")+COUNTIFS($AP$2:$AP$1000,AP276,$T$2:$T$1000,"Y")&gt;0,"Y","N")</f>
        <v/>
      </c>
      <c r="ET276">
        <f>IF(AND(U276="new",T276="N",AT276="Y",AS276="",ES276="N"),"Y","N")</f>
        <v/>
      </c>
      <c r="EU276">
        <f>IF(ET276&lt;&gt;"Y","N",IF(COUNTIFS($AP$2:$AP$1000,AP276,$ET$2:$ET$1000,"Y",$J$2:$J$1000,"&gt;"&amp;J276)+COUNTIFS($AP$2:$AP$1000,AP276,$ET$2:$ET$1000,"Y",$J$2:$J$1000,J276,$EW$2:$EW$1000,"&lt;"&amp;EW276)=0,"Y","N"))</f>
        <v/>
      </c>
      <c r="EV276">
        <f>IF(Y276="","N",IF(Y276&lt;=10,"Y","N"))</f>
        <v/>
      </c>
      <c r="EW276">
        <f>ROW()-1</f>
        <v/>
      </c>
    </row>
    <row r="277">
      <c r="A277" t="inlineStr">
        <is>
          <t>AO-C-194</t>
        </is>
      </c>
      <c r="B277" t="inlineStr">
        <is>
          <t>Microsoft (AdTech hub)</t>
        </is>
      </c>
      <c r="H277" t="inlineStr">
        <is>
          <t>none</t>
        </is>
      </c>
      <c r="I277" t="inlineStr">
        <is>
          <t>linkedin</t>
        </is>
      </c>
      <c r="J277">
        <f>IF(AX277="pass",ROUND(CU277+CV277+CW277+CX277+CY277+CZ277,1),0)</f>
        <v/>
      </c>
      <c r="K277" t="inlineStr">
        <is>
          <t>Gated out: Tuesday estimate over 250 (5129 to 102580).</t>
        </is>
      </c>
      <c r="L277" t="inlineStr">
        <is>
          <t>over-500</t>
        </is>
      </c>
      <c r="R277" t="inlineStr">
        <is>
          <t>N</t>
        </is>
      </c>
      <c r="S277" t="inlineStr">
        <is>
          <t>unknown</t>
        </is>
      </c>
      <c r="T277" t="inlineStr">
        <is>
          <t>N</t>
        </is>
      </c>
      <c r="U277" t="inlineStr">
        <is>
          <t>new</t>
        </is>
      </c>
      <c r="V277" t="inlineStr">
        <is>
          <t>https://commercialobserver.com/2026/06/ebay-lease-bromley-companies-122-fifth-avenue/</t>
        </is>
      </c>
      <c r="W277" t="inlineStr">
        <is>
          <t>2026-10-23</t>
        </is>
      </c>
      <c r="X277" t="inlineStr">
        <is>
          <t>office</t>
        </is>
      </c>
      <c r="Y277">
        <f>IF(EU277&lt;&gt;"Y","",COUNTIFS($EU$2:$EU$1000,"Y",$J$2:$J$1000,"&gt;"&amp;J277)+COUNTIFS($EU$2:$EU$1000,"Y",$J$2:$J$1000,J277,$EW$2:$EW$1000,"&lt;"&amp;EW277)+1)</f>
        <v/>
      </c>
      <c r="AA277" t="inlineStr">
        <is>
          <t>N</t>
        </is>
      </c>
      <c r="AD277" t="inlineStr">
        <is>
          <t>none</t>
        </is>
      </c>
      <c r="AH277" t="inlineStr">
        <is>
          <t>none</t>
        </is>
      </c>
      <c r="AI277" t="inlineStr">
        <is>
          <t>122 Fifth Avenue</t>
        </is>
      </c>
      <c r="AJ277" t="inlineStr">
        <is>
          <t>6-10</t>
        </is>
      </c>
      <c r="AK277" t="inlineStr">
        <is>
          <t>occupied</t>
        </is>
      </c>
      <c r="AL277" t="n">
        <v>5129</v>
      </c>
      <c r="AM277" t="n">
        <v>102580</v>
      </c>
      <c r="AN277" t="inlineStr">
        <is>
          <t>low</t>
        </is>
      </c>
      <c r="AO277" t="inlineStr">
        <is>
          <t>unknown</t>
        </is>
      </c>
      <c r="AP277" t="inlineStr">
        <is>
          <t>AO-C-194</t>
        </is>
      </c>
      <c r="AQ277" t="inlineStr">
        <is>
          <t>N</t>
        </is>
      </c>
      <c r="AT277">
        <f>IF(AND(AX277="pass",AQ277&lt;&gt;"Y",C277&lt;&gt;"",OR(AW277&lt;&gt;"Y",AV277="Y")),"Y","N")</f>
        <v/>
      </c>
      <c r="AU277">
        <f>_xlfn.TEXTJOIN("; ",TRUE,IF(AX277&lt;&gt;"pass","gated out",""),IF(AQ277="Y","on hold: "&amp;AR277,""),IF(C277="","no contact named on an opened page",""),IF(AND(AW277="Y",AV277&lt;&gt;"Y"),"Tuesday estimate band "&amp;L277&amp;": founder's call",""))</f>
        <v/>
      </c>
      <c r="AW277" t="inlineStr">
        <is>
          <t>Y</t>
        </is>
      </c>
      <c r="AX277" t="inlineStr">
        <is>
          <t>fail</t>
        </is>
      </c>
      <c r="AY277" t="inlineStr">
        <is>
          <t>Tuesday estimate over 250 (5129 to 102580)</t>
        </is>
      </c>
      <c r="AZ277" t="inlineStr">
        <is>
          <t>company</t>
        </is>
      </c>
      <c r="BA277" t="inlineStr">
        <is>
          <t>B-C-194</t>
        </is>
      </c>
      <c r="BB277" t="inlineStr">
        <is>
          <t>https://www.microsoft.com</t>
        </is>
      </c>
      <c r="BC277" t="inlineStr">
        <is>
          <t>software (advertising technology unit)</t>
        </is>
      </c>
      <c r="BD277" t="inlineStr">
        <is>
          <t>223000</t>
        </is>
      </c>
      <c r="BF277" t="inlineStr">
        <is>
          <t>over-500</t>
        </is>
      </c>
      <c r="BG277" t="inlineStr">
        <is>
          <t>whole-company</t>
        </is>
      </c>
      <c r="BH277" t="inlineStr">
        <is>
          <t>single-source</t>
        </is>
      </c>
      <c r="BI277" t="inlineStr">
        <is>
          <t>https://www.builtinnyc.com/company/microsoft</t>
        </is>
      </c>
      <c r="BK277" t="inlineStr">
        <is>
          <t>5000+</t>
        </is>
      </c>
      <c r="BL277" t="inlineStr">
        <is>
          <t>Redmond</t>
        </is>
      </c>
      <c r="BM277" t="inlineStr">
        <is>
          <t>N</t>
        </is>
      </c>
      <c r="BN277" t="inlineStr">
        <is>
          <t>unknown</t>
        </is>
      </c>
      <c r="BO277" t="inlineStr">
        <is>
          <t>unknown</t>
        </is>
      </c>
      <c r="BP277" t="inlineStr">
        <is>
          <t>10011</t>
        </is>
      </c>
      <c r="BQ277" t="n">
        <v>40.738461</v>
      </c>
      <c r="BR277" t="n">
        <v>-73.99252300000001</v>
      </c>
      <c r="BS277" t="inlineStr">
        <is>
          <t>Y</t>
        </is>
      </c>
      <c r="BT277" t="n">
        <v>0</v>
      </c>
      <c r="BV277" t="inlineStr">
        <is>
          <t>unknown</t>
        </is>
      </c>
      <c r="BW277" t="inlineStr">
        <is>
          <t>https://commercialobserver.com/2026/06/ebay-lease-bromley-companies-122-fifth-avenue/</t>
        </is>
      </c>
      <c r="BX277" t="inlineStr">
        <is>
          <t>2026-06-02</t>
        </is>
      </c>
      <c r="BY277" t="inlineStr">
        <is>
          <t>leasing-press</t>
        </is>
      </c>
      <c r="BZ277" t="inlineStr">
        <is>
          <t>https://commercialobserver.com/?p=521355</t>
        </is>
      </c>
      <c r="CA277" t="inlineStr">
        <is>
          <t>2025-05-08</t>
        </is>
      </c>
      <c r="CC277" t="inlineStr">
        <is>
          <t>medium</t>
        </is>
      </c>
      <c r="CE277" t="inlineStr">
        <is>
          <t>N</t>
        </is>
      </c>
      <c r="CH277" t="inlineStr">
        <is>
          <t>unknown</t>
        </is>
      </c>
      <c r="CJ277" t="inlineStr">
        <is>
          <t>unknown</t>
        </is>
      </c>
      <c r="CK277" t="inlineStr">
        <is>
          <t>N</t>
        </is>
      </c>
      <c r="CL277" t="inlineStr">
        <is>
          <t>unknown</t>
        </is>
      </c>
      <c r="CO277" t="n">
        <v>22938</v>
      </c>
      <c r="CP277" t="inlineStr">
        <is>
          <t>over-250</t>
        </is>
      </c>
      <c r="CQ277" t="inlineStr">
        <is>
          <t>223000 (Built In) staff (whole-company count) x 5% to 100% of them in the New York office (HQ outside New York; share assumed) x 46% (Partnership for NYC, firms over 5,000) in on a weekday = 5129 to 102580, central 22938; low confidence; estimate until intake replaces it.</t>
        </is>
      </c>
      <c r="CR277" t="inlineStr">
        <is>
          <t>estimate until intake replaces it</t>
        </is>
      </c>
      <c r="CS277" t="n">
        <v>0</v>
      </c>
      <c r="CT277" t="n">
        <v>19</v>
      </c>
      <c r="CU277" t="n">
        <v>0</v>
      </c>
      <c r="CV277" t="n">
        <v>0</v>
      </c>
      <c r="CW277" t="n">
        <v>6</v>
      </c>
      <c r="CX277" t="n">
        <v>13</v>
      </c>
      <c r="CY277">
        <f>IF(AH277="exact",10,IF(AH277="adjacent",5,0))</f>
        <v/>
      </c>
      <c r="CZ277">
        <f>IF(R277="Y",15,0)</f>
        <v/>
      </c>
      <c r="DF277" t="inlineStr">
        <is>
          <t>none</t>
        </is>
      </c>
      <c r="DG277" t="inlineStr">
        <is>
          <t>near-miss-over-500</t>
        </is>
      </c>
      <c r="DH277" t="inlineStr">
        <is>
          <t>not-near (5,000 or more)</t>
        </is>
      </c>
      <c r="DI277" t="inlineStr">
        <is>
          <t>N</t>
        </is>
      </c>
      <c r="DJ277" t="inlineStr">
        <is>
          <t>150,000 sf</t>
        </is>
      </c>
      <c r="DK277" t="inlineStr">
        <is>
          <t>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is>
      </c>
      <c r="DS277" t="inlineStr">
        <is>
          <t>none</t>
        </is>
      </c>
      <c r="DX277" t="inlineStr">
        <is>
          <t>N</t>
        </is>
      </c>
      <c r="ER277">
        <f>IF(ISNUMBER(MATCH(U277,{"queued","contacted","replied","call_booked","call_done","yes_in_principle","materials_sent"},0)),"Y","N")</f>
        <v/>
      </c>
      <c r="ES277">
        <f>IF(COUNTIFS($AP$2:$AP$1000,AP277,$ER$2:$ER$1000,"Y")+COUNTIFS($AP$2:$AP$1000,AP277,$T$2:$T$1000,"Y")&gt;0,"Y","N")</f>
        <v/>
      </c>
      <c r="ET277">
        <f>IF(AND(U277="new",T277="N",AT277="Y",AS277="",ES277="N"),"Y","N")</f>
        <v/>
      </c>
      <c r="EU277">
        <f>IF(ET277&lt;&gt;"Y","N",IF(COUNTIFS($AP$2:$AP$1000,AP277,$ET$2:$ET$1000,"Y",$J$2:$J$1000,"&gt;"&amp;J277)+COUNTIFS($AP$2:$AP$1000,AP277,$ET$2:$ET$1000,"Y",$J$2:$J$1000,J277,$EW$2:$EW$1000,"&lt;"&amp;EW277)=0,"Y","N"))</f>
        <v/>
      </c>
      <c r="EV277">
        <f>IF(Y277="","N",IF(Y277&lt;=10,"Y","N"))</f>
        <v/>
      </c>
      <c r="EW277">
        <f>ROW()-1</f>
        <v/>
      </c>
    </row>
    <row r="278">
      <c r="A278" t="inlineStr">
        <is>
          <t>AO-C-250</t>
        </is>
      </c>
      <c r="B278" t="inlineStr">
        <is>
          <t>Mphasis</t>
        </is>
      </c>
      <c r="H278" t="inlineStr">
        <is>
          <t>none</t>
        </is>
      </c>
      <c r="I278" t="inlineStr">
        <is>
          <t>linkedin</t>
        </is>
      </c>
      <c r="J278">
        <f>IF(AX278="pass",ROUND(CU278+CV278+CW278+CX278+CY278+CZ278,1),0)</f>
        <v/>
      </c>
      <c r="K278" t="inlineStr">
        <is>
          <t>Gated out: Tuesday estimate over 250 (862 to 17250).</t>
        </is>
      </c>
      <c r="L278" t="inlineStr">
        <is>
          <t>over-500</t>
        </is>
      </c>
      <c r="O278" t="inlineStr">
        <is>
          <t>New or renewed lease at 41 Madison Avenue reported 2026-10-22</t>
        </is>
      </c>
      <c r="P278" t="inlineStr">
        <is>
          <t>https://commercialobserver.com/2026/10/mphasis-lease-expansion-rudin-41-madison-avenue/</t>
        </is>
      </c>
      <c r="Q278" t="inlineStr">
        <is>
          <t>2026-10-22</t>
        </is>
      </c>
      <c r="R278" t="inlineStr">
        <is>
          <t>N</t>
        </is>
      </c>
      <c r="S278" t="inlineStr">
        <is>
          <t>unknown</t>
        </is>
      </c>
      <c r="T278" t="inlineStr">
        <is>
          <t>N</t>
        </is>
      </c>
      <c r="U278" t="inlineStr">
        <is>
          <t>new</t>
        </is>
      </c>
      <c r="V278" t="inlineStr">
        <is>
          <t>https://commercialobserver.com/2026/10/mphasis-lease-expansion-rudin-41-madison-avenue/</t>
        </is>
      </c>
      <c r="W278" t="inlineStr">
        <is>
          <t>2026-10-23</t>
        </is>
      </c>
      <c r="X278" t="inlineStr">
        <is>
          <t>office</t>
        </is>
      </c>
      <c r="Y278">
        <f>IF(EU278&lt;&gt;"Y","",COUNTIFS($EU$2:$EU$1000,"Y",$J$2:$J$1000,"&gt;"&amp;J278)+COUNTIFS($EU$2:$EU$1000,"Y",$J$2:$J$1000,J278,$EW$2:$EW$1000,"&lt;"&amp;EW278)+1)</f>
        <v/>
      </c>
      <c r="AA278" t="inlineStr">
        <is>
          <t>N</t>
        </is>
      </c>
      <c r="AD278" t="inlineStr">
        <is>
          <t>none</t>
        </is>
      </c>
      <c r="AH278" t="inlineStr">
        <is>
          <t>none</t>
        </is>
      </c>
      <c r="AI278" t="inlineStr">
        <is>
          <t>41 Madison Avenue</t>
        </is>
      </c>
      <c r="AJ278" t="inlineStr">
        <is>
          <t>35-36</t>
        </is>
      </c>
      <c r="AK278" t="inlineStr">
        <is>
          <t>occupied</t>
        </is>
      </c>
      <c r="AL278" t="n">
        <v>862</v>
      </c>
      <c r="AM278" t="n">
        <v>17250</v>
      </c>
      <c r="AN278" t="inlineStr">
        <is>
          <t>low</t>
        </is>
      </c>
      <c r="AO278" t="inlineStr">
        <is>
          <t>unknown</t>
        </is>
      </c>
      <c r="AP278" t="inlineStr">
        <is>
          <t>AO-C-250</t>
        </is>
      </c>
      <c r="AQ278" t="inlineStr">
        <is>
          <t>N</t>
        </is>
      </c>
      <c r="AT278">
        <f>IF(AND(AX278="pass",AQ278&lt;&gt;"Y",C278&lt;&gt;"",OR(AW278&lt;&gt;"Y",AV278="Y")),"Y","N")</f>
        <v/>
      </c>
      <c r="AU278">
        <f>_xlfn.TEXTJOIN("; ",TRUE,IF(AX278&lt;&gt;"pass","gated out",""),IF(AQ278="Y","on hold: "&amp;AR278,""),IF(C278="","no contact named on an opened page",""),IF(AND(AW278="Y",AV278&lt;&gt;"Y"),"Tuesday estimate band "&amp;L278&amp;": founder's call",""))</f>
        <v/>
      </c>
      <c r="AW278" t="inlineStr">
        <is>
          <t>Y</t>
        </is>
      </c>
      <c r="AX278" t="inlineStr">
        <is>
          <t>fail</t>
        </is>
      </c>
      <c r="AY278" t="inlineStr">
        <is>
          <t>Tuesday estimate over 250 (862 to 17250)</t>
        </is>
      </c>
      <c r="AZ278" t="inlineStr">
        <is>
          <t>company</t>
        </is>
      </c>
      <c r="BA278" t="inlineStr">
        <is>
          <t>B-C-250</t>
        </is>
      </c>
      <c r="BB278" t="inlineStr">
        <is>
          <t>https://www.mphasis.com</t>
        </is>
      </c>
      <c r="BC278" t="inlineStr">
        <is>
          <t>IT services</t>
        </is>
      </c>
      <c r="BD278" t="inlineStr">
        <is>
          <t>37500</t>
        </is>
      </c>
      <c r="BF278" t="inlineStr">
        <is>
          <t>over-500</t>
        </is>
      </c>
      <c r="BG278" t="inlineStr">
        <is>
          <t>whole-company</t>
        </is>
      </c>
      <c r="BH278" t="inlineStr">
        <is>
          <t>single-source</t>
        </is>
      </c>
      <c r="BI278" t="inlineStr">
        <is>
          <t>https://www.builtinnyc.com/company/mphasis/offices</t>
        </is>
      </c>
      <c r="BK278" t="inlineStr">
        <is>
          <t>5000+</t>
        </is>
      </c>
      <c r="BL278" t="inlineStr">
        <is>
          <t>unknown</t>
        </is>
      </c>
      <c r="BM278" t="inlineStr">
        <is>
          <t>unknown</t>
        </is>
      </c>
      <c r="BN278" t="inlineStr">
        <is>
          <t>unknown</t>
        </is>
      </c>
      <c r="BO278" t="inlineStr">
        <is>
          <t>unknown</t>
        </is>
      </c>
      <c r="BP278" t="inlineStr">
        <is>
          <t>10010</t>
        </is>
      </c>
      <c r="BQ278" t="n">
        <v>40.742477</v>
      </c>
      <c r="BR278" t="n">
        <v>-73.986608</v>
      </c>
      <c r="BS278" t="inlineStr">
        <is>
          <t>Y</t>
        </is>
      </c>
      <c r="BT278" t="n">
        <v>0</v>
      </c>
      <c r="BU278" t="inlineStr">
        <is>
          <t>B-B-057</t>
        </is>
      </c>
      <c r="BV278" t="inlineStr">
        <is>
          <t>41 Madison Avenue (Rudin)</t>
        </is>
      </c>
      <c r="BW278" t="inlineStr">
        <is>
          <t>https://commercialobserver.com/2026/10/mphasis-lease-expansion-rudin-41-madison-avenue/</t>
        </is>
      </c>
      <c r="BX278" t="inlineStr">
        <is>
          <t>2026-10-22</t>
        </is>
      </c>
      <c r="BY278" t="inlineStr">
        <is>
          <t>leasing-press</t>
        </is>
      </c>
      <c r="CC278" t="inlineStr">
        <is>
          <t>medium</t>
        </is>
      </c>
      <c r="CE278" t="inlineStr">
        <is>
          <t>N</t>
        </is>
      </c>
      <c r="CH278" t="inlineStr">
        <is>
          <t>security desk</t>
        </is>
      </c>
      <c r="CI278" t="inlineStr">
        <is>
          <t>https://www.metro-manhattan.com/buildings/41-madison-avenue-forty-one-madison-office-space/</t>
        </is>
      </c>
      <c r="CJ278" t="inlineStr">
        <is>
          <t>unknown</t>
        </is>
      </c>
      <c r="CK278" t="inlineStr">
        <is>
          <t>N</t>
        </is>
      </c>
      <c r="CL278" t="inlineStr">
        <is>
          <t>unknown</t>
        </is>
      </c>
      <c r="CO278" t="n">
        <v>3856</v>
      </c>
      <c r="CP278" t="inlineStr">
        <is>
          <t>over-250</t>
        </is>
      </c>
      <c r="CQ278" t="inlineStr">
        <is>
          <t>37500 (Built In) staff (whole-company count) x 5% to 100% of them in the New York office (HQ city unknown; share assumed) x 46% (Partnership for NYC, firms over 5,000) in on a weekday = 862 to 17250, central 3856; low confidence; estimate until intake replaces it.</t>
        </is>
      </c>
      <c r="CR278" t="inlineStr">
        <is>
          <t>estimate until intake replaces it</t>
        </is>
      </c>
      <c r="CS278" t="n">
        <v>0</v>
      </c>
      <c r="CT278" t="n">
        <v>19</v>
      </c>
      <c r="CU278" t="n">
        <v>0</v>
      </c>
      <c r="CV278" t="n">
        <v>0</v>
      </c>
      <c r="CW278" t="n">
        <v>6</v>
      </c>
      <c r="CX278" t="n">
        <v>13</v>
      </c>
      <c r="CY278">
        <f>IF(AH278="exact",10,IF(AH278="adjacent",5,0))</f>
        <v/>
      </c>
      <c r="CZ278">
        <f>IF(R278="Y",15,0)</f>
        <v/>
      </c>
      <c r="DF278" t="inlineStr">
        <is>
          <t>none</t>
        </is>
      </c>
      <c r="DG278" t="inlineStr">
        <is>
          <t>near-miss-over-500</t>
        </is>
      </c>
      <c r="DH278" t="inlineStr">
        <is>
          <t>not-near (5,000 or more)</t>
        </is>
      </c>
      <c r="DI278" t="inlineStr">
        <is>
          <t>N</t>
        </is>
      </c>
      <c r="DJ278" t="inlineStr">
        <is>
          <t>27,709 sf</t>
        </is>
      </c>
      <c r="DK278" t="inlineStr">
        <is>
          <t>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is>
      </c>
      <c r="DS278" t="inlineStr">
        <is>
          <t>none</t>
        </is>
      </c>
      <c r="DX278" t="inlineStr">
        <is>
          <t>N</t>
        </is>
      </c>
      <c r="ER278">
        <f>IF(ISNUMBER(MATCH(U278,{"queued","contacted","replied","call_booked","call_done","yes_in_principle","materials_sent"},0)),"Y","N")</f>
        <v/>
      </c>
      <c r="ES278">
        <f>IF(COUNTIFS($AP$2:$AP$1000,AP278,$ER$2:$ER$1000,"Y")+COUNTIFS($AP$2:$AP$1000,AP278,$T$2:$T$1000,"Y")&gt;0,"Y","N")</f>
        <v/>
      </c>
      <c r="ET278">
        <f>IF(AND(U278="new",T278="N",AT278="Y",AS278="",ES278="N"),"Y","N")</f>
        <v/>
      </c>
      <c r="EU278">
        <f>IF(ET278&lt;&gt;"Y","N",IF(COUNTIFS($AP$2:$AP$1000,AP278,$ET$2:$ET$1000,"Y",$J$2:$J$1000,"&gt;"&amp;J278)+COUNTIFS($AP$2:$AP$1000,AP278,$ET$2:$ET$1000,"Y",$J$2:$J$1000,J278,$EW$2:$EW$1000,"&lt;"&amp;EW278)=0,"Y","N"))</f>
        <v/>
      </c>
      <c r="EV278">
        <f>IF(Y278="","N",IF(Y278&lt;=10,"Y","N"))</f>
        <v/>
      </c>
      <c r="EW278">
        <f>ROW()-1</f>
        <v/>
      </c>
    </row>
    <row r="279">
      <c r="A279" t="inlineStr">
        <is>
          <t>AO-C-097</t>
        </is>
      </c>
      <c r="B279" t="inlineStr">
        <is>
          <t>Normal Computing</t>
        </is>
      </c>
      <c r="H279" t="inlineStr">
        <is>
          <t>none</t>
        </is>
      </c>
      <c r="I279" t="inlineStr">
        <is>
          <t>linkedin</t>
        </is>
      </c>
      <c r="J279">
        <f>IF(AX279="pass",ROUND(CU279+CV279+CW279+CX279+CY279+CZ279,1),0)</f>
        <v/>
      </c>
      <c r="K279" t="inlineStr">
        <is>
          <t>Gated out: Tuesday estimate under 30 (20 to 20).</t>
        </is>
      </c>
      <c r="L279" t="inlineStr">
        <is>
          <t>under-40</t>
        </is>
      </c>
      <c r="O279" t="inlineStr">
        <is>
          <t>New or renewed lease at 61 West 23rd Street reported 2026-09-21</t>
        </is>
      </c>
      <c r="P279" t="inlineStr">
        <is>
          <t>https://commercialobserver.com/2026/09/normal-computing-inspiren-leases-61-west-23rd-street/</t>
        </is>
      </c>
      <c r="Q279" t="inlineStr">
        <is>
          <t>2026-09-21</t>
        </is>
      </c>
      <c r="R279" t="inlineStr">
        <is>
          <t>N</t>
        </is>
      </c>
      <c r="S279" t="inlineStr">
        <is>
          <t>unknown</t>
        </is>
      </c>
      <c r="T279" t="inlineStr">
        <is>
          <t>N</t>
        </is>
      </c>
      <c r="U279" t="inlineStr">
        <is>
          <t>new</t>
        </is>
      </c>
      <c r="V279" t="inlineStr">
        <is>
          <t>https://commercialobserver.com/2026/09/normal-computing-inspiren-leases-61-west-23rd-street/</t>
        </is>
      </c>
      <c r="W279" t="inlineStr">
        <is>
          <t>2026-10-23</t>
        </is>
      </c>
      <c r="X279" t="inlineStr">
        <is>
          <t>office</t>
        </is>
      </c>
      <c r="Y279">
        <f>IF(EU279&lt;&gt;"Y","",COUNTIFS($EU$2:$EU$1000,"Y",$J$2:$J$1000,"&gt;"&amp;J279)+COUNTIFS($EU$2:$EU$1000,"Y",$J$2:$J$1000,J279,$EW$2:$EW$1000,"&lt;"&amp;EW279)+1)</f>
        <v/>
      </c>
      <c r="AA279" t="inlineStr">
        <is>
          <t>N</t>
        </is>
      </c>
      <c r="AD279" t="inlineStr">
        <is>
          <t>none</t>
        </is>
      </c>
      <c r="AH279" t="inlineStr">
        <is>
          <t>none</t>
        </is>
      </c>
      <c r="AI279" t="inlineStr">
        <is>
          <t>61 West 23rd Street</t>
        </is>
      </c>
      <c r="AJ279" t="inlineStr">
        <is>
          <t>full floor (floor number not stated)</t>
        </is>
      </c>
      <c r="AK279" t="inlineStr">
        <is>
          <t>signed-not-occupied</t>
        </is>
      </c>
      <c r="AL279" t="n">
        <v>20</v>
      </c>
      <c r="AM279" t="n">
        <v>20</v>
      </c>
      <c r="AN279" t="inlineStr">
        <is>
          <t>medium</t>
        </is>
      </c>
      <c r="AO279" t="inlineStr">
        <is>
          <t>unknown</t>
        </is>
      </c>
      <c r="AP279" t="inlineStr">
        <is>
          <t>AO-C-097</t>
        </is>
      </c>
      <c r="AQ279" t="inlineStr">
        <is>
          <t>Y</t>
        </is>
      </c>
      <c r="AR279" t="inlineStr">
        <is>
          <t>lease signed, move not confirmed: check the lobby directory before outreach (B)</t>
        </is>
      </c>
      <c r="AT279">
        <f>IF(AND(AX279="pass",AQ279&lt;&gt;"Y",C279&lt;&gt;"",OR(AW279&lt;&gt;"Y",AV279="Y")),"Y","N")</f>
        <v/>
      </c>
      <c r="AU279">
        <f>_xlfn.TEXTJOIN("; ",TRUE,IF(AX279&lt;&gt;"pass","gated out",""),IF(AQ279="Y","on hold: "&amp;AR279,""),IF(C279="","no contact named on an opened page",""),IF(AND(AW279="Y",AV279&lt;&gt;"Y"),"Tuesday estimate band "&amp;L279&amp;": founder's call",""))</f>
        <v/>
      </c>
      <c r="AW279" t="inlineStr">
        <is>
          <t>Y</t>
        </is>
      </c>
      <c r="AX279" t="inlineStr">
        <is>
          <t>fail</t>
        </is>
      </c>
      <c r="AY279" t="inlineStr">
        <is>
          <t>Tuesday estimate under 30 (20 to 20)</t>
        </is>
      </c>
      <c r="AZ279" t="inlineStr">
        <is>
          <t>company</t>
        </is>
      </c>
      <c r="BA279" t="inlineStr">
        <is>
          <t>B-C-097</t>
        </is>
      </c>
      <c r="BB279" t="inlineStr">
        <is>
          <t>https://normalcomputing.com/</t>
        </is>
      </c>
      <c r="BC279" t="inlineStr">
        <is>
          <t>AI hardware / computing</t>
        </is>
      </c>
      <c r="BD279" t="inlineStr">
        <is>
          <t>30</t>
        </is>
      </c>
      <c r="BE279" t="inlineStr">
        <is>
          <t>71</t>
        </is>
      </c>
      <c r="BF279" t="inlineStr">
        <is>
          <t>under-40</t>
        </is>
      </c>
      <c r="BG279" t="inlineStr">
        <is>
          <t>nyc-office</t>
        </is>
      </c>
      <c r="BH279" t="inlineStr">
        <is>
          <t>scope-differs</t>
        </is>
      </c>
      <c r="BI279" t="inlineStr">
        <is>
          <t>https://commercialobserver.com/2026/09/normal-computing-inspiren-leases-61-west-23rd-street/</t>
        </is>
      </c>
      <c r="BJ279" t="inlineStr">
        <is>
          <t>https://www.reveliolabs.com/companies/normal-computing/employees</t>
        </is>
      </c>
      <c r="BK279" t="inlineStr">
        <is>
          <t>le500</t>
        </is>
      </c>
      <c r="BL279" t="inlineStr">
        <is>
          <t>New York</t>
        </is>
      </c>
      <c r="BM279" t="inlineStr">
        <is>
          <t>Y</t>
        </is>
      </c>
      <c r="BN279" t="inlineStr">
        <is>
          <t>unknown</t>
        </is>
      </c>
      <c r="BO279" t="inlineStr">
        <is>
          <t>unknown</t>
        </is>
      </c>
      <c r="BP279" t="inlineStr">
        <is>
          <t>10010</t>
        </is>
      </c>
      <c r="BQ279" t="n">
        <v>40.742771</v>
      </c>
      <c r="BR279" t="n">
        <v>-73.991782</v>
      </c>
      <c r="BS279" t="inlineStr">
        <is>
          <t>Y</t>
        </is>
      </c>
      <c r="BT279" t="n">
        <v>0</v>
      </c>
      <c r="BU279" t="inlineStr">
        <is>
          <t>B-B-047</t>
        </is>
      </c>
      <c r="BV279" t="inlineStr">
        <is>
          <t>61 West 23rd Street (Zegna family; Taconic development partner)</t>
        </is>
      </c>
      <c r="BW279" t="inlineStr">
        <is>
          <t>https://commercialobserver.com/2026/09/normal-computing-inspiren-leases-61-west-23rd-street/</t>
        </is>
      </c>
      <c r="BX279" t="inlineStr">
        <is>
          <t>2026-09-21</t>
        </is>
      </c>
      <c r="BY279" t="inlineStr">
        <is>
          <t>leasing-press</t>
        </is>
      </c>
      <c r="BZ279" t="inlineStr">
        <is>
          <t>https://flatironnomad.nyc/2026/10/07/september-news-roundup-7/</t>
        </is>
      </c>
      <c r="CA279" t="inlineStr">
        <is>
          <t>2026-10-07</t>
        </is>
      </c>
      <c r="CC279" t="inlineStr">
        <is>
          <t>medium</t>
        </is>
      </c>
      <c r="CD279" t="inlineStr">
        <is>
          <t>2026-11</t>
        </is>
      </c>
      <c r="CE279" t="inlineStr">
        <is>
          <t>N</t>
        </is>
      </c>
      <c r="CH279" t="inlineStr">
        <is>
          <t>unknown</t>
        </is>
      </c>
      <c r="CJ279" t="inlineStr">
        <is>
          <t>unknown</t>
        </is>
      </c>
      <c r="CK279" t="inlineStr">
        <is>
          <t>N</t>
        </is>
      </c>
      <c r="CL279" t="inlineStr">
        <is>
          <t>unknown</t>
        </is>
      </c>
      <c r="CO279" t="n">
        <v>20</v>
      </c>
      <c r="CP279" t="inlineStr">
        <is>
          <t>under-30</t>
        </is>
      </c>
      <c r="CQ279" t="inlineStr">
        <is>
          <t>30 in the New York office (Commercial Observer) staff (New York office count) x the count is for the New York office x 67% (Partnership for NYC, firms under 500) in on a weekday = 20 to 20, central 20; medium confidence; estimate until intake replaces it.</t>
        </is>
      </c>
      <c r="CR279" t="inlineStr">
        <is>
          <t>estimate until intake replaces it</t>
        </is>
      </c>
      <c r="CS279" t="n">
        <v>0</v>
      </c>
      <c r="CT279" t="n">
        <v>31</v>
      </c>
      <c r="CU279" t="n">
        <v>5</v>
      </c>
      <c r="CV279" t="n">
        <v>15</v>
      </c>
      <c r="CW279" t="n">
        <v>6</v>
      </c>
      <c r="CX279" t="n">
        <v>5</v>
      </c>
      <c r="CY279">
        <f>IF(AH279="exact",10,IF(AH279="adjacent",5,0))</f>
        <v/>
      </c>
      <c r="CZ279">
        <f>IF(R279="Y",15,0)</f>
        <v/>
      </c>
      <c r="DF279" t="inlineStr">
        <is>
          <t>none</t>
        </is>
      </c>
      <c r="DG279" t="inlineStr">
        <is>
          <t>candidate</t>
        </is>
      </c>
      <c r="DJ279" t="inlineStr">
        <is>
          <t>8,367 sf</t>
        </is>
      </c>
      <c r="DK279" t="inlineStr">
        <is>
          <t>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is>
      </c>
      <c r="DS279" t="inlineStr">
        <is>
          <t>none</t>
        </is>
      </c>
      <c r="DX279" t="inlineStr">
        <is>
          <t>N</t>
        </is>
      </c>
      <c r="ER279">
        <f>IF(ISNUMBER(MATCH(U279,{"queued","contacted","replied","call_booked","call_done","yes_in_principle","materials_sent"},0)),"Y","N")</f>
        <v/>
      </c>
      <c r="ES279">
        <f>IF(COUNTIFS($AP$2:$AP$1000,AP279,$ER$2:$ER$1000,"Y")+COUNTIFS($AP$2:$AP$1000,AP279,$T$2:$T$1000,"Y")&gt;0,"Y","N")</f>
        <v/>
      </c>
      <c r="ET279">
        <f>IF(AND(U279="new",T279="N",AT279="Y",AS279="",ES279="N"),"Y","N")</f>
        <v/>
      </c>
      <c r="EU279">
        <f>IF(ET279&lt;&gt;"Y","N",IF(COUNTIFS($AP$2:$AP$1000,AP279,$ET$2:$ET$1000,"Y",$J$2:$J$1000,"&gt;"&amp;J279)+COUNTIFS($AP$2:$AP$1000,AP279,$ET$2:$ET$1000,"Y",$J$2:$J$1000,J279,$EW$2:$EW$1000,"&lt;"&amp;EW279)=0,"Y","N"))</f>
        <v/>
      </c>
      <c r="EV279">
        <f>IF(Y279="","N",IF(Y279&lt;=10,"Y","N"))</f>
        <v/>
      </c>
      <c r="EW279">
        <f>ROW()-1</f>
        <v/>
      </c>
    </row>
    <row r="280">
      <c r="A280" t="inlineStr">
        <is>
          <t>AO-C-238</t>
        </is>
      </c>
      <c r="B280" t="inlineStr">
        <is>
          <t>Palo Alto Networks</t>
        </is>
      </c>
      <c r="H280" t="inlineStr">
        <is>
          <t>none</t>
        </is>
      </c>
      <c r="I280" t="inlineStr">
        <is>
          <t>linkedin</t>
        </is>
      </c>
      <c r="J280">
        <f>IF(AX280="pass",ROUND(CU280+CV280+CW280+CX280+CY280+CZ280,1),0)</f>
        <v/>
      </c>
      <c r="K280" t="inlineStr">
        <is>
          <t>Gated out: Tuesday estimate over 250 (370 to 7391).</t>
        </is>
      </c>
      <c r="L280" t="inlineStr">
        <is>
          <t>over-500</t>
        </is>
      </c>
      <c r="R280" t="inlineStr">
        <is>
          <t>N</t>
        </is>
      </c>
      <c r="S280" t="inlineStr">
        <is>
          <t>unknown</t>
        </is>
      </c>
      <c r="T280" t="inlineStr">
        <is>
          <t>N</t>
        </is>
      </c>
      <c r="U280" t="inlineStr">
        <is>
          <t>new</t>
        </is>
      </c>
      <c r="V280" t="inlineStr">
        <is>
          <t>https://slgreen.com/sl-green-signs-new-64000-square-foot-lease-with-sigma-computing-at-one-madison-avenue/</t>
        </is>
      </c>
      <c r="W280" t="inlineStr">
        <is>
          <t>2026-10-23</t>
        </is>
      </c>
      <c r="X280" t="inlineStr">
        <is>
          <t>office</t>
        </is>
      </c>
      <c r="Y280">
        <f>IF(EU280&lt;&gt;"Y","",COUNTIFS($EU$2:$EU$1000,"Y",$J$2:$J$1000,"&gt;"&amp;J280)+COUNTIFS($EU$2:$EU$1000,"Y",$J$2:$J$1000,J280,$EW$2:$EW$1000,"&lt;"&amp;EW280)+1)</f>
        <v/>
      </c>
      <c r="AA280" t="inlineStr">
        <is>
          <t>N</t>
        </is>
      </c>
      <c r="AD280" t="inlineStr">
        <is>
          <t>none</t>
        </is>
      </c>
      <c r="AH280" t="inlineStr">
        <is>
          <t>none</t>
        </is>
      </c>
      <c r="AI280" t="inlineStr">
        <is>
          <t>1 Madison Avenue</t>
        </is>
      </c>
      <c r="AJ280" t="inlineStr">
        <is>
          <t>unknown</t>
        </is>
      </c>
      <c r="AK280" t="inlineStr">
        <is>
          <t>occupied</t>
        </is>
      </c>
      <c r="AL280" t="n">
        <v>370</v>
      </c>
      <c r="AM280" t="n">
        <v>7391</v>
      </c>
      <c r="AN280" t="inlineStr">
        <is>
          <t>low</t>
        </is>
      </c>
      <c r="AO280" t="inlineStr">
        <is>
          <t>unknown</t>
        </is>
      </c>
      <c r="AP280" t="inlineStr">
        <is>
          <t>AO-C-238</t>
        </is>
      </c>
      <c r="AQ280" t="inlineStr">
        <is>
          <t>N</t>
        </is>
      </c>
      <c r="AT280">
        <f>IF(AND(AX280="pass",AQ280&lt;&gt;"Y",C280&lt;&gt;"",OR(AW280&lt;&gt;"Y",AV280="Y")),"Y","N")</f>
        <v/>
      </c>
      <c r="AU280">
        <f>_xlfn.TEXTJOIN("; ",TRUE,IF(AX280&lt;&gt;"pass","gated out",""),IF(AQ280="Y","on hold: "&amp;AR280,""),IF(C280="","no contact named on an opened page",""),IF(AND(AW280="Y",AV280&lt;&gt;"Y"),"Tuesday estimate band "&amp;L280&amp;": founder's call",""))</f>
        <v/>
      </c>
      <c r="AW280" t="inlineStr">
        <is>
          <t>Y</t>
        </is>
      </c>
      <c r="AX280" t="inlineStr">
        <is>
          <t>fail</t>
        </is>
      </c>
      <c r="AY280" t="inlineStr">
        <is>
          <t>Tuesday estimate over 250 (370 to 7391)</t>
        </is>
      </c>
      <c r="AZ280" t="inlineStr">
        <is>
          <t>company</t>
        </is>
      </c>
      <c r="BA280" t="inlineStr">
        <is>
          <t>B-C-238</t>
        </is>
      </c>
      <c r="BB280" t="inlineStr">
        <is>
          <t>https://www.paloaltonetworks.com/</t>
        </is>
      </c>
      <c r="BC280" t="inlineStr">
        <is>
          <t>Cybersecurity</t>
        </is>
      </c>
      <c r="BD280" t="inlineStr">
        <is>
          <t>16068</t>
        </is>
      </c>
      <c r="BF280" t="inlineStr">
        <is>
          <t>over-500</t>
        </is>
      </c>
      <c r="BG280" t="inlineStr">
        <is>
          <t>whole-company</t>
        </is>
      </c>
      <c r="BH280" t="inlineStr">
        <is>
          <t>single-source</t>
        </is>
      </c>
      <c r="BI280" t="inlineStr">
        <is>
          <t>https://en.wikipedia.org/wiki/Palo_Alto_Networks</t>
        </is>
      </c>
      <c r="BK280" t="inlineStr">
        <is>
          <t>5000+</t>
        </is>
      </c>
      <c r="BL280" t="inlineStr">
        <is>
          <t>unknown</t>
        </is>
      </c>
      <c r="BM280" t="inlineStr">
        <is>
          <t>unknown</t>
        </is>
      </c>
      <c r="BN280" t="inlineStr">
        <is>
          <t>unknown</t>
        </is>
      </c>
      <c r="BO280" t="inlineStr">
        <is>
          <t>unknown</t>
        </is>
      </c>
      <c r="BP280" t="inlineStr">
        <is>
          <t>10010</t>
        </is>
      </c>
      <c r="BQ280" t="n">
        <v>40.741141</v>
      </c>
      <c r="BR280" t="n">
        <v>-73.987489</v>
      </c>
      <c r="BS280" t="inlineStr">
        <is>
          <t>Y</t>
        </is>
      </c>
      <c r="BT280" t="n">
        <v>0</v>
      </c>
      <c r="BV280" t="inlineStr">
        <is>
          <t>unknown</t>
        </is>
      </c>
      <c r="BW280" t="inlineStr">
        <is>
          <t>https://slgreen.com/sl-green-signs-new-64000-square-foot-lease-with-sigma-computing-at-one-madison-avenue/</t>
        </is>
      </c>
      <c r="BX280" t="inlineStr">
        <is>
          <t>2025-07-16</t>
        </is>
      </c>
      <c r="BY280" t="inlineStr">
        <is>
          <t>press-release</t>
        </is>
      </c>
      <c r="CC280" t="inlineStr">
        <is>
          <t>medium</t>
        </is>
      </c>
      <c r="CE280" t="inlineStr">
        <is>
          <t>N</t>
        </is>
      </c>
      <c r="CH280" t="inlineStr">
        <is>
          <t>unknown</t>
        </is>
      </c>
      <c r="CJ280" t="inlineStr">
        <is>
          <t>unknown</t>
        </is>
      </c>
      <c r="CK280" t="inlineStr">
        <is>
          <t>N</t>
        </is>
      </c>
      <c r="CL280" t="inlineStr">
        <is>
          <t>unknown</t>
        </is>
      </c>
      <c r="CO280" t="n">
        <v>1654</v>
      </c>
      <c r="CP280" t="inlineStr">
        <is>
          <t>over-250</t>
        </is>
      </c>
      <c r="CQ280" t="inlineStr">
        <is>
          <t>16068 (Wikipedia) staff (whole-company count) x 5% to 100% of them in the New York office (HQ city unknown; share assumed) x 46% (Partnership for NYC, firms over 5,000) in on a weekday = 370 to 7391, central 1654; low confidence; estimate until intake replaces it.</t>
        </is>
      </c>
      <c r="CR280" t="inlineStr">
        <is>
          <t>estimate until intake replaces it</t>
        </is>
      </c>
      <c r="CS280" t="n">
        <v>0</v>
      </c>
      <c r="CT280" t="n">
        <v>19</v>
      </c>
      <c r="CU280" t="n">
        <v>0</v>
      </c>
      <c r="CV280" t="n">
        <v>0</v>
      </c>
      <c r="CW280" t="n">
        <v>6</v>
      </c>
      <c r="CX280" t="n">
        <v>13</v>
      </c>
      <c r="CY280">
        <f>IF(AH280="exact",10,IF(AH280="adjacent",5,0))</f>
        <v/>
      </c>
      <c r="CZ280">
        <f>IF(R280="Y",15,0)</f>
        <v/>
      </c>
      <c r="DF280" t="inlineStr">
        <is>
          <t>none</t>
        </is>
      </c>
      <c r="DG280" t="inlineStr">
        <is>
          <t>near-miss-over-500</t>
        </is>
      </c>
      <c r="DH280" t="inlineStr">
        <is>
          <t>not-near (5,000 or more)</t>
        </is>
      </c>
      <c r="DI280" t="inlineStr">
        <is>
          <t>N</t>
        </is>
      </c>
      <c r="DK280" t="inlineStr">
        <is>
          <t>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S280" t="inlineStr">
        <is>
          <t>none</t>
        </is>
      </c>
      <c r="DX280" t="inlineStr">
        <is>
          <t>N</t>
        </is>
      </c>
      <c r="ER280">
        <f>IF(ISNUMBER(MATCH(U280,{"queued","contacted","replied","call_booked","call_done","yes_in_principle","materials_sent"},0)),"Y","N")</f>
        <v/>
      </c>
      <c r="ES280">
        <f>IF(COUNTIFS($AP$2:$AP$1000,AP280,$ER$2:$ER$1000,"Y")+COUNTIFS($AP$2:$AP$1000,AP280,$T$2:$T$1000,"Y")&gt;0,"Y","N")</f>
        <v/>
      </c>
      <c r="ET280">
        <f>IF(AND(U280="new",T280="N",AT280="Y",AS280="",ES280="N"),"Y","N")</f>
        <v/>
      </c>
      <c r="EU280">
        <f>IF(ET280&lt;&gt;"Y","N",IF(COUNTIFS($AP$2:$AP$1000,AP280,$ET$2:$ET$1000,"Y",$J$2:$J$1000,"&gt;"&amp;J280)+COUNTIFS($AP$2:$AP$1000,AP280,$ET$2:$ET$1000,"Y",$J$2:$J$1000,J280,$EW$2:$EW$1000,"&lt;"&amp;EW280)=0,"Y","N"))</f>
        <v/>
      </c>
      <c r="EV280">
        <f>IF(Y280="","N",IF(Y280&lt;=10,"Y","N"))</f>
        <v/>
      </c>
      <c r="EW280">
        <f>ROW()-1</f>
        <v/>
      </c>
    </row>
    <row r="281">
      <c r="A281" t="inlineStr">
        <is>
          <t>AO-C-204</t>
        </is>
      </c>
      <c r="B281" t="inlineStr">
        <is>
          <t>Perkins Eastman</t>
        </is>
      </c>
      <c r="H281" t="inlineStr">
        <is>
          <t>none</t>
        </is>
      </c>
      <c r="I281" t="inlineStr">
        <is>
          <t>linkedin</t>
        </is>
      </c>
      <c r="J281">
        <f>IF(AX281="pass",ROUND(CU281+CV281+CW281+CX281+CY281+CZ281,1),0)</f>
        <v/>
      </c>
      <c r="K281" t="inlineStr">
        <is>
          <t>Gated out: Tuesday estimate over 250 (374 to 749).</t>
        </is>
      </c>
      <c r="L281" t="inlineStr">
        <is>
          <t>over-500</t>
        </is>
      </c>
      <c r="R281" t="inlineStr">
        <is>
          <t>N</t>
        </is>
      </c>
      <c r="S281" t="inlineStr">
        <is>
          <t>unknown</t>
        </is>
      </c>
      <c r="T281" t="inlineStr">
        <is>
          <t>N</t>
        </is>
      </c>
      <c r="U281" t="inlineStr">
        <is>
          <t>new</t>
        </is>
      </c>
      <c r="V281" t="inlineStr">
        <is>
          <t>https://www.perkinseastman.com/studios/new-york/</t>
        </is>
      </c>
      <c r="W281" t="inlineStr">
        <is>
          <t>2026-10-23</t>
        </is>
      </c>
      <c r="X281" t="inlineStr">
        <is>
          <t>office</t>
        </is>
      </c>
      <c r="Y281">
        <f>IF(EU281&lt;&gt;"Y","",COUNTIFS($EU$2:$EU$1000,"Y",$J$2:$J$1000,"&gt;"&amp;J281)+COUNTIFS($EU$2:$EU$1000,"Y",$J$2:$J$1000,J281,$EW$2:$EW$1000,"&lt;"&amp;EW281)+1)</f>
        <v/>
      </c>
      <c r="AA281" t="inlineStr">
        <is>
          <t>N</t>
        </is>
      </c>
      <c r="AD281" t="inlineStr">
        <is>
          <t>none</t>
        </is>
      </c>
      <c r="AH281" t="inlineStr">
        <is>
          <t>none</t>
        </is>
      </c>
      <c r="AI281" t="inlineStr">
        <is>
          <t>115 Fifth Avenue</t>
        </is>
      </c>
      <c r="AJ281" t="inlineStr">
        <is>
          <t>unknown</t>
        </is>
      </c>
      <c r="AK281" t="inlineStr">
        <is>
          <t>occupied</t>
        </is>
      </c>
      <c r="AL281" t="n">
        <v>374</v>
      </c>
      <c r="AM281" t="n">
        <v>749</v>
      </c>
      <c r="AN281" t="inlineStr">
        <is>
          <t>low</t>
        </is>
      </c>
      <c r="AO281" t="inlineStr">
        <is>
          <t>unknown</t>
        </is>
      </c>
      <c r="AP281" t="inlineStr">
        <is>
          <t>AO-C-204</t>
        </is>
      </c>
      <c r="AQ281" t="inlineStr">
        <is>
          <t>N</t>
        </is>
      </c>
      <c r="AT281">
        <f>IF(AND(AX281="pass",AQ281&lt;&gt;"Y",C281&lt;&gt;"",OR(AW281&lt;&gt;"Y",AV281="Y")),"Y","N")</f>
        <v/>
      </c>
      <c r="AU281">
        <f>_xlfn.TEXTJOIN("; ",TRUE,IF(AX281&lt;&gt;"pass","gated out",""),IF(AQ281="Y","on hold: "&amp;AR281,""),IF(C281="","no contact named on an opened page",""),IF(AND(AW281="Y",AV281&lt;&gt;"Y"),"Tuesday estimate band "&amp;L281&amp;": founder's call",""))</f>
        <v/>
      </c>
      <c r="AW281" t="inlineStr">
        <is>
          <t>Y</t>
        </is>
      </c>
      <c r="AX281" t="inlineStr">
        <is>
          <t>fail</t>
        </is>
      </c>
      <c r="AY281" t="inlineStr">
        <is>
          <t>Tuesday estimate over 250 (374 to 749)</t>
        </is>
      </c>
      <c r="AZ281" t="inlineStr">
        <is>
          <t>company</t>
        </is>
      </c>
      <c r="BA281" t="inlineStr">
        <is>
          <t>B-C-204</t>
        </is>
      </c>
      <c r="BB281" t="inlineStr">
        <is>
          <t>https://www.perkinseastman.com</t>
        </is>
      </c>
      <c r="BC281" t="inlineStr">
        <is>
          <t>architecture and design</t>
        </is>
      </c>
      <c r="BD281" t="inlineStr">
        <is>
          <t>1314</t>
        </is>
      </c>
      <c r="BF281" t="inlineStr">
        <is>
          <t>over-500</t>
        </is>
      </c>
      <c r="BG281" t="inlineStr">
        <is>
          <t>whole-company</t>
        </is>
      </c>
      <c r="BH281" t="inlineStr">
        <is>
          <t>single-source</t>
        </is>
      </c>
      <c r="BI281" t="inlineStr">
        <is>
          <t>https://www.builtinnyc.com/company/perkins-eastman</t>
        </is>
      </c>
      <c r="BK281" t="inlineStr">
        <is>
          <t>1001-4999</t>
        </is>
      </c>
      <c r="BL281" t="inlineStr">
        <is>
          <t>New York</t>
        </is>
      </c>
      <c r="BM281" t="inlineStr">
        <is>
          <t>Y</t>
        </is>
      </c>
      <c r="BN281" t="inlineStr">
        <is>
          <t>unknown</t>
        </is>
      </c>
      <c r="BO281" t="inlineStr">
        <is>
          <t>unknown</t>
        </is>
      </c>
      <c r="BP281" t="inlineStr">
        <is>
          <t>10003</t>
        </is>
      </c>
      <c r="BQ281" t="n">
        <v>40.738809</v>
      </c>
      <c r="BR281" t="n">
        <v>-73.991356</v>
      </c>
      <c r="BS281" t="inlineStr">
        <is>
          <t>Y</t>
        </is>
      </c>
      <c r="BT281" t="n">
        <v>0</v>
      </c>
      <c r="BU281" t="inlineStr">
        <is>
          <t>B-B-023</t>
        </is>
      </c>
      <c r="BV281" t="inlineStr">
        <is>
          <t>115 Fifth Avenue / 881 Broadway (Arnold Constable block)</t>
        </is>
      </c>
      <c r="BW281" t="inlineStr">
        <is>
          <t>https://www.perkinseastman.com/studios/new-york/</t>
        </is>
      </c>
      <c r="BX281" t="inlineStr">
        <is>
          <t>2026-10-23</t>
        </is>
      </c>
      <c r="BY281" t="inlineStr">
        <is>
          <t>company-site</t>
        </is>
      </c>
      <c r="CC281" t="inlineStr">
        <is>
          <t>medium</t>
        </is>
      </c>
      <c r="CE281" t="inlineStr">
        <is>
          <t>N</t>
        </is>
      </c>
      <c r="CH281" t="inlineStr">
        <is>
          <t>security desk</t>
        </is>
      </c>
      <c r="CI281" t="inlineStr">
        <is>
          <t>https://www.metro-manhattan.com/buildings/115-fifth-avenue/</t>
        </is>
      </c>
      <c r="CJ281" t="inlineStr">
        <is>
          <t>unknown</t>
        </is>
      </c>
      <c r="CK281" t="inlineStr">
        <is>
          <t>N</t>
        </is>
      </c>
      <c r="CL281" t="inlineStr">
        <is>
          <t>unknown</t>
        </is>
      </c>
      <c r="CO281" t="n">
        <v>529</v>
      </c>
      <c r="CP281" t="inlineStr">
        <is>
          <t>over-250</t>
        </is>
      </c>
      <c r="CQ281" t="inlineStr">
        <is>
          <t>1314 (Built In) staff (whole-company count) x 50% to 100% of them in the New York office (HQ New York; share assumed) x 57% (Partnership for NYC, all Manhattan firms; no figure for 500 to 4,999) in on a weekday = 374 to 749, central 529; low confidence; estimate until intake replaces it.</t>
        </is>
      </c>
      <c r="CR281" t="inlineStr">
        <is>
          <t>estimate until intake replaces it</t>
        </is>
      </c>
      <c r="CS281" t="n">
        <v>0</v>
      </c>
      <c r="CT281" t="n">
        <v>21</v>
      </c>
      <c r="CU281" t="n">
        <v>0</v>
      </c>
      <c r="CV281" t="n">
        <v>2</v>
      </c>
      <c r="CW281" t="n">
        <v>6</v>
      </c>
      <c r="CX281" t="n">
        <v>13</v>
      </c>
      <c r="CY281">
        <f>IF(AH281="exact",10,IF(AH281="adjacent",5,0))</f>
        <v/>
      </c>
      <c r="CZ281">
        <f>IF(R281="Y",15,0)</f>
        <v/>
      </c>
      <c r="DF281" t="inlineStr">
        <is>
          <t>none</t>
        </is>
      </c>
      <c r="DG281" t="inlineStr">
        <is>
          <t>near-miss-over-500</t>
        </is>
      </c>
      <c r="DH281" t="inlineStr">
        <is>
          <t>over-1,000 (1,001 to 4,999)</t>
        </is>
      </c>
      <c r="DI281" t="inlineStr">
        <is>
          <t>N</t>
        </is>
      </c>
      <c r="DK281" t="inlineStr">
        <is>
          <t>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DS281" t="inlineStr">
        <is>
          <t>none</t>
        </is>
      </c>
      <c r="DX281" t="inlineStr">
        <is>
          <t>N</t>
        </is>
      </c>
      <c r="ER281">
        <f>IF(ISNUMBER(MATCH(U281,{"queued","contacted","replied","call_booked","call_done","yes_in_principle","materials_sent"},0)),"Y","N")</f>
        <v/>
      </c>
      <c r="ES281">
        <f>IF(COUNTIFS($AP$2:$AP$1000,AP281,$ER$2:$ER$1000,"Y")+COUNTIFS($AP$2:$AP$1000,AP281,$T$2:$T$1000,"Y")&gt;0,"Y","N")</f>
        <v/>
      </c>
      <c r="ET281">
        <f>IF(AND(U281="new",T281="N",AT281="Y",AS281="",ES281="N"),"Y","N")</f>
        <v/>
      </c>
      <c r="EU281">
        <f>IF(ET281&lt;&gt;"Y","N",IF(COUNTIFS($AP$2:$AP$1000,AP281,$ET$2:$ET$1000,"Y",$J$2:$J$1000,"&gt;"&amp;J281)+COUNTIFS($AP$2:$AP$1000,AP281,$ET$2:$ET$1000,"Y",$J$2:$J$1000,J281,$EW$2:$EW$1000,"&lt;"&amp;EW281)=0,"Y","N"))</f>
        <v/>
      </c>
      <c r="EV281">
        <f>IF(Y281="","N",IF(Y281&lt;=10,"Y","N"))</f>
        <v/>
      </c>
      <c r="EW281">
        <f>ROW()-1</f>
        <v/>
      </c>
    </row>
    <row r="282">
      <c r="A282" t="inlineStr">
        <is>
          <t>AO-C-270</t>
        </is>
      </c>
      <c r="B282" t="inlineStr">
        <is>
          <t>The Knot Worldwide</t>
        </is>
      </c>
      <c r="H282" t="inlineStr">
        <is>
          <t>none</t>
        </is>
      </c>
      <c r="I282" t="inlineStr">
        <is>
          <t>linkedin</t>
        </is>
      </c>
      <c r="J282">
        <f>IF(AX282="pass",ROUND(CU282+CV282+CW282+CX282+CY282+CZ282,1),0)</f>
        <v/>
      </c>
      <c r="K282" t="inlineStr">
        <is>
          <t>Gated out: Tuesday estimate over 250 (551 to 1102).</t>
        </is>
      </c>
      <c r="L282" t="inlineStr">
        <is>
          <t>over-500</t>
        </is>
      </c>
      <c r="O282" t="inlineStr">
        <is>
          <t>New or renewed lease at 295 Fifth Avenue reported 2025-11-07</t>
        </is>
      </c>
      <c r="P282" t="inlineStr">
        <is>
          <t>https://commercialobserver.com/2025/11/the-knot-settle-down-295-fifth-avenue/</t>
        </is>
      </c>
      <c r="Q282" t="inlineStr">
        <is>
          <t>2025-11-07</t>
        </is>
      </c>
      <c r="R282" t="inlineStr">
        <is>
          <t>N</t>
        </is>
      </c>
      <c r="S282" t="inlineStr">
        <is>
          <t>unknown</t>
        </is>
      </c>
      <c r="T282" t="inlineStr">
        <is>
          <t>N</t>
        </is>
      </c>
      <c r="U282" t="inlineStr">
        <is>
          <t>new</t>
        </is>
      </c>
      <c r="V282" t="inlineStr">
        <is>
          <t>https://commercialobserver.com/2025/11/the-knot-settle-down-295-fifth-avenue/</t>
        </is>
      </c>
      <c r="W282" t="inlineStr">
        <is>
          <t>2026-10-23</t>
        </is>
      </c>
      <c r="X282" t="inlineStr">
        <is>
          <t>office</t>
        </is>
      </c>
      <c r="Y282">
        <f>IF(EU282&lt;&gt;"Y","",COUNTIFS($EU$2:$EU$1000,"Y",$J$2:$J$1000,"&gt;"&amp;J282)+COUNTIFS($EU$2:$EU$1000,"Y",$J$2:$J$1000,J282,$EW$2:$EW$1000,"&lt;"&amp;EW282)+1)</f>
        <v/>
      </c>
      <c r="AA282" t="inlineStr">
        <is>
          <t>N</t>
        </is>
      </c>
      <c r="AD282" t="inlineStr">
        <is>
          <t>none</t>
        </is>
      </c>
      <c r="AH282" t="inlineStr">
        <is>
          <t>none</t>
        </is>
      </c>
      <c r="AI282" t="inlineStr">
        <is>
          <t>295 Fifth Avenue</t>
        </is>
      </c>
      <c r="AJ282" t="inlineStr">
        <is>
          <t>unknown</t>
        </is>
      </c>
      <c r="AK282" t="inlineStr">
        <is>
          <t>signed-not-occupied</t>
        </is>
      </c>
      <c r="AL282" t="n">
        <v>551</v>
      </c>
      <c r="AM282" t="n">
        <v>1102</v>
      </c>
      <c r="AN282" t="inlineStr">
        <is>
          <t>low</t>
        </is>
      </c>
      <c r="AO282" t="inlineStr">
        <is>
          <t>unknown</t>
        </is>
      </c>
      <c r="AP282" t="inlineStr">
        <is>
          <t>AO-C-270</t>
        </is>
      </c>
      <c r="AQ282" t="inlineStr">
        <is>
          <t>Y</t>
        </is>
      </c>
      <c r="AR282" t="inlineStr">
        <is>
          <t>lease signed, move not confirmed: check the lobby directory before outreach (B)</t>
        </is>
      </c>
      <c r="AT282">
        <f>IF(AND(AX282="pass",AQ282&lt;&gt;"Y",C282&lt;&gt;"",OR(AW282&lt;&gt;"Y",AV282="Y")),"Y","N")</f>
        <v/>
      </c>
      <c r="AU282">
        <f>_xlfn.TEXTJOIN("; ",TRUE,IF(AX282&lt;&gt;"pass","gated out",""),IF(AQ282="Y","on hold: "&amp;AR282,""),IF(C282="","no contact named on an opened page",""),IF(AND(AW282="Y",AV282&lt;&gt;"Y"),"Tuesday estimate band "&amp;L282&amp;": founder's call",""))</f>
        <v/>
      </c>
      <c r="AW282" t="inlineStr">
        <is>
          <t>Y</t>
        </is>
      </c>
      <c r="AX282" t="inlineStr">
        <is>
          <t>fail</t>
        </is>
      </c>
      <c r="AY282" t="inlineStr">
        <is>
          <t>Tuesday estimate over 250 (551 to 1102)</t>
        </is>
      </c>
      <c r="AZ282" t="inlineStr">
        <is>
          <t>company</t>
        </is>
      </c>
      <c r="BA282" t="inlineStr">
        <is>
          <t>B-C-270</t>
        </is>
      </c>
      <c r="BB282" t="inlineStr">
        <is>
          <t>unknown</t>
        </is>
      </c>
      <c r="BC282" t="inlineStr">
        <is>
          <t>consumer internet (wedding and event planning)</t>
        </is>
      </c>
      <c r="BD282" t="inlineStr">
        <is>
          <t>1933</t>
        </is>
      </c>
      <c r="BF282" t="inlineStr">
        <is>
          <t>over-500</t>
        </is>
      </c>
      <c r="BG282" t="inlineStr">
        <is>
          <t>whole-company</t>
        </is>
      </c>
      <c r="BH282" t="inlineStr">
        <is>
          <t>single-source</t>
        </is>
      </c>
      <c r="BI282" t="inlineStr">
        <is>
          <t>https://www.builtinnyc.com/company/the-knot-worldwide/offices</t>
        </is>
      </c>
      <c r="BK282" t="inlineStr">
        <is>
          <t>1001-4999</t>
        </is>
      </c>
      <c r="BL282" t="inlineStr">
        <is>
          <t>New York</t>
        </is>
      </c>
      <c r="BM282" t="inlineStr">
        <is>
          <t>Y</t>
        </is>
      </c>
      <c r="BN282" t="inlineStr">
        <is>
          <t>unknown</t>
        </is>
      </c>
      <c r="BO282" t="inlineStr">
        <is>
          <t>unknown</t>
        </is>
      </c>
      <c r="BP282" t="inlineStr">
        <is>
          <t>10016</t>
        </is>
      </c>
      <c r="BQ282" t="n">
        <v>40.746186</v>
      </c>
      <c r="BR282" t="n">
        <v>-73.985981</v>
      </c>
      <c r="BS282" t="inlineStr">
        <is>
          <t>Y</t>
        </is>
      </c>
      <c r="BT282" t="n">
        <v>0</v>
      </c>
      <c r="BU282" t="inlineStr">
        <is>
          <t>B-B-082</t>
        </is>
      </c>
      <c r="BV282" t="inlineStr">
        <is>
          <t>Textile Building, 295 Fifth Avenue (Tribeca Investment Group, PGIM Real Estate, Meadow Partners)</t>
        </is>
      </c>
      <c r="BW282" t="inlineStr">
        <is>
          <t>https://commercialobserver.com/2025/11/the-knot-settle-down-295-fifth-avenue/</t>
        </is>
      </c>
      <c r="BX282" t="inlineStr">
        <is>
          <t>2025-11-07</t>
        </is>
      </c>
      <c r="BY282" t="inlineStr">
        <is>
          <t>leasing-press</t>
        </is>
      </c>
      <c r="CC282" t="inlineStr">
        <is>
          <t>medium</t>
        </is>
      </c>
      <c r="CD282" t="inlineStr">
        <is>
          <t>unknown</t>
        </is>
      </c>
      <c r="CE282" t="inlineStr">
        <is>
          <t>N</t>
        </is>
      </c>
      <c r="CH282" t="inlineStr">
        <is>
          <t>unknown</t>
        </is>
      </c>
      <c r="CJ282" t="inlineStr">
        <is>
          <t>unknown</t>
        </is>
      </c>
      <c r="CK282" t="inlineStr">
        <is>
          <t>N</t>
        </is>
      </c>
      <c r="CL282" t="inlineStr">
        <is>
          <t>unknown</t>
        </is>
      </c>
      <c r="CO282" t="n">
        <v>779</v>
      </c>
      <c r="CP282" t="inlineStr">
        <is>
          <t>over-250</t>
        </is>
      </c>
      <c r="CQ282" t="inlineStr">
        <is>
          <t>1933 (Built In) staff (whole-company count) x 50% to 100% of them in the New York office (HQ New York; share assumed) x 57% (Partnership for NYC, all Manhattan firms; no figure for 500 to 4,999) in on a weekday = 551 to 1102, central 779; low confidence; estimate until intake replaces it.</t>
        </is>
      </c>
      <c r="CR282" t="inlineStr">
        <is>
          <t>estimate until intake replaces it</t>
        </is>
      </c>
      <c r="CS282" t="n">
        <v>0</v>
      </c>
      <c r="CT282" t="n">
        <v>13</v>
      </c>
      <c r="CU282" t="n">
        <v>0</v>
      </c>
      <c r="CV282" t="n">
        <v>2</v>
      </c>
      <c r="CW282" t="n">
        <v>6</v>
      </c>
      <c r="CX282" t="n">
        <v>5</v>
      </c>
      <c r="CY282">
        <f>IF(AH282="exact",10,IF(AH282="adjacent",5,0))</f>
        <v/>
      </c>
      <c r="CZ282">
        <f>IF(R282="Y",15,0)</f>
        <v/>
      </c>
      <c r="DF282" t="inlineStr">
        <is>
          <t>none</t>
        </is>
      </c>
      <c r="DG282" t="inlineStr">
        <is>
          <t>near-miss-over-500</t>
        </is>
      </c>
      <c r="DH282" t="inlineStr">
        <is>
          <t>over-1,000 (1,001 to 4,999)</t>
        </is>
      </c>
      <c r="DI282" t="inlineStr">
        <is>
          <t>Y</t>
        </is>
      </c>
      <c r="DJ282" t="inlineStr">
        <is>
          <t>24,000 sf;31,000 sf</t>
        </is>
      </c>
      <c r="DK282" t="inlineStr">
        <is>
          <t>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is>
      </c>
      <c r="DS282" t="inlineStr">
        <is>
          <t>none</t>
        </is>
      </c>
      <c r="DX282" t="inlineStr">
        <is>
          <t>N</t>
        </is>
      </c>
      <c r="ER282">
        <f>IF(ISNUMBER(MATCH(U282,{"queued","contacted","replied","call_booked","call_done","yes_in_principle","materials_sent"},0)),"Y","N")</f>
        <v/>
      </c>
      <c r="ES282">
        <f>IF(COUNTIFS($AP$2:$AP$1000,AP282,$ER$2:$ER$1000,"Y")+COUNTIFS($AP$2:$AP$1000,AP282,$T$2:$T$1000,"Y")&gt;0,"Y","N")</f>
        <v/>
      </c>
      <c r="ET282">
        <f>IF(AND(U282="new",T282="N",AT282="Y",AS282="",ES282="N"),"Y","N")</f>
        <v/>
      </c>
      <c r="EU282">
        <f>IF(ET282&lt;&gt;"Y","N",IF(COUNTIFS($AP$2:$AP$1000,AP282,$ET$2:$ET$1000,"Y",$J$2:$J$1000,"&gt;"&amp;J282)+COUNTIFS($AP$2:$AP$1000,AP282,$ET$2:$ET$1000,"Y",$J$2:$J$1000,J282,$EW$2:$EW$1000,"&lt;"&amp;EW282)=0,"Y","N"))</f>
        <v/>
      </c>
      <c r="EV282">
        <f>IF(Y282="","N",IF(Y282&lt;=10,"Y","N"))</f>
        <v/>
      </c>
      <c r="EW282">
        <f>ROW()-1</f>
        <v/>
      </c>
    </row>
    <row r="283">
      <c r="A283" t="inlineStr">
        <is>
          <t>AO-C-192</t>
        </is>
      </c>
      <c r="B283" t="inlineStr">
        <is>
          <t>WW International (WeightWatchers)</t>
        </is>
      </c>
      <c r="H283" t="inlineStr">
        <is>
          <t>none</t>
        </is>
      </c>
      <c r="I283" t="inlineStr">
        <is>
          <t>linkedin</t>
        </is>
      </c>
      <c r="J283">
        <f>IF(AX283="pass",ROUND(CU283+CV283+CW283+CX283+CY283+CZ283,1),0)</f>
        <v/>
      </c>
      <c r="K283" t="inlineStr">
        <is>
          <t>Gated out: Tuesday estimate over 250 (314 to 627).</t>
        </is>
      </c>
      <c r="L283" t="inlineStr">
        <is>
          <t>251-500</t>
        </is>
      </c>
      <c r="R283" t="inlineStr">
        <is>
          <t>N</t>
        </is>
      </c>
      <c r="S283" t="inlineStr">
        <is>
          <t>unknown</t>
        </is>
      </c>
      <c r="T283" t="inlineStr">
        <is>
          <t>N</t>
        </is>
      </c>
      <c r="U283" t="inlineStr">
        <is>
          <t>new</t>
        </is>
      </c>
      <c r="V283" t="inlineStr">
        <is>
          <t>https://www.sec.gov/Archives/edgar/data/105319/000119312526335166/ww-20260630.htm</t>
        </is>
      </c>
      <c r="W283" t="inlineStr">
        <is>
          <t>2026-10-23</t>
        </is>
      </c>
      <c r="X283" t="inlineStr">
        <is>
          <t>office</t>
        </is>
      </c>
      <c r="Y283">
        <f>IF(EU283&lt;&gt;"Y","",COUNTIFS($EU$2:$EU$1000,"Y",$J$2:$J$1000,"&gt;"&amp;J283)+COUNTIFS($EU$2:$EU$1000,"Y",$J$2:$J$1000,J283,$EW$2:$EW$1000,"&lt;"&amp;EW283)+1)</f>
        <v/>
      </c>
      <c r="AA283" t="inlineStr">
        <is>
          <t>N</t>
        </is>
      </c>
      <c r="AD283" t="inlineStr">
        <is>
          <t>none</t>
        </is>
      </c>
      <c r="AH283" t="inlineStr">
        <is>
          <t>none</t>
        </is>
      </c>
      <c r="AI283" t="inlineStr">
        <is>
          <t>18 West 18th Street</t>
        </is>
      </c>
      <c r="AJ283" t="inlineStr">
        <is>
          <t>7</t>
        </is>
      </c>
      <c r="AK283" t="inlineStr">
        <is>
          <t>occupied</t>
        </is>
      </c>
      <c r="AL283" t="n">
        <v>314</v>
      </c>
      <c r="AM283" t="n">
        <v>627</v>
      </c>
      <c r="AN283" t="inlineStr">
        <is>
          <t>low</t>
        </is>
      </c>
      <c r="AO283" t="inlineStr">
        <is>
          <t>unknown</t>
        </is>
      </c>
      <c r="AP283" t="inlineStr">
        <is>
          <t>AO-C-192</t>
        </is>
      </c>
      <c r="AQ283" t="inlineStr">
        <is>
          <t>N</t>
        </is>
      </c>
      <c r="AT283">
        <f>IF(AND(AX283="pass",AQ283&lt;&gt;"Y",C283&lt;&gt;"",OR(AW283&lt;&gt;"Y",AV283="Y")),"Y","N")</f>
        <v/>
      </c>
      <c r="AU283">
        <f>_xlfn.TEXTJOIN("; ",TRUE,IF(AX283&lt;&gt;"pass","gated out",""),IF(AQ283="Y","on hold: "&amp;AR283,""),IF(C283="","no contact named on an opened page",""),IF(AND(AW283="Y",AV283&lt;&gt;"Y"),"Tuesday estimate band "&amp;L283&amp;": founder's call",""))</f>
        <v/>
      </c>
      <c r="AW283" t="inlineStr">
        <is>
          <t>Y</t>
        </is>
      </c>
      <c r="AX283" t="inlineStr">
        <is>
          <t>fail</t>
        </is>
      </c>
      <c r="AY283" t="inlineStr">
        <is>
          <t>Tuesday estimate over 250 (314 to 627)</t>
        </is>
      </c>
      <c r="AZ283" t="inlineStr">
        <is>
          <t>company</t>
        </is>
      </c>
      <c r="BA283" t="inlineStr">
        <is>
          <t>B-C-192</t>
        </is>
      </c>
      <c r="BB283" t="inlineStr">
        <is>
          <t>https://www.weightwatchers.com</t>
        </is>
      </c>
      <c r="BC283" t="inlineStr">
        <is>
          <t>consumer health and wellness</t>
        </is>
      </c>
      <c r="BD283" t="inlineStr">
        <is>
          <t>1100</t>
        </is>
      </c>
      <c r="BF283" t="inlineStr">
        <is>
          <t>over-500</t>
        </is>
      </c>
      <c r="BG283" t="inlineStr">
        <is>
          <t>whole-company</t>
        </is>
      </c>
      <c r="BH283" t="inlineStr">
        <is>
          <t>single-source</t>
        </is>
      </c>
      <c r="BI283" t="inlineStr">
        <is>
          <t>https://www.builtinnyc.com/company/weightwatchers</t>
        </is>
      </c>
      <c r="BK283" t="inlineStr">
        <is>
          <t>1001-4999</t>
        </is>
      </c>
      <c r="BL283" t="inlineStr">
        <is>
          <t>New York</t>
        </is>
      </c>
      <c r="BM283" t="inlineStr">
        <is>
          <t>Y</t>
        </is>
      </c>
      <c r="BN283" t="inlineStr">
        <is>
          <t>unknown</t>
        </is>
      </c>
      <c r="BO283" t="inlineStr">
        <is>
          <t>unknown</t>
        </is>
      </c>
      <c r="BP283" t="inlineStr">
        <is>
          <t>10011</t>
        </is>
      </c>
      <c r="BQ283" t="n">
        <v>40.738939</v>
      </c>
      <c r="BR283" t="n">
        <v>-73.993331</v>
      </c>
      <c r="BS283" t="inlineStr">
        <is>
          <t>Y</t>
        </is>
      </c>
      <c r="BT283" t="n">
        <v>0</v>
      </c>
      <c r="BU283" t="inlineStr">
        <is>
          <t>B-B-014</t>
        </is>
      </c>
      <c r="BV283" t="inlineStr">
        <is>
          <t>18 West 18th Street</t>
        </is>
      </c>
      <c r="BW283" t="inlineStr">
        <is>
          <t>https://www.sec.gov/Archives/edgar/data/105319/000119312526335166/ww-20260630.htm</t>
        </is>
      </c>
      <c r="BX283" t="inlineStr">
        <is>
          <t>2026-08-05</t>
        </is>
      </c>
      <c r="BY283" t="inlineStr">
        <is>
          <t>other</t>
        </is>
      </c>
      <c r="CB283" t="inlineStr">
        <is>
          <t>cites a sec.gov filing: agents do not open it (EDGAR demands a contact email); the founder may open it in a browser</t>
        </is>
      </c>
      <c r="CC283" t="inlineStr">
        <is>
          <t>medium</t>
        </is>
      </c>
      <c r="CE283" t="inlineStr">
        <is>
          <t>N</t>
        </is>
      </c>
      <c r="CH283" t="inlineStr">
        <is>
          <t>unknown</t>
        </is>
      </c>
      <c r="CJ283" t="inlineStr">
        <is>
          <t>unknown</t>
        </is>
      </c>
      <c r="CK283" t="inlineStr">
        <is>
          <t>N</t>
        </is>
      </c>
      <c r="CL283" t="inlineStr">
        <is>
          <t>unknown</t>
        </is>
      </c>
      <c r="CO283" t="n">
        <v>444</v>
      </c>
      <c r="CP283" t="inlineStr">
        <is>
          <t>over-250</t>
        </is>
      </c>
      <c r="CQ283"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CR283" t="inlineStr">
        <is>
          <t>estimate until intake replaces it</t>
        </is>
      </c>
      <c r="CS283" t="n">
        <v>0</v>
      </c>
      <c r="CT283" t="n">
        <v>21</v>
      </c>
      <c r="CU283" t="n">
        <v>0</v>
      </c>
      <c r="CV283" t="n">
        <v>2</v>
      </c>
      <c r="CW283" t="n">
        <v>6</v>
      </c>
      <c r="CX283" t="n">
        <v>13</v>
      </c>
      <c r="CY283">
        <f>IF(AH283="exact",10,IF(AH283="adjacent",5,0))</f>
        <v/>
      </c>
      <c r="CZ283">
        <f>IF(R283="Y",15,0)</f>
        <v/>
      </c>
      <c r="DF283" t="inlineStr">
        <is>
          <t>none</t>
        </is>
      </c>
      <c r="DG283" t="inlineStr">
        <is>
          <t>near-miss-over-500</t>
        </is>
      </c>
      <c r="DH283" t="inlineStr">
        <is>
          <t>over-1,000 (1,001 to 4,999)</t>
        </is>
      </c>
      <c r="DI283" t="inlineStr">
        <is>
          <t>N</t>
        </is>
      </c>
      <c r="DK283" t="inlineStr">
        <is>
          <t>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is>
      </c>
      <c r="DS283" t="inlineStr">
        <is>
          <t>none</t>
        </is>
      </c>
      <c r="DX283" t="inlineStr">
        <is>
          <t>N</t>
        </is>
      </c>
      <c r="ER283">
        <f>IF(ISNUMBER(MATCH(U283,{"queued","contacted","replied","call_booked","call_done","yes_in_principle","materials_sent"},0)),"Y","N")</f>
        <v/>
      </c>
      <c r="ES283">
        <f>IF(COUNTIFS($AP$2:$AP$1000,AP283,$ER$2:$ER$1000,"Y")+COUNTIFS($AP$2:$AP$1000,AP283,$T$2:$T$1000,"Y")&gt;0,"Y","N")</f>
        <v/>
      </c>
      <c r="ET283">
        <f>IF(AND(U283="new",T283="N",AT283="Y",AS283="",ES283="N"),"Y","N")</f>
        <v/>
      </c>
      <c r="EU283">
        <f>IF(ET283&lt;&gt;"Y","N",IF(COUNTIFS($AP$2:$AP$1000,AP283,$ET$2:$ET$1000,"Y",$J$2:$J$1000,"&gt;"&amp;J283)+COUNTIFS($AP$2:$AP$1000,AP283,$ET$2:$ET$1000,"Y",$J$2:$J$1000,J283,$EW$2:$EW$1000,"&lt;"&amp;EW283)=0,"Y","N"))</f>
        <v/>
      </c>
      <c r="EV283">
        <f>IF(Y283="","N",IF(Y283&lt;=10,"Y","N"))</f>
        <v/>
      </c>
      <c r="EW283">
        <f>ROW()-1</f>
        <v/>
      </c>
    </row>
    <row r="284">
      <c r="A284" t="inlineStr">
        <is>
          <t>AO-C-060</t>
        </is>
      </c>
      <c r="B284" t="inlineStr">
        <is>
          <t>Warp</t>
        </is>
      </c>
      <c r="H284" t="inlineStr">
        <is>
          <t>none</t>
        </is>
      </c>
      <c r="I284" t="inlineStr">
        <is>
          <t>linkedin</t>
        </is>
      </c>
      <c r="J284">
        <f>IF(AX284="pass",ROUND(CU284+CV284+CW284+CX284+CY284+CZ284,1),0)</f>
        <v/>
      </c>
      <c r="K284" t="inlineStr">
        <is>
          <t>Gated out: Tuesday estimate under 30 (14 to 28).</t>
        </is>
      </c>
      <c r="L284" t="inlineStr">
        <is>
          <t>under-40</t>
        </is>
      </c>
      <c r="O284" t="inlineStr">
        <is>
          <t>New or renewed lease at 156 Fifth Avenue reported 2026-08-06</t>
        </is>
      </c>
      <c r="P284" t="inlineStr">
        <is>
          <t>https://commercialobserver.com/2026/08/warp-triple-lease-expansion-hrc-156-fifth-avenue/</t>
        </is>
      </c>
      <c r="Q284" t="inlineStr">
        <is>
          <t>2026-08-06</t>
        </is>
      </c>
      <c r="R284" t="inlineStr">
        <is>
          <t>N</t>
        </is>
      </c>
      <c r="S284" t="inlineStr">
        <is>
          <t>unknown</t>
        </is>
      </c>
      <c r="T284" t="inlineStr">
        <is>
          <t>N</t>
        </is>
      </c>
      <c r="U284" t="inlineStr">
        <is>
          <t>new</t>
        </is>
      </c>
      <c r="V284" t="inlineStr">
        <is>
          <t>https://commercialobserver.com/2026/08/warp-triple-lease-expansion-hrc-156-fifth-avenue/</t>
        </is>
      </c>
      <c r="W284" t="inlineStr">
        <is>
          <t>2026-10-23</t>
        </is>
      </c>
      <c r="X284" t="inlineStr">
        <is>
          <t>office</t>
        </is>
      </c>
      <c r="Y284">
        <f>IF(EU284&lt;&gt;"Y","",COUNTIFS($EU$2:$EU$1000,"Y",$J$2:$J$1000,"&gt;"&amp;J284)+COUNTIFS($EU$2:$EU$1000,"Y",$J$2:$J$1000,J284,$EW$2:$EW$1000,"&lt;"&amp;EW284)+1)</f>
        <v/>
      </c>
      <c r="AA284" t="inlineStr">
        <is>
          <t>N</t>
        </is>
      </c>
      <c r="AD284" t="inlineStr">
        <is>
          <t>none</t>
        </is>
      </c>
      <c r="AH284" t="inlineStr">
        <is>
          <t>none</t>
        </is>
      </c>
      <c r="AI284" t="inlineStr">
        <is>
          <t>156 Fifth Avenue</t>
        </is>
      </c>
      <c r="AJ284" t="inlineStr">
        <is>
          <t>7-8</t>
        </is>
      </c>
      <c r="AK284" t="inlineStr">
        <is>
          <t>occupied</t>
        </is>
      </c>
      <c r="AL284" t="n">
        <v>14</v>
      </c>
      <c r="AM284" t="n">
        <v>28</v>
      </c>
      <c r="AN284" t="inlineStr">
        <is>
          <t>low</t>
        </is>
      </c>
      <c r="AO284" t="inlineStr">
        <is>
          <t>unknown</t>
        </is>
      </c>
      <c r="AP284" t="inlineStr">
        <is>
          <t>AO-C-060</t>
        </is>
      </c>
      <c r="AQ284" t="inlineStr">
        <is>
          <t>N</t>
        </is>
      </c>
      <c r="AT284">
        <f>IF(AND(AX284="pass",AQ284&lt;&gt;"Y",C284&lt;&gt;"",OR(AW284&lt;&gt;"Y",AV284="Y")),"Y","N")</f>
        <v/>
      </c>
      <c r="AU284">
        <f>_xlfn.TEXTJOIN("; ",TRUE,IF(AX284&lt;&gt;"pass","gated out",""),IF(AQ284="Y","on hold: "&amp;AR284,""),IF(C284="","no contact named on an opened page",""),IF(AND(AW284="Y",AV284&lt;&gt;"Y"),"Tuesday estimate band "&amp;L284&amp;": founder's call",""))</f>
        <v/>
      </c>
      <c r="AW284" t="inlineStr">
        <is>
          <t>Y</t>
        </is>
      </c>
      <c r="AX284" t="inlineStr">
        <is>
          <t>fail</t>
        </is>
      </c>
      <c r="AY284" t="inlineStr">
        <is>
          <t>Tuesday estimate under 30 (14 to 28)</t>
        </is>
      </c>
      <c r="AZ284" t="inlineStr">
        <is>
          <t>company</t>
        </is>
      </c>
      <c r="BA284" t="inlineStr">
        <is>
          <t>B-C-060</t>
        </is>
      </c>
      <c r="BB284" t="inlineStr">
        <is>
          <t>https://www.warp.co</t>
        </is>
      </c>
      <c r="BC284" t="inlineStr">
        <is>
          <t>software (AI payroll and HR)</t>
        </is>
      </c>
      <c r="BD284" t="inlineStr">
        <is>
          <t>42</t>
        </is>
      </c>
      <c r="BF284" t="inlineStr">
        <is>
          <t>40-75</t>
        </is>
      </c>
      <c r="BG284" t="inlineStr">
        <is>
          <t>whole-company</t>
        </is>
      </c>
      <c r="BH284" t="inlineStr">
        <is>
          <t>single-source</t>
        </is>
      </c>
      <c r="BI284" t="inlineStr">
        <is>
          <t>https://www.builtinnyc.com/company/warp</t>
        </is>
      </c>
      <c r="BK284" t="inlineStr">
        <is>
          <t>le500</t>
        </is>
      </c>
      <c r="BL284" t="inlineStr">
        <is>
          <t>New York</t>
        </is>
      </c>
      <c r="BM284" t="inlineStr">
        <is>
          <t>Y</t>
        </is>
      </c>
      <c r="BN284" t="inlineStr">
        <is>
          <t>unknown</t>
        </is>
      </c>
      <c r="BO284" t="inlineStr">
        <is>
          <t>unknown</t>
        </is>
      </c>
      <c r="BP284" t="inlineStr">
        <is>
          <t>10010</t>
        </is>
      </c>
      <c r="BQ284" t="n">
        <v>40.739961</v>
      </c>
      <c r="BR284" t="n">
        <v>-73.990971</v>
      </c>
      <c r="BS284" t="inlineStr">
        <is>
          <t>Y</t>
        </is>
      </c>
      <c r="BT284" t="n">
        <v>0</v>
      </c>
      <c r="BU284" t="inlineStr">
        <is>
          <t>B-B-029</t>
        </is>
      </c>
      <c r="BV284" t="inlineStr">
        <is>
          <t>Presbyterian Building / Flatiron Suites (HRC)</t>
        </is>
      </c>
      <c r="BW284" t="inlineStr">
        <is>
          <t>https://commercialobserver.com/2026/08/warp-triple-lease-expansion-hrc-156-fifth-avenue/</t>
        </is>
      </c>
      <c r="BX284" t="inlineStr">
        <is>
          <t>2026-08-06</t>
        </is>
      </c>
      <c r="BY284" t="inlineStr">
        <is>
          <t>leasing-press</t>
        </is>
      </c>
      <c r="CC284" t="inlineStr">
        <is>
          <t>medium</t>
        </is>
      </c>
      <c r="CE284" t="inlineStr">
        <is>
          <t>N</t>
        </is>
      </c>
      <c r="CH284" t="inlineStr">
        <is>
          <t>unknown</t>
        </is>
      </c>
      <c r="CJ284" t="inlineStr">
        <is>
          <t>unknown</t>
        </is>
      </c>
      <c r="CK284" t="inlineStr">
        <is>
          <t>N</t>
        </is>
      </c>
      <c r="CL284" t="inlineStr">
        <is>
          <t>unknown</t>
        </is>
      </c>
      <c r="CO284" t="n">
        <v>20</v>
      </c>
      <c r="CP284" t="inlineStr">
        <is>
          <t>under-30</t>
        </is>
      </c>
      <c r="CQ284" t="inlineStr">
        <is>
          <t>42 (Built In) staff (whole-company count) x 50% to 100% of them in the New York office (HQ New York; share assumed) x 67% (Partnership for NYC, firms under 500) in on a weekday = 14 to 28, central 20; low confidence; estimate until intake replaces it.</t>
        </is>
      </c>
      <c r="CR284" t="inlineStr">
        <is>
          <t>estimate until intake replaces it</t>
        </is>
      </c>
      <c r="CS284" t="n">
        <v>0</v>
      </c>
      <c r="CT284" t="n">
        <v>34</v>
      </c>
      <c r="CU284" t="n">
        <v>0</v>
      </c>
      <c r="CV284" t="n">
        <v>15</v>
      </c>
      <c r="CW284" t="n">
        <v>6</v>
      </c>
      <c r="CX284" t="n">
        <v>13</v>
      </c>
      <c r="CY284">
        <f>IF(AH284="exact",10,IF(AH284="adjacent",5,0))</f>
        <v/>
      </c>
      <c r="CZ284">
        <f>IF(R284="Y",15,0)</f>
        <v/>
      </c>
      <c r="DF284" t="inlineStr">
        <is>
          <t>none</t>
        </is>
      </c>
      <c r="DG284" t="inlineStr">
        <is>
          <t>candidate</t>
        </is>
      </c>
      <c r="DJ284" t="inlineStr">
        <is>
          <t>8,000 sf;24,500 sf</t>
        </is>
      </c>
      <c r="DK284" t="inlineStr">
        <is>
          <t>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is>
      </c>
      <c r="DS284" t="inlineStr">
        <is>
          <t>none</t>
        </is>
      </c>
      <c r="DX284" t="inlineStr">
        <is>
          <t>N</t>
        </is>
      </c>
      <c r="ER284">
        <f>IF(ISNUMBER(MATCH(U284,{"queued","contacted","replied","call_booked","call_done","yes_in_principle","materials_sent"},0)),"Y","N")</f>
        <v/>
      </c>
      <c r="ES284">
        <f>IF(COUNTIFS($AP$2:$AP$1000,AP284,$ER$2:$ER$1000,"Y")+COUNTIFS($AP$2:$AP$1000,AP284,$T$2:$T$1000,"Y")&gt;0,"Y","N")</f>
        <v/>
      </c>
      <c r="ET284">
        <f>IF(AND(U284="new",T284="N",AT284="Y",AS284="",ES284="N"),"Y","N")</f>
        <v/>
      </c>
      <c r="EU284">
        <f>IF(ET284&lt;&gt;"Y","N",IF(COUNTIFS($AP$2:$AP$1000,AP284,$ET$2:$ET$1000,"Y",$J$2:$J$1000,"&gt;"&amp;J284)+COUNTIFS($AP$2:$AP$1000,AP284,$ET$2:$ET$1000,"Y",$J$2:$J$1000,J284,$EW$2:$EW$1000,"&lt;"&amp;EW284)=0,"Y","N"))</f>
        <v/>
      </c>
      <c r="EV284">
        <f>IF(Y284="","N",IF(Y284&lt;=10,"Y","N"))</f>
        <v/>
      </c>
      <c r="EW284">
        <f>ROW()-1</f>
        <v/>
      </c>
    </row>
    <row r="285">
      <c r="A285" t="inlineStr">
        <is>
          <t>AO-C-210</t>
        </is>
      </c>
      <c r="B285" t="inlineStr">
        <is>
          <t>dsm-firmenich</t>
        </is>
      </c>
      <c r="H285" t="inlineStr">
        <is>
          <t>none</t>
        </is>
      </c>
      <c r="I285" t="inlineStr">
        <is>
          <t>linkedin</t>
        </is>
      </c>
      <c r="J285">
        <f>IF(AX285="pass",ROUND(CU285+CV285+CW285+CX285+CY285+CZ285,1),0)</f>
        <v/>
      </c>
      <c r="K285" t="inlineStr">
        <is>
          <t>Gated out: Tuesday estimate over 250 (690 to 13800).</t>
        </is>
      </c>
      <c r="L285" t="inlineStr">
        <is>
          <t>over-500</t>
        </is>
      </c>
      <c r="R285" t="inlineStr">
        <is>
          <t>N</t>
        </is>
      </c>
      <c r="S285" t="inlineStr">
        <is>
          <t>unknown</t>
        </is>
      </c>
      <c r="T285" t="inlineStr">
        <is>
          <t>N</t>
        </is>
      </c>
      <c r="U285" t="inlineStr">
        <is>
          <t>new</t>
        </is>
      </c>
      <c r="V285" t="inlineStr">
        <is>
          <t>https://commercialobserver.com/2026/09/stash-financial-lease-641-avenue-of-the-americas/</t>
        </is>
      </c>
      <c r="W285" t="inlineStr">
        <is>
          <t>2026-10-23</t>
        </is>
      </c>
      <c r="X285" t="inlineStr">
        <is>
          <t>office</t>
        </is>
      </c>
      <c r="Y285">
        <f>IF(EU285&lt;&gt;"Y","",COUNTIFS($EU$2:$EU$1000,"Y",$J$2:$J$1000,"&gt;"&amp;J285)+COUNTIFS($EU$2:$EU$1000,"Y",$J$2:$J$1000,J285,$EW$2:$EW$1000,"&lt;"&amp;EW285)+1)</f>
        <v/>
      </c>
      <c r="AA285" t="inlineStr">
        <is>
          <t>N</t>
        </is>
      </c>
      <c r="AD285" t="inlineStr">
        <is>
          <t>none</t>
        </is>
      </c>
      <c r="AH285" t="inlineStr">
        <is>
          <t>none</t>
        </is>
      </c>
      <c r="AI285" t="inlineStr">
        <is>
          <t>641 Avenue of the Americas</t>
        </is>
      </c>
      <c r="AJ285" t="inlineStr">
        <is>
          <t>unknown</t>
        </is>
      </c>
      <c r="AK285" t="inlineStr">
        <is>
          <t>occupied</t>
        </is>
      </c>
      <c r="AL285" t="n">
        <v>690</v>
      </c>
      <c r="AM285" t="n">
        <v>13800</v>
      </c>
      <c r="AN285" t="inlineStr">
        <is>
          <t>low</t>
        </is>
      </c>
      <c r="AO285" t="inlineStr">
        <is>
          <t>unknown</t>
        </is>
      </c>
      <c r="AP285" t="inlineStr">
        <is>
          <t>AO-C-210</t>
        </is>
      </c>
      <c r="AQ285" t="inlineStr">
        <is>
          <t>N</t>
        </is>
      </c>
      <c r="AT285">
        <f>IF(AND(AX285="pass",AQ285&lt;&gt;"Y",C285&lt;&gt;"",OR(AW285&lt;&gt;"Y",AV285="Y")),"Y","N")</f>
        <v/>
      </c>
      <c r="AU285">
        <f>_xlfn.TEXTJOIN("; ",TRUE,IF(AX285&lt;&gt;"pass","gated out",""),IF(AQ285="Y","on hold: "&amp;AR285,""),IF(C285="","no contact named on an opened page",""),IF(AND(AW285="Y",AV285&lt;&gt;"Y"),"Tuesday estimate band "&amp;L285&amp;": founder's call",""))</f>
        <v/>
      </c>
      <c r="AW285" t="inlineStr">
        <is>
          <t>Y</t>
        </is>
      </c>
      <c r="AX285" t="inlineStr">
        <is>
          <t>fail</t>
        </is>
      </c>
      <c r="AY285" t="inlineStr">
        <is>
          <t>Tuesday estimate over 250 (690 to 13800)</t>
        </is>
      </c>
      <c r="AZ285" t="inlineStr">
        <is>
          <t>company</t>
        </is>
      </c>
      <c r="BA285" t="inlineStr">
        <is>
          <t>B-C-210</t>
        </is>
      </c>
      <c r="BB285" t="inlineStr">
        <is>
          <t>https://www.dsm-firmenich.com</t>
        </is>
      </c>
      <c r="BC285" t="inlineStr">
        <is>
          <t>fragrance and nutrition ingredients</t>
        </is>
      </c>
      <c r="BD285" t="inlineStr">
        <is>
          <t>30000</t>
        </is>
      </c>
      <c r="BF285" t="inlineStr">
        <is>
          <t>over-500</t>
        </is>
      </c>
      <c r="BG285" t="inlineStr">
        <is>
          <t>whole-company</t>
        </is>
      </c>
      <c r="BH285" t="inlineStr">
        <is>
          <t>single-source</t>
        </is>
      </c>
      <c r="BI285" t="inlineStr">
        <is>
          <t>https://en.wikipedia.org/wiki/DSM-Firmenich</t>
        </is>
      </c>
      <c r="BK285" t="inlineStr">
        <is>
          <t>5000+</t>
        </is>
      </c>
      <c r="BL285" t="inlineStr">
        <is>
          <t>unknown</t>
        </is>
      </c>
      <c r="BM285" t="inlineStr">
        <is>
          <t>unknown</t>
        </is>
      </c>
      <c r="BN285" t="inlineStr">
        <is>
          <t>unknown</t>
        </is>
      </c>
      <c r="BO285" t="inlineStr">
        <is>
          <t>unknown</t>
        </is>
      </c>
      <c r="BP285" t="inlineStr">
        <is>
          <t>10011</t>
        </is>
      </c>
      <c r="BQ285" t="n">
        <v>40.7409</v>
      </c>
      <c r="BR285" t="n">
        <v>-73.994512</v>
      </c>
      <c r="BS285" t="inlineStr">
        <is>
          <t>Y</t>
        </is>
      </c>
      <c r="BT285" t="n">
        <v>0</v>
      </c>
      <c r="BU285" t="inlineStr">
        <is>
          <t>B-B-026</t>
        </is>
      </c>
      <c r="BV285" t="inlineStr">
        <is>
          <t>635-641 Avenue of the Americas (Spear Street Capital)</t>
        </is>
      </c>
      <c r="BW285" t="inlineStr">
        <is>
          <t>https://commercialobserver.com/2026/09/stash-financial-lease-641-avenue-of-the-americas/</t>
        </is>
      </c>
      <c r="BX285" t="inlineStr">
        <is>
          <t>2026-09-02</t>
        </is>
      </c>
      <c r="BY285" t="inlineStr">
        <is>
          <t>leasing-press</t>
        </is>
      </c>
      <c r="BZ285" t="inlineStr">
        <is>
          <t>https://commercialobserver.com/2024/10/dsm-firmenich-lease-641-avenue-of-the-americas/</t>
        </is>
      </c>
      <c r="CA285" t="inlineStr">
        <is>
          <t>2024-10-17</t>
        </is>
      </c>
      <c r="CC285" t="inlineStr">
        <is>
          <t>medium</t>
        </is>
      </c>
      <c r="CE285" t="inlineStr">
        <is>
          <t>N</t>
        </is>
      </c>
      <c r="CH285" t="inlineStr">
        <is>
          <t>unknown</t>
        </is>
      </c>
      <c r="CJ285" t="inlineStr">
        <is>
          <t>unknown</t>
        </is>
      </c>
      <c r="CK285" t="inlineStr">
        <is>
          <t>N</t>
        </is>
      </c>
      <c r="CL285" t="inlineStr">
        <is>
          <t>unknown</t>
        </is>
      </c>
      <c r="CO285" t="n">
        <v>3086</v>
      </c>
      <c r="CP285" t="inlineStr">
        <is>
          <t>over-250</t>
        </is>
      </c>
      <c r="CQ285" t="inlineStr">
        <is>
          <t>30000 (Wikipedia) staff (whole-company count) x 5% to 100% of them in the New York office (HQ city unknown; share assumed) x 46% (Partnership for NYC, firms over 5,000) in on a weekday = 690 to 13800, central 3086; low confidence; estimate until intake replaces it.</t>
        </is>
      </c>
      <c r="CR285" t="inlineStr">
        <is>
          <t>estimate until intake replaces it</t>
        </is>
      </c>
      <c r="CS285" t="n">
        <v>0</v>
      </c>
      <c r="CT285" t="n">
        <v>19</v>
      </c>
      <c r="CU285" t="n">
        <v>0</v>
      </c>
      <c r="CV285" t="n">
        <v>0</v>
      </c>
      <c r="CW285" t="n">
        <v>6</v>
      </c>
      <c r="CX285" t="n">
        <v>13</v>
      </c>
      <c r="CY285">
        <f>IF(AH285="exact",10,IF(AH285="adjacent",5,0))</f>
        <v/>
      </c>
      <c r="CZ285">
        <f>IF(R285="Y",15,0)</f>
        <v/>
      </c>
      <c r="DF285" t="inlineStr">
        <is>
          <t>none</t>
        </is>
      </c>
      <c r="DG285" t="inlineStr">
        <is>
          <t>near-miss-over-500</t>
        </is>
      </c>
      <c r="DH285" t="inlineStr">
        <is>
          <t>not-near (5,000 or more)</t>
        </is>
      </c>
      <c r="DI285" t="inlineStr">
        <is>
          <t>N</t>
        </is>
      </c>
      <c r="DJ285" t="inlineStr">
        <is>
          <t>45,000 sf</t>
        </is>
      </c>
      <c r="DK285" t="inlineStr">
        <is>
          <t>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DS285" t="inlineStr">
        <is>
          <t>none</t>
        </is>
      </c>
      <c r="DX285" t="inlineStr">
        <is>
          <t>N</t>
        </is>
      </c>
      <c r="ER285">
        <f>IF(ISNUMBER(MATCH(U285,{"queued","contacted","replied","call_booked","call_done","yes_in_principle","materials_sent"},0)),"Y","N")</f>
        <v/>
      </c>
      <c r="ES285">
        <f>IF(COUNTIFS($AP$2:$AP$1000,AP285,$ER$2:$ER$1000,"Y")+COUNTIFS($AP$2:$AP$1000,AP285,$T$2:$T$1000,"Y")&gt;0,"Y","N")</f>
        <v/>
      </c>
      <c r="ET285">
        <f>IF(AND(U285="new",T285="N",AT285="Y",AS285="",ES285="N"),"Y","N")</f>
        <v/>
      </c>
      <c r="EU285">
        <f>IF(ET285&lt;&gt;"Y","N",IF(COUNTIFS($AP$2:$AP$1000,AP285,$ET$2:$ET$1000,"Y",$J$2:$J$1000,"&gt;"&amp;J285)+COUNTIFS($AP$2:$AP$1000,AP285,$ET$2:$ET$1000,"Y",$J$2:$J$1000,J285,$EW$2:$EW$1000,"&lt;"&amp;EW285)=0,"Y","N"))</f>
        <v/>
      </c>
      <c r="EV285">
        <f>IF(Y285="","N",IF(Y285&lt;=10,"Y","N"))</f>
        <v/>
      </c>
      <c r="EW285">
        <f>ROW()-1</f>
        <v/>
      </c>
    </row>
    <row r="286">
      <c r="A286" t="inlineStr">
        <is>
          <t>AO-C-195</t>
        </is>
      </c>
      <c r="B286" t="inlineStr">
        <is>
          <t>eBay</t>
        </is>
      </c>
      <c r="H286" t="inlineStr">
        <is>
          <t>none</t>
        </is>
      </c>
      <c r="I286" t="inlineStr">
        <is>
          <t>linkedin</t>
        </is>
      </c>
      <c r="J286">
        <f>IF(AX286="pass",ROUND(CU286+CV286+CW286+CX286+CY286+CZ286,1),0)</f>
        <v/>
      </c>
      <c r="K286" t="inlineStr">
        <is>
          <t>Gated out: Tuesday estimate over 250 (599 to 11976).</t>
        </is>
      </c>
      <c r="L286" t="inlineStr">
        <is>
          <t>over-500</t>
        </is>
      </c>
      <c r="O286" t="inlineStr">
        <is>
          <t>New or renewed lease at 122 Fifth Avenue reported 2026-06-02</t>
        </is>
      </c>
      <c r="P286" t="inlineStr">
        <is>
          <t>https://commercialobserver.com/2026/06/ebay-lease-bromley-companies-122-fifth-avenue/</t>
        </is>
      </c>
      <c r="Q286" t="inlineStr">
        <is>
          <t>2026-06-02</t>
        </is>
      </c>
      <c r="R286" t="inlineStr">
        <is>
          <t>N</t>
        </is>
      </c>
      <c r="S286" t="inlineStr">
        <is>
          <t>unknown</t>
        </is>
      </c>
      <c r="T286" t="inlineStr">
        <is>
          <t>N</t>
        </is>
      </c>
      <c r="U286" t="inlineStr">
        <is>
          <t>new</t>
        </is>
      </c>
      <c r="V286" t="inlineStr">
        <is>
          <t>https://commercialobserver.com/2026/06/ebay-lease-bromley-companies-122-fifth-avenue/</t>
        </is>
      </c>
      <c r="W286" t="inlineStr">
        <is>
          <t>2026-10-23</t>
        </is>
      </c>
      <c r="X286" t="inlineStr">
        <is>
          <t>office</t>
        </is>
      </c>
      <c r="Y286">
        <f>IF(EU286&lt;&gt;"Y","",COUNTIFS($EU$2:$EU$1000,"Y",$J$2:$J$1000,"&gt;"&amp;J286)+COUNTIFS($EU$2:$EU$1000,"Y",$J$2:$J$1000,J286,$EW$2:$EW$1000,"&lt;"&amp;EW286)+1)</f>
        <v/>
      </c>
      <c r="AA286" t="inlineStr">
        <is>
          <t>N</t>
        </is>
      </c>
      <c r="AD286" t="inlineStr">
        <is>
          <t>none</t>
        </is>
      </c>
      <c r="AH286" t="inlineStr">
        <is>
          <t>none</t>
        </is>
      </c>
      <c r="AI286" t="inlineStr">
        <is>
          <t>122 Fifth Avenue</t>
        </is>
      </c>
      <c r="AJ286" t="inlineStr">
        <is>
          <t>2</t>
        </is>
      </c>
      <c r="AK286" t="inlineStr">
        <is>
          <t>signed-not-occupied</t>
        </is>
      </c>
      <c r="AL286" t="n">
        <v>599</v>
      </c>
      <c r="AM286" t="n">
        <v>11976</v>
      </c>
      <c r="AN286" t="inlineStr">
        <is>
          <t>low</t>
        </is>
      </c>
      <c r="AO286" t="inlineStr">
        <is>
          <t>unknown</t>
        </is>
      </c>
      <c r="AP286" t="inlineStr">
        <is>
          <t>AO-C-195</t>
        </is>
      </c>
      <c r="AQ286" t="inlineStr">
        <is>
          <t>Y</t>
        </is>
      </c>
      <c r="AR286" t="inlineStr">
        <is>
          <t>lease signed, move not confirmed: check the lobby directory before outreach (B)</t>
        </is>
      </c>
      <c r="AT286">
        <f>IF(AND(AX286="pass",AQ286&lt;&gt;"Y",C286&lt;&gt;"",OR(AW286&lt;&gt;"Y",AV286="Y")),"Y","N")</f>
        <v/>
      </c>
      <c r="AU286">
        <f>_xlfn.TEXTJOIN("; ",TRUE,IF(AX286&lt;&gt;"pass","gated out",""),IF(AQ286="Y","on hold: "&amp;AR286,""),IF(C286="","no contact named on an opened page",""),IF(AND(AW286="Y",AV286&lt;&gt;"Y"),"Tuesday estimate band "&amp;L286&amp;": founder's call",""))</f>
        <v/>
      </c>
      <c r="AW286" t="inlineStr">
        <is>
          <t>Y</t>
        </is>
      </c>
      <c r="AX286" t="inlineStr">
        <is>
          <t>fail</t>
        </is>
      </c>
      <c r="AY286" t="inlineStr">
        <is>
          <t>Tuesday estimate over 250 (599 to 11976)</t>
        </is>
      </c>
      <c r="AZ286" t="inlineStr">
        <is>
          <t>company</t>
        </is>
      </c>
      <c r="BA286" t="inlineStr">
        <is>
          <t>B-C-195</t>
        </is>
      </c>
      <c r="BB286" t="inlineStr">
        <is>
          <t>https://www.ebay.com</t>
        </is>
      </c>
      <c r="BC286" t="inlineStr">
        <is>
          <t>e-commerce</t>
        </is>
      </c>
      <c r="BD286" t="inlineStr">
        <is>
          <t>26035</t>
        </is>
      </c>
      <c r="BF286" t="inlineStr">
        <is>
          <t>over-500</t>
        </is>
      </c>
      <c r="BG286" t="inlineStr">
        <is>
          <t>whole-company</t>
        </is>
      </c>
      <c r="BH286" t="inlineStr">
        <is>
          <t>single-source</t>
        </is>
      </c>
      <c r="BI286" t="inlineStr">
        <is>
          <t>https://www.builtinnyc.com/company/ebay</t>
        </is>
      </c>
      <c r="BK286" t="inlineStr">
        <is>
          <t>5000+</t>
        </is>
      </c>
      <c r="BL286" t="inlineStr">
        <is>
          <t>San Jose</t>
        </is>
      </c>
      <c r="BM286" t="inlineStr">
        <is>
          <t>N</t>
        </is>
      </c>
      <c r="BN286" t="inlineStr">
        <is>
          <t>unknown</t>
        </is>
      </c>
      <c r="BO286" t="inlineStr">
        <is>
          <t>unknown</t>
        </is>
      </c>
      <c r="BP286" t="inlineStr">
        <is>
          <t>10011</t>
        </is>
      </c>
      <c r="BQ286" t="n">
        <v>40.738461</v>
      </c>
      <c r="BR286" t="n">
        <v>-73.99252300000001</v>
      </c>
      <c r="BS286" t="inlineStr">
        <is>
          <t>Y</t>
        </is>
      </c>
      <c r="BT286" t="n">
        <v>0</v>
      </c>
      <c r="BV286" t="inlineStr">
        <is>
          <t>unknown</t>
        </is>
      </c>
      <c r="BW286" t="inlineStr">
        <is>
          <t>https://commercialobserver.com/2026/06/ebay-lease-bromley-companies-122-fifth-avenue/</t>
        </is>
      </c>
      <c r="BX286" t="inlineStr">
        <is>
          <t>2026-06-02</t>
        </is>
      </c>
      <c r="BY286" t="inlineStr">
        <is>
          <t>leasing-press</t>
        </is>
      </c>
      <c r="CC286" t="inlineStr">
        <is>
          <t>medium</t>
        </is>
      </c>
      <c r="CD286" t="inlineStr">
        <is>
          <t>unknown</t>
        </is>
      </c>
      <c r="CE286" t="inlineStr">
        <is>
          <t>N</t>
        </is>
      </c>
      <c r="CH286" t="inlineStr">
        <is>
          <t>unknown</t>
        </is>
      </c>
      <c r="CJ286" t="inlineStr">
        <is>
          <t>unknown</t>
        </is>
      </c>
      <c r="CK286" t="inlineStr">
        <is>
          <t>N</t>
        </is>
      </c>
      <c r="CL286" t="inlineStr">
        <is>
          <t>unknown</t>
        </is>
      </c>
      <c r="CO286" t="n">
        <v>2678</v>
      </c>
      <c r="CP286" t="inlineStr">
        <is>
          <t>over-250</t>
        </is>
      </c>
      <c r="CQ286" t="inlineStr">
        <is>
          <t>26035 (Built In) staff (whole-company count) x 5% to 100% of them in the New York office (HQ outside New York; share assumed) x 46% (Partnership for NYC, firms over 5,000) in on a weekday = 599 to 11976, central 2678; low confidence; estimate until intake replaces it.</t>
        </is>
      </c>
      <c r="CR286" t="inlineStr">
        <is>
          <t>estimate until intake replaces it</t>
        </is>
      </c>
      <c r="CS286" t="n">
        <v>0</v>
      </c>
      <c r="CT286" t="n">
        <v>11</v>
      </c>
      <c r="CU286" t="n">
        <v>0</v>
      </c>
      <c r="CV286" t="n">
        <v>0</v>
      </c>
      <c r="CW286" t="n">
        <v>6</v>
      </c>
      <c r="CX286" t="n">
        <v>5</v>
      </c>
      <c r="CY286">
        <f>IF(AH286="exact",10,IF(AH286="adjacent",5,0))</f>
        <v/>
      </c>
      <c r="CZ286">
        <f>IF(R286="Y",15,0)</f>
        <v/>
      </c>
      <c r="DF286" t="inlineStr">
        <is>
          <t>none</t>
        </is>
      </c>
      <c r="DG286" t="inlineStr">
        <is>
          <t>near-miss-over-500</t>
        </is>
      </c>
      <c r="DH286" t="inlineStr">
        <is>
          <t>not-near (5,000 or more)</t>
        </is>
      </c>
      <c r="DI286" t="inlineStr">
        <is>
          <t>N</t>
        </is>
      </c>
      <c r="DJ286" t="inlineStr">
        <is>
          <t>27,902 sf</t>
        </is>
      </c>
      <c r="DK286" t="inlineStr">
        <is>
          <t>Near-miss: over 500 (Built In: 26,035 total employees). CO 2026-06-02: eight-year 27,902 sf lease on the entire 2nd floor, relocating from 625 Avenue of the Americas; move-in timing not stated.</t>
        </is>
      </c>
      <c r="DS286" t="inlineStr">
        <is>
          <t>none</t>
        </is>
      </c>
      <c r="DX286" t="inlineStr">
        <is>
          <t>N</t>
        </is>
      </c>
      <c r="ER286">
        <f>IF(ISNUMBER(MATCH(U286,{"queued","contacted","replied","call_booked","call_done","yes_in_principle","materials_sent"},0)),"Y","N")</f>
        <v/>
      </c>
      <c r="ES286">
        <f>IF(COUNTIFS($AP$2:$AP$1000,AP286,$ER$2:$ER$1000,"Y")+COUNTIFS($AP$2:$AP$1000,AP286,$T$2:$T$1000,"Y")&gt;0,"Y","N")</f>
        <v/>
      </c>
      <c r="ET286">
        <f>IF(AND(U286="new",T286="N",AT286="Y",AS286="",ES286="N"),"Y","N")</f>
        <v/>
      </c>
      <c r="EU286">
        <f>IF(ET286&lt;&gt;"Y","N",IF(COUNTIFS($AP$2:$AP$1000,AP286,$ET$2:$ET$1000,"Y",$J$2:$J$1000,"&gt;"&amp;J286)+COUNTIFS($AP$2:$AP$1000,AP286,$ET$2:$ET$1000,"Y",$J$2:$J$1000,J286,$EW$2:$EW$1000,"&lt;"&amp;EW286)=0,"Y","N"))</f>
        <v/>
      </c>
      <c r="EV286">
        <f>IF(Y286="","N",IF(Y286&lt;=10,"Y","N"))</f>
        <v/>
      </c>
      <c r="EW286">
        <f>ROW()-1</f>
        <v/>
      </c>
    </row>
    <row r="287">
      <c r="A287" t="inlineStr">
        <is>
          <t>AO-C-199</t>
        </is>
      </c>
      <c r="B287" t="inlineStr">
        <is>
          <t>monday.com</t>
        </is>
      </c>
      <c r="H287" t="inlineStr">
        <is>
          <t>none</t>
        </is>
      </c>
      <c r="I287" t="inlineStr">
        <is>
          <t>linkedin</t>
        </is>
      </c>
      <c r="J287">
        <f>IF(AX287="pass",ROUND(CU287+CV287+CW287+CX287+CY287+CZ287,1),0)</f>
        <v/>
      </c>
      <c r="K287" t="inlineStr">
        <is>
          <t>Gated out: Tuesday estimate over 250 (899 to 1798).</t>
        </is>
      </c>
      <c r="L287" t="inlineStr">
        <is>
          <t>over-500</t>
        </is>
      </c>
      <c r="O287" t="inlineStr">
        <is>
          <t>New or renewed lease at 225 Park Avenue South reported 2025-12</t>
        </is>
      </c>
      <c r="P287" t="inlineStr">
        <is>
          <t>https://commercialobserver.com/2025/12/expanding-monday-work-platform-takes-more-space-gramercy-park/</t>
        </is>
      </c>
      <c r="Q287" t="inlineStr">
        <is>
          <t>2025-12</t>
        </is>
      </c>
      <c r="R287" t="inlineStr">
        <is>
          <t>N</t>
        </is>
      </c>
      <c r="S287" t="inlineStr">
        <is>
          <t>unknown</t>
        </is>
      </c>
      <c r="T287" t="inlineStr">
        <is>
          <t>N</t>
        </is>
      </c>
      <c r="U287" t="inlineStr">
        <is>
          <t>new</t>
        </is>
      </c>
      <c r="V287" t="inlineStr">
        <is>
          <t>https://commercialobserver.com/2025/12/expanding-monday-work-platform-takes-more-space-gramercy-park/</t>
        </is>
      </c>
      <c r="W287" t="inlineStr">
        <is>
          <t>2026-10-23</t>
        </is>
      </c>
      <c r="X287" t="inlineStr">
        <is>
          <t>office</t>
        </is>
      </c>
      <c r="Y287">
        <f>IF(EU287&lt;&gt;"Y","",COUNTIFS($EU$2:$EU$1000,"Y",$J$2:$J$1000,"&gt;"&amp;J287)+COUNTIFS($EU$2:$EU$1000,"Y",$J$2:$J$1000,J287,$EW$2:$EW$1000,"&lt;"&amp;EW287)+1)</f>
        <v/>
      </c>
      <c r="AA287" t="inlineStr">
        <is>
          <t>N</t>
        </is>
      </c>
      <c r="AD287" t="inlineStr">
        <is>
          <t>none</t>
        </is>
      </c>
      <c r="AH287" t="inlineStr">
        <is>
          <t>none</t>
        </is>
      </c>
      <c r="AI287" t="inlineStr">
        <is>
          <t>225 Park Avenue South</t>
        </is>
      </c>
      <c r="AJ287" t="inlineStr">
        <is>
          <t>unknown</t>
        </is>
      </c>
      <c r="AK287" t="inlineStr">
        <is>
          <t>occupied</t>
        </is>
      </c>
      <c r="AL287" t="n">
        <v>899</v>
      </c>
      <c r="AM287" t="n">
        <v>1798</v>
      </c>
      <c r="AN287" t="inlineStr">
        <is>
          <t>low</t>
        </is>
      </c>
      <c r="AO287" t="inlineStr">
        <is>
          <t>unknown</t>
        </is>
      </c>
      <c r="AP287" t="inlineStr">
        <is>
          <t>AO-C-199</t>
        </is>
      </c>
      <c r="AQ287" t="inlineStr">
        <is>
          <t>N</t>
        </is>
      </c>
      <c r="AT287">
        <f>IF(AND(AX287="pass",AQ287&lt;&gt;"Y",C287&lt;&gt;"",OR(AW287&lt;&gt;"Y",AV287="Y")),"Y","N")</f>
        <v/>
      </c>
      <c r="AU287">
        <f>_xlfn.TEXTJOIN("; ",TRUE,IF(AX287&lt;&gt;"pass","gated out",""),IF(AQ287="Y","on hold: "&amp;AR287,""),IF(C287="","no contact named on an opened page",""),IF(AND(AW287="Y",AV287&lt;&gt;"Y"),"Tuesday estimate band "&amp;L287&amp;": founder's call",""))</f>
        <v/>
      </c>
      <c r="AW287" t="inlineStr">
        <is>
          <t>Y</t>
        </is>
      </c>
      <c r="AX287" t="inlineStr">
        <is>
          <t>fail</t>
        </is>
      </c>
      <c r="AY287" t="inlineStr">
        <is>
          <t>Tuesday estimate over 250 (899 to 1798)</t>
        </is>
      </c>
      <c r="AZ287" t="inlineStr">
        <is>
          <t>company</t>
        </is>
      </c>
      <c r="BA287" t="inlineStr">
        <is>
          <t>B-C-199</t>
        </is>
      </c>
      <c r="BB287" t="inlineStr">
        <is>
          <t>https://monday.com</t>
        </is>
      </c>
      <c r="BC287" t="inlineStr">
        <is>
          <t>work management software</t>
        </is>
      </c>
      <c r="BD287" t="inlineStr">
        <is>
          <t>3155</t>
        </is>
      </c>
      <c r="BF287" t="inlineStr">
        <is>
          <t>over-500</t>
        </is>
      </c>
      <c r="BG287" t="inlineStr">
        <is>
          <t>whole-company</t>
        </is>
      </c>
      <c r="BH287" t="inlineStr">
        <is>
          <t>single-source</t>
        </is>
      </c>
      <c r="BI287" t="inlineStr">
        <is>
          <t>https://www.builtinnyc.com/company/mondaycom</t>
        </is>
      </c>
      <c r="BK287" t="inlineStr">
        <is>
          <t>1001-4999</t>
        </is>
      </c>
      <c r="BL287" t="inlineStr">
        <is>
          <t>New York</t>
        </is>
      </c>
      <c r="BM287" t="inlineStr">
        <is>
          <t>Y</t>
        </is>
      </c>
      <c r="BN287" t="inlineStr">
        <is>
          <t>unknown</t>
        </is>
      </c>
      <c r="BO287" t="inlineStr">
        <is>
          <t>unknown</t>
        </is>
      </c>
      <c r="BP287" t="inlineStr">
        <is>
          <t>10003</t>
        </is>
      </c>
      <c r="BQ287" t="n">
        <v>40.737275</v>
      </c>
      <c r="BR287" t="n">
        <v>-73.98824399999999</v>
      </c>
      <c r="BS287" t="inlineStr">
        <is>
          <t>Y</t>
        </is>
      </c>
      <c r="BT287" t="n">
        <v>0</v>
      </c>
      <c r="BV287" t="inlineStr">
        <is>
          <t>unknown</t>
        </is>
      </c>
      <c r="BW287" t="inlineStr">
        <is>
          <t>https://commercialobserver.com/2025/12/expanding-monday-work-platform-takes-more-space-gramercy-park/</t>
        </is>
      </c>
      <c r="BX287" t="inlineStr">
        <is>
          <t>2025-12</t>
        </is>
      </c>
      <c r="BY287" t="inlineStr">
        <is>
          <t>leasing-press</t>
        </is>
      </c>
      <c r="CC287" t="inlineStr">
        <is>
          <t>medium</t>
        </is>
      </c>
      <c r="CE287" t="inlineStr">
        <is>
          <t>N</t>
        </is>
      </c>
      <c r="CH287" t="inlineStr">
        <is>
          <t>unknown</t>
        </is>
      </c>
      <c r="CJ287" t="inlineStr">
        <is>
          <t>unknown</t>
        </is>
      </c>
      <c r="CK287" t="inlineStr">
        <is>
          <t>N</t>
        </is>
      </c>
      <c r="CL287" t="inlineStr">
        <is>
          <t>unknown</t>
        </is>
      </c>
      <c r="CO287" t="n">
        <v>1271</v>
      </c>
      <c r="CP287" t="inlineStr">
        <is>
          <t>over-250</t>
        </is>
      </c>
      <c r="CQ287" t="inlineStr">
        <is>
          <t>3155 (Built In) staff (whole-company count) x 50% to 100% of them in the New York office (HQ New York; share assumed) x 57% (Partnership for NYC, all Manhattan firms; no figure for 500 to 4,999) in on a weekday = 899 to 1798, central 1271; low confidence; estimate until intake replaces it.</t>
        </is>
      </c>
      <c r="CR287" t="inlineStr">
        <is>
          <t>estimate until intake replaces it</t>
        </is>
      </c>
      <c r="CS287" t="n">
        <v>0</v>
      </c>
      <c r="CT287" t="n">
        <v>21</v>
      </c>
      <c r="CU287" t="n">
        <v>0</v>
      </c>
      <c r="CV287" t="n">
        <v>2</v>
      </c>
      <c r="CW287" t="n">
        <v>6</v>
      </c>
      <c r="CX287" t="n">
        <v>13</v>
      </c>
      <c r="CY287">
        <f>IF(AH287="exact",10,IF(AH287="adjacent",5,0))</f>
        <v/>
      </c>
      <c r="CZ287">
        <f>IF(R287="Y",15,0)</f>
        <v/>
      </c>
      <c r="DF287" t="inlineStr">
        <is>
          <t>none</t>
        </is>
      </c>
      <c r="DG287" t="inlineStr">
        <is>
          <t>near-miss-over-500</t>
        </is>
      </c>
      <c r="DH287" t="inlineStr">
        <is>
          <t>over-1,000 (1,001 to 4,999)</t>
        </is>
      </c>
      <c r="DI287" t="inlineStr">
        <is>
          <t>N</t>
        </is>
      </c>
      <c r="DJ287" t="inlineStr">
        <is>
          <t>138,611 sf</t>
        </is>
      </c>
      <c r="DK287" t="inlineStr">
        <is>
          <t>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is>
      </c>
      <c r="DS287" t="inlineStr">
        <is>
          <t>none</t>
        </is>
      </c>
      <c r="DX287" t="inlineStr">
        <is>
          <t>N</t>
        </is>
      </c>
      <c r="ER287">
        <f>IF(ISNUMBER(MATCH(U287,{"queued","contacted","replied","call_booked","call_done","yes_in_principle","materials_sent"},0)),"Y","N")</f>
        <v/>
      </c>
      <c r="ES287">
        <f>IF(COUNTIFS($AP$2:$AP$1000,AP287,$ER$2:$ER$1000,"Y")+COUNTIFS($AP$2:$AP$1000,AP287,$T$2:$T$1000,"Y")&gt;0,"Y","N")</f>
        <v/>
      </c>
      <c r="ET287">
        <f>IF(AND(U287="new",T287="N",AT287="Y",AS287="",ES287="N"),"Y","N")</f>
        <v/>
      </c>
      <c r="EU287">
        <f>IF(ET287&lt;&gt;"Y","N",IF(COUNTIFS($AP$2:$AP$1000,AP287,$ET$2:$ET$1000,"Y",$J$2:$J$1000,"&gt;"&amp;J287)+COUNTIFS($AP$2:$AP$1000,AP287,$ET$2:$ET$1000,"Y",$J$2:$J$1000,J287,$EW$2:$EW$1000,"&lt;"&amp;EW287)=0,"Y","N"))</f>
        <v/>
      </c>
      <c r="EV287">
        <f>IF(Y287="","N",IF(Y287&lt;=10,"Y","N"))</f>
        <v/>
      </c>
      <c r="EW287">
        <f>ROW()-1</f>
        <v/>
      </c>
    </row>
    <row r="288">
      <c r="A288" t="inlineStr">
        <is>
          <t>AO-C-183</t>
        </is>
      </c>
      <c r="B288" t="inlineStr">
        <is>
          <t>Capgemini America</t>
        </is>
      </c>
      <c r="H288" t="inlineStr">
        <is>
          <t>none</t>
        </is>
      </c>
      <c r="I288" t="inlineStr">
        <is>
          <t>linkedin</t>
        </is>
      </c>
      <c r="J288">
        <f>IF(AX288="pass",ROUND(CU288+CV288+CW288+CX288+CY288+CZ288,1),0)</f>
        <v/>
      </c>
      <c r="K288" t="inlineStr">
        <is>
          <t>Gated out: Tuesday estimate over 250 (7820 to 156400).</t>
        </is>
      </c>
      <c r="L288" t="inlineStr">
        <is>
          <t>over-500</t>
        </is>
      </c>
      <c r="R288" t="inlineStr">
        <is>
          <t>N</t>
        </is>
      </c>
      <c r="S288" t="inlineStr">
        <is>
          <t>unknown</t>
        </is>
      </c>
      <c r="T288" t="inlineStr">
        <is>
          <t>N</t>
        </is>
      </c>
      <c r="U288" t="inlineStr">
        <is>
          <t>new</t>
        </is>
      </c>
      <c r="V288" t="inlineStr">
        <is>
          <t>https://commercialobserver.com/2026/08/thinking-machines-lab-79-fifth-avenue-lease/</t>
        </is>
      </c>
      <c r="W288" t="inlineStr">
        <is>
          <t>2026-10-23</t>
        </is>
      </c>
      <c r="X288" t="inlineStr">
        <is>
          <t>office</t>
        </is>
      </c>
      <c r="Y288">
        <f>IF(EU288&lt;&gt;"Y","",COUNTIFS($EU$2:$EU$1000,"Y",$J$2:$J$1000,"&gt;"&amp;J288)+COUNTIFS($EU$2:$EU$1000,"Y",$J$2:$J$1000,J288,$EW$2:$EW$1000,"&lt;"&amp;EW288)+1)</f>
        <v/>
      </c>
      <c r="AA288" t="inlineStr">
        <is>
          <t>N</t>
        </is>
      </c>
      <c r="AD288" t="inlineStr">
        <is>
          <t>none</t>
        </is>
      </c>
      <c r="AH288" t="inlineStr">
        <is>
          <t>none</t>
        </is>
      </c>
      <c r="AI288" t="inlineStr">
        <is>
          <t>79 Fifth Avenue</t>
        </is>
      </c>
      <c r="AJ288" t="inlineStr">
        <is>
          <t>unknown</t>
        </is>
      </c>
      <c r="AK288" t="inlineStr">
        <is>
          <t>moving-out</t>
        </is>
      </c>
      <c r="AL288" t="n">
        <v>7820</v>
      </c>
      <c r="AM288" t="n">
        <v>156400</v>
      </c>
      <c r="AN288" t="inlineStr">
        <is>
          <t>low</t>
        </is>
      </c>
      <c r="AO288" t="inlineStr">
        <is>
          <t>unknown</t>
        </is>
      </c>
      <c r="AP288" t="inlineStr">
        <is>
          <t>AO-C-183</t>
        </is>
      </c>
      <c r="AQ288" t="inlineStr">
        <is>
          <t>Y</t>
        </is>
      </c>
      <c r="AR288" t="inlineStr">
        <is>
          <t>moving out of this address: confirm where the office will be before outreach (B)</t>
        </is>
      </c>
      <c r="AT288">
        <f>IF(AND(AX288="pass",AQ288&lt;&gt;"Y",C288&lt;&gt;"",OR(AW288&lt;&gt;"Y",AV288="Y")),"Y","N")</f>
        <v/>
      </c>
      <c r="AU288">
        <f>_xlfn.TEXTJOIN("; ",TRUE,IF(AX288&lt;&gt;"pass","gated out",""),IF(AQ288="Y","on hold: "&amp;AR288,""),IF(C288="","no contact named on an opened page",""),IF(AND(AW288="Y",AV288&lt;&gt;"Y"),"Tuesday estimate band "&amp;L288&amp;": founder's call",""))</f>
        <v/>
      </c>
      <c r="AW288" t="inlineStr">
        <is>
          <t>Y</t>
        </is>
      </c>
      <c r="AX288" t="inlineStr">
        <is>
          <t>fail</t>
        </is>
      </c>
      <c r="AY288" t="inlineStr">
        <is>
          <t>Tuesday estimate over 250 (7820 to 156400)</t>
        </is>
      </c>
      <c r="AZ288" t="inlineStr">
        <is>
          <t>company</t>
        </is>
      </c>
      <c r="BA288" t="inlineStr">
        <is>
          <t>B-C-183</t>
        </is>
      </c>
      <c r="BB288" t="inlineStr">
        <is>
          <t>https://www.capgemini.com/us-en/</t>
        </is>
      </c>
      <c r="BC288" t="inlineStr">
        <is>
          <t>IT consulting</t>
        </is>
      </c>
      <c r="BD288" t="inlineStr">
        <is>
          <t>340000</t>
        </is>
      </c>
      <c r="BF288" t="inlineStr">
        <is>
          <t>over-500</t>
        </is>
      </c>
      <c r="BG288" t="inlineStr">
        <is>
          <t>whole-company</t>
        </is>
      </c>
      <c r="BH288" t="inlineStr">
        <is>
          <t>single-source</t>
        </is>
      </c>
      <c r="BI288" t="inlineStr">
        <is>
          <t>https://www.builtinnyc.com/company/capgemini</t>
        </is>
      </c>
      <c r="BK288" t="inlineStr">
        <is>
          <t>5000+</t>
        </is>
      </c>
      <c r="BL288" t="inlineStr">
        <is>
          <t>unknown</t>
        </is>
      </c>
      <c r="BM288" t="inlineStr">
        <is>
          <t>unknown</t>
        </is>
      </c>
      <c r="BN288" t="inlineStr">
        <is>
          <t>unknown</t>
        </is>
      </c>
      <c r="BO288" t="inlineStr">
        <is>
          <t>unknown</t>
        </is>
      </c>
      <c r="BP288" t="inlineStr">
        <is>
          <t>10003</t>
        </is>
      </c>
      <c r="BQ288" t="n">
        <v>40.737054</v>
      </c>
      <c r="BR288" t="n">
        <v>-73.99263500000001</v>
      </c>
      <c r="BS288" t="inlineStr">
        <is>
          <t>Y</t>
        </is>
      </c>
      <c r="BT288" t="n">
        <v>0</v>
      </c>
      <c r="BU288" t="inlineStr">
        <is>
          <t>B-B-007</t>
        </is>
      </c>
      <c r="BV288" t="inlineStr">
        <is>
          <t>79 Fifth Avenue</t>
        </is>
      </c>
      <c r="BW288" t="inlineStr">
        <is>
          <t>https://commercialobserver.com/2026/08/thinking-machines-lab-79-fifth-avenue-lease/</t>
        </is>
      </c>
      <c r="BX288" t="inlineStr">
        <is>
          <t>2026-08-26</t>
        </is>
      </c>
      <c r="BY288" t="inlineStr">
        <is>
          <t>leasing-press</t>
        </is>
      </c>
      <c r="CC288" t="inlineStr">
        <is>
          <t>low</t>
        </is>
      </c>
      <c r="CD288" t="inlineStr">
        <is>
          <t>unknown</t>
        </is>
      </c>
      <c r="CE288" t="inlineStr">
        <is>
          <t>N</t>
        </is>
      </c>
      <c r="CH288" t="inlineStr">
        <is>
          <t>unknown</t>
        </is>
      </c>
      <c r="CJ288" t="inlineStr">
        <is>
          <t>unknown</t>
        </is>
      </c>
      <c r="CK288" t="inlineStr">
        <is>
          <t>N</t>
        </is>
      </c>
      <c r="CL288" t="inlineStr">
        <is>
          <t>unknown</t>
        </is>
      </c>
      <c r="CO288" t="n">
        <v>34972</v>
      </c>
      <c r="CP288" t="inlineStr">
        <is>
          <t>over-250</t>
        </is>
      </c>
      <c r="CQ288" t="inlineStr">
        <is>
          <t>340000 (Built In) staff (whole-company count) x 5% to 100% of them in the New York office (HQ city unknown; share assumed) x 46% (Partnership for NYC, firms over 5,000) in on a weekday = 7820 to 156400, central 34972; low confidence; estimate until intake replaces it.</t>
        </is>
      </c>
      <c r="CR288" t="inlineStr">
        <is>
          <t>estimate until intake replaces it</t>
        </is>
      </c>
      <c r="CS288" t="n">
        <v>0</v>
      </c>
      <c r="CT288" t="n">
        <v>6</v>
      </c>
      <c r="CU288" t="n">
        <v>0</v>
      </c>
      <c r="CV288" t="n">
        <v>0</v>
      </c>
      <c r="CW288" t="n">
        <v>6</v>
      </c>
      <c r="CX288" t="n">
        <v>0</v>
      </c>
      <c r="CY288">
        <f>IF(AH288="exact",10,IF(AH288="adjacent",5,0))</f>
        <v/>
      </c>
      <c r="CZ288">
        <f>IF(R288="Y",15,0)</f>
        <v/>
      </c>
      <c r="DF288" t="inlineStr">
        <is>
          <t>none</t>
        </is>
      </c>
      <c r="DG288" t="inlineStr">
        <is>
          <t>near-miss-over-500</t>
        </is>
      </c>
      <c r="DH288" t="inlineStr">
        <is>
          <t>not-near (5,000 or more)</t>
        </is>
      </c>
      <c r="DI288" t="inlineStr">
        <is>
          <t>N</t>
        </is>
      </c>
      <c r="DJ288" t="inlineStr">
        <is>
          <t>43,000 sf</t>
        </is>
      </c>
      <c r="DK288" t="inlineStr">
        <is>
          <t>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is>
      </c>
      <c r="DS288" t="inlineStr">
        <is>
          <t>none</t>
        </is>
      </c>
      <c r="DX288" t="inlineStr">
        <is>
          <t>N</t>
        </is>
      </c>
      <c r="ER288">
        <f>IF(ISNUMBER(MATCH(U288,{"queued","contacted","replied","call_booked","call_done","yes_in_principle","materials_sent"},0)),"Y","N")</f>
        <v/>
      </c>
      <c r="ES288">
        <f>IF(COUNTIFS($AP$2:$AP$1000,AP288,$ER$2:$ER$1000,"Y")+COUNTIFS($AP$2:$AP$1000,AP288,$T$2:$T$1000,"Y")&gt;0,"Y","N")</f>
        <v/>
      </c>
      <c r="ET288">
        <f>IF(AND(U288="new",T288="N",AT288="Y",AS288="",ES288="N"),"Y","N")</f>
        <v/>
      </c>
      <c r="EU288">
        <f>IF(ET288&lt;&gt;"Y","N",IF(COUNTIFS($AP$2:$AP$1000,AP288,$ET$2:$ET$1000,"Y",$J$2:$J$1000,"&gt;"&amp;J288)+COUNTIFS($AP$2:$AP$1000,AP288,$ET$2:$ET$1000,"Y",$J$2:$J$1000,J288,$EW$2:$EW$1000,"&lt;"&amp;EW288)=0,"Y","N"))</f>
        <v/>
      </c>
      <c r="EV288">
        <f>IF(Y288="","N",IF(Y288&lt;=10,"Y","N"))</f>
        <v/>
      </c>
      <c r="EW288">
        <f>ROW()-1</f>
        <v/>
      </c>
    </row>
    <row r="289">
      <c r="A289" t="inlineStr">
        <is>
          <t>AO-C-257</t>
        </is>
      </c>
      <c r="B289" t="inlineStr">
        <is>
          <t>Kohler Co. (NYC office)</t>
        </is>
      </c>
      <c r="H289" t="inlineStr">
        <is>
          <t>none</t>
        </is>
      </c>
      <c r="I289" t="inlineStr">
        <is>
          <t>linkedin</t>
        </is>
      </c>
      <c r="J289">
        <f>IF(AX289="pass",ROUND(CU289+CV289+CW289+CX289+CY289+CZ289,1),0)</f>
        <v/>
      </c>
      <c r="K289" t="inlineStr">
        <is>
          <t>Gated out: Tuesday estimate over 250 (920 to 18400).</t>
        </is>
      </c>
      <c r="L289" t="inlineStr">
        <is>
          <t>over-500</t>
        </is>
      </c>
      <c r="R289" t="inlineStr">
        <is>
          <t>N</t>
        </is>
      </c>
      <c r="S289" t="inlineStr">
        <is>
          <t>unknown</t>
        </is>
      </c>
      <c r="T289" t="inlineStr">
        <is>
          <t>N</t>
        </is>
      </c>
      <c r="U289" t="inlineStr">
        <is>
          <t>new</t>
        </is>
      </c>
      <c r="V289" t="inlineStr">
        <is>
          <t>https://commercialobserver.com/2023/04/kohler-lease-1140-broadway/</t>
        </is>
      </c>
      <c r="W289" t="inlineStr">
        <is>
          <t>2026-10-23</t>
        </is>
      </c>
      <c r="X289" t="inlineStr">
        <is>
          <t>office</t>
        </is>
      </c>
      <c r="Y289">
        <f>IF(EU289&lt;&gt;"Y","",COUNTIFS($EU$2:$EU$1000,"Y",$J$2:$J$1000,"&gt;"&amp;J289)+COUNTIFS($EU$2:$EU$1000,"Y",$J$2:$J$1000,J289,$EW$2:$EW$1000,"&lt;"&amp;EW289)+1)</f>
        <v/>
      </c>
      <c r="AA289" t="inlineStr">
        <is>
          <t>N</t>
        </is>
      </c>
      <c r="AD289" t="inlineStr">
        <is>
          <t>none</t>
        </is>
      </c>
      <c r="AH289" t="inlineStr">
        <is>
          <t>none</t>
        </is>
      </c>
      <c r="AI289" t="inlineStr">
        <is>
          <t>1140 Broadway</t>
        </is>
      </c>
      <c r="AJ289" t="inlineStr">
        <is>
          <t>8</t>
        </is>
      </c>
      <c r="AK289" t="inlineStr">
        <is>
          <t>occupancy-unconfirmed</t>
        </is>
      </c>
      <c r="AL289" t="n">
        <v>920</v>
      </c>
      <c r="AM289" t="n">
        <v>18400</v>
      </c>
      <c r="AN289" t="inlineStr">
        <is>
          <t>low</t>
        </is>
      </c>
      <c r="AO289" t="inlineStr">
        <is>
          <t>unknown</t>
        </is>
      </c>
      <c r="AP289" t="inlineStr">
        <is>
          <t>AO-C-257</t>
        </is>
      </c>
      <c r="AQ289" t="inlineStr">
        <is>
          <t>N</t>
        </is>
      </c>
      <c r="AT289">
        <f>IF(AND(AX289="pass",AQ289&lt;&gt;"Y",C289&lt;&gt;"",OR(AW289&lt;&gt;"Y",AV289="Y")),"Y","N")</f>
        <v/>
      </c>
      <c r="AU289">
        <f>_xlfn.TEXTJOIN("; ",TRUE,IF(AX289&lt;&gt;"pass","gated out",""),IF(AQ289="Y","on hold: "&amp;AR289,""),IF(C289="","no contact named on an opened page",""),IF(AND(AW289="Y",AV289&lt;&gt;"Y"),"Tuesday estimate band "&amp;L289&amp;": founder's call",""))</f>
        <v/>
      </c>
      <c r="AW289" t="inlineStr">
        <is>
          <t>Y</t>
        </is>
      </c>
      <c r="AX289" t="inlineStr">
        <is>
          <t>fail</t>
        </is>
      </c>
      <c r="AY289" t="inlineStr">
        <is>
          <t>Tuesday estimate over 250 (920 to 18400)</t>
        </is>
      </c>
      <c r="AZ289" t="inlineStr">
        <is>
          <t>company</t>
        </is>
      </c>
      <c r="BA289" t="inlineStr">
        <is>
          <t>B-C-257</t>
        </is>
      </c>
      <c r="BB289" t="inlineStr">
        <is>
          <t>https://www.kohler.com</t>
        </is>
      </c>
      <c r="BC289" t="inlineStr">
        <is>
          <t>kitchen and bath manufacturer (office)</t>
        </is>
      </c>
      <c r="BD289" t="inlineStr">
        <is>
          <t>40000</t>
        </is>
      </c>
      <c r="BF289" t="inlineStr">
        <is>
          <t>over-500</t>
        </is>
      </c>
      <c r="BG289" t="inlineStr">
        <is>
          <t>whole-company</t>
        </is>
      </c>
      <c r="BH289" t="inlineStr">
        <is>
          <t>single-source</t>
        </is>
      </c>
      <c r="BI289" t="inlineStr">
        <is>
          <t>https://en.wikipedia.org/wiki/Kohler_Co.</t>
        </is>
      </c>
      <c r="BK289" t="inlineStr">
        <is>
          <t>5000+</t>
        </is>
      </c>
      <c r="BL289" t="inlineStr">
        <is>
          <t>unknown</t>
        </is>
      </c>
      <c r="BM289" t="inlineStr">
        <is>
          <t>unknown</t>
        </is>
      </c>
      <c r="BN289" t="inlineStr">
        <is>
          <t>unknown</t>
        </is>
      </c>
      <c r="BO289" t="inlineStr">
        <is>
          <t>unknown</t>
        </is>
      </c>
      <c r="BP289" t="inlineStr">
        <is>
          <t>10001</t>
        </is>
      </c>
      <c r="BQ289" t="n">
        <v>40.743939</v>
      </c>
      <c r="BR289" t="n">
        <v>-73.988677</v>
      </c>
      <c r="BS289" t="inlineStr">
        <is>
          <t>Y</t>
        </is>
      </c>
      <c r="BT289" t="n">
        <v>0</v>
      </c>
      <c r="BU289" t="inlineStr">
        <is>
          <t>B-B-063</t>
        </is>
      </c>
      <c r="BV289" t="inlineStr">
        <is>
          <t>1140 Broadway (Williams Equities)</t>
        </is>
      </c>
      <c r="BW289" t="inlineStr">
        <is>
          <t>https://commercialobserver.com/2023/04/kohler-lease-1140-broadway/</t>
        </is>
      </c>
      <c r="BX289" t="inlineStr">
        <is>
          <t>2023-04-04</t>
        </is>
      </c>
      <c r="BY289" t="inlineStr">
        <is>
          <t>leasing-press</t>
        </is>
      </c>
      <c r="CC289" t="inlineStr">
        <is>
          <t>low</t>
        </is>
      </c>
      <c r="CE289" t="inlineStr">
        <is>
          <t>N</t>
        </is>
      </c>
      <c r="CH289" t="inlineStr">
        <is>
          <t>security desk</t>
        </is>
      </c>
      <c r="CI289" t="inlineStr">
        <is>
          <t>https://www.metro-manhattan.com/buildings/1140-broadway-office-space-for-lease/</t>
        </is>
      </c>
      <c r="CJ289" t="inlineStr">
        <is>
          <t>unknown</t>
        </is>
      </c>
      <c r="CK289" t="inlineStr">
        <is>
          <t>N</t>
        </is>
      </c>
      <c r="CL289" t="inlineStr">
        <is>
          <t>unknown</t>
        </is>
      </c>
      <c r="CO289" t="n">
        <v>4114</v>
      </c>
      <c r="CP289" t="inlineStr">
        <is>
          <t>over-250</t>
        </is>
      </c>
      <c r="CQ289" t="inlineStr">
        <is>
          <t>40000 (Wikipedia) staff (whole-company count) x 5% to 100% of them in the New York office (HQ city unknown; share assumed) x 46% (Partnership for NYC, firms over 5,000) in on a weekday = 920 to 18400, central 4114; low confidence; estimate until intake replaces it.</t>
        </is>
      </c>
      <c r="CR289" t="inlineStr">
        <is>
          <t>estimate until intake replaces it</t>
        </is>
      </c>
      <c r="CS289" t="n">
        <v>0</v>
      </c>
      <c r="CT289" t="n">
        <v>11</v>
      </c>
      <c r="CU289" t="n">
        <v>0</v>
      </c>
      <c r="CV289" t="n">
        <v>0</v>
      </c>
      <c r="CW289" t="n">
        <v>6</v>
      </c>
      <c r="CX289" t="n">
        <v>5</v>
      </c>
      <c r="CY289">
        <f>IF(AH289="exact",10,IF(AH289="adjacent",5,0))</f>
        <v/>
      </c>
      <c r="CZ289">
        <f>IF(R289="Y",15,0)</f>
        <v/>
      </c>
      <c r="DF289" t="inlineStr">
        <is>
          <t>none</t>
        </is>
      </c>
      <c r="DG289" t="inlineStr">
        <is>
          <t>near-miss-over-500</t>
        </is>
      </c>
      <c r="DH289" t="inlineStr">
        <is>
          <t>not-near (5,000 or more)</t>
        </is>
      </c>
      <c r="DI289" t="inlineStr">
        <is>
          <t>N</t>
        </is>
      </c>
      <c r="DJ289" t="inlineStr">
        <is>
          <t>4,713 sf</t>
        </is>
      </c>
      <c r="DK289" t="inlineStr">
        <is>
          <t>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is>
      </c>
      <c r="DS289" t="inlineStr">
        <is>
          <t>none</t>
        </is>
      </c>
      <c r="DX289" t="inlineStr">
        <is>
          <t>N</t>
        </is>
      </c>
      <c r="ER289">
        <f>IF(ISNUMBER(MATCH(U289,{"queued","contacted","replied","call_booked","call_done","yes_in_principle","materials_sent"},0)),"Y","N")</f>
        <v/>
      </c>
      <c r="ES289">
        <f>IF(COUNTIFS($AP$2:$AP$1000,AP289,$ER$2:$ER$1000,"Y")+COUNTIFS($AP$2:$AP$1000,AP289,$T$2:$T$1000,"Y")&gt;0,"Y","N")</f>
        <v/>
      </c>
      <c r="ET289">
        <f>IF(AND(U289="new",T289="N",AT289="Y",AS289="",ES289="N"),"Y","N")</f>
        <v/>
      </c>
      <c r="EU289">
        <f>IF(ET289&lt;&gt;"Y","N",IF(COUNTIFS($AP$2:$AP$1000,AP289,$ET$2:$ET$1000,"Y",$J$2:$J$1000,"&gt;"&amp;J289)+COUNTIFS($AP$2:$AP$1000,AP289,$ET$2:$ET$1000,"Y",$J$2:$J$1000,J289,$EW$2:$EW$1000,"&lt;"&amp;EW289)=0,"Y","N"))</f>
        <v/>
      </c>
      <c r="EV289">
        <f>IF(Y289="","N",IF(Y289&lt;=10,"Y","N"))</f>
        <v/>
      </c>
      <c r="EW289">
        <f>ROW()-1</f>
        <v/>
      </c>
    </row>
    <row r="290">
      <c r="A290" t="inlineStr">
        <is>
          <t>AO-C-266</t>
        </is>
      </c>
      <c r="B290" t="inlineStr">
        <is>
          <t>Lockton Re</t>
        </is>
      </c>
      <c r="H290" t="inlineStr">
        <is>
          <t>none</t>
        </is>
      </c>
      <c r="I290" t="inlineStr">
        <is>
          <t>linkedin</t>
        </is>
      </c>
      <c r="J290">
        <f>IF(AX290="pass",ROUND(CU290+CV290+CW290+CX290+CY290+CZ290,1),0)</f>
        <v/>
      </c>
      <c r="K290" t="inlineStr">
        <is>
          <t>Gated out: Tuesday estimate over 250 (301 to 6026).</t>
        </is>
      </c>
      <c r="L290" t="inlineStr">
        <is>
          <t>over-500</t>
        </is>
      </c>
      <c r="R290" t="inlineStr">
        <is>
          <t>N</t>
        </is>
      </c>
      <c r="S290" t="inlineStr">
        <is>
          <t>unknown</t>
        </is>
      </c>
      <c r="T290" t="inlineStr">
        <is>
          <t>N</t>
        </is>
      </c>
      <c r="U290" t="inlineStr">
        <is>
          <t>new</t>
        </is>
      </c>
      <c r="V290" t="inlineStr">
        <is>
          <t>https://commercialobserver.com/2023/07/lockton-re-relocating-to-19k-sf-at-261-fifth-avenue/</t>
        </is>
      </c>
      <c r="W290" t="inlineStr">
        <is>
          <t>2026-10-23</t>
        </is>
      </c>
      <c r="X290" t="inlineStr">
        <is>
          <t>office</t>
        </is>
      </c>
      <c r="Y290">
        <f>IF(EU290&lt;&gt;"Y","",COUNTIFS($EU$2:$EU$1000,"Y",$J$2:$J$1000,"&gt;"&amp;J290)+COUNTIFS($EU$2:$EU$1000,"Y",$J$2:$J$1000,J290,$EW$2:$EW$1000,"&lt;"&amp;EW290)+1)</f>
        <v/>
      </c>
      <c r="AA290" t="inlineStr">
        <is>
          <t>N</t>
        </is>
      </c>
      <c r="AD290" t="inlineStr">
        <is>
          <t>none</t>
        </is>
      </c>
      <c r="AH290" t="inlineStr">
        <is>
          <t>none</t>
        </is>
      </c>
      <c r="AI290" t="inlineStr">
        <is>
          <t>261 Fifth Avenue</t>
        </is>
      </c>
      <c r="AJ290" t="inlineStr">
        <is>
          <t>10</t>
        </is>
      </c>
      <c r="AK290" t="inlineStr">
        <is>
          <t>occupancy-unconfirmed</t>
        </is>
      </c>
      <c r="AL290" t="n">
        <v>301</v>
      </c>
      <c r="AM290" t="n">
        <v>6026</v>
      </c>
      <c r="AN290" t="inlineStr">
        <is>
          <t>low</t>
        </is>
      </c>
      <c r="AO290" t="inlineStr">
        <is>
          <t>unknown</t>
        </is>
      </c>
      <c r="AP290" t="inlineStr">
        <is>
          <t>AO-C-266</t>
        </is>
      </c>
      <c r="AQ290" t="inlineStr">
        <is>
          <t>N</t>
        </is>
      </c>
      <c r="AT290">
        <f>IF(AND(AX290="pass",AQ290&lt;&gt;"Y",C290&lt;&gt;"",OR(AW290&lt;&gt;"Y",AV290="Y")),"Y","N")</f>
        <v/>
      </c>
      <c r="AU290">
        <f>_xlfn.TEXTJOIN("; ",TRUE,IF(AX290&lt;&gt;"pass","gated out",""),IF(AQ290="Y","on hold: "&amp;AR290,""),IF(C290="","no contact named on an opened page",""),IF(AND(AW290="Y",AV290&lt;&gt;"Y"),"Tuesday estimate band "&amp;L290&amp;": founder's call",""))</f>
        <v/>
      </c>
      <c r="AW290" t="inlineStr">
        <is>
          <t>Y</t>
        </is>
      </c>
      <c r="AX290" t="inlineStr">
        <is>
          <t>fail</t>
        </is>
      </c>
      <c r="AY290" t="inlineStr">
        <is>
          <t>Tuesday estimate over 250 (301 to 6026)</t>
        </is>
      </c>
      <c r="AZ290" t="inlineStr">
        <is>
          <t>company</t>
        </is>
      </c>
      <c r="BA290" t="inlineStr">
        <is>
          <t>B-C-266</t>
        </is>
      </c>
      <c r="BB290" t="inlineStr">
        <is>
          <t>https://global.lockton.com/re/en</t>
        </is>
      </c>
      <c r="BC290" t="inlineStr">
        <is>
          <t>reinsurance brokerage</t>
        </is>
      </c>
      <c r="BD290" t="inlineStr">
        <is>
          <t>13100</t>
        </is>
      </c>
      <c r="BF290" t="inlineStr">
        <is>
          <t>over-500</t>
        </is>
      </c>
      <c r="BG290" t="inlineStr">
        <is>
          <t>whole-company</t>
        </is>
      </c>
      <c r="BH290" t="inlineStr">
        <is>
          <t>single-source</t>
        </is>
      </c>
      <c r="BI290" t="inlineStr">
        <is>
          <t>https://en.wikipedia.org/wiki/Lockton_Companies</t>
        </is>
      </c>
      <c r="BK290" t="inlineStr">
        <is>
          <t>5000+</t>
        </is>
      </c>
      <c r="BL290" t="inlineStr">
        <is>
          <t>unknown</t>
        </is>
      </c>
      <c r="BM290" t="inlineStr">
        <is>
          <t>unknown</t>
        </is>
      </c>
      <c r="BN290" t="inlineStr">
        <is>
          <t>Lockton Companies</t>
        </is>
      </c>
      <c r="BO290" t="inlineStr">
        <is>
          <t>unknown</t>
        </is>
      </c>
      <c r="BP290" t="inlineStr">
        <is>
          <t>10016</t>
        </is>
      </c>
      <c r="BQ290" t="n">
        <v>40.745027</v>
      </c>
      <c r="BR290" t="n">
        <v>-73.986825</v>
      </c>
      <c r="BS290" t="inlineStr">
        <is>
          <t>Y</t>
        </is>
      </c>
      <c r="BT290" t="n">
        <v>0</v>
      </c>
      <c r="BU290" t="inlineStr">
        <is>
          <t>B-B-077</t>
        </is>
      </c>
      <c r="BV290" t="inlineStr">
        <is>
          <t>261 Fifth Avenue (Feil Organization)</t>
        </is>
      </c>
      <c r="BW290" t="inlineStr">
        <is>
          <t>https://commercialobserver.com/2023/07/lockton-re-relocating-to-19k-sf-at-261-fifth-avenue/</t>
        </is>
      </c>
      <c r="BX290" t="inlineStr">
        <is>
          <t>2023-07</t>
        </is>
      </c>
      <c r="BY290" t="inlineStr">
        <is>
          <t>leasing-press</t>
        </is>
      </c>
      <c r="BZ290" t="inlineStr">
        <is>
          <t>https://rebusinessonline.com/lockton-re-signs-19326-sf-office-lease-in-manhattans-nomad-district/</t>
        </is>
      </c>
      <c r="CA290" t="inlineStr">
        <is>
          <t>2023-07-17</t>
        </is>
      </c>
      <c r="CC290" t="inlineStr">
        <is>
          <t>low</t>
        </is>
      </c>
      <c r="CE290" t="inlineStr">
        <is>
          <t>N</t>
        </is>
      </c>
      <c r="CH290" t="inlineStr">
        <is>
          <t>security desk</t>
        </is>
      </c>
      <c r="CI290" t="inlineStr">
        <is>
          <t>https://www.metro-manhattan.com/buildings/261-fifth-avenue-office-space-for-lease/</t>
        </is>
      </c>
      <c r="CJ290" t="inlineStr">
        <is>
          <t>unknown</t>
        </is>
      </c>
      <c r="CK290" t="inlineStr">
        <is>
          <t>N</t>
        </is>
      </c>
      <c r="CL290" t="inlineStr">
        <is>
          <t>unknown</t>
        </is>
      </c>
      <c r="CO290" t="n">
        <v>1347</v>
      </c>
      <c r="CP290" t="inlineStr">
        <is>
          <t>over-250</t>
        </is>
      </c>
      <c r="CQ290" t="inlineStr">
        <is>
          <t>13100 (Wikipedia) staff (whole-company count) x 5% to 100% of them in the New York office (HQ city unknown; share assumed) x 46% (Partnership for NYC, firms over 5,000) in on a weekday = 301 to 6026, central 1347; low confidence; estimate until intake replaces it.</t>
        </is>
      </c>
      <c r="CR290" t="inlineStr">
        <is>
          <t>estimate until intake replaces it</t>
        </is>
      </c>
      <c r="CS290" t="n">
        <v>0</v>
      </c>
      <c r="CT290" t="n">
        <v>7</v>
      </c>
      <c r="CU290" t="n">
        <v>0</v>
      </c>
      <c r="CV290" t="n">
        <v>-4</v>
      </c>
      <c r="CW290" t="n">
        <v>6</v>
      </c>
      <c r="CX290" t="n">
        <v>5</v>
      </c>
      <c r="CY290">
        <f>IF(AH290="exact",10,IF(AH290="adjacent",5,0))</f>
        <v/>
      </c>
      <c r="CZ290">
        <f>IF(R290="Y",15,0)</f>
        <v/>
      </c>
      <c r="DF290" t="inlineStr">
        <is>
          <t>none</t>
        </is>
      </c>
      <c r="DG290" t="inlineStr">
        <is>
          <t>near-miss-over-500</t>
        </is>
      </c>
      <c r="DH290" t="inlineStr">
        <is>
          <t>not-near (5,000 or more)</t>
        </is>
      </c>
      <c r="DI290" t="inlineStr">
        <is>
          <t>N</t>
        </is>
      </c>
      <c r="DJ290" t="inlineStr">
        <is>
          <t>19,326 sf</t>
        </is>
      </c>
      <c r="DK290" t="inlineStr">
        <is>
          <t>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is>
      </c>
      <c r="DS290" t="inlineStr">
        <is>
          <t>none</t>
        </is>
      </c>
      <c r="DX290" t="inlineStr">
        <is>
          <t>N</t>
        </is>
      </c>
      <c r="ER290">
        <f>IF(ISNUMBER(MATCH(U290,{"queued","contacted","replied","call_booked","call_done","yes_in_principle","materials_sent"},0)),"Y","N")</f>
        <v/>
      </c>
      <c r="ES290">
        <f>IF(COUNTIFS($AP$2:$AP$1000,AP290,$ER$2:$ER$1000,"Y")+COUNTIFS($AP$2:$AP$1000,AP290,$T$2:$T$1000,"Y")&gt;0,"Y","N")</f>
        <v/>
      </c>
      <c r="ET290">
        <f>IF(AND(U290="new",T290="N",AT290="Y",AS290="",ES290="N"),"Y","N")</f>
        <v/>
      </c>
      <c r="EU290">
        <f>IF(ET290&lt;&gt;"Y","N",IF(COUNTIFS($AP$2:$AP$1000,AP290,$ET$2:$ET$1000,"Y",$J$2:$J$1000,"&gt;"&amp;J290)+COUNTIFS($AP$2:$AP$1000,AP290,$ET$2:$ET$1000,"Y",$J$2:$J$1000,J290,$EW$2:$EW$1000,"&lt;"&amp;EW290)=0,"Y","N"))</f>
        <v/>
      </c>
      <c r="EV290">
        <f>IF(Y290="","N",IF(Y290&lt;=10,"Y","N"))</f>
        <v/>
      </c>
      <c r="EW290">
        <f>ROW()-1</f>
        <v/>
      </c>
    </row>
    <row r="291">
      <c r="A291" t="inlineStr">
        <is>
          <t>AO-C-214</t>
        </is>
      </c>
      <c r="B291" t="inlineStr">
        <is>
          <t>SeatGeek</t>
        </is>
      </c>
      <c r="H291" t="inlineStr">
        <is>
          <t>none</t>
        </is>
      </c>
      <c r="I291" t="inlineStr">
        <is>
          <t>linkedin</t>
        </is>
      </c>
      <c r="J291">
        <f>IF(AX291="pass",ROUND(CU291+CV291+CW291+CX291+CY291+CZ291,1),0)</f>
        <v/>
      </c>
      <c r="K291" t="inlineStr">
        <is>
          <t>Gated out: Tuesday estimate over 250 (256 to 513).</t>
        </is>
      </c>
      <c r="L291" t="inlineStr">
        <is>
          <t>251-500</t>
        </is>
      </c>
      <c r="R291" t="inlineStr">
        <is>
          <t>N</t>
        </is>
      </c>
      <c r="S291" t="inlineStr">
        <is>
          <t>unknown</t>
        </is>
      </c>
      <c r="T291" t="inlineStr">
        <is>
          <t>N</t>
        </is>
      </c>
      <c r="U291" t="inlineStr">
        <is>
          <t>new</t>
        </is>
      </c>
      <c r="V291" t="inlineStr">
        <is>
          <t>https://commercialobserver.com/2018/10/seatgeek-leases-72k-sf-for-new-flatiron-offices/</t>
        </is>
      </c>
      <c r="W291" t="inlineStr">
        <is>
          <t>2026-10-23</t>
        </is>
      </c>
      <c r="X291" t="inlineStr">
        <is>
          <t>office</t>
        </is>
      </c>
      <c r="Y291">
        <f>IF(EU291&lt;&gt;"Y","",COUNTIFS($EU$2:$EU$1000,"Y",$J$2:$J$1000,"&gt;"&amp;J291)+COUNTIFS($EU$2:$EU$1000,"Y",$J$2:$J$1000,J291,$EW$2:$EW$1000,"&lt;"&amp;EW291)+1)</f>
        <v/>
      </c>
      <c r="AA291" t="inlineStr">
        <is>
          <t>N</t>
        </is>
      </c>
      <c r="AD291" t="inlineStr">
        <is>
          <t>none</t>
        </is>
      </c>
      <c r="AH291" t="inlineStr">
        <is>
          <t>none</t>
        </is>
      </c>
      <c r="AI291" t="inlineStr">
        <is>
          <t>902 Broadway</t>
        </is>
      </c>
      <c r="AJ291" t="inlineStr">
        <is>
          <t>8-11</t>
        </is>
      </c>
      <c r="AK291" t="inlineStr">
        <is>
          <t>occupancy-unconfirmed</t>
        </is>
      </c>
      <c r="AL291" t="n">
        <v>256</v>
      </c>
      <c r="AM291" t="n">
        <v>513</v>
      </c>
      <c r="AN291" t="inlineStr">
        <is>
          <t>low</t>
        </is>
      </c>
      <c r="AO291" t="inlineStr">
        <is>
          <t>unknown</t>
        </is>
      </c>
      <c r="AP291" t="inlineStr">
        <is>
          <t>AO-C-214</t>
        </is>
      </c>
      <c r="AQ291" t="inlineStr">
        <is>
          <t>N</t>
        </is>
      </c>
      <c r="AT291">
        <f>IF(AND(AX291="pass",AQ291&lt;&gt;"Y",C291&lt;&gt;"",OR(AW291&lt;&gt;"Y",AV291="Y")),"Y","N")</f>
        <v/>
      </c>
      <c r="AU291">
        <f>_xlfn.TEXTJOIN("; ",TRUE,IF(AX291&lt;&gt;"pass","gated out",""),IF(AQ291="Y","on hold: "&amp;AR291,""),IF(C291="","no contact named on an opened page",""),IF(AND(AW291="Y",AV291&lt;&gt;"Y"),"Tuesday estimate band "&amp;L291&amp;": founder's call",""))</f>
        <v/>
      </c>
      <c r="AW291" t="inlineStr">
        <is>
          <t>Y</t>
        </is>
      </c>
      <c r="AX291" t="inlineStr">
        <is>
          <t>fail</t>
        </is>
      </c>
      <c r="AY291" t="inlineStr">
        <is>
          <t>Tuesday estimate over 250 (256 to 513)</t>
        </is>
      </c>
      <c r="AZ291" t="inlineStr">
        <is>
          <t>company</t>
        </is>
      </c>
      <c r="BA291" t="inlineStr">
        <is>
          <t>B-C-214</t>
        </is>
      </c>
      <c r="BB291" t="inlineStr">
        <is>
          <t>https://seatgeek.com</t>
        </is>
      </c>
      <c r="BC291" t="inlineStr">
        <is>
          <t>ticketing marketplace</t>
        </is>
      </c>
      <c r="BD291" t="inlineStr">
        <is>
          <t>900</t>
        </is>
      </c>
      <c r="BF291" t="inlineStr">
        <is>
          <t>over-500</t>
        </is>
      </c>
      <c r="BG291" t="inlineStr">
        <is>
          <t>whole-company</t>
        </is>
      </c>
      <c r="BH291" t="inlineStr">
        <is>
          <t>single-source</t>
        </is>
      </c>
      <c r="BI291" t="inlineStr">
        <is>
          <t>https://www.builtinnyc.com/company/seatgeek</t>
        </is>
      </c>
      <c r="BK291" t="inlineStr">
        <is>
          <t>501-1000</t>
        </is>
      </c>
      <c r="BL291" t="inlineStr">
        <is>
          <t>New York</t>
        </is>
      </c>
      <c r="BM291" t="inlineStr">
        <is>
          <t>Y</t>
        </is>
      </c>
      <c r="BN291" t="inlineStr">
        <is>
          <t>unknown</t>
        </is>
      </c>
      <c r="BO291" t="inlineStr">
        <is>
          <t>unknown</t>
        </is>
      </c>
      <c r="BP291" t="inlineStr">
        <is>
          <t>10010</t>
        </is>
      </c>
      <c r="BQ291" t="n">
        <v>40.739363</v>
      </c>
      <c r="BR291" t="n">
        <v>-73.98953400000001</v>
      </c>
      <c r="BS291" t="inlineStr">
        <is>
          <t>Y</t>
        </is>
      </c>
      <c r="BT291" t="n">
        <v>0</v>
      </c>
      <c r="BU291" t="inlineStr">
        <is>
          <t>B-B-031</t>
        </is>
      </c>
      <c r="BV291" t="inlineStr">
        <is>
          <t>902 Broadway (Rosen family / Koeppel Rosen)</t>
        </is>
      </c>
      <c r="BW291" t="inlineStr">
        <is>
          <t>https://commercialobserver.com/2018/10/seatgeek-leases-72k-sf-for-new-flatiron-offices/</t>
        </is>
      </c>
      <c r="BX291" t="inlineStr">
        <is>
          <t>2018-10-17</t>
        </is>
      </c>
      <c r="BY291" t="inlineStr">
        <is>
          <t>leasing-press</t>
        </is>
      </c>
      <c r="BZ291" t="inlineStr">
        <is>
          <t>https://www.metro-manhattan.com/buildings/902-broadway/</t>
        </is>
      </c>
      <c r="CA291" t="inlineStr">
        <is>
          <t>2024-11-02</t>
        </is>
      </c>
      <c r="CC291" t="inlineStr">
        <is>
          <t>low</t>
        </is>
      </c>
      <c r="CE291" t="inlineStr">
        <is>
          <t>N</t>
        </is>
      </c>
      <c r="CH291" t="inlineStr">
        <is>
          <t>security desk</t>
        </is>
      </c>
      <c r="CI291" t="inlineStr">
        <is>
          <t>https://www.metro-manhattan.com/buildings/902-broadway/</t>
        </is>
      </c>
      <c r="CJ291" t="inlineStr">
        <is>
          <t>unknown</t>
        </is>
      </c>
      <c r="CK291" t="inlineStr">
        <is>
          <t>N</t>
        </is>
      </c>
      <c r="CL291" t="inlineStr">
        <is>
          <t>unknown</t>
        </is>
      </c>
      <c r="CO291" t="n">
        <v>362</v>
      </c>
      <c r="CP291" t="inlineStr">
        <is>
          <t>over-250</t>
        </is>
      </c>
      <c r="CQ291" t="inlineStr">
        <is>
          <t>900 (Built In) staff (whole-company count) x 50% to 100% of them in the New York office (HQ New York; share assumed) x 57% (Partnership for NYC, all Manhattan firms; no figure for 500 to 4,999) in on a weekday = 256 to 513, central 362; low confidence; estimate until intake replaces it.</t>
        </is>
      </c>
      <c r="CR291" t="inlineStr">
        <is>
          <t>estimate until intake replaces it</t>
        </is>
      </c>
      <c r="CS291" t="n">
        <v>0</v>
      </c>
      <c r="CT291" t="n">
        <v>17</v>
      </c>
      <c r="CU291" t="n">
        <v>0</v>
      </c>
      <c r="CV291" t="n">
        <v>6</v>
      </c>
      <c r="CW291" t="n">
        <v>6</v>
      </c>
      <c r="CX291" t="n">
        <v>5</v>
      </c>
      <c r="CY291">
        <f>IF(AH291="exact",10,IF(AH291="adjacent",5,0))</f>
        <v/>
      </c>
      <c r="CZ291">
        <f>IF(R291="Y",15,0)</f>
        <v/>
      </c>
      <c r="DF291" t="inlineStr">
        <is>
          <t>none</t>
        </is>
      </c>
      <c r="DG291" t="inlineStr">
        <is>
          <t>near-miss-over-500</t>
        </is>
      </c>
      <c r="DH291" t="inlineStr">
        <is>
          <t>just-over-500 (501 to 1,000)</t>
        </is>
      </c>
      <c r="DI291" t="inlineStr">
        <is>
          <t>N</t>
        </is>
      </c>
      <c r="DJ291" t="inlineStr">
        <is>
          <t>72,800 sf</t>
        </is>
      </c>
      <c r="DK291" t="inlineStr">
        <is>
          <t>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is>
      </c>
      <c r="DS291" t="inlineStr">
        <is>
          <t>none</t>
        </is>
      </c>
      <c r="DX291" t="inlineStr">
        <is>
          <t>N</t>
        </is>
      </c>
      <c r="ER291">
        <f>IF(ISNUMBER(MATCH(U291,{"queued","contacted","replied","call_booked","call_done","yes_in_principle","materials_sent"},0)),"Y","N")</f>
        <v/>
      </c>
      <c r="ES291">
        <f>IF(COUNTIFS($AP$2:$AP$1000,AP291,$ER$2:$ER$1000,"Y")+COUNTIFS($AP$2:$AP$1000,AP291,$T$2:$T$1000,"Y")&gt;0,"Y","N")</f>
        <v/>
      </c>
      <c r="ET291">
        <f>IF(AND(U291="new",T291="N",AT291="Y",AS291="",ES291="N"),"Y","N")</f>
        <v/>
      </c>
      <c r="EU291">
        <f>IF(ET291&lt;&gt;"Y","N",IF(COUNTIFS($AP$2:$AP$1000,AP291,$ET$2:$ET$1000,"Y",$J$2:$J$1000,"&gt;"&amp;J291)+COUNTIFS($AP$2:$AP$1000,AP291,$ET$2:$ET$1000,"Y",$J$2:$J$1000,J291,$EW$2:$EW$1000,"&lt;"&amp;EW291)=0,"Y","N"))</f>
        <v/>
      </c>
      <c r="EV291">
        <f>IF(Y291="","N",IF(Y291&lt;=10,"Y","N"))</f>
        <v/>
      </c>
      <c r="EW291">
        <f>ROW()-1</f>
        <v/>
      </c>
    </row>
    <row r="292">
      <c r="A292" t="inlineStr">
        <is>
          <t>AO-C-261</t>
        </is>
      </c>
      <c r="B292" t="inlineStr">
        <is>
          <t>Spring Health</t>
        </is>
      </c>
      <c r="H292" t="inlineStr">
        <is>
          <t>none</t>
        </is>
      </c>
      <c r="I292" t="inlineStr">
        <is>
          <t>linkedin</t>
        </is>
      </c>
      <c r="J292">
        <f>IF(AX292="pass",ROUND(CU292+CV292+CW292+CX292+CY292+CZ292,1),0)</f>
        <v/>
      </c>
      <c r="K292" t="inlineStr">
        <is>
          <t>Gated out: Tuesday estimate over 250 (370 to 741).</t>
        </is>
      </c>
      <c r="L292" t="inlineStr">
        <is>
          <t>over-500</t>
        </is>
      </c>
      <c r="R292" t="inlineStr">
        <is>
          <t>N</t>
        </is>
      </c>
      <c r="S292" t="inlineStr">
        <is>
          <t>unknown</t>
        </is>
      </c>
      <c r="T292" t="inlineStr">
        <is>
          <t>N</t>
        </is>
      </c>
      <c r="U292" t="inlineStr">
        <is>
          <t>new</t>
        </is>
      </c>
      <c r="V292" t="inlineStr">
        <is>
          <t>https://www.builtinnyc.com/company/spring-health/offices</t>
        </is>
      </c>
      <c r="W292" t="inlineStr">
        <is>
          <t>2026-10-23</t>
        </is>
      </c>
      <c r="X292" t="inlineStr">
        <is>
          <t>office</t>
        </is>
      </c>
      <c r="Y292">
        <f>IF(EU292&lt;&gt;"Y","",COUNTIFS($EU$2:$EU$1000,"Y",$J$2:$J$1000,"&gt;"&amp;J292)+COUNTIFS($EU$2:$EU$1000,"Y",$J$2:$J$1000,J292,$EW$2:$EW$1000,"&lt;"&amp;EW292)+1)</f>
        <v/>
      </c>
      <c r="AA292" t="inlineStr">
        <is>
          <t>N</t>
        </is>
      </c>
      <c r="AD292" t="inlineStr">
        <is>
          <t>none</t>
        </is>
      </c>
      <c r="AH292" t="inlineStr">
        <is>
          <t>none</t>
        </is>
      </c>
      <c r="AI292" t="inlineStr">
        <is>
          <t>60 Madison Avenue</t>
        </is>
      </c>
      <c r="AJ292" t="inlineStr">
        <is>
          <t>2-3</t>
        </is>
      </c>
      <c r="AK292" t="inlineStr">
        <is>
          <t>occupancy-unconfirmed</t>
        </is>
      </c>
      <c r="AL292" t="n">
        <v>370</v>
      </c>
      <c r="AM292" t="n">
        <v>741</v>
      </c>
      <c r="AN292" t="inlineStr">
        <is>
          <t>low</t>
        </is>
      </c>
      <c r="AO292" t="inlineStr">
        <is>
          <t>unknown</t>
        </is>
      </c>
      <c r="AP292" t="inlineStr">
        <is>
          <t>AO-C-261</t>
        </is>
      </c>
      <c r="AQ292" t="inlineStr">
        <is>
          <t>N</t>
        </is>
      </c>
      <c r="AT292">
        <f>IF(AND(AX292="pass",AQ292&lt;&gt;"Y",C292&lt;&gt;"",OR(AW292&lt;&gt;"Y",AV292="Y")),"Y","N")</f>
        <v/>
      </c>
      <c r="AU292">
        <f>_xlfn.TEXTJOIN("; ",TRUE,IF(AX292&lt;&gt;"pass","gated out",""),IF(AQ292="Y","on hold: "&amp;AR292,""),IF(C292="","no contact named on an opened page",""),IF(AND(AW292="Y",AV292&lt;&gt;"Y"),"Tuesday estimate band "&amp;L292&amp;": founder's call",""))</f>
        <v/>
      </c>
      <c r="AW292" t="inlineStr">
        <is>
          <t>Y</t>
        </is>
      </c>
      <c r="AX292" t="inlineStr">
        <is>
          <t>fail</t>
        </is>
      </c>
      <c r="AY292" t="inlineStr">
        <is>
          <t>Tuesday estimate over 250 (370 to 741)</t>
        </is>
      </c>
      <c r="AZ292" t="inlineStr">
        <is>
          <t>company</t>
        </is>
      </c>
      <c r="BA292" t="inlineStr">
        <is>
          <t>B-C-261</t>
        </is>
      </c>
      <c r="BB292" t="inlineStr">
        <is>
          <t>https://www.springhealth.com</t>
        </is>
      </c>
      <c r="BC292" t="inlineStr">
        <is>
          <t>healthtech (mental health benefits)</t>
        </is>
      </c>
      <c r="BD292" t="inlineStr">
        <is>
          <t>1300</t>
        </is>
      </c>
      <c r="BF292" t="inlineStr">
        <is>
          <t>over-500</t>
        </is>
      </c>
      <c r="BG292" t="inlineStr">
        <is>
          <t>whole-company</t>
        </is>
      </c>
      <c r="BH292" t="inlineStr">
        <is>
          <t>single-source</t>
        </is>
      </c>
      <c r="BI292" t="inlineStr">
        <is>
          <t>https://www.builtinnyc.com/company/spring-health/offices</t>
        </is>
      </c>
      <c r="BK292" t="inlineStr">
        <is>
          <t>1001-4999</t>
        </is>
      </c>
      <c r="BL292" t="inlineStr">
        <is>
          <t>New York</t>
        </is>
      </c>
      <c r="BM292" t="inlineStr">
        <is>
          <t>Y</t>
        </is>
      </c>
      <c r="BN292" t="inlineStr">
        <is>
          <t>unknown</t>
        </is>
      </c>
      <c r="BO292" t="inlineStr">
        <is>
          <t>unknown</t>
        </is>
      </c>
      <c r="BP292" t="inlineStr">
        <is>
          <t>10010</t>
        </is>
      </c>
      <c r="BQ292" t="n">
        <v>40.743288</v>
      </c>
      <c r="BR292" t="n">
        <v>-73.986627</v>
      </c>
      <c r="BS292" t="inlineStr">
        <is>
          <t>Y</t>
        </is>
      </c>
      <c r="BT292" t="n">
        <v>0</v>
      </c>
      <c r="BU292" t="inlineStr">
        <is>
          <t>B-B-066</t>
        </is>
      </c>
      <c r="BV292" t="inlineStr">
        <is>
          <t>60 Madison Avenue (Moinian Group)</t>
        </is>
      </c>
      <c r="BW292" t="inlineStr">
        <is>
          <t>https://www.builtinnyc.com/company/spring-health/offices</t>
        </is>
      </c>
      <c r="BX292" t="inlineStr">
        <is>
          <t>2026-10-23</t>
        </is>
      </c>
      <c r="BY292" t="inlineStr">
        <is>
          <t>builtin</t>
        </is>
      </c>
      <c r="BZ292" t="inlineStr">
        <is>
          <t>https://commercialobserver.com/2022/08/spring-health-takes-30k-sf-60-madison-office-vacated-by-knotel/</t>
        </is>
      </c>
      <c r="CA292" t="inlineStr">
        <is>
          <t>2022-08-04</t>
        </is>
      </c>
      <c r="CC292" t="inlineStr">
        <is>
          <t>low</t>
        </is>
      </c>
      <c r="CE292" t="inlineStr">
        <is>
          <t>N</t>
        </is>
      </c>
      <c r="CH292" t="inlineStr">
        <is>
          <t>unknown</t>
        </is>
      </c>
      <c r="CJ292" t="inlineStr">
        <is>
          <t>unknown</t>
        </is>
      </c>
      <c r="CK292" t="inlineStr">
        <is>
          <t>N</t>
        </is>
      </c>
      <c r="CL292" t="inlineStr">
        <is>
          <t>unknown</t>
        </is>
      </c>
      <c r="CO292" t="n">
        <v>524</v>
      </c>
      <c r="CP292" t="inlineStr">
        <is>
          <t>over-250</t>
        </is>
      </c>
      <c r="CQ292" t="inlineStr">
        <is>
          <t>1300 (Built In) staff (whole-company count) x 50% to 100% of them in the New York office (HQ New York; share assumed) x 57% (Partnership for NYC, all Manhattan firms; no figure for 500 to 4,999) in on a weekday = 370 to 741, central 524; low confidence; estimate until intake replaces it.</t>
        </is>
      </c>
      <c r="CR292" t="inlineStr">
        <is>
          <t>estimate until intake replaces it</t>
        </is>
      </c>
      <c r="CS292" t="n">
        <v>0</v>
      </c>
      <c r="CT292" t="n">
        <v>13</v>
      </c>
      <c r="CU292" t="n">
        <v>0</v>
      </c>
      <c r="CV292" t="n">
        <v>2</v>
      </c>
      <c r="CW292" t="n">
        <v>6</v>
      </c>
      <c r="CX292" t="n">
        <v>5</v>
      </c>
      <c r="CY292">
        <f>IF(AH292="exact",10,IF(AH292="adjacent",5,0))</f>
        <v/>
      </c>
      <c r="CZ292">
        <f>IF(R292="Y",15,0)</f>
        <v/>
      </c>
      <c r="DF292" t="inlineStr">
        <is>
          <t>none</t>
        </is>
      </c>
      <c r="DG292" t="inlineStr">
        <is>
          <t>near-miss-over-500</t>
        </is>
      </c>
      <c r="DH292" t="inlineStr">
        <is>
          <t>over-1,000 (1,001 to 4,999)</t>
        </is>
      </c>
      <c r="DI292" t="inlineStr">
        <is>
          <t>N</t>
        </is>
      </c>
      <c r="DJ292" t="inlineStr">
        <is>
          <t>30,000 sf</t>
        </is>
      </c>
      <c r="DK292" t="inlineStr">
        <is>
          <t>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S292" t="inlineStr">
        <is>
          <t>none</t>
        </is>
      </c>
      <c r="DX292" t="inlineStr">
        <is>
          <t>N</t>
        </is>
      </c>
      <c r="ER292">
        <f>IF(ISNUMBER(MATCH(U292,{"queued","contacted","replied","call_booked","call_done","yes_in_principle","materials_sent"},0)),"Y","N")</f>
        <v/>
      </c>
      <c r="ES292">
        <f>IF(COUNTIFS($AP$2:$AP$1000,AP292,$ER$2:$ER$1000,"Y")+COUNTIFS($AP$2:$AP$1000,AP292,$T$2:$T$1000,"Y")&gt;0,"Y","N")</f>
        <v/>
      </c>
      <c r="ET292">
        <f>IF(AND(U292="new",T292="N",AT292="Y",AS292="",ES292="N"),"Y","N")</f>
        <v/>
      </c>
      <c r="EU292">
        <f>IF(ET292&lt;&gt;"Y","N",IF(COUNTIFS($AP$2:$AP$1000,AP292,$ET$2:$ET$1000,"Y",$J$2:$J$1000,"&gt;"&amp;J292)+COUNTIFS($AP$2:$AP$1000,AP292,$ET$2:$ET$1000,"Y",$J$2:$J$1000,J292,$EW$2:$EW$1000,"&lt;"&amp;EW292)=0,"Y","N"))</f>
        <v/>
      </c>
      <c r="EV292">
        <f>IF(Y292="","N",IF(Y292&lt;=10,"Y","N"))</f>
        <v/>
      </c>
      <c r="EW292">
        <f>ROW()-1</f>
        <v/>
      </c>
    </row>
    <row r="293">
      <c r="A293" t="inlineStr">
        <is>
          <t>AO-C-208</t>
        </is>
      </c>
      <c r="B293" t="inlineStr">
        <is>
          <t>Tory Burch</t>
        </is>
      </c>
      <c r="H293" t="inlineStr">
        <is>
          <t>none</t>
        </is>
      </c>
      <c r="I293" t="inlineStr">
        <is>
          <t>linkedin</t>
        </is>
      </c>
      <c r="J293">
        <f>IF(AX293="pass",ROUND(CU293+CV293+CW293+CX293+CY293+CZ293,1),0)</f>
        <v/>
      </c>
      <c r="K293" t="inlineStr">
        <is>
          <t>Gated out: Tuesday estimate over 250 (914 to 1827).</t>
        </is>
      </c>
      <c r="L293" t="inlineStr">
        <is>
          <t>over-500</t>
        </is>
      </c>
      <c r="R293" t="inlineStr">
        <is>
          <t>N</t>
        </is>
      </c>
      <c r="S293" t="inlineStr">
        <is>
          <t>unknown</t>
        </is>
      </c>
      <c r="T293" t="inlineStr">
        <is>
          <t>N</t>
        </is>
      </c>
      <c r="U293" t="inlineStr">
        <is>
          <t>new</t>
        </is>
      </c>
      <c r="V293" t="inlineStr">
        <is>
          <t>https://www.builtinnyc.com/company/tory-burch/offices</t>
        </is>
      </c>
      <c r="W293" t="inlineStr">
        <is>
          <t>2026-10-23</t>
        </is>
      </c>
      <c r="X293" t="inlineStr">
        <is>
          <t>office</t>
        </is>
      </c>
      <c r="Y293">
        <f>IF(EU293&lt;&gt;"Y","",COUNTIFS($EU$2:$EU$1000,"Y",$J$2:$J$1000,"&gt;"&amp;J293)+COUNTIFS($EU$2:$EU$1000,"Y",$J$2:$J$1000,J293,$EW$2:$EW$1000,"&lt;"&amp;EW293)+1)</f>
        <v/>
      </c>
      <c r="AA293" t="inlineStr">
        <is>
          <t>N</t>
        </is>
      </c>
      <c r="AD293" t="inlineStr">
        <is>
          <t>none</t>
        </is>
      </c>
      <c r="AH293" t="inlineStr">
        <is>
          <t>none</t>
        </is>
      </c>
      <c r="AI293" t="inlineStr">
        <is>
          <t>11 West 19th Street</t>
        </is>
      </c>
      <c r="AJ293" t="inlineStr">
        <is>
          <t>7-11</t>
        </is>
      </c>
      <c r="AK293" t="inlineStr">
        <is>
          <t>occupancy-unconfirmed</t>
        </is>
      </c>
      <c r="AL293" t="n">
        <v>914</v>
      </c>
      <c r="AM293" t="n">
        <v>1827</v>
      </c>
      <c r="AN293" t="inlineStr">
        <is>
          <t>low</t>
        </is>
      </c>
      <c r="AO293" t="inlineStr">
        <is>
          <t>unknown</t>
        </is>
      </c>
      <c r="AP293" t="inlineStr">
        <is>
          <t>AO-C-208</t>
        </is>
      </c>
      <c r="AQ293" t="inlineStr">
        <is>
          <t>N</t>
        </is>
      </c>
      <c r="AT293">
        <f>IF(AND(AX293="pass",AQ293&lt;&gt;"Y",C293&lt;&gt;"",OR(AW293&lt;&gt;"Y",AV293="Y")),"Y","N")</f>
        <v/>
      </c>
      <c r="AU293">
        <f>_xlfn.TEXTJOIN("; ",TRUE,IF(AX293&lt;&gt;"pass","gated out",""),IF(AQ293="Y","on hold: "&amp;AR293,""),IF(C293="","no contact named on an opened page",""),IF(AND(AW293="Y",AV293&lt;&gt;"Y"),"Tuesday estimate band "&amp;L293&amp;": founder's call",""))</f>
        <v/>
      </c>
      <c r="AW293" t="inlineStr">
        <is>
          <t>Y</t>
        </is>
      </c>
      <c r="AX293" t="inlineStr">
        <is>
          <t>fail</t>
        </is>
      </c>
      <c r="AY293" t="inlineStr">
        <is>
          <t>Tuesday estimate over 250 (914 to 1827)</t>
        </is>
      </c>
      <c r="AZ293" t="inlineStr">
        <is>
          <t>company</t>
        </is>
      </c>
      <c r="BA293" t="inlineStr">
        <is>
          <t>B-C-208</t>
        </is>
      </c>
      <c r="BB293" t="inlineStr">
        <is>
          <t>https://www.toryburch.com</t>
        </is>
      </c>
      <c r="BC293" t="inlineStr">
        <is>
          <t>fashion brand (headquarters)</t>
        </is>
      </c>
      <c r="BD293" t="inlineStr">
        <is>
          <t>3206</t>
        </is>
      </c>
      <c r="BF293" t="inlineStr">
        <is>
          <t>over-500</t>
        </is>
      </c>
      <c r="BG293" t="inlineStr">
        <is>
          <t>whole-company</t>
        </is>
      </c>
      <c r="BH293" t="inlineStr">
        <is>
          <t>single-source</t>
        </is>
      </c>
      <c r="BI293" t="inlineStr">
        <is>
          <t>https://www.builtinnyc.com/company/tory-burch</t>
        </is>
      </c>
      <c r="BK293" t="inlineStr">
        <is>
          <t>1001-4999</t>
        </is>
      </c>
      <c r="BL293" t="inlineStr">
        <is>
          <t>New York</t>
        </is>
      </c>
      <c r="BM293" t="inlineStr">
        <is>
          <t>Y</t>
        </is>
      </c>
      <c r="BN293" t="inlineStr">
        <is>
          <t>unknown</t>
        </is>
      </c>
      <c r="BO293" t="inlineStr">
        <is>
          <t>unknown</t>
        </is>
      </c>
      <c r="BP293" t="inlineStr">
        <is>
          <t>10011</t>
        </is>
      </c>
      <c r="BQ293" t="n">
        <v>40.739723</v>
      </c>
      <c r="BR293" t="n">
        <v>-73.992339</v>
      </c>
      <c r="BS293" t="inlineStr">
        <is>
          <t>Y</t>
        </is>
      </c>
      <c r="BT293" t="n">
        <v>0</v>
      </c>
      <c r="BV293" t="inlineStr">
        <is>
          <t>unknown</t>
        </is>
      </c>
      <c r="BW293" t="inlineStr">
        <is>
          <t>https://www.builtinnyc.com/company/tory-burch/offices</t>
        </is>
      </c>
      <c r="BX293" t="inlineStr">
        <is>
          <t>2026-10-23</t>
        </is>
      </c>
      <c r="BY293" t="inlineStr">
        <is>
          <t>builtin</t>
        </is>
      </c>
      <c r="BZ293" t="inlineStr">
        <is>
          <t>https://commercialobserver.com/2022/08/tory-burch-renewal-11-west-19th-street/</t>
        </is>
      </c>
      <c r="CA293" t="inlineStr">
        <is>
          <t>2022-08-05</t>
        </is>
      </c>
      <c r="CC293" t="inlineStr">
        <is>
          <t>low</t>
        </is>
      </c>
      <c r="CE293" t="inlineStr">
        <is>
          <t>N</t>
        </is>
      </c>
      <c r="CH293" t="inlineStr">
        <is>
          <t>security desk</t>
        </is>
      </c>
      <c r="CJ293" t="inlineStr">
        <is>
          <t>unknown</t>
        </is>
      </c>
      <c r="CK293" t="inlineStr">
        <is>
          <t>N</t>
        </is>
      </c>
      <c r="CL293" t="inlineStr">
        <is>
          <t>unknown</t>
        </is>
      </c>
      <c r="CO293" t="n">
        <v>1292</v>
      </c>
      <c r="CP293" t="inlineStr">
        <is>
          <t>over-250</t>
        </is>
      </c>
      <c r="CQ293" t="inlineStr">
        <is>
          <t>3206 (Built In) staff (whole-company count) x 50% to 100% of them in the New York office (HQ New York; share assumed) x 57% (Partnership for NYC, all Manhattan firms; no figure for 500 to 4,999) in on a weekday = 914 to 1827, central 1292; low confidence; estimate until intake replaces it.</t>
        </is>
      </c>
      <c r="CR293" t="inlineStr">
        <is>
          <t>estimate until intake replaces it</t>
        </is>
      </c>
      <c r="CS293" t="n">
        <v>0</v>
      </c>
      <c r="CT293" t="n">
        <v>13</v>
      </c>
      <c r="CU293" t="n">
        <v>0</v>
      </c>
      <c r="CV293" t="n">
        <v>2</v>
      </c>
      <c r="CW293" t="n">
        <v>6</v>
      </c>
      <c r="CX293" t="n">
        <v>5</v>
      </c>
      <c r="CY293">
        <f>IF(AH293="exact",10,IF(AH293="adjacent",5,0))</f>
        <v/>
      </c>
      <c r="CZ293">
        <f>IF(R293="Y",15,0)</f>
        <v/>
      </c>
      <c r="DF293" t="inlineStr">
        <is>
          <t>none</t>
        </is>
      </c>
      <c r="DG293" t="inlineStr">
        <is>
          <t>near-miss-over-500</t>
        </is>
      </c>
      <c r="DH293" t="inlineStr">
        <is>
          <t>over-1,000 (1,001 to 4,999)</t>
        </is>
      </c>
      <c r="DI293" t="inlineStr">
        <is>
          <t>N</t>
        </is>
      </c>
      <c r="DJ293" t="inlineStr">
        <is>
          <t>130,000 sf</t>
        </is>
      </c>
      <c r="DK293" t="inlineStr">
        <is>
          <t>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is>
      </c>
      <c r="DS293" t="inlineStr">
        <is>
          <t>none</t>
        </is>
      </c>
      <c r="DX293" t="inlineStr">
        <is>
          <t>N</t>
        </is>
      </c>
      <c r="ER293">
        <f>IF(ISNUMBER(MATCH(U293,{"queued","contacted","replied","call_booked","call_done","yes_in_principle","materials_sent"},0)),"Y","N")</f>
        <v/>
      </c>
      <c r="ES293">
        <f>IF(COUNTIFS($AP$2:$AP$1000,AP293,$ER$2:$ER$1000,"Y")+COUNTIFS($AP$2:$AP$1000,AP293,$T$2:$T$1000,"Y")&gt;0,"Y","N")</f>
        <v/>
      </c>
      <c r="ET293">
        <f>IF(AND(U293="new",T293="N",AT293="Y",AS293="",ES293="N"),"Y","N")</f>
        <v/>
      </c>
      <c r="EU293">
        <f>IF(ET293&lt;&gt;"Y","N",IF(COUNTIFS($AP$2:$AP$1000,AP293,$ET$2:$ET$1000,"Y",$J$2:$J$1000,"&gt;"&amp;J293)+COUNTIFS($AP$2:$AP$1000,AP293,$ET$2:$ET$1000,"Y",$J$2:$J$1000,J293,$EW$2:$EW$1000,"&lt;"&amp;EW293)=0,"Y","N"))</f>
        <v/>
      </c>
      <c r="EV293">
        <f>IF(Y293="","N",IF(Y293&lt;=10,"Y","N"))</f>
        <v/>
      </c>
      <c r="EW293">
        <f>ROW()-1</f>
        <v/>
      </c>
    </row>
    <row r="294">
      <c r="A294" t="inlineStr">
        <is>
          <t>AO-C-275</t>
        </is>
      </c>
      <c r="B294" t="inlineStr">
        <is>
          <t>Ford Models</t>
        </is>
      </c>
      <c r="H294" t="inlineStr">
        <is>
          <t>none</t>
        </is>
      </c>
      <c r="I294" t="inlineStr">
        <is>
          <t>linkedin</t>
        </is>
      </c>
      <c r="J294">
        <f>IF(AX294="pass",ROUND(CU294+CV294+CW294+CX294+CY294+CZ294,1),0)</f>
        <v/>
      </c>
      <c r="K294" t="inlineStr">
        <is>
          <t>Gated out: outside the cluster (0.2 blocks outside the line).</t>
        </is>
      </c>
      <c r="L294" t="inlineStr">
        <is>
          <t>unknown</t>
        </is>
      </c>
      <c r="R294" t="inlineStr">
        <is>
          <t>N</t>
        </is>
      </c>
      <c r="S294" t="inlineStr">
        <is>
          <t>unknown</t>
        </is>
      </c>
      <c r="T294" t="inlineStr">
        <is>
          <t>N</t>
        </is>
      </c>
      <c r="U294" t="inlineStr">
        <is>
          <t>new</t>
        </is>
      </c>
      <c r="V294" t="inlineStr">
        <is>
          <t>https://fordmodels.com/contact</t>
        </is>
      </c>
      <c r="W294" t="inlineStr">
        <is>
          <t>2026-10-23</t>
        </is>
      </c>
      <c r="X294" t="inlineStr">
        <is>
          <t>office</t>
        </is>
      </c>
      <c r="Y294">
        <f>IF(EU294&lt;&gt;"Y","",COUNTIFS($EU$2:$EU$1000,"Y",$J$2:$J$1000,"&gt;"&amp;J294)+COUNTIFS($EU$2:$EU$1000,"Y",$J$2:$J$1000,J294,$EW$2:$EW$1000,"&lt;"&amp;EW294)+1)</f>
        <v/>
      </c>
      <c r="AA294" t="inlineStr">
        <is>
          <t>N</t>
        </is>
      </c>
      <c r="AD294" t="inlineStr">
        <is>
          <t>none</t>
        </is>
      </c>
      <c r="AH294" t="inlineStr">
        <is>
          <t>none</t>
        </is>
      </c>
      <c r="AI294" t="inlineStr">
        <is>
          <t>36 East 31st Street</t>
        </is>
      </c>
      <c r="AJ294" t="inlineStr">
        <is>
          <t>8</t>
        </is>
      </c>
      <c r="AK294" t="inlineStr">
        <is>
          <t>occupied</t>
        </is>
      </c>
      <c r="AL294" t="inlineStr">
        <is>
          <t>unknown</t>
        </is>
      </c>
      <c r="AM294" t="inlineStr">
        <is>
          <t>unknown</t>
        </is>
      </c>
      <c r="AN294" t="inlineStr">
        <is>
          <t>none</t>
        </is>
      </c>
      <c r="AO294" t="inlineStr">
        <is>
          <t>unknown</t>
        </is>
      </c>
      <c r="AP294" t="inlineStr">
        <is>
          <t>AO-C-275</t>
        </is>
      </c>
      <c r="AQ294" t="inlineStr">
        <is>
          <t>N</t>
        </is>
      </c>
      <c r="AT294">
        <f>IF(AND(AX294="pass",AQ294&lt;&gt;"Y",C294&lt;&gt;"",OR(AW294&lt;&gt;"Y",AV294="Y")),"Y","N")</f>
        <v/>
      </c>
      <c r="AU294">
        <f>_xlfn.TEXTJOIN("; ",TRUE,IF(AX294&lt;&gt;"pass","gated out",""),IF(AQ294="Y","on hold: "&amp;AR294,""),IF(C294="","no contact named on an opened page",""),IF(AND(AW294="Y",AV294&lt;&gt;"Y"),"Tuesday estimate band "&amp;L294&amp;": founder's call",""))</f>
        <v/>
      </c>
      <c r="AW294" t="inlineStr">
        <is>
          <t>N</t>
        </is>
      </c>
      <c r="AX294" t="inlineStr">
        <is>
          <t>fail</t>
        </is>
      </c>
      <c r="AY294" t="inlineStr">
        <is>
          <t>outside the cluster (0.2 blocks outside the line)</t>
        </is>
      </c>
      <c r="AZ294" t="inlineStr">
        <is>
          <t>company</t>
        </is>
      </c>
      <c r="BA294" t="inlineStr">
        <is>
          <t>B-C-275</t>
        </is>
      </c>
      <c r="BB294" t="inlineStr">
        <is>
          <t>https://fordmodels.com</t>
        </is>
      </c>
      <c r="BC294" t="inlineStr">
        <is>
          <t>talent and modeling agency</t>
        </is>
      </c>
      <c r="BD294" t="inlineStr">
        <is>
          <t>unknown</t>
        </is>
      </c>
      <c r="BF294" t="inlineStr">
        <is>
          <t>unknown</t>
        </is>
      </c>
      <c r="BG294" t="inlineStr">
        <is>
          <t>unknown</t>
        </is>
      </c>
      <c r="BH294" t="inlineStr">
        <is>
          <t>no-count</t>
        </is>
      </c>
      <c r="BK294" t="inlineStr">
        <is>
          <t>unknown</t>
        </is>
      </c>
      <c r="BL294" t="inlineStr">
        <is>
          <t>unknown</t>
        </is>
      </c>
      <c r="BM294" t="inlineStr">
        <is>
          <t>unknown</t>
        </is>
      </c>
      <c r="BN294" t="inlineStr">
        <is>
          <t>unknown</t>
        </is>
      </c>
      <c r="BO294" t="inlineStr">
        <is>
          <t>unknown</t>
        </is>
      </c>
      <c r="BP294" t="inlineStr">
        <is>
          <t>10016</t>
        </is>
      </c>
      <c r="BQ294" t="n">
        <v>40.745308</v>
      </c>
      <c r="BR294" t="n">
        <v>-73.98356</v>
      </c>
      <c r="BS294" t="inlineStr">
        <is>
          <t>N</t>
        </is>
      </c>
      <c r="BT294" t="n">
        <v>0.2</v>
      </c>
      <c r="BV294" t="inlineStr">
        <is>
          <t>unknown</t>
        </is>
      </c>
      <c r="BW294" t="inlineStr">
        <is>
          <t>https://fordmodels.com/contact</t>
        </is>
      </c>
      <c r="BX294" t="inlineStr">
        <is>
          <t>2026-10-23</t>
        </is>
      </c>
      <c r="BY294" t="inlineStr">
        <is>
          <t>company-site</t>
        </is>
      </c>
      <c r="BZ294" t="inlineStr">
        <is>
          <t>https://commercialobserver.com/2026/03/ford-models-office-lease-36-east-31st-street/</t>
        </is>
      </c>
      <c r="CA294" t="inlineStr">
        <is>
          <t>2026-03-17</t>
        </is>
      </c>
      <c r="CC294" t="inlineStr">
        <is>
          <t>high</t>
        </is>
      </c>
      <c r="CE294" t="inlineStr">
        <is>
          <t>N</t>
        </is>
      </c>
      <c r="CH294" t="inlineStr">
        <is>
          <t>unknown</t>
        </is>
      </c>
      <c r="CJ294" t="inlineStr">
        <is>
          <t>unknown</t>
        </is>
      </c>
      <c r="CK294" t="inlineStr">
        <is>
          <t>N</t>
        </is>
      </c>
      <c r="CL294" t="inlineStr">
        <is>
          <t>unknown</t>
        </is>
      </c>
      <c r="CO294" t="inlineStr">
        <is>
          <t>unknown</t>
        </is>
      </c>
      <c r="CQ294" t="inlineStr">
        <is>
          <t>No sourced headcount, so no Tuesday estimate; ask the Tuesday count at intake.</t>
        </is>
      </c>
      <c r="CR294" t="inlineStr">
        <is>
          <t>estimate until intake replaces it</t>
        </is>
      </c>
      <c r="CS294" t="inlineStr">
        <is>
          <t>unknown</t>
        </is>
      </c>
      <c r="CT294" t="n">
        <v>36</v>
      </c>
      <c r="CU294" t="n">
        <v>7</v>
      </c>
      <c r="CV294" t="n">
        <v>8</v>
      </c>
      <c r="CW294" t="n">
        <v>6</v>
      </c>
      <c r="CX294" t="n">
        <v>15</v>
      </c>
      <c r="CY294">
        <f>IF(AH294="exact",10,IF(AH294="adjacent",5,0))</f>
        <v/>
      </c>
      <c r="CZ294">
        <f>IF(R294="Y",15,0)</f>
        <v/>
      </c>
      <c r="DF294" t="inlineStr">
        <is>
          <t>none</t>
        </is>
      </c>
      <c r="DG294" t="inlineStr">
        <is>
          <t>near-miss-outside</t>
        </is>
      </c>
      <c r="DH294" t="inlineStr">
        <is>
          <t>outside-line</t>
        </is>
      </c>
      <c r="DI294" t="inlineStr">
        <is>
          <t>N</t>
        </is>
      </c>
      <c r="DJ294" t="inlineStr">
        <is>
          <t>11,986 sf</t>
        </is>
      </c>
      <c r="DK294" t="inlineStr">
        <is>
          <t>Contact page lists Ford New York at 36 East 31st Street 8th Floor; CO 2026: 11,986 SF on floor 8 (temporarily on floor 9 during buildout). Earlier listed as an 11 E 26th St tenant. Margin row (31st St). Headcount not found.</t>
        </is>
      </c>
      <c r="DS294" t="inlineStr">
        <is>
          <t>none</t>
        </is>
      </c>
      <c r="DX294" t="inlineStr">
        <is>
          <t>N</t>
        </is>
      </c>
      <c r="ER294">
        <f>IF(ISNUMBER(MATCH(U294,{"queued","contacted","replied","call_booked","call_done","yes_in_principle","materials_sent"},0)),"Y","N")</f>
        <v/>
      </c>
      <c r="ES294">
        <f>IF(COUNTIFS($AP$2:$AP$1000,AP294,$ER$2:$ER$1000,"Y")+COUNTIFS($AP$2:$AP$1000,AP294,$T$2:$T$1000,"Y")&gt;0,"Y","N")</f>
        <v/>
      </c>
      <c r="ET294">
        <f>IF(AND(U294="new",T294="N",AT294="Y",AS294="",ES294="N"),"Y","N")</f>
        <v/>
      </c>
      <c r="EU294">
        <f>IF(ET294&lt;&gt;"Y","N",IF(COUNTIFS($AP$2:$AP$1000,AP294,$ET$2:$ET$1000,"Y",$J$2:$J$1000,"&gt;"&amp;J294)+COUNTIFS($AP$2:$AP$1000,AP294,$ET$2:$ET$1000,"Y",$J$2:$J$1000,J294,$EW$2:$EW$1000,"&lt;"&amp;EW294)=0,"Y","N"))</f>
        <v/>
      </c>
      <c r="EV294">
        <f>IF(Y294="","N",IF(Y294&lt;=10,"Y","N"))</f>
        <v/>
      </c>
      <c r="EW294">
        <f>ROW()-1</f>
        <v/>
      </c>
    </row>
    <row r="295">
      <c r="A295" t="inlineStr">
        <is>
          <t>AO-C-173</t>
        </is>
      </c>
      <c r="B295" t="inlineStr">
        <is>
          <t>Pilot Fiber</t>
        </is>
      </c>
      <c r="H295" t="inlineStr">
        <is>
          <t>none</t>
        </is>
      </c>
      <c r="I295" t="inlineStr">
        <is>
          <t>linkedin</t>
        </is>
      </c>
      <c r="J295">
        <f>IF(AX295="pass",ROUND(CU295+CV295+CW295+CX295+CY295+CZ295,1),0)</f>
        <v/>
      </c>
      <c r="K295" t="inlineStr">
        <is>
          <t>Gated out: inside a coworking space (B-W-011).</t>
        </is>
      </c>
      <c r="L295" t="inlineStr">
        <is>
          <t>unknown</t>
        </is>
      </c>
      <c r="R295" t="inlineStr">
        <is>
          <t>N</t>
        </is>
      </c>
      <c r="S295" t="inlineStr">
        <is>
          <t>unknown</t>
        </is>
      </c>
      <c r="T295" t="inlineStr">
        <is>
          <t>N</t>
        </is>
      </c>
      <c r="U295" t="inlineStr">
        <is>
          <t>new</t>
        </is>
      </c>
      <c r="V295" t="inlineStr">
        <is>
          <t>https://www.pilotfiber.com/legal</t>
        </is>
      </c>
      <c r="W295" t="inlineStr">
        <is>
          <t>2026-10-23</t>
        </is>
      </c>
      <c r="X295" t="inlineStr">
        <is>
          <t>office</t>
        </is>
      </c>
      <c r="Y295">
        <f>IF(EU295&lt;&gt;"Y","",COUNTIFS($EU$2:$EU$1000,"Y",$J$2:$J$1000,"&gt;"&amp;J295)+COUNTIFS($EU$2:$EU$1000,"Y",$J$2:$J$1000,J295,$EW$2:$EW$1000,"&lt;"&amp;EW295)+1)</f>
        <v/>
      </c>
      <c r="AA295" t="inlineStr">
        <is>
          <t>N</t>
        </is>
      </c>
      <c r="AD295" t="inlineStr">
        <is>
          <t>none</t>
        </is>
      </c>
      <c r="AH295" t="inlineStr">
        <is>
          <t>none</t>
        </is>
      </c>
      <c r="AI295" t="inlineStr">
        <is>
          <t>1115 Broadway</t>
        </is>
      </c>
      <c r="AJ295" t="inlineStr">
        <is>
          <t>12</t>
        </is>
      </c>
      <c r="AK295" t="inlineStr">
        <is>
          <t>occupied</t>
        </is>
      </c>
      <c r="AL295" t="inlineStr">
        <is>
          <t>unknown</t>
        </is>
      </c>
      <c r="AM295" t="inlineStr">
        <is>
          <t>unknown</t>
        </is>
      </c>
      <c r="AN295" t="inlineStr">
        <is>
          <t>none</t>
        </is>
      </c>
      <c r="AO295" t="inlineStr">
        <is>
          <t>unknown</t>
        </is>
      </c>
      <c r="AP295" t="inlineStr">
        <is>
          <t>AO-C-173</t>
        </is>
      </c>
      <c r="AQ295" t="inlineStr">
        <is>
          <t>N</t>
        </is>
      </c>
      <c r="AT295">
        <f>IF(AND(AX295="pass",AQ295&lt;&gt;"Y",C295&lt;&gt;"",OR(AW295&lt;&gt;"Y",AV295="Y")),"Y","N")</f>
        <v/>
      </c>
      <c r="AU295">
        <f>_xlfn.TEXTJOIN("; ",TRUE,IF(AX295&lt;&gt;"pass","gated out",""),IF(AQ295="Y","on hold: "&amp;AR295,""),IF(C295="","no contact named on an opened page",""),IF(AND(AW295="Y",AV295&lt;&gt;"Y"),"Tuesday estimate band "&amp;L295&amp;": founder's call",""))</f>
        <v/>
      </c>
      <c r="AW295" t="inlineStr">
        <is>
          <t>N</t>
        </is>
      </c>
      <c r="AX295" t="inlineStr">
        <is>
          <t>fail</t>
        </is>
      </c>
      <c r="AY295" t="inlineStr">
        <is>
          <t>inside a coworking space (B-W-011)</t>
        </is>
      </c>
      <c r="AZ295" t="inlineStr">
        <is>
          <t>company</t>
        </is>
      </c>
      <c r="BA295" t="inlineStr">
        <is>
          <t>B-C-173</t>
        </is>
      </c>
      <c r="BB295" t="inlineStr">
        <is>
          <t>https://www.pilotfiber.com/</t>
        </is>
      </c>
      <c r="BC295" t="inlineStr">
        <is>
          <t>Telecom / fiber internet provider</t>
        </is>
      </c>
      <c r="BD295" t="inlineStr">
        <is>
          <t>unknown</t>
        </is>
      </c>
      <c r="BF295" t="inlineStr">
        <is>
          <t>unknown</t>
        </is>
      </c>
      <c r="BG295" t="inlineStr">
        <is>
          <t>unknown</t>
        </is>
      </c>
      <c r="BH295" t="inlineStr">
        <is>
          <t>no-count</t>
        </is>
      </c>
      <c r="BK295" t="inlineStr">
        <is>
          <t>unknown</t>
        </is>
      </c>
      <c r="BL295" t="inlineStr">
        <is>
          <t>unknown</t>
        </is>
      </c>
      <c r="BM295" t="inlineStr">
        <is>
          <t>unknown</t>
        </is>
      </c>
      <c r="BN295" t="inlineStr">
        <is>
          <t>unknown</t>
        </is>
      </c>
      <c r="BO295" t="inlineStr">
        <is>
          <t>unknown</t>
        </is>
      </c>
      <c r="BP295" t="inlineStr">
        <is>
          <t>10010</t>
        </is>
      </c>
      <c r="BQ295" t="n">
        <v>40.74293</v>
      </c>
      <c r="BR295" t="n">
        <v>-73.989315</v>
      </c>
      <c r="BS295" t="inlineStr">
        <is>
          <t>Y</t>
        </is>
      </c>
      <c r="BT295" t="n">
        <v>0</v>
      </c>
      <c r="BU295" t="inlineStr">
        <is>
          <t>B-B-056</t>
        </is>
      </c>
      <c r="BV295" t="inlineStr">
        <is>
          <t>16 Madison Square West / 1115 Broadway (Adams &amp; Company)</t>
        </is>
      </c>
      <c r="BW295" t="inlineStr">
        <is>
          <t>https://www.pilotfiber.com/legal</t>
        </is>
      </c>
      <c r="BX295" t="inlineStr">
        <is>
          <t>2026-10-23</t>
        </is>
      </c>
      <c r="BY295" t="inlineStr">
        <is>
          <t>company-site</t>
        </is>
      </c>
      <c r="BZ295" t="inlineStr">
        <is>
          <t>https://commercialobserver.com/2026/01/purple-lease-16-madison-square-west/</t>
        </is>
      </c>
      <c r="CA295" t="inlineStr">
        <is>
          <t>2026-01-08</t>
        </is>
      </c>
      <c r="CC295" t="inlineStr">
        <is>
          <t>high</t>
        </is>
      </c>
      <c r="CE295" t="inlineStr">
        <is>
          <t>Y</t>
        </is>
      </c>
      <c r="CF295" t="inlineStr">
        <is>
          <t>B-W-011</t>
        </is>
      </c>
      <c r="CH295" t="inlineStr">
        <is>
          <t>security desk</t>
        </is>
      </c>
      <c r="CI295" t="inlineStr">
        <is>
          <t>https://www.adamsre.com/collections/madison-square-park/products/16-madison-square-west</t>
        </is>
      </c>
      <c r="CJ295" t="inlineStr">
        <is>
          <t>unknown</t>
        </is>
      </c>
      <c r="CK295" t="inlineStr">
        <is>
          <t>N</t>
        </is>
      </c>
      <c r="CL295" t="inlineStr">
        <is>
          <t>unknown</t>
        </is>
      </c>
      <c r="CO295" t="inlineStr">
        <is>
          <t>unknown</t>
        </is>
      </c>
      <c r="CQ295" t="inlineStr">
        <is>
          <t>No sourced headcount, so no Tuesday estimate; ask the Tuesday count at intake.</t>
        </is>
      </c>
      <c r="CR295" t="inlineStr">
        <is>
          <t>estimate until intake replaces it</t>
        </is>
      </c>
      <c r="CS295" t="inlineStr">
        <is>
          <t>unknown</t>
        </is>
      </c>
      <c r="CT295" t="n">
        <v>36</v>
      </c>
      <c r="CU295" t="n">
        <v>7</v>
      </c>
      <c r="CV295" t="n">
        <v>8</v>
      </c>
      <c r="CW295" t="n">
        <v>6</v>
      </c>
      <c r="CX295" t="n">
        <v>15</v>
      </c>
      <c r="CY295">
        <f>IF(AH295="exact",10,IF(AH295="adjacent",5,0))</f>
        <v/>
      </c>
      <c r="CZ295">
        <f>IF(R295="Y",15,0)</f>
        <v/>
      </c>
      <c r="DF295" t="inlineStr">
        <is>
          <t>none</t>
        </is>
      </c>
      <c r="DG295" t="inlineStr">
        <is>
          <t>excluded-coworking</t>
        </is>
      </c>
      <c r="DK295" t="inlineStr">
        <is>
          <t>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is>
      </c>
      <c r="DS295" t="inlineStr">
        <is>
          <t>none</t>
        </is>
      </c>
      <c r="DX295" t="inlineStr">
        <is>
          <t>N</t>
        </is>
      </c>
      <c r="ER295">
        <f>IF(ISNUMBER(MATCH(U295,{"queued","contacted","replied","call_booked","call_done","yes_in_principle","materials_sent"},0)),"Y","N")</f>
        <v/>
      </c>
      <c r="ES295">
        <f>IF(COUNTIFS($AP$2:$AP$1000,AP295,$ER$2:$ER$1000,"Y")+COUNTIFS($AP$2:$AP$1000,AP295,$T$2:$T$1000,"Y")&gt;0,"Y","N")</f>
        <v/>
      </c>
      <c r="ET295">
        <f>IF(AND(U295="new",T295="N",AT295="Y",AS295="",ES295="N"),"Y","N")</f>
        <v/>
      </c>
      <c r="EU295">
        <f>IF(ET295&lt;&gt;"Y","N",IF(COUNTIFS($AP$2:$AP$1000,AP295,$ET$2:$ET$1000,"Y",$J$2:$J$1000,"&gt;"&amp;J295)+COUNTIFS($AP$2:$AP$1000,AP295,$ET$2:$ET$1000,"Y",$J$2:$J$1000,J295,$EW$2:$EW$1000,"&lt;"&amp;EW295)=0,"Y","N"))</f>
        <v/>
      </c>
      <c r="EV295">
        <f>IF(Y295="","N",IF(Y295&lt;=10,"Y","N"))</f>
        <v/>
      </c>
      <c r="EW295">
        <f>ROW()-1</f>
        <v/>
      </c>
    </row>
    <row r="296">
      <c r="A296" t="inlineStr">
        <is>
          <t>AO-W-028</t>
        </is>
      </c>
      <c r="B296" t="inlineStr">
        <is>
          <t>Resident Madison Park (Flatiron)</t>
        </is>
      </c>
      <c r="H296" t="inlineStr">
        <is>
          <t>none</t>
        </is>
      </c>
      <c r="I296" t="inlineStr">
        <is>
          <t>linkedin</t>
        </is>
      </c>
      <c r="J296">
        <f>IF(AX296="pass",ROUND(CU296+CV296+CW296+CX296+CY296+CZ296,1),0)</f>
        <v/>
      </c>
      <c r="K296" t="inlineStr">
        <is>
          <t>Gated out: outside the cluster (0.1 blocks outside the line).</t>
        </is>
      </c>
      <c r="L296" t="inlineStr">
        <is>
          <t>unknown</t>
        </is>
      </c>
      <c r="R296" t="inlineStr">
        <is>
          <t>N</t>
        </is>
      </c>
      <c r="S296" t="inlineStr">
        <is>
          <t>unknown</t>
        </is>
      </c>
      <c r="T296" t="inlineStr">
        <is>
          <t>N</t>
        </is>
      </c>
      <c r="U296" t="inlineStr">
        <is>
          <t>new</t>
        </is>
      </c>
      <c r="V296" t="inlineStr">
        <is>
          <t>https://residentcompanyclub.com/</t>
        </is>
      </c>
      <c r="W296" t="inlineStr">
        <is>
          <t>2026-10-23</t>
        </is>
      </c>
      <c r="X296" t="inlineStr">
        <is>
          <t>office</t>
        </is>
      </c>
      <c r="Y296">
        <f>IF(EU296&lt;&gt;"Y","",COUNTIFS($EU$2:$EU$1000,"Y",$J$2:$J$1000,"&gt;"&amp;J296)+COUNTIFS($EU$2:$EU$1000,"Y",$J$2:$J$1000,J296,$EW$2:$EW$1000,"&lt;"&amp;EW296)+1)</f>
        <v/>
      </c>
      <c r="AA296" t="inlineStr">
        <is>
          <t>N</t>
        </is>
      </c>
      <c r="AD296" t="inlineStr">
        <is>
          <t>none</t>
        </is>
      </c>
      <c r="AH296" t="inlineStr">
        <is>
          <t>none</t>
        </is>
      </c>
      <c r="AI296" t="inlineStr">
        <is>
          <t>115 East 23rd Street, Floors 4-5, New York, NY 10010</t>
        </is>
      </c>
      <c r="AJ296" t="inlineStr">
        <is>
          <t>Floors 4-5</t>
        </is>
      </c>
      <c r="AK296" t="inlineStr">
        <is>
          <t>open</t>
        </is>
      </c>
      <c r="AL296" t="inlineStr">
        <is>
          <t>unknown</t>
        </is>
      </c>
      <c r="AM296" t="inlineStr">
        <is>
          <t>unknown</t>
        </is>
      </c>
      <c r="AN296" t="inlineStr">
        <is>
          <t>none</t>
        </is>
      </c>
      <c r="AO296" t="inlineStr">
        <is>
          <t>unknown</t>
        </is>
      </c>
      <c r="AP296" t="inlineStr">
        <is>
          <t>grp-W025-W028</t>
        </is>
      </c>
      <c r="AQ296" t="inlineStr">
        <is>
          <t>N</t>
        </is>
      </c>
      <c r="AT296">
        <f>IF(AND(AX296="pass",AQ296&lt;&gt;"Y",C296&lt;&gt;"",OR(AW296&lt;&gt;"Y",AV296="Y")),"Y","N")</f>
        <v/>
      </c>
      <c r="AU296">
        <f>_xlfn.TEXTJOIN("; ",TRUE,IF(AX296&lt;&gt;"pass","gated out",""),IF(AQ296="Y","on hold: "&amp;AR296,""),IF(C296="","no contact named on an opened page",""),IF(AND(AW296="Y",AV296&lt;&gt;"Y"),"Tuesday estimate band "&amp;L296&amp;": founder's call",""))</f>
        <v/>
      </c>
      <c r="AW296" t="inlineStr">
        <is>
          <t>N</t>
        </is>
      </c>
      <c r="AX296" t="inlineStr">
        <is>
          <t>fail</t>
        </is>
      </c>
      <c r="AY296" t="inlineStr">
        <is>
          <t>outside the cluster (0.1 blocks outside the line)</t>
        </is>
      </c>
      <c r="AZ296" t="inlineStr">
        <is>
          <t>coworking-operator</t>
        </is>
      </c>
      <c r="BA296" t="inlineStr">
        <is>
          <t>B-W-028</t>
        </is>
      </c>
      <c r="BB296" t="inlineStr">
        <is>
          <t>https://residentcompanyclub.com</t>
        </is>
      </c>
      <c r="BC296" t="inlineStr">
        <is>
          <t>coworking operator</t>
        </is>
      </c>
      <c r="BD296" t="inlineStr">
        <is>
          <t>unknown</t>
        </is>
      </c>
      <c r="BF296" t="inlineStr">
        <is>
          <t>unknown</t>
        </is>
      </c>
      <c r="BG296" t="inlineStr">
        <is>
          <t>unknown</t>
        </is>
      </c>
      <c r="BK296" t="inlineStr">
        <is>
          <t>unknown</t>
        </is>
      </c>
      <c r="BL296" t="inlineStr">
        <is>
          <t>n/a (operator site)</t>
        </is>
      </c>
      <c r="BM296" t="inlineStr">
        <is>
          <t>unknown</t>
        </is>
      </c>
      <c r="BN296" t="inlineStr">
        <is>
          <t>Resident Company Club</t>
        </is>
      </c>
      <c r="BP296" t="inlineStr">
        <is>
          <t>10010</t>
        </is>
      </c>
      <c r="BQ296" t="n">
        <v>40.740111</v>
      </c>
      <c r="BR296" t="n">
        <v>-73.98545900000001</v>
      </c>
      <c r="BS296" t="inlineStr">
        <is>
          <t>N</t>
        </is>
      </c>
      <c r="BT296" t="n">
        <v>0.1</v>
      </c>
      <c r="BV296" t="inlineStr">
        <is>
          <t>unknown</t>
        </is>
      </c>
      <c r="BW296" t="inlineStr">
        <is>
          <t>https://residentcompanyclub.com/</t>
        </is>
      </c>
      <c r="BX296" t="inlineStr">
        <is>
          <t>2026-10-23</t>
        </is>
      </c>
      <c r="BY296" t="inlineStr">
        <is>
          <t>operator-site</t>
        </is>
      </c>
      <c r="BZ296" t="inlineStr">
        <is>
          <t>https://commercialobserver.com/2025/12/coworking-resident-company-club-lease-113-university-place/</t>
        </is>
      </c>
      <c r="CC296" t="inlineStr">
        <is>
          <t>high</t>
        </is>
      </c>
      <c r="CE296" t="inlineStr">
        <is>
          <t>N</t>
        </is>
      </c>
      <c r="CF296" t="inlineStr">
        <is>
          <t>B-W-028</t>
        </is>
      </c>
      <c r="CG296" t="inlineStr">
        <is>
          <t>operator</t>
        </is>
      </c>
      <c r="CH296" t="inlineStr">
        <is>
          <t>unknown</t>
        </is>
      </c>
      <c r="CJ296" t="inlineStr">
        <is>
          <t>unknown</t>
        </is>
      </c>
      <c r="CK296" t="inlineStr">
        <is>
          <t>N</t>
        </is>
      </c>
      <c r="CL296" t="inlineStr">
        <is>
          <t>unknown</t>
        </is>
      </c>
      <c r="CO296" t="inlineStr">
        <is>
          <t>unknown</t>
        </is>
      </c>
      <c r="CQ296" t="inlineStr">
        <is>
          <t>Coworking site: member headcount not sourced; treat as one office if the operator controls the pantry and ask the Tuesday count at intake.</t>
        </is>
      </c>
      <c r="CR296" t="inlineStr">
        <is>
          <t>estimate until intake replaces it</t>
        </is>
      </c>
      <c r="CS296" t="inlineStr">
        <is>
          <t>unknown</t>
        </is>
      </c>
      <c r="CT296" t="n">
        <v>36</v>
      </c>
      <c r="CU296" t="n">
        <v>7</v>
      </c>
      <c r="CV296" t="n">
        <v>8</v>
      </c>
      <c r="CW296" t="n">
        <v>6</v>
      </c>
      <c r="CX296" t="n">
        <v>15</v>
      </c>
      <c r="CY296">
        <f>IF(AH296="exact",10,IF(AH296="adjacent",5,0))</f>
        <v/>
      </c>
      <c r="CZ296">
        <f>IF(R296="Y",15,0)</f>
        <v/>
      </c>
      <c r="DF296" t="inlineStr">
        <is>
          <t>none</t>
        </is>
      </c>
      <c r="DG296" t="inlineStr">
        <is>
          <t>coworking-operator</t>
        </is>
      </c>
      <c r="DK296" t="inlineStr">
        <is>
          <t>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is>
      </c>
      <c r="DS296" t="inlineStr">
        <is>
          <t>none</t>
        </is>
      </c>
      <c r="DX296" t="inlineStr">
        <is>
          <t>N</t>
        </is>
      </c>
      <c r="DZ296" t="inlineStr">
        <is>
          <t>parent 'resident company club' shared with AO-W-025</t>
        </is>
      </c>
      <c r="ER296">
        <f>IF(ISNUMBER(MATCH(U296,{"queued","contacted","replied","call_booked","call_done","yes_in_principle","materials_sent"},0)),"Y","N")</f>
        <v/>
      </c>
      <c r="ES296">
        <f>IF(COUNTIFS($AP$2:$AP$1000,AP296,$ER$2:$ER$1000,"Y")+COUNTIFS($AP$2:$AP$1000,AP296,$T$2:$T$1000,"Y")&gt;0,"Y","N")</f>
        <v/>
      </c>
      <c r="ET296">
        <f>IF(AND(U296="new",T296="N",AT296="Y",AS296="",ES296="N"),"Y","N")</f>
        <v/>
      </c>
      <c r="EU296">
        <f>IF(ET296&lt;&gt;"Y","N",IF(COUNTIFS($AP$2:$AP$1000,AP296,$ET$2:$ET$1000,"Y",$J$2:$J$1000,"&gt;"&amp;J296)+COUNTIFS($AP$2:$AP$1000,AP296,$ET$2:$ET$1000,"Y",$J$2:$J$1000,J296,$EW$2:$EW$1000,"&lt;"&amp;EW296)=0,"Y","N"))</f>
        <v/>
      </c>
      <c r="EV296">
        <f>IF(Y296="","N",IF(Y296&lt;=10,"Y","N"))</f>
        <v/>
      </c>
      <c r="EW296">
        <f>ROW()-1</f>
        <v/>
      </c>
    </row>
    <row r="297">
      <c r="A297" t="inlineStr">
        <is>
          <t>AO-W-025</t>
        </is>
      </c>
      <c r="B297" t="inlineStr">
        <is>
          <t>Resident Union Square</t>
        </is>
      </c>
      <c r="H297" t="inlineStr">
        <is>
          <t>none</t>
        </is>
      </c>
      <c r="I297" t="inlineStr">
        <is>
          <t>linkedin</t>
        </is>
      </c>
      <c r="J297">
        <f>IF(AX297="pass",ROUND(CU297+CV297+CW297+CX297+CY297+CZ297,1),0)</f>
        <v/>
      </c>
      <c r="K297" t="inlineStr">
        <is>
          <t>Gated out: outside the cluster (0.2 blocks outside the line).</t>
        </is>
      </c>
      <c r="L297" t="inlineStr">
        <is>
          <t>unknown</t>
        </is>
      </c>
      <c r="R297" t="inlineStr">
        <is>
          <t>N</t>
        </is>
      </c>
      <c r="S297" t="inlineStr">
        <is>
          <t>unknown</t>
        </is>
      </c>
      <c r="T297" t="inlineStr">
        <is>
          <t>N</t>
        </is>
      </c>
      <c r="U297" t="inlineStr">
        <is>
          <t>new</t>
        </is>
      </c>
      <c r="V297" t="inlineStr">
        <is>
          <t>https://commercialobserver.com/2025/12/coworking-resident-company-club-lease-113-university-place/</t>
        </is>
      </c>
      <c r="W297" t="inlineStr">
        <is>
          <t>2026-10-23</t>
        </is>
      </c>
      <c r="X297" t="inlineStr">
        <is>
          <t>office</t>
        </is>
      </c>
      <c r="Y297">
        <f>IF(EU297&lt;&gt;"Y","",COUNTIFS($EU$2:$EU$1000,"Y",$J$2:$J$1000,"&gt;"&amp;J297)+COUNTIFS($EU$2:$EU$1000,"Y",$J$2:$J$1000,J297,$EW$2:$EW$1000,"&lt;"&amp;EW297)+1)</f>
        <v/>
      </c>
      <c r="AA297" t="inlineStr">
        <is>
          <t>N</t>
        </is>
      </c>
      <c r="AD297" t="inlineStr">
        <is>
          <t>none</t>
        </is>
      </c>
      <c r="AH297" t="inlineStr">
        <is>
          <t>none</t>
        </is>
      </c>
      <c r="AI297" t="inlineStr">
        <is>
          <t>113 University Place, Floors 4-5, New York, NY 10003</t>
        </is>
      </c>
      <c r="AJ297" t="inlineStr">
        <is>
          <t>Floors 4-5</t>
        </is>
      </c>
      <c r="AK297" t="inlineStr">
        <is>
          <t>open</t>
        </is>
      </c>
      <c r="AL297" t="inlineStr">
        <is>
          <t>unknown</t>
        </is>
      </c>
      <c r="AM297" t="inlineStr">
        <is>
          <t>unknown</t>
        </is>
      </c>
      <c r="AN297" t="inlineStr">
        <is>
          <t>none</t>
        </is>
      </c>
      <c r="AO297" t="inlineStr">
        <is>
          <t>unknown</t>
        </is>
      </c>
      <c r="AP297" t="inlineStr">
        <is>
          <t>grp-W025-W028</t>
        </is>
      </c>
      <c r="AQ297" t="inlineStr">
        <is>
          <t>N</t>
        </is>
      </c>
      <c r="AT297">
        <f>IF(AND(AX297="pass",AQ297&lt;&gt;"Y",C297&lt;&gt;"",OR(AW297&lt;&gt;"Y",AV297="Y")),"Y","N")</f>
        <v/>
      </c>
      <c r="AU297">
        <f>_xlfn.TEXTJOIN("; ",TRUE,IF(AX297&lt;&gt;"pass","gated out",""),IF(AQ297="Y","on hold: "&amp;AR297,""),IF(C297="","no contact named on an opened page",""),IF(AND(AW297="Y",AV297&lt;&gt;"Y"),"Tuesday estimate band "&amp;L297&amp;": founder's call",""))</f>
        <v/>
      </c>
      <c r="AW297" t="inlineStr">
        <is>
          <t>N</t>
        </is>
      </c>
      <c r="AX297" t="inlineStr">
        <is>
          <t>fail</t>
        </is>
      </c>
      <c r="AY297" t="inlineStr">
        <is>
          <t>outside the cluster (0.2 blocks outside the line)</t>
        </is>
      </c>
      <c r="AZ297" t="inlineStr">
        <is>
          <t>coworking-operator</t>
        </is>
      </c>
      <c r="BA297" t="inlineStr">
        <is>
          <t>B-W-025</t>
        </is>
      </c>
      <c r="BB297" t="inlineStr">
        <is>
          <t>https://commercialobserver.com</t>
        </is>
      </c>
      <c r="BC297" t="inlineStr">
        <is>
          <t>coworking operator</t>
        </is>
      </c>
      <c r="BD297" t="inlineStr">
        <is>
          <t>unknown</t>
        </is>
      </c>
      <c r="BF297" t="inlineStr">
        <is>
          <t>unknown</t>
        </is>
      </c>
      <c r="BG297" t="inlineStr">
        <is>
          <t>unknown</t>
        </is>
      </c>
      <c r="BK297" t="inlineStr">
        <is>
          <t>unknown</t>
        </is>
      </c>
      <c r="BL297" t="inlineStr">
        <is>
          <t>n/a (operator site)</t>
        </is>
      </c>
      <c r="BM297" t="inlineStr">
        <is>
          <t>unknown</t>
        </is>
      </c>
      <c r="BN297" t="inlineStr">
        <is>
          <t>Resident Company Club</t>
        </is>
      </c>
      <c r="BP297" t="inlineStr">
        <is>
          <t>10003</t>
        </is>
      </c>
      <c r="BQ297" t="n">
        <v>40.734347</v>
      </c>
      <c r="BR297" t="n">
        <v>-73.99222899999999</v>
      </c>
      <c r="BS297" t="inlineStr">
        <is>
          <t>N</t>
        </is>
      </c>
      <c r="BT297" t="n">
        <v>0.2</v>
      </c>
      <c r="BV297" t="inlineStr">
        <is>
          <t>unknown</t>
        </is>
      </c>
      <c r="BW297" t="inlineStr">
        <is>
          <t>https://commercialobserver.com/2025/12/coworking-resident-company-club-lease-113-university-place/</t>
        </is>
      </c>
      <c r="BX297" t="inlineStr">
        <is>
          <t>2025-12-04</t>
        </is>
      </c>
      <c r="BY297" t="inlineStr">
        <is>
          <t>operator-site</t>
        </is>
      </c>
      <c r="BZ297" t="inlineStr">
        <is>
          <t>https://residentcompanyclub.com/</t>
        </is>
      </c>
      <c r="CC297" t="inlineStr">
        <is>
          <t>high</t>
        </is>
      </c>
      <c r="CE297" t="inlineStr">
        <is>
          <t>N</t>
        </is>
      </c>
      <c r="CF297" t="inlineStr">
        <is>
          <t>B-W-025</t>
        </is>
      </c>
      <c r="CG297" t="inlineStr">
        <is>
          <t>operator</t>
        </is>
      </c>
      <c r="CH297" t="inlineStr">
        <is>
          <t>unknown</t>
        </is>
      </c>
      <c r="CJ297" t="inlineStr">
        <is>
          <t>unknown</t>
        </is>
      </c>
      <c r="CK297" t="inlineStr">
        <is>
          <t>N</t>
        </is>
      </c>
      <c r="CL297" t="inlineStr">
        <is>
          <t>unknown</t>
        </is>
      </c>
      <c r="CO297" t="inlineStr">
        <is>
          <t>unknown</t>
        </is>
      </c>
      <c r="CQ297" t="inlineStr">
        <is>
          <t>Coworking site: member headcount not sourced; treat as one office if the operator controls the pantry and ask the Tuesday count at intake.</t>
        </is>
      </c>
      <c r="CR297" t="inlineStr">
        <is>
          <t>estimate until intake replaces it</t>
        </is>
      </c>
      <c r="CS297" t="inlineStr">
        <is>
          <t>unknown</t>
        </is>
      </c>
      <c r="CT297" t="n">
        <v>36</v>
      </c>
      <c r="CU297" t="n">
        <v>7</v>
      </c>
      <c r="CV297" t="n">
        <v>8</v>
      </c>
      <c r="CW297" t="n">
        <v>6</v>
      </c>
      <c r="CX297" t="n">
        <v>15</v>
      </c>
      <c r="CY297">
        <f>IF(AH297="exact",10,IF(AH297="adjacent",5,0))</f>
        <v/>
      </c>
      <c r="CZ297">
        <f>IF(R297="Y",15,0)</f>
        <v/>
      </c>
      <c r="DF297" t="inlineStr">
        <is>
          <t>none</t>
        </is>
      </c>
      <c r="DG297" t="inlineStr">
        <is>
          <t>coworking-operator</t>
        </is>
      </c>
      <c r="DK297" t="inlineStr">
        <is>
          <t>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is>
      </c>
      <c r="DS297" t="inlineStr">
        <is>
          <t>none</t>
        </is>
      </c>
      <c r="DX297" t="inlineStr">
        <is>
          <t>N</t>
        </is>
      </c>
      <c r="DZ297" t="inlineStr">
        <is>
          <t>parent 'resident company club' shared with AO-W-028</t>
        </is>
      </c>
      <c r="ER297">
        <f>IF(ISNUMBER(MATCH(U297,{"queued","contacted","replied","call_booked","call_done","yes_in_principle","materials_sent"},0)),"Y","N")</f>
        <v/>
      </c>
      <c r="ES297">
        <f>IF(COUNTIFS($AP$2:$AP$1000,AP297,$ER$2:$ER$1000,"Y")+COUNTIFS($AP$2:$AP$1000,AP297,$T$2:$T$1000,"Y")&gt;0,"Y","N")</f>
        <v/>
      </c>
      <c r="ET297">
        <f>IF(AND(U297="new",T297="N",AT297="Y",AS297="",ES297="N"),"Y","N")</f>
        <v/>
      </c>
      <c r="EU297">
        <f>IF(ET297&lt;&gt;"Y","N",IF(COUNTIFS($AP$2:$AP$1000,AP297,$ET$2:$ET$1000,"Y",$J$2:$J$1000,"&gt;"&amp;J297)+COUNTIFS($AP$2:$AP$1000,AP297,$ET$2:$ET$1000,"Y",$J$2:$J$1000,J297,$EW$2:$EW$1000,"&lt;"&amp;EW297)=0,"Y","N"))</f>
        <v/>
      </c>
      <c r="EV297">
        <f>IF(Y297="","N",IF(Y297&lt;=10,"Y","N"))</f>
        <v/>
      </c>
      <c r="EW297">
        <f>ROW()-1</f>
        <v/>
      </c>
    </row>
    <row r="298">
      <c r="A298" t="inlineStr">
        <is>
          <t>AO-C-276</t>
        </is>
      </c>
      <c r="B298" t="inlineStr">
        <is>
          <t>The Ancillary Project</t>
        </is>
      </c>
      <c r="H298" t="inlineStr">
        <is>
          <t>none</t>
        </is>
      </c>
      <c r="I298" t="inlineStr">
        <is>
          <t>linkedin</t>
        </is>
      </c>
      <c r="J298">
        <f>IF(AX298="pass",ROUND(CU298+CV298+CW298+CX298+CY298+CZ298,1),0)</f>
        <v/>
      </c>
      <c r="K298" t="inlineStr">
        <is>
          <t>Gated out: outside the cluster (0.2 blocks outside the line).</t>
        </is>
      </c>
      <c r="L298" t="inlineStr">
        <is>
          <t>unknown</t>
        </is>
      </c>
      <c r="O298" t="inlineStr">
        <is>
          <t>New or renewed lease at 36 East 31st Street reported 2026-01-12</t>
        </is>
      </c>
      <c r="P298" t="inlineStr">
        <is>
          <t>https://commercialobserver.com/2026/01/ancillary-project-lease-36-east-31st-street/</t>
        </is>
      </c>
      <c r="Q298" t="inlineStr">
        <is>
          <t>2026-01-12</t>
        </is>
      </c>
      <c r="R298" t="inlineStr">
        <is>
          <t>N</t>
        </is>
      </c>
      <c r="S298" t="inlineStr">
        <is>
          <t>unknown</t>
        </is>
      </c>
      <c r="T298" t="inlineStr">
        <is>
          <t>N</t>
        </is>
      </c>
      <c r="U298" t="inlineStr">
        <is>
          <t>new</t>
        </is>
      </c>
      <c r="V298" t="inlineStr">
        <is>
          <t>https://commercialobserver.com/2026/01/ancillary-project-lease-36-east-31st-street/</t>
        </is>
      </c>
      <c r="W298" t="inlineStr">
        <is>
          <t>2026-10-23</t>
        </is>
      </c>
      <c r="X298" t="inlineStr">
        <is>
          <t>office</t>
        </is>
      </c>
      <c r="Y298">
        <f>IF(EU298&lt;&gt;"Y","",COUNTIFS($EU$2:$EU$1000,"Y",$J$2:$J$1000,"&gt;"&amp;J298)+COUNTIFS($EU$2:$EU$1000,"Y",$J$2:$J$1000,J298,$EW$2:$EW$1000,"&lt;"&amp;EW298)+1)</f>
        <v/>
      </c>
      <c r="AA298" t="inlineStr">
        <is>
          <t>N</t>
        </is>
      </c>
      <c r="AD298" t="inlineStr">
        <is>
          <t>none</t>
        </is>
      </c>
      <c r="AH298" t="inlineStr">
        <is>
          <t>none</t>
        </is>
      </c>
      <c r="AI298" t="inlineStr">
        <is>
          <t>36 East 31st Street</t>
        </is>
      </c>
      <c r="AJ298" t="inlineStr">
        <is>
          <t>4 (part)</t>
        </is>
      </c>
      <c r="AK298" t="inlineStr">
        <is>
          <t>occupied</t>
        </is>
      </c>
      <c r="AL298" t="inlineStr">
        <is>
          <t>unknown</t>
        </is>
      </c>
      <c r="AM298" t="inlineStr">
        <is>
          <t>unknown</t>
        </is>
      </c>
      <c r="AN298" t="inlineStr">
        <is>
          <t>none</t>
        </is>
      </c>
      <c r="AO298" t="inlineStr">
        <is>
          <t>unknown</t>
        </is>
      </c>
      <c r="AP298" t="inlineStr">
        <is>
          <t>AO-C-276</t>
        </is>
      </c>
      <c r="AQ298" t="inlineStr">
        <is>
          <t>N</t>
        </is>
      </c>
      <c r="AT298">
        <f>IF(AND(AX298="pass",AQ298&lt;&gt;"Y",C298&lt;&gt;"",OR(AW298&lt;&gt;"Y",AV298="Y")),"Y","N")</f>
        <v/>
      </c>
      <c r="AU298">
        <f>_xlfn.TEXTJOIN("; ",TRUE,IF(AX298&lt;&gt;"pass","gated out",""),IF(AQ298="Y","on hold: "&amp;AR298,""),IF(C298="","no contact named on an opened page",""),IF(AND(AW298="Y",AV298&lt;&gt;"Y"),"Tuesday estimate band "&amp;L298&amp;": founder's call",""))</f>
        <v/>
      </c>
      <c r="AW298" t="inlineStr">
        <is>
          <t>N</t>
        </is>
      </c>
      <c r="AX298" t="inlineStr">
        <is>
          <t>fail</t>
        </is>
      </c>
      <c r="AY298" t="inlineStr">
        <is>
          <t>outside the cluster (0.2 blocks outside the line)</t>
        </is>
      </c>
      <c r="AZ298" t="inlineStr">
        <is>
          <t>company</t>
        </is>
      </c>
      <c r="BA298" t="inlineStr">
        <is>
          <t>B-C-276</t>
        </is>
      </c>
      <c r="BB298" t="inlineStr">
        <is>
          <t>https://theancillaryproject.com</t>
        </is>
      </c>
      <c r="BC298" t="inlineStr">
        <is>
          <t>creative studio (design and branding)</t>
        </is>
      </c>
      <c r="BD298" t="inlineStr">
        <is>
          <t>unknown</t>
        </is>
      </c>
      <c r="BF298" t="inlineStr">
        <is>
          <t>unknown</t>
        </is>
      </c>
      <c r="BG298" t="inlineStr">
        <is>
          <t>unknown</t>
        </is>
      </c>
      <c r="BH298" t="inlineStr">
        <is>
          <t>no-count</t>
        </is>
      </c>
      <c r="BK298" t="inlineStr">
        <is>
          <t>unknown</t>
        </is>
      </c>
      <c r="BL298" t="inlineStr">
        <is>
          <t>unknown</t>
        </is>
      </c>
      <c r="BM298" t="inlineStr">
        <is>
          <t>unknown</t>
        </is>
      </c>
      <c r="BN298" t="inlineStr">
        <is>
          <t>unknown</t>
        </is>
      </c>
      <c r="BO298" t="inlineStr">
        <is>
          <t>unknown</t>
        </is>
      </c>
      <c r="BP298" t="inlineStr">
        <is>
          <t>10016</t>
        </is>
      </c>
      <c r="BQ298" t="n">
        <v>40.745308</v>
      </c>
      <c r="BR298" t="n">
        <v>-73.98356</v>
      </c>
      <c r="BS298" t="inlineStr">
        <is>
          <t>N</t>
        </is>
      </c>
      <c r="BT298" t="n">
        <v>0.2</v>
      </c>
      <c r="BV298" t="inlineStr">
        <is>
          <t>unknown</t>
        </is>
      </c>
      <c r="BW298" t="inlineStr">
        <is>
          <t>https://commercialobserver.com/2026/01/ancillary-project-lease-36-east-31st-street/</t>
        </is>
      </c>
      <c r="BX298" t="inlineStr">
        <is>
          <t>2026-01-12</t>
        </is>
      </c>
      <c r="BY298" t="inlineStr">
        <is>
          <t>leasing-press</t>
        </is>
      </c>
      <c r="BZ298" t="inlineStr">
        <is>
          <t>https://theancillaryproject.com/</t>
        </is>
      </c>
      <c r="CA298" t="inlineStr">
        <is>
          <t>2026-10-23</t>
        </is>
      </c>
      <c r="CC298" t="inlineStr">
        <is>
          <t>high</t>
        </is>
      </c>
      <c r="CE298" t="inlineStr">
        <is>
          <t>N</t>
        </is>
      </c>
      <c r="CH298" t="inlineStr">
        <is>
          <t>unknown</t>
        </is>
      </c>
      <c r="CJ298" t="inlineStr">
        <is>
          <t>unknown</t>
        </is>
      </c>
      <c r="CK298" t="inlineStr">
        <is>
          <t>N</t>
        </is>
      </c>
      <c r="CL298" t="inlineStr">
        <is>
          <t>unknown</t>
        </is>
      </c>
      <c r="CO298" t="inlineStr">
        <is>
          <t>unknown</t>
        </is>
      </c>
      <c r="CQ298" t="inlineStr">
        <is>
          <t>No sourced headcount, so no Tuesday estimate; ask the Tuesday count at intake.</t>
        </is>
      </c>
      <c r="CR298" t="inlineStr">
        <is>
          <t>estimate until intake replaces it</t>
        </is>
      </c>
      <c r="CS298" t="inlineStr">
        <is>
          <t>unknown</t>
        </is>
      </c>
      <c r="CT298" t="n">
        <v>36</v>
      </c>
      <c r="CU298" t="n">
        <v>7</v>
      </c>
      <c r="CV298" t="n">
        <v>8</v>
      </c>
      <c r="CW298" t="n">
        <v>6</v>
      </c>
      <c r="CX298" t="n">
        <v>15</v>
      </c>
      <c r="CY298">
        <f>IF(AH298="exact",10,IF(AH298="adjacent",5,0))</f>
        <v/>
      </c>
      <c r="CZ298">
        <f>IF(R298="Y",15,0)</f>
        <v/>
      </c>
      <c r="DF298" t="inlineStr">
        <is>
          <t>none</t>
        </is>
      </c>
      <c r="DG298" t="inlineStr">
        <is>
          <t>near-miss-outside</t>
        </is>
      </c>
      <c r="DH298" t="inlineStr">
        <is>
          <t>outside-line</t>
        </is>
      </c>
      <c r="DI298" t="inlineStr">
        <is>
          <t>N</t>
        </is>
      </c>
      <c r="DJ298" t="inlineStr">
        <is>
          <t>5,851 sf</t>
        </is>
      </c>
      <c r="DK298" t="inlineStr">
        <is>
          <t>CO 2026-01-12: 5,851 SF office and showroom on part of floor 4. Site lists Showroom 36 East 31st Street. Margin row (31st St). Headcount not sourced; founder to confirm at intake.</t>
        </is>
      </c>
      <c r="DS298" t="inlineStr">
        <is>
          <t>none</t>
        </is>
      </c>
      <c r="DX298" t="inlineStr">
        <is>
          <t>N</t>
        </is>
      </c>
      <c r="ER298">
        <f>IF(ISNUMBER(MATCH(U298,{"queued","contacted","replied","call_booked","call_done","yes_in_principle","materials_sent"},0)),"Y","N")</f>
        <v/>
      </c>
      <c r="ES298">
        <f>IF(COUNTIFS($AP$2:$AP$1000,AP298,$ER$2:$ER$1000,"Y")+COUNTIFS($AP$2:$AP$1000,AP298,$T$2:$T$1000,"Y")&gt;0,"Y","N")</f>
        <v/>
      </c>
      <c r="ET298">
        <f>IF(AND(U298="new",T298="N",AT298="Y",AS298="",ES298="N"),"Y","N")</f>
        <v/>
      </c>
      <c r="EU298">
        <f>IF(ET298&lt;&gt;"Y","N",IF(COUNTIFS($AP$2:$AP$1000,AP298,$ET$2:$ET$1000,"Y",$J$2:$J$1000,"&gt;"&amp;J298)+COUNTIFS($AP$2:$AP$1000,AP298,$ET$2:$ET$1000,"Y",$J$2:$J$1000,J298,$EW$2:$EW$1000,"&lt;"&amp;EW298)=0,"Y","N"))</f>
        <v/>
      </c>
      <c r="EV298">
        <f>IF(Y298="","N",IF(Y298&lt;=10,"Y","N"))</f>
        <v/>
      </c>
      <c r="EW298">
        <f>ROW()-1</f>
        <v/>
      </c>
    </row>
    <row r="299">
      <c r="A299" t="inlineStr">
        <is>
          <t>AO-W-032</t>
        </is>
      </c>
      <c r="B299" t="inlineStr">
        <is>
          <t>Corporate Suites Two Park Avenue</t>
        </is>
      </c>
      <c r="H299" t="inlineStr">
        <is>
          <t>none</t>
        </is>
      </c>
      <c r="I299" t="inlineStr">
        <is>
          <t>linkedin</t>
        </is>
      </c>
      <c r="J299">
        <f>IF(AX299="pass",ROUND(CU299+CV299+CW299+CX299+CY299+CZ299,1),0)</f>
        <v/>
      </c>
      <c r="K299" t="inlineStr">
        <is>
          <t>Gated out: outside the cluster (2.0 blocks outside the line).</t>
        </is>
      </c>
      <c r="L299" t="inlineStr">
        <is>
          <t>unknown</t>
        </is>
      </c>
      <c r="R299" t="inlineStr">
        <is>
          <t>N</t>
        </is>
      </c>
      <c r="S299" t="inlineStr">
        <is>
          <t>unknown</t>
        </is>
      </c>
      <c r="T299" t="inlineStr">
        <is>
          <t>N</t>
        </is>
      </c>
      <c r="U299" t="inlineStr">
        <is>
          <t>new</t>
        </is>
      </c>
      <c r="V299" t="inlineStr">
        <is>
          <t>https://www.corporatesuites.com/</t>
        </is>
      </c>
      <c r="W299" t="inlineStr">
        <is>
          <t>2026-10-23</t>
        </is>
      </c>
      <c r="X299" t="inlineStr">
        <is>
          <t>office</t>
        </is>
      </c>
      <c r="Y299">
        <f>IF(EU299&lt;&gt;"Y","",COUNTIFS($EU$2:$EU$1000,"Y",$J$2:$J$1000,"&gt;"&amp;J299)+COUNTIFS($EU$2:$EU$1000,"Y",$J$2:$J$1000,J299,$EW$2:$EW$1000,"&lt;"&amp;EW299)+1)</f>
        <v/>
      </c>
      <c r="AA299" t="inlineStr">
        <is>
          <t>N</t>
        </is>
      </c>
      <c r="AD299" t="inlineStr">
        <is>
          <t>none</t>
        </is>
      </c>
      <c r="AH299" t="inlineStr">
        <is>
          <t>none</t>
        </is>
      </c>
      <c r="AI299" t="inlineStr">
        <is>
          <t>2 Park Avenue, 20th Floor, New York, NY 10016</t>
        </is>
      </c>
      <c r="AJ299" t="inlineStr">
        <is>
          <t>20th Floor</t>
        </is>
      </c>
      <c r="AK299" t="inlineStr">
        <is>
          <t>open</t>
        </is>
      </c>
      <c r="AL299" t="inlineStr">
        <is>
          <t>unknown</t>
        </is>
      </c>
      <c r="AM299" t="inlineStr">
        <is>
          <t>unknown</t>
        </is>
      </c>
      <c r="AN299" t="inlineStr">
        <is>
          <t>none</t>
        </is>
      </c>
      <c r="AO299" t="inlineStr">
        <is>
          <t>unknown</t>
        </is>
      </c>
      <c r="AP299" t="inlineStr">
        <is>
          <t>AO-W-032</t>
        </is>
      </c>
      <c r="AQ299" t="inlineStr">
        <is>
          <t>N</t>
        </is>
      </c>
      <c r="AT299">
        <f>IF(AND(AX299="pass",AQ299&lt;&gt;"Y",C299&lt;&gt;"",OR(AW299&lt;&gt;"Y",AV299="Y")),"Y","N")</f>
        <v/>
      </c>
      <c r="AU299">
        <f>_xlfn.TEXTJOIN("; ",TRUE,IF(AX299&lt;&gt;"pass","gated out",""),IF(AQ299="Y","on hold: "&amp;AR299,""),IF(C299="","no contact named on an opened page",""),IF(AND(AW299="Y",AV299&lt;&gt;"Y"),"Tuesday estimate band "&amp;L299&amp;": founder's call",""))</f>
        <v/>
      </c>
      <c r="AW299" t="inlineStr">
        <is>
          <t>N</t>
        </is>
      </c>
      <c r="AX299" t="inlineStr">
        <is>
          <t>fail</t>
        </is>
      </c>
      <c r="AY299" t="inlineStr">
        <is>
          <t>outside the cluster (2.0 blocks outside the line)</t>
        </is>
      </c>
      <c r="AZ299" t="inlineStr">
        <is>
          <t>coworking-operator</t>
        </is>
      </c>
      <c r="BA299" t="inlineStr">
        <is>
          <t>B-W-032</t>
        </is>
      </c>
      <c r="BB299" t="inlineStr">
        <is>
          <t>https://www.corporatesuites.com</t>
        </is>
      </c>
      <c r="BC299" t="inlineStr">
        <is>
          <t>coworking operator</t>
        </is>
      </c>
      <c r="BD299" t="inlineStr">
        <is>
          <t>unknown</t>
        </is>
      </c>
      <c r="BF299" t="inlineStr">
        <is>
          <t>unknown</t>
        </is>
      </c>
      <c r="BG299" t="inlineStr">
        <is>
          <t>unknown</t>
        </is>
      </c>
      <c r="BK299" t="inlineStr">
        <is>
          <t>unknown</t>
        </is>
      </c>
      <c r="BL299" t="inlineStr">
        <is>
          <t>n/a (operator site)</t>
        </is>
      </c>
      <c r="BM299" t="inlineStr">
        <is>
          <t>unknown</t>
        </is>
      </c>
      <c r="BN299" t="inlineStr">
        <is>
          <t>Corporate Suites</t>
        </is>
      </c>
      <c r="BP299" t="inlineStr">
        <is>
          <t>10016</t>
        </is>
      </c>
      <c r="BQ299" t="n">
        <v>40.746221</v>
      </c>
      <c r="BR299" t="n">
        <v>-73.982288</v>
      </c>
      <c r="BS299" t="inlineStr">
        <is>
          <t>N</t>
        </is>
      </c>
      <c r="BT299" t="n">
        <v>2</v>
      </c>
      <c r="BV299" t="inlineStr">
        <is>
          <t>unknown</t>
        </is>
      </c>
      <c r="BW299" t="inlineStr">
        <is>
          <t>https://www.corporatesuites.com/</t>
        </is>
      </c>
      <c r="BX299" t="inlineStr">
        <is>
          <t>2026-10-23</t>
        </is>
      </c>
      <c r="BY299" t="inlineStr">
        <is>
          <t>operator-site</t>
        </is>
      </c>
      <c r="BZ299" t="inlineStr">
        <is>
          <t>https://api.deskpass.com/api/spaces/two-park-avenue-coworking</t>
        </is>
      </c>
      <c r="CC299" t="inlineStr">
        <is>
          <t>medium</t>
        </is>
      </c>
      <c r="CE299" t="inlineStr">
        <is>
          <t>N</t>
        </is>
      </c>
      <c r="CF299" t="inlineStr">
        <is>
          <t>B-W-032</t>
        </is>
      </c>
      <c r="CG299" t="inlineStr">
        <is>
          <t>operator</t>
        </is>
      </c>
      <c r="CH299" t="inlineStr">
        <is>
          <t>unknown</t>
        </is>
      </c>
      <c r="CJ299" t="inlineStr">
        <is>
          <t>unknown</t>
        </is>
      </c>
      <c r="CK299" t="inlineStr">
        <is>
          <t>N</t>
        </is>
      </c>
      <c r="CL299" t="inlineStr">
        <is>
          <t>unknown</t>
        </is>
      </c>
      <c r="CO299" t="inlineStr">
        <is>
          <t>unknown</t>
        </is>
      </c>
      <c r="CQ299" t="inlineStr">
        <is>
          <t>Coworking site: member headcount not sourced; treat as one office if the operator controls the pantry and ask the Tuesday count at intake.</t>
        </is>
      </c>
      <c r="CR299" t="inlineStr">
        <is>
          <t>estimate until intake replaces it</t>
        </is>
      </c>
      <c r="CS299" t="inlineStr">
        <is>
          <t>unknown</t>
        </is>
      </c>
      <c r="CT299" t="n">
        <v>34</v>
      </c>
      <c r="CU299" t="n">
        <v>7</v>
      </c>
      <c r="CV299" t="n">
        <v>8</v>
      </c>
      <c r="CW299" t="n">
        <v>6</v>
      </c>
      <c r="CX299" t="n">
        <v>13</v>
      </c>
      <c r="CY299">
        <f>IF(AH299="exact",10,IF(AH299="adjacent",5,0))</f>
        <v/>
      </c>
      <c r="CZ299">
        <f>IF(R299="Y",15,0)</f>
        <v/>
      </c>
      <c r="DF299" t="inlineStr">
        <is>
          <t>none</t>
        </is>
      </c>
      <c r="DG299" t="inlineStr">
        <is>
          <t>coworking-operator</t>
        </is>
      </c>
      <c r="DK299" t="inlineStr">
        <is>
          <t>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is>
      </c>
      <c r="DS299" t="inlineStr">
        <is>
          <t>none</t>
        </is>
      </c>
      <c r="DX299" t="inlineStr">
        <is>
          <t>N</t>
        </is>
      </c>
      <c r="ER299">
        <f>IF(ISNUMBER(MATCH(U299,{"queued","contacted","replied","call_booked","call_done","yes_in_principle","materials_sent"},0)),"Y","N")</f>
        <v/>
      </c>
      <c r="ES299">
        <f>IF(COUNTIFS($AP$2:$AP$1000,AP299,$ER$2:$ER$1000,"Y")+COUNTIFS($AP$2:$AP$1000,AP299,$T$2:$T$1000,"Y")&gt;0,"Y","N")</f>
        <v/>
      </c>
      <c r="ET299">
        <f>IF(AND(U299="new",T299="N",AT299="Y",AS299="",ES299="N"),"Y","N")</f>
        <v/>
      </c>
      <c r="EU299">
        <f>IF(ET299&lt;&gt;"Y","N",IF(COUNTIFS($AP$2:$AP$1000,AP299,$ET$2:$ET$1000,"Y",$J$2:$J$1000,"&gt;"&amp;J299)+COUNTIFS($AP$2:$AP$1000,AP299,$ET$2:$ET$1000,"Y",$J$2:$J$1000,J299,$EW$2:$EW$1000,"&lt;"&amp;EW299)=0,"Y","N"))</f>
        <v/>
      </c>
      <c r="EV299">
        <f>IF(Y299="","N",IF(Y299&lt;=10,"Y","N"))</f>
        <v/>
      </c>
      <c r="EW299">
        <f>ROW()-1</f>
        <v/>
      </c>
    </row>
    <row r="300">
      <c r="A300" t="inlineStr">
        <is>
          <t>AO-W-002</t>
        </is>
      </c>
      <c r="B300" t="inlineStr">
        <is>
          <t>Hub Seventeen, 114 Fifth Avenue</t>
        </is>
      </c>
      <c r="H300" t="inlineStr">
        <is>
          <t>none</t>
        </is>
      </c>
      <c r="I300" t="inlineStr">
        <is>
          <t>linkedin</t>
        </is>
      </c>
      <c r="J300">
        <f>IF(AX300="pass",ROUND(CU300+CV300+CW300+CX300+CY300+CZ300,1),0)</f>
        <v/>
      </c>
      <c r="K300" t="inlineStr">
        <is>
          <t>Gated out: operator control of the pantry not shown (pantry_control=unknown).</t>
        </is>
      </c>
      <c r="L300" t="inlineStr">
        <is>
          <t>unknown</t>
        </is>
      </c>
      <c r="R300" t="inlineStr">
        <is>
          <t>N</t>
        </is>
      </c>
      <c r="S300" t="inlineStr">
        <is>
          <t>unknown</t>
        </is>
      </c>
      <c r="T300" t="inlineStr">
        <is>
          <t>N</t>
        </is>
      </c>
      <c r="U300" t="inlineStr">
        <is>
          <t>new</t>
        </is>
      </c>
      <c r="V300" t="inlineStr">
        <is>
          <t>https://commercialobserver.com/2025/02/capital-one-expansion-114-fifth-avenue/</t>
        </is>
      </c>
      <c r="W300" t="inlineStr">
        <is>
          <t>2026-10-24</t>
        </is>
      </c>
      <c r="X300" t="inlineStr">
        <is>
          <t>office</t>
        </is>
      </c>
      <c r="Y300">
        <f>IF(EU300&lt;&gt;"Y","",COUNTIFS($EU$2:$EU$1000,"Y",$J$2:$J$1000,"&gt;"&amp;J300)+COUNTIFS($EU$2:$EU$1000,"Y",$J$2:$J$1000,J300,$EW$2:$EW$1000,"&lt;"&amp;EW300)+1)</f>
        <v/>
      </c>
      <c r="AA300" t="inlineStr">
        <is>
          <t>N</t>
        </is>
      </c>
      <c r="AD300" t="inlineStr">
        <is>
          <t>none</t>
        </is>
      </c>
      <c r="AH300" t="inlineStr">
        <is>
          <t>none</t>
        </is>
      </c>
      <c r="AI300" t="inlineStr">
        <is>
          <t>114 Fifth Avenue, New York, NY 10011</t>
        </is>
      </c>
      <c r="AJ300" t="inlineStr">
        <is>
          <t>unknown</t>
        </is>
      </c>
      <c r="AK300" t="inlineStr">
        <is>
          <t>unverified</t>
        </is>
      </c>
      <c r="AL300" t="inlineStr">
        <is>
          <t>unknown</t>
        </is>
      </c>
      <c r="AM300" t="inlineStr">
        <is>
          <t>unknown</t>
        </is>
      </c>
      <c r="AN300" t="inlineStr">
        <is>
          <t>none</t>
        </is>
      </c>
      <c r="AO300" t="inlineStr">
        <is>
          <t>unknown</t>
        </is>
      </c>
      <c r="AP300" t="inlineStr">
        <is>
          <t>AO-W-002</t>
        </is>
      </c>
      <c r="AQ300" t="inlineStr">
        <is>
          <t>N</t>
        </is>
      </c>
      <c r="AT300">
        <f>IF(AND(AX300="pass",AQ300&lt;&gt;"Y",C300&lt;&gt;"",OR(AW300&lt;&gt;"Y",AV300="Y")),"Y","N")</f>
        <v/>
      </c>
      <c r="AU300">
        <f>_xlfn.TEXTJOIN("; ",TRUE,IF(AX300&lt;&gt;"pass","gated out",""),IF(AQ300="Y","on hold: "&amp;AR300,""),IF(C300="","no contact named on an opened page",""),IF(AND(AW300="Y",AV300&lt;&gt;"Y"),"Tuesday estimate band "&amp;L300&amp;": founder's call",""))</f>
        <v/>
      </c>
      <c r="AW300" t="inlineStr">
        <is>
          <t>N</t>
        </is>
      </c>
      <c r="AX300" t="inlineStr">
        <is>
          <t>fail</t>
        </is>
      </c>
      <c r="AY300" t="inlineStr">
        <is>
          <t>operator control of the pantry not shown (pantry_control=unknown)</t>
        </is>
      </c>
      <c r="AZ300" t="inlineStr">
        <is>
          <t>coworking-operator</t>
        </is>
      </c>
      <c r="BA300" t="inlineStr">
        <is>
          <t>B-W-002</t>
        </is>
      </c>
      <c r="BB300" t="inlineStr">
        <is>
          <t>https://commercialobserver.com</t>
        </is>
      </c>
      <c r="BC300" t="inlineStr">
        <is>
          <t>coworking operator</t>
        </is>
      </c>
      <c r="BD300" t="inlineStr">
        <is>
          <t>unknown</t>
        </is>
      </c>
      <c r="BF300" t="inlineStr">
        <is>
          <t>unknown</t>
        </is>
      </c>
      <c r="BG300" t="inlineStr">
        <is>
          <t>unknown</t>
        </is>
      </c>
      <c r="BK300" t="inlineStr">
        <is>
          <t>unknown</t>
        </is>
      </c>
      <c r="BL300" t="inlineStr">
        <is>
          <t>n/a (operator site)</t>
        </is>
      </c>
      <c r="BM300" t="inlineStr">
        <is>
          <t>unknown</t>
        </is>
      </c>
      <c r="BN300" t="inlineStr">
        <is>
          <t>Hub Seventeen</t>
        </is>
      </c>
      <c r="BP300" t="inlineStr">
        <is>
          <t>10011</t>
        </is>
      </c>
      <c r="BQ300" t="n">
        <v>40.737788</v>
      </c>
      <c r="BR300" t="n">
        <v>-73.992555</v>
      </c>
      <c r="BS300" t="inlineStr">
        <is>
          <t>Y</t>
        </is>
      </c>
      <c r="BT300" t="n">
        <v>0</v>
      </c>
      <c r="BU300" t="inlineStr">
        <is>
          <t>B-B-009</t>
        </is>
      </c>
      <c r="BV300" t="inlineStr">
        <is>
          <t>114 Fifth Avenue</t>
        </is>
      </c>
      <c r="BW300" t="inlineStr">
        <is>
          <t>https://commercialobserver.com/2025/02/capital-one-expansion-114-fifth-avenue/</t>
        </is>
      </c>
      <c r="BX300" t="inlineStr">
        <is>
          <t>2025-02-11</t>
        </is>
      </c>
      <c r="BY300" t="inlineStr">
        <is>
          <t>operator-site</t>
        </is>
      </c>
      <c r="CC300" t="inlineStr">
        <is>
          <t>medium</t>
        </is>
      </c>
      <c r="CE300" t="inlineStr">
        <is>
          <t>N</t>
        </is>
      </c>
      <c r="CF300" t="inlineStr">
        <is>
          <t>B-W-002</t>
        </is>
      </c>
      <c r="CG300" t="inlineStr">
        <is>
          <t>unknown</t>
        </is>
      </c>
      <c r="CH300" t="inlineStr">
        <is>
          <t>unknown</t>
        </is>
      </c>
      <c r="CJ300" t="inlineStr">
        <is>
          <t>unknown</t>
        </is>
      </c>
      <c r="CK300" t="inlineStr">
        <is>
          <t>N</t>
        </is>
      </c>
      <c r="CL300" t="inlineStr">
        <is>
          <t>unknown</t>
        </is>
      </c>
      <c r="CO300" t="inlineStr">
        <is>
          <t>unknown</t>
        </is>
      </c>
      <c r="CQ300" t="inlineStr">
        <is>
          <t>Coworking site: member headcount not sourced; treat as one office if the operator controls the pantry and ask the Tuesday count at intake.</t>
        </is>
      </c>
      <c r="CR300" t="inlineStr">
        <is>
          <t>estimate until intake replaces it</t>
        </is>
      </c>
      <c r="CS300" t="inlineStr">
        <is>
          <t>unknown</t>
        </is>
      </c>
      <c r="CT300" t="n">
        <v>26</v>
      </c>
      <c r="CU300" t="n">
        <v>7</v>
      </c>
      <c r="CV300" t="n">
        <v>8</v>
      </c>
      <c r="CW300" t="n">
        <v>6</v>
      </c>
      <c r="CX300" t="n">
        <v>5</v>
      </c>
      <c r="CY300">
        <f>IF(AH300="exact",10,IF(AH300="adjacent",5,0))</f>
        <v/>
      </c>
      <c r="CZ300">
        <f>IF(R300="Y",15,0)</f>
        <v/>
      </c>
      <c r="DF300" t="inlineStr">
        <is>
          <t>none</t>
        </is>
      </c>
      <c r="DG300" t="inlineStr">
        <is>
          <t>coworking-operator</t>
        </is>
      </c>
      <c r="DK300" t="inlineStr">
        <is>
          <t>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is>
      </c>
      <c r="DS300" t="inlineStr">
        <is>
          <t>none</t>
        </is>
      </c>
      <c r="DX300" t="inlineStr">
        <is>
          <t>N</t>
        </is>
      </c>
      <c r="ER300">
        <f>IF(ISNUMBER(MATCH(U300,{"queued","contacted","replied","call_booked","call_done","yes_in_principle","materials_sent"},0)),"Y","N")</f>
        <v/>
      </c>
      <c r="ES300">
        <f>IF(COUNTIFS($AP$2:$AP$1000,AP300,$ER$2:$ER$1000,"Y")+COUNTIFS($AP$2:$AP$1000,AP300,$T$2:$T$1000,"Y")&gt;0,"Y","N")</f>
        <v/>
      </c>
      <c r="ET300">
        <f>IF(AND(U300="new",T300="N",AT300="Y",AS300="",ES300="N"),"Y","N")</f>
        <v/>
      </c>
      <c r="EU300">
        <f>IF(ET300&lt;&gt;"Y","N",IF(COUNTIFS($AP$2:$AP$1000,AP300,$ET$2:$ET$1000,"Y",$J$2:$J$1000,"&gt;"&amp;J300)+COUNTIFS($AP$2:$AP$1000,AP300,$ET$2:$ET$1000,"Y",$J$2:$J$1000,J300,$EW$2:$EW$1000,"&lt;"&amp;EW300)=0,"Y","N"))</f>
        <v/>
      </c>
      <c r="EV300">
        <f>IF(Y300="","N",IF(Y300&lt;=10,"Y","N"))</f>
        <v/>
      </c>
      <c r="EW300">
        <f>ROW()-1</f>
        <v/>
      </c>
    </row>
    <row r="301">
      <c r="A301" t="inlineStr">
        <is>
          <t>AO-W-027</t>
        </is>
      </c>
      <c r="B301" t="inlineStr">
        <is>
          <t>Indy by Industrious Gramercy Park</t>
        </is>
      </c>
      <c r="H301" t="inlineStr">
        <is>
          <t>none</t>
        </is>
      </c>
      <c r="I301" t="inlineStr">
        <is>
          <t>linkedin</t>
        </is>
      </c>
      <c r="J301">
        <f>IF(AX301="pass",ROUND(CU301+CV301+CW301+CX301+CY301+CZ301,1),0)</f>
        <v/>
      </c>
      <c r="K301" t="inlineStr">
        <is>
          <t>Gated out: outside the cluster (0.3 blocks outside the line).</t>
        </is>
      </c>
      <c r="L301" t="inlineStr">
        <is>
          <t>unknown</t>
        </is>
      </c>
      <c r="R301" t="inlineStr">
        <is>
          <t>N</t>
        </is>
      </c>
      <c r="S301" t="inlineStr">
        <is>
          <t>unknown</t>
        </is>
      </c>
      <c r="T301" t="inlineStr">
        <is>
          <t>N</t>
        </is>
      </c>
      <c r="U301" t="inlineStr">
        <is>
          <t>new</t>
        </is>
      </c>
      <c r="V301" t="inlineStr">
        <is>
          <t>https://www.industriousoffice.com/m/new-york-city</t>
        </is>
      </c>
      <c r="W301" t="inlineStr">
        <is>
          <t>2026-10-23</t>
        </is>
      </c>
      <c r="X301" t="inlineStr">
        <is>
          <t>office</t>
        </is>
      </c>
      <c r="Y301">
        <f>IF(EU301&lt;&gt;"Y","",COUNTIFS($EU$2:$EU$1000,"Y",$J$2:$J$1000,"&gt;"&amp;J301)+COUNTIFS($EU$2:$EU$1000,"Y",$J$2:$J$1000,J301,$EW$2:$EW$1000,"&lt;"&amp;EW301)+1)</f>
        <v/>
      </c>
      <c r="AA301" t="inlineStr">
        <is>
          <t>N</t>
        </is>
      </c>
      <c r="AD301" t="inlineStr">
        <is>
          <t>none</t>
        </is>
      </c>
      <c r="AH301" t="inlineStr">
        <is>
          <t>none</t>
        </is>
      </c>
      <c r="AI301" t="inlineStr">
        <is>
          <t>120 East 23rd Street, 4th Floor, New York, NY 10010</t>
        </is>
      </c>
      <c r="AJ301" t="inlineStr">
        <is>
          <t>4th Floor</t>
        </is>
      </c>
      <c r="AK301" t="inlineStr">
        <is>
          <t>open</t>
        </is>
      </c>
      <c r="AL301" t="inlineStr">
        <is>
          <t>unknown</t>
        </is>
      </c>
      <c r="AM301" t="inlineStr">
        <is>
          <t>unknown</t>
        </is>
      </c>
      <c r="AN301" t="inlineStr">
        <is>
          <t>none</t>
        </is>
      </c>
      <c r="AO301" t="inlineStr">
        <is>
          <t>unknown</t>
        </is>
      </c>
      <c r="AP301" t="inlineStr">
        <is>
          <t>grp-W003-W005-W007-W008-W014-W016-W027</t>
        </is>
      </c>
      <c r="AQ301" t="inlineStr">
        <is>
          <t>N</t>
        </is>
      </c>
      <c r="AT301">
        <f>IF(AND(AX301="pass",AQ301&lt;&gt;"Y",C301&lt;&gt;"",OR(AW301&lt;&gt;"Y",AV301="Y")),"Y","N")</f>
        <v/>
      </c>
      <c r="AU301">
        <f>_xlfn.TEXTJOIN("; ",TRUE,IF(AX301&lt;&gt;"pass","gated out",""),IF(AQ301="Y","on hold: "&amp;AR301,""),IF(C301="","no contact named on an opened page",""),IF(AND(AW301="Y",AV301&lt;&gt;"Y"),"Tuesday estimate band "&amp;L301&amp;": founder's call",""))</f>
        <v/>
      </c>
      <c r="AW301" t="inlineStr">
        <is>
          <t>N</t>
        </is>
      </c>
      <c r="AX301" t="inlineStr">
        <is>
          <t>fail</t>
        </is>
      </c>
      <c r="AY301" t="inlineStr">
        <is>
          <t>outside the cluster (0.3 blocks outside the line)</t>
        </is>
      </c>
      <c r="AZ301" t="inlineStr">
        <is>
          <t>coworking-operator</t>
        </is>
      </c>
      <c r="BA301" t="inlineStr">
        <is>
          <t>B-W-027</t>
        </is>
      </c>
      <c r="BB301" t="inlineStr">
        <is>
          <t>https://www.industriousoffice.com</t>
        </is>
      </c>
      <c r="BC301" t="inlineStr">
        <is>
          <t>coworking operator</t>
        </is>
      </c>
      <c r="BD301" t="inlineStr">
        <is>
          <t>unknown</t>
        </is>
      </c>
      <c r="BF301" t="inlineStr">
        <is>
          <t>unknown</t>
        </is>
      </c>
      <c r="BG301" t="inlineStr">
        <is>
          <t>unknown</t>
        </is>
      </c>
      <c r="BK301" t="inlineStr">
        <is>
          <t>unknown</t>
        </is>
      </c>
      <c r="BL301" t="inlineStr">
        <is>
          <t>n/a (operator site)</t>
        </is>
      </c>
      <c r="BM301" t="inlineStr">
        <is>
          <t>unknown</t>
        </is>
      </c>
      <c r="BN301" t="inlineStr">
        <is>
          <t>Industrious</t>
        </is>
      </c>
      <c r="BP301" t="inlineStr">
        <is>
          <t>10010</t>
        </is>
      </c>
      <c r="BQ301" t="n">
        <v>40.739621</v>
      </c>
      <c r="BR301" t="n">
        <v>-73.985632</v>
      </c>
      <c r="BS301" t="inlineStr">
        <is>
          <t>N</t>
        </is>
      </c>
      <c r="BT301" t="n">
        <v>0.3</v>
      </c>
      <c r="BV301" t="inlineStr">
        <is>
          <t>unknown</t>
        </is>
      </c>
      <c r="BW301" t="inlineStr">
        <is>
          <t>https://www.industriousoffice.com/m/new-york-city</t>
        </is>
      </c>
      <c r="BX301" t="inlineStr">
        <is>
          <t>2026-10-23</t>
        </is>
      </c>
      <c r="BY301" t="inlineStr">
        <is>
          <t>operator-site</t>
        </is>
      </c>
      <c r="BZ301" t="inlineStr">
        <is>
          <t>https://www.deskpass.com/us-en/ny/new-york-city</t>
        </is>
      </c>
      <c r="CC301" t="inlineStr">
        <is>
          <t>medium</t>
        </is>
      </c>
      <c r="CE301" t="inlineStr">
        <is>
          <t>N</t>
        </is>
      </c>
      <c r="CF301" t="inlineStr">
        <is>
          <t>B-W-027</t>
        </is>
      </c>
      <c r="CG301" t="inlineStr">
        <is>
          <t>operator</t>
        </is>
      </c>
      <c r="CH301" t="inlineStr">
        <is>
          <t>unknown</t>
        </is>
      </c>
      <c r="CJ301" t="inlineStr">
        <is>
          <t>unknown</t>
        </is>
      </c>
      <c r="CK301" t="inlineStr">
        <is>
          <t>N</t>
        </is>
      </c>
      <c r="CL301" t="inlineStr">
        <is>
          <t>unknown</t>
        </is>
      </c>
      <c r="CO301" t="inlineStr">
        <is>
          <t>unknown</t>
        </is>
      </c>
      <c r="CQ301" t="inlineStr">
        <is>
          <t>Coworking site: member headcount not sourced; treat as one office if the operator controls the pantry and ask the Tuesday count at intake.</t>
        </is>
      </c>
      <c r="CR301" t="inlineStr">
        <is>
          <t>estimate until intake replaces it</t>
        </is>
      </c>
      <c r="CS301" t="inlineStr">
        <is>
          <t>unknown</t>
        </is>
      </c>
      <c r="CT301" t="n">
        <v>34</v>
      </c>
      <c r="CU301" t="n">
        <v>7</v>
      </c>
      <c r="CV301" t="n">
        <v>8</v>
      </c>
      <c r="CW301" t="n">
        <v>6</v>
      </c>
      <c r="CX301" t="n">
        <v>13</v>
      </c>
      <c r="CY301">
        <f>IF(AH301="exact",10,IF(AH301="adjacent",5,0))</f>
        <v/>
      </c>
      <c r="CZ301">
        <f>IF(R301="Y",15,0)</f>
        <v/>
      </c>
      <c r="DF301" t="inlineStr">
        <is>
          <t>none</t>
        </is>
      </c>
      <c r="DG301" t="inlineStr">
        <is>
          <t>coworking-operator</t>
        </is>
      </c>
      <c r="DK301" t="inlineStr">
        <is>
          <t>'Indy'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is>
      </c>
      <c r="DS301" t="inlineStr">
        <is>
          <t>none</t>
        </is>
      </c>
      <c r="DX301" t="inlineStr">
        <is>
          <t>N</t>
        </is>
      </c>
      <c r="DZ301" t="inlineStr">
        <is>
          <t>parent 'industrious' shared with AO-W-007, AO-W-016, AO-W-008, AO-W-014, AO-W-005, AO-W-003</t>
        </is>
      </c>
      <c r="ER301">
        <f>IF(ISNUMBER(MATCH(U301,{"queued","contacted","replied","call_booked","call_done","yes_in_principle","materials_sent"},0)),"Y","N")</f>
        <v/>
      </c>
      <c r="ES301">
        <f>IF(COUNTIFS($AP$2:$AP$1000,AP301,$ER$2:$ER$1000,"Y")+COUNTIFS($AP$2:$AP$1000,AP301,$T$2:$T$1000,"Y")&gt;0,"Y","N")</f>
        <v/>
      </c>
      <c r="ET301">
        <f>IF(AND(U301="new",T301="N",AT301="Y",AS301="",ES301="N"),"Y","N")</f>
        <v/>
      </c>
      <c r="EU301">
        <f>IF(ET301&lt;&gt;"Y","N",IF(COUNTIFS($AP$2:$AP$1000,AP301,$ET$2:$ET$1000,"Y",$J$2:$J$1000,"&gt;"&amp;J301)+COUNTIFS($AP$2:$AP$1000,AP301,$ET$2:$ET$1000,"Y",$J$2:$J$1000,J301,$EW$2:$EW$1000,"&lt;"&amp;EW301)=0,"Y","N"))</f>
        <v/>
      </c>
      <c r="EV301">
        <f>IF(Y301="","N",IF(Y301&lt;=10,"Y","N"))</f>
        <v/>
      </c>
      <c r="EW301">
        <f>ROW()-1</f>
        <v/>
      </c>
    </row>
    <row r="302">
      <c r="A302" t="inlineStr">
        <is>
          <t>AO-W-029</t>
        </is>
      </c>
      <c r="B302" t="inlineStr">
        <is>
          <t>WeWork 135 Madison Ave</t>
        </is>
      </c>
      <c r="H302" t="inlineStr">
        <is>
          <t>none</t>
        </is>
      </c>
      <c r="I302" t="inlineStr">
        <is>
          <t>linkedin</t>
        </is>
      </c>
      <c r="J302">
        <f>IF(AX302="pass",ROUND(CU302+CV302+CW302+CX302+CY302+CZ302,1),0)</f>
        <v/>
      </c>
      <c r="K302" t="inlineStr">
        <is>
          <t>Gated out: outside the cluster (0.8 blocks outside the line).</t>
        </is>
      </c>
      <c r="L302" t="inlineStr">
        <is>
          <t>unknown</t>
        </is>
      </c>
      <c r="R302" t="inlineStr">
        <is>
          <t>N</t>
        </is>
      </c>
      <c r="S302" t="inlineStr">
        <is>
          <t>unknown</t>
        </is>
      </c>
      <c r="T302" t="inlineStr">
        <is>
          <t>N</t>
        </is>
      </c>
      <c r="U302" t="inlineStr">
        <is>
          <t>new</t>
        </is>
      </c>
      <c r="V302" t="inlineStr">
        <is>
          <t>https://www.wework.com/buildings/135-madison-ave--new-york-city--NY</t>
        </is>
      </c>
      <c r="W302" t="inlineStr">
        <is>
          <t>2026-10-23</t>
        </is>
      </c>
      <c r="X302" t="inlineStr">
        <is>
          <t>office</t>
        </is>
      </c>
      <c r="Y302">
        <f>IF(EU302&lt;&gt;"Y","",COUNTIFS($EU$2:$EU$1000,"Y",$J$2:$J$1000,"&gt;"&amp;J302)+COUNTIFS($EU$2:$EU$1000,"Y",$J$2:$J$1000,J302,$EW$2:$EW$1000,"&lt;"&amp;EW302)+1)</f>
        <v/>
      </c>
      <c r="AA302" t="inlineStr">
        <is>
          <t>N</t>
        </is>
      </c>
      <c r="AD302" t="inlineStr">
        <is>
          <t>none</t>
        </is>
      </c>
      <c r="AH302" t="inlineStr">
        <is>
          <t>none</t>
        </is>
      </c>
      <c r="AI302" t="inlineStr">
        <is>
          <t>135 Madison Avenue, New York, NY 10016</t>
        </is>
      </c>
      <c r="AJ302" t="inlineStr">
        <is>
          <t>unknown</t>
        </is>
      </c>
      <c r="AK302" t="inlineStr">
        <is>
          <t>open</t>
        </is>
      </c>
      <c r="AL302" t="inlineStr">
        <is>
          <t>unknown</t>
        </is>
      </c>
      <c r="AM302" t="inlineStr">
        <is>
          <t>unknown</t>
        </is>
      </c>
      <c r="AN302" t="inlineStr">
        <is>
          <t>none</t>
        </is>
      </c>
      <c r="AO302" t="inlineStr">
        <is>
          <t>unknown</t>
        </is>
      </c>
      <c r="AP302" t="inlineStr">
        <is>
          <t>grp-W004-W018-W020-W024-W026-W029</t>
        </is>
      </c>
      <c r="AQ302" t="inlineStr">
        <is>
          <t>N</t>
        </is>
      </c>
      <c r="AT302">
        <f>IF(AND(AX302="pass",AQ302&lt;&gt;"Y",C302&lt;&gt;"",OR(AW302&lt;&gt;"Y",AV302="Y")),"Y","N")</f>
        <v/>
      </c>
      <c r="AU302">
        <f>_xlfn.TEXTJOIN("; ",TRUE,IF(AX302&lt;&gt;"pass","gated out",""),IF(AQ302="Y","on hold: "&amp;AR302,""),IF(C302="","no contact named on an opened page",""),IF(AND(AW302="Y",AV302&lt;&gt;"Y"),"Tuesday estimate band "&amp;L302&amp;": founder's call",""))</f>
        <v/>
      </c>
      <c r="AW302" t="inlineStr">
        <is>
          <t>N</t>
        </is>
      </c>
      <c r="AX302" t="inlineStr">
        <is>
          <t>fail</t>
        </is>
      </c>
      <c r="AY302" t="inlineStr">
        <is>
          <t>outside the cluster (0.8 blocks outside the line)</t>
        </is>
      </c>
      <c r="AZ302" t="inlineStr">
        <is>
          <t>coworking-operator</t>
        </is>
      </c>
      <c r="BA302" t="inlineStr">
        <is>
          <t>B-W-029</t>
        </is>
      </c>
      <c r="BB302" t="inlineStr">
        <is>
          <t>https://www.wework.com</t>
        </is>
      </c>
      <c r="BC302" t="inlineStr">
        <is>
          <t>coworking operator</t>
        </is>
      </c>
      <c r="BD302" t="inlineStr">
        <is>
          <t>unknown</t>
        </is>
      </c>
      <c r="BF302" t="inlineStr">
        <is>
          <t>unknown</t>
        </is>
      </c>
      <c r="BG302" t="inlineStr">
        <is>
          <t>unknown</t>
        </is>
      </c>
      <c r="BK302" t="inlineStr">
        <is>
          <t>unknown</t>
        </is>
      </c>
      <c r="BL302" t="inlineStr">
        <is>
          <t>n/a (operator site)</t>
        </is>
      </c>
      <c r="BM302" t="inlineStr">
        <is>
          <t>unknown</t>
        </is>
      </c>
      <c r="BN302" t="inlineStr">
        <is>
          <t>WeWork</t>
        </is>
      </c>
      <c r="BP302" t="inlineStr">
        <is>
          <t>10016</t>
        </is>
      </c>
      <c r="BQ302" t="n">
        <v>40.746008</v>
      </c>
      <c r="BR302" t="n">
        <v>-73.98403399999999</v>
      </c>
      <c r="BS302" t="inlineStr">
        <is>
          <t>N</t>
        </is>
      </c>
      <c r="BT302" t="n">
        <v>0.8</v>
      </c>
      <c r="BV302" t="inlineStr">
        <is>
          <t>unknown</t>
        </is>
      </c>
      <c r="BW302" t="inlineStr">
        <is>
          <t>https://www.wework.com/buildings/135-madison-ave--new-york-city--NY</t>
        </is>
      </c>
      <c r="BX302" t="inlineStr">
        <is>
          <t>2026-10-23</t>
        </is>
      </c>
      <c r="BY302" t="inlineStr">
        <is>
          <t>operator-site</t>
        </is>
      </c>
      <c r="CC302" t="inlineStr">
        <is>
          <t>medium</t>
        </is>
      </c>
      <c r="CE302" t="inlineStr">
        <is>
          <t>N</t>
        </is>
      </c>
      <c r="CF302" t="inlineStr">
        <is>
          <t>B-W-029</t>
        </is>
      </c>
      <c r="CG302" t="inlineStr">
        <is>
          <t>operator</t>
        </is>
      </c>
      <c r="CH302" t="inlineStr">
        <is>
          <t>unknown</t>
        </is>
      </c>
      <c r="CJ302" t="inlineStr">
        <is>
          <t>unknown</t>
        </is>
      </c>
      <c r="CK302" t="inlineStr">
        <is>
          <t>N</t>
        </is>
      </c>
      <c r="CL302" t="inlineStr">
        <is>
          <t>unknown</t>
        </is>
      </c>
      <c r="CO302" t="inlineStr">
        <is>
          <t>unknown</t>
        </is>
      </c>
      <c r="CQ302" t="inlineStr">
        <is>
          <t>Coworking site: member headcount not sourced; treat as one office if the operator controls the pantry and ask the Tuesday count at intake.</t>
        </is>
      </c>
      <c r="CR302" t="inlineStr">
        <is>
          <t>estimate until intake replaces it</t>
        </is>
      </c>
      <c r="CS302" t="inlineStr">
        <is>
          <t>unknown</t>
        </is>
      </c>
      <c r="CT302" t="n">
        <v>34</v>
      </c>
      <c r="CU302" t="n">
        <v>7</v>
      </c>
      <c r="CV302" t="n">
        <v>8</v>
      </c>
      <c r="CW302" t="n">
        <v>6</v>
      </c>
      <c r="CX302" t="n">
        <v>13</v>
      </c>
      <c r="CY302">
        <f>IF(AH302="exact",10,IF(AH302="adjacent",5,0))</f>
        <v/>
      </c>
      <c r="CZ302">
        <f>IF(R302="Y",15,0)</f>
        <v/>
      </c>
      <c r="DF302" t="inlineStr">
        <is>
          <t>none</t>
        </is>
      </c>
      <c r="DG302" t="inlineStr">
        <is>
          <t>coworking-operator</t>
        </is>
      </c>
      <c r="DK302" t="inlineStr">
        <is>
          <t>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is>
      </c>
      <c r="DS302" t="inlineStr">
        <is>
          <t>none</t>
        </is>
      </c>
      <c r="DX302" t="inlineStr">
        <is>
          <t>N</t>
        </is>
      </c>
      <c r="DZ302" t="inlineStr">
        <is>
          <t>parent 'wework' shared with AO-W-004, AO-W-024, AO-W-018, AO-W-026, AO-W-020</t>
        </is>
      </c>
      <c r="ER302">
        <f>IF(ISNUMBER(MATCH(U302,{"queued","contacted","replied","call_booked","call_done","yes_in_principle","materials_sent"},0)),"Y","N")</f>
        <v/>
      </c>
      <c r="ES302">
        <f>IF(COUNTIFS($AP$2:$AP$1000,AP302,$ER$2:$ER$1000,"Y")+COUNTIFS($AP$2:$AP$1000,AP302,$T$2:$T$1000,"Y")&gt;0,"Y","N")</f>
        <v/>
      </c>
      <c r="ET302">
        <f>IF(AND(U302="new",T302="N",AT302="Y",AS302="",ES302="N"),"Y","N")</f>
        <v/>
      </c>
      <c r="EU302">
        <f>IF(ET302&lt;&gt;"Y","N",IF(COUNTIFS($AP$2:$AP$1000,AP302,$ET$2:$ET$1000,"Y",$J$2:$J$1000,"&gt;"&amp;J302)+COUNTIFS($AP$2:$AP$1000,AP302,$ET$2:$ET$1000,"Y",$J$2:$J$1000,J302,$EW$2:$EW$1000,"&lt;"&amp;EW302)=0,"Y","N"))</f>
        <v/>
      </c>
      <c r="EV302">
        <f>IF(Y302="","N",IF(Y302&lt;=10,"Y","N"))</f>
        <v/>
      </c>
      <c r="EW302">
        <f>ROW()-1</f>
        <v/>
      </c>
    </row>
    <row r="303">
      <c r="A303" t="inlineStr">
        <is>
          <t>AO-W-026</t>
        </is>
      </c>
      <c r="B303" t="inlineStr">
        <is>
          <t>WeWork 33 Irving Pl</t>
        </is>
      </c>
      <c r="H303" t="inlineStr">
        <is>
          <t>none</t>
        </is>
      </c>
      <c r="I303" t="inlineStr">
        <is>
          <t>linkedin</t>
        </is>
      </c>
      <c r="J303">
        <f>IF(AX303="pass",ROUND(CU303+CV303+CW303+CX303+CY303+CZ303,1),0)</f>
        <v/>
      </c>
      <c r="K303" t="inlineStr">
        <is>
          <t>Gated out: outside the cluster (0.9 blocks outside the line).</t>
        </is>
      </c>
      <c r="L303" t="inlineStr">
        <is>
          <t>unknown</t>
        </is>
      </c>
      <c r="R303" t="inlineStr">
        <is>
          <t>N</t>
        </is>
      </c>
      <c r="S303" t="inlineStr">
        <is>
          <t>unknown</t>
        </is>
      </c>
      <c r="T303" t="inlineStr">
        <is>
          <t>N</t>
        </is>
      </c>
      <c r="U303" t="inlineStr">
        <is>
          <t>new</t>
        </is>
      </c>
      <c r="V303" t="inlineStr">
        <is>
          <t>https://www.wework.com/buildings/33-irving-pl--new-york-city--NY</t>
        </is>
      </c>
      <c r="W303" t="inlineStr">
        <is>
          <t>2026-10-23</t>
        </is>
      </c>
      <c r="X303" t="inlineStr">
        <is>
          <t>office</t>
        </is>
      </c>
      <c r="Y303">
        <f>IF(EU303&lt;&gt;"Y","",COUNTIFS($EU$2:$EU$1000,"Y",$J$2:$J$1000,"&gt;"&amp;J303)+COUNTIFS($EU$2:$EU$1000,"Y",$J$2:$J$1000,J303,$EW$2:$EW$1000,"&lt;"&amp;EW303)+1)</f>
        <v/>
      </c>
      <c r="AA303" t="inlineStr">
        <is>
          <t>N</t>
        </is>
      </c>
      <c r="AD303" t="inlineStr">
        <is>
          <t>none</t>
        </is>
      </c>
      <c r="AH303" t="inlineStr">
        <is>
          <t>none</t>
        </is>
      </c>
      <c r="AI303" t="inlineStr">
        <is>
          <t>33 Irving Place, New York, NY 10003</t>
        </is>
      </c>
      <c r="AJ303" t="inlineStr">
        <is>
          <t>unknown</t>
        </is>
      </c>
      <c r="AK303" t="inlineStr">
        <is>
          <t>open</t>
        </is>
      </c>
      <c r="AL303" t="inlineStr">
        <is>
          <t>unknown</t>
        </is>
      </c>
      <c r="AM303" t="inlineStr">
        <is>
          <t>unknown</t>
        </is>
      </c>
      <c r="AN303" t="inlineStr">
        <is>
          <t>none</t>
        </is>
      </c>
      <c r="AO303" t="inlineStr">
        <is>
          <t>unknown</t>
        </is>
      </c>
      <c r="AP303" t="inlineStr">
        <is>
          <t>grp-W004-W018-W020-W024-W026-W029</t>
        </is>
      </c>
      <c r="AQ303" t="inlineStr">
        <is>
          <t>N</t>
        </is>
      </c>
      <c r="AT303">
        <f>IF(AND(AX303="pass",AQ303&lt;&gt;"Y",C303&lt;&gt;"",OR(AW303&lt;&gt;"Y",AV303="Y")),"Y","N")</f>
        <v/>
      </c>
      <c r="AU303">
        <f>_xlfn.TEXTJOIN("; ",TRUE,IF(AX303&lt;&gt;"pass","gated out",""),IF(AQ303="Y","on hold: "&amp;AR303,""),IF(C303="","no contact named on an opened page",""),IF(AND(AW303="Y",AV303&lt;&gt;"Y"),"Tuesday estimate band "&amp;L303&amp;": founder's call",""))</f>
        <v/>
      </c>
      <c r="AW303" t="inlineStr">
        <is>
          <t>N</t>
        </is>
      </c>
      <c r="AX303" t="inlineStr">
        <is>
          <t>fail</t>
        </is>
      </c>
      <c r="AY303" t="inlineStr">
        <is>
          <t>outside the cluster (0.9 blocks outside the line)</t>
        </is>
      </c>
      <c r="AZ303" t="inlineStr">
        <is>
          <t>coworking-operator</t>
        </is>
      </c>
      <c r="BA303" t="inlineStr">
        <is>
          <t>B-W-026</t>
        </is>
      </c>
      <c r="BB303" t="inlineStr">
        <is>
          <t>https://www.wework.com</t>
        </is>
      </c>
      <c r="BC303" t="inlineStr">
        <is>
          <t>coworking operator</t>
        </is>
      </c>
      <c r="BD303" t="inlineStr">
        <is>
          <t>unknown</t>
        </is>
      </c>
      <c r="BF303" t="inlineStr">
        <is>
          <t>unknown</t>
        </is>
      </c>
      <c r="BG303" t="inlineStr">
        <is>
          <t>unknown</t>
        </is>
      </c>
      <c r="BK303" t="inlineStr">
        <is>
          <t>unknown</t>
        </is>
      </c>
      <c r="BL303" t="inlineStr">
        <is>
          <t>n/a (operator site)</t>
        </is>
      </c>
      <c r="BM303" t="inlineStr">
        <is>
          <t>unknown</t>
        </is>
      </c>
      <c r="BN303" t="inlineStr">
        <is>
          <t>WeWork</t>
        </is>
      </c>
      <c r="BP303" t="inlineStr">
        <is>
          <t>10003</t>
        </is>
      </c>
      <c r="BQ303" t="n">
        <v>40.735166</v>
      </c>
      <c r="BR303" t="n">
        <v>-73.988236</v>
      </c>
      <c r="BS303" t="inlineStr">
        <is>
          <t>N</t>
        </is>
      </c>
      <c r="BT303" t="n">
        <v>0.9</v>
      </c>
      <c r="BV303" t="inlineStr">
        <is>
          <t>unknown</t>
        </is>
      </c>
      <c r="BW303" t="inlineStr">
        <is>
          <t>https://www.wework.com/buildings/33-irving-pl--new-york-city--NY</t>
        </is>
      </c>
      <c r="BX303" t="inlineStr">
        <is>
          <t>2026-10-23</t>
        </is>
      </c>
      <c r="BY303" t="inlineStr">
        <is>
          <t>operator-site</t>
        </is>
      </c>
      <c r="CC303" t="inlineStr">
        <is>
          <t>medium</t>
        </is>
      </c>
      <c r="CE303" t="inlineStr">
        <is>
          <t>N</t>
        </is>
      </c>
      <c r="CF303" t="inlineStr">
        <is>
          <t>B-W-026</t>
        </is>
      </c>
      <c r="CG303" t="inlineStr">
        <is>
          <t>operator</t>
        </is>
      </c>
      <c r="CH303" t="inlineStr">
        <is>
          <t>unknown</t>
        </is>
      </c>
      <c r="CJ303" t="inlineStr">
        <is>
          <t>unknown</t>
        </is>
      </c>
      <c r="CK303" t="inlineStr">
        <is>
          <t>N</t>
        </is>
      </c>
      <c r="CL303" t="inlineStr">
        <is>
          <t>unknown</t>
        </is>
      </c>
      <c r="CO303" t="inlineStr">
        <is>
          <t>unknown</t>
        </is>
      </c>
      <c r="CQ303" t="inlineStr">
        <is>
          <t>Coworking site: member headcount not sourced; treat as one office if the operator controls the pantry and ask the Tuesday count at intake.</t>
        </is>
      </c>
      <c r="CR303" t="inlineStr">
        <is>
          <t>estimate until intake replaces it</t>
        </is>
      </c>
      <c r="CS303" t="inlineStr">
        <is>
          <t>unknown</t>
        </is>
      </c>
      <c r="CT303" t="n">
        <v>34</v>
      </c>
      <c r="CU303" t="n">
        <v>7</v>
      </c>
      <c r="CV303" t="n">
        <v>8</v>
      </c>
      <c r="CW303" t="n">
        <v>6</v>
      </c>
      <c r="CX303" t="n">
        <v>13</v>
      </c>
      <c r="CY303">
        <f>IF(AH303="exact",10,IF(AH303="adjacent",5,0))</f>
        <v/>
      </c>
      <c r="CZ303">
        <f>IF(R303="Y",15,0)</f>
        <v/>
      </c>
      <c r="DF303" t="inlineStr">
        <is>
          <t>none</t>
        </is>
      </c>
      <c r="DG303" t="inlineStr">
        <is>
          <t>coworking-operator</t>
        </is>
      </c>
      <c r="DK303" t="inlineStr">
        <is>
          <t>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is>
      </c>
      <c r="DS303" t="inlineStr">
        <is>
          <t>none</t>
        </is>
      </c>
      <c r="DX303" t="inlineStr">
        <is>
          <t>N</t>
        </is>
      </c>
      <c r="DZ303" t="inlineStr">
        <is>
          <t>parent 'wework' shared with AO-W-004, AO-W-024, AO-W-018, AO-W-029, AO-W-020</t>
        </is>
      </c>
      <c r="ER303">
        <f>IF(ISNUMBER(MATCH(U303,{"queued","contacted","replied","call_booked","call_done","yes_in_principle","materials_sent"},0)),"Y","N")</f>
        <v/>
      </c>
      <c r="ES303">
        <f>IF(COUNTIFS($AP$2:$AP$1000,AP303,$ER$2:$ER$1000,"Y")+COUNTIFS($AP$2:$AP$1000,AP303,$T$2:$T$1000,"Y")&gt;0,"Y","N")</f>
        <v/>
      </c>
      <c r="ET303">
        <f>IF(AND(U303="new",T303="N",AT303="Y",AS303="",ES303="N"),"Y","N")</f>
        <v/>
      </c>
      <c r="EU303">
        <f>IF(ET303&lt;&gt;"Y","N",IF(COUNTIFS($AP$2:$AP$1000,AP303,$ET$2:$ET$1000,"Y",$J$2:$J$1000,"&gt;"&amp;J303)+COUNTIFS($AP$2:$AP$1000,AP303,$ET$2:$ET$1000,"Y",$J$2:$J$1000,J303,$EW$2:$EW$1000,"&lt;"&amp;EW303)=0,"Y","N"))</f>
        <v/>
      </c>
      <c r="EV303">
        <f>IF(Y303="","N",IF(Y303&lt;=10,"Y","N"))</f>
        <v/>
      </c>
      <c r="EW303">
        <f>ROW()-1</f>
        <v/>
      </c>
    </row>
    <row r="304">
      <c r="A304" t="inlineStr">
        <is>
          <t>AO-W-009</t>
        </is>
      </c>
      <c r="B304" t="inlineStr">
        <is>
          <t>Le Parc Coworking Offices</t>
        </is>
      </c>
      <c r="H304" t="inlineStr">
        <is>
          <t>none</t>
        </is>
      </c>
      <c r="I304" t="inlineStr">
        <is>
          <t>linkedin</t>
        </is>
      </c>
      <c r="J304">
        <f>IF(AX304="pass",ROUND(CU304+CV304+CW304+CX304+CY304+CZ304,1),0)</f>
        <v/>
      </c>
      <c r="K304" t="inlineStr">
        <is>
          <t>Gated out: operator control of the pantry not shown (pantry_control=unknown).</t>
        </is>
      </c>
      <c r="L304" t="inlineStr">
        <is>
          <t>unknown</t>
        </is>
      </c>
      <c r="R304" t="inlineStr">
        <is>
          <t>N</t>
        </is>
      </c>
      <c r="S304" t="inlineStr">
        <is>
          <t>unknown</t>
        </is>
      </c>
      <c r="T304" t="inlineStr">
        <is>
          <t>N</t>
        </is>
      </c>
      <c r="U304" t="inlineStr">
        <is>
          <t>new</t>
        </is>
      </c>
      <c r="V304" t="inlineStr">
        <is>
          <t>https://flatironnomad.nyc/2024/06/26/meet-le-parc/</t>
        </is>
      </c>
      <c r="W304" t="inlineStr">
        <is>
          <t>2026-10-23</t>
        </is>
      </c>
      <c r="X304" t="inlineStr">
        <is>
          <t>office</t>
        </is>
      </c>
      <c r="Y304">
        <f>IF(EU304&lt;&gt;"Y","",COUNTIFS($EU$2:$EU$1000,"Y",$J$2:$J$1000,"&gt;"&amp;J304)+COUNTIFS($EU$2:$EU$1000,"Y",$J$2:$J$1000,J304,$EW$2:$EW$1000,"&lt;"&amp;EW304)+1)</f>
        <v/>
      </c>
      <c r="AA304" t="inlineStr">
        <is>
          <t>N</t>
        </is>
      </c>
      <c r="AD304" t="inlineStr">
        <is>
          <t>none</t>
        </is>
      </c>
      <c r="AH304" t="inlineStr">
        <is>
          <t>none</t>
        </is>
      </c>
      <c r="AI304" t="inlineStr">
        <is>
          <t>287 Park Avenue South, 2nd Floor, New York, NY 10010</t>
        </is>
      </c>
      <c r="AJ304" t="inlineStr">
        <is>
          <t>2nd Floor</t>
        </is>
      </c>
      <c r="AK304" t="inlineStr">
        <is>
          <t>unverified</t>
        </is>
      </c>
      <c r="AL304" t="inlineStr">
        <is>
          <t>unknown</t>
        </is>
      </c>
      <c r="AM304" t="inlineStr">
        <is>
          <t>unknown</t>
        </is>
      </c>
      <c r="AN304" t="inlineStr">
        <is>
          <t>none</t>
        </is>
      </c>
      <c r="AO304" t="inlineStr">
        <is>
          <t>unknown</t>
        </is>
      </c>
      <c r="AP304" t="inlineStr">
        <is>
          <t>AO-W-009</t>
        </is>
      </c>
      <c r="AQ304" t="inlineStr">
        <is>
          <t>N</t>
        </is>
      </c>
      <c r="AT304">
        <f>IF(AND(AX304="pass",AQ304&lt;&gt;"Y",C304&lt;&gt;"",OR(AW304&lt;&gt;"Y",AV304="Y")),"Y","N")</f>
        <v/>
      </c>
      <c r="AU304">
        <f>_xlfn.TEXTJOIN("; ",TRUE,IF(AX304&lt;&gt;"pass","gated out",""),IF(AQ304="Y","on hold: "&amp;AR304,""),IF(C304="","no contact named on an opened page",""),IF(AND(AW304="Y",AV304&lt;&gt;"Y"),"Tuesday estimate band "&amp;L304&amp;": founder's call",""))</f>
        <v/>
      </c>
      <c r="AW304" t="inlineStr">
        <is>
          <t>N</t>
        </is>
      </c>
      <c r="AX304" t="inlineStr">
        <is>
          <t>fail</t>
        </is>
      </c>
      <c r="AY304" t="inlineStr">
        <is>
          <t>operator control of the pantry not shown (pantry_control=unknown)</t>
        </is>
      </c>
      <c r="AZ304" t="inlineStr">
        <is>
          <t>coworking-operator</t>
        </is>
      </c>
      <c r="BA304" t="inlineStr">
        <is>
          <t>B-W-009</t>
        </is>
      </c>
      <c r="BB304" t="inlineStr">
        <is>
          <t>https://flatironnomad.nyc</t>
        </is>
      </c>
      <c r="BC304" t="inlineStr">
        <is>
          <t>coworking operator</t>
        </is>
      </c>
      <c r="BD304" t="inlineStr">
        <is>
          <t>unknown</t>
        </is>
      </c>
      <c r="BF304" t="inlineStr">
        <is>
          <t>unknown</t>
        </is>
      </c>
      <c r="BG304" t="inlineStr">
        <is>
          <t>unknown</t>
        </is>
      </c>
      <c r="BK304" t="inlineStr">
        <is>
          <t>unknown</t>
        </is>
      </c>
      <c r="BL304" t="inlineStr">
        <is>
          <t>n/a (operator site)</t>
        </is>
      </c>
      <c r="BM304" t="inlineStr">
        <is>
          <t>unknown</t>
        </is>
      </c>
      <c r="BN304" t="inlineStr">
        <is>
          <t>Le Parc (CL Investment Group building)</t>
        </is>
      </c>
      <c r="BP304" t="inlineStr">
        <is>
          <t>10010</t>
        </is>
      </c>
      <c r="BQ304" t="n">
        <v>40.739588</v>
      </c>
      <c r="BR304" t="n">
        <v>-73.986574</v>
      </c>
      <c r="BS304" t="inlineStr">
        <is>
          <t>Y</t>
        </is>
      </c>
      <c r="BT304" t="n">
        <v>0</v>
      </c>
      <c r="BU304" t="inlineStr">
        <is>
          <t>B-B-042</t>
        </is>
      </c>
      <c r="BV304" t="inlineStr">
        <is>
          <t>United Charities Building</t>
        </is>
      </c>
      <c r="BW304" t="inlineStr">
        <is>
          <t>https://flatironnomad.nyc/2024/06/26/meet-le-parc/</t>
        </is>
      </c>
      <c r="BX304" t="inlineStr">
        <is>
          <t>2024-06-26</t>
        </is>
      </c>
      <c r="BY304" t="inlineStr">
        <is>
          <t>operator-site</t>
        </is>
      </c>
      <c r="BZ304" t="inlineStr">
        <is>
          <t>https://www.deskpass.com/us-en/ny/new-york-city</t>
        </is>
      </c>
      <c r="CC304" t="inlineStr">
        <is>
          <t>low</t>
        </is>
      </c>
      <c r="CE304" t="inlineStr">
        <is>
          <t>N</t>
        </is>
      </c>
      <c r="CF304" t="inlineStr">
        <is>
          <t>B-W-009</t>
        </is>
      </c>
      <c r="CG304" t="inlineStr">
        <is>
          <t>unknown</t>
        </is>
      </c>
      <c r="CH304" t="inlineStr">
        <is>
          <t>unknown</t>
        </is>
      </c>
      <c r="CJ304" t="inlineStr">
        <is>
          <t>unknown</t>
        </is>
      </c>
      <c r="CK304" t="inlineStr">
        <is>
          <t>N</t>
        </is>
      </c>
      <c r="CL304" t="inlineStr">
        <is>
          <t>unknown</t>
        </is>
      </c>
      <c r="CO304" t="inlineStr">
        <is>
          <t>unknown</t>
        </is>
      </c>
      <c r="CQ304" t="inlineStr">
        <is>
          <t>Coworking site: member headcount not sourced; treat as one office if the operator controls the pantry and ask the Tuesday count at intake.</t>
        </is>
      </c>
      <c r="CR304" t="inlineStr">
        <is>
          <t>estimate until intake replaces it</t>
        </is>
      </c>
      <c r="CS304" t="inlineStr">
        <is>
          <t>unknown</t>
        </is>
      </c>
      <c r="CT304" t="n">
        <v>23</v>
      </c>
      <c r="CU304" t="n">
        <v>7</v>
      </c>
      <c r="CV304" t="n">
        <v>8</v>
      </c>
      <c r="CW304" t="n">
        <v>6</v>
      </c>
      <c r="CX304" t="n">
        <v>2</v>
      </c>
      <c r="CY304">
        <f>IF(AH304="exact",10,IF(AH304="adjacent",5,0))</f>
        <v/>
      </c>
      <c r="CZ304">
        <f>IF(R304="Y",15,0)</f>
        <v/>
      </c>
      <c r="DF304" t="inlineStr">
        <is>
          <t>none</t>
        </is>
      </c>
      <c r="DG304" t="inlineStr">
        <is>
          <t>coworking-operator</t>
        </is>
      </c>
      <c r="DK304" t="inlineStr">
        <is>
          <t>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is>
      </c>
      <c r="DS304" t="inlineStr">
        <is>
          <t>none</t>
        </is>
      </c>
      <c r="DX304" t="inlineStr">
        <is>
          <t>N</t>
        </is>
      </c>
      <c r="ER304">
        <f>IF(ISNUMBER(MATCH(U304,{"queued","contacted","replied","call_booked","call_done","yes_in_principle","materials_sent"},0)),"Y","N")</f>
        <v/>
      </c>
      <c r="ES304">
        <f>IF(COUNTIFS($AP$2:$AP$1000,AP304,$ER$2:$ER$1000,"Y")+COUNTIFS($AP$2:$AP$1000,AP304,$T$2:$T$1000,"Y")&gt;0,"Y","N")</f>
        <v/>
      </c>
      <c r="ET304">
        <f>IF(AND(U304="new",T304="N",AT304="Y",AS304="",ES304="N"),"Y","N")</f>
        <v/>
      </c>
      <c r="EU304">
        <f>IF(ET304&lt;&gt;"Y","N",IF(COUNTIFS($AP$2:$AP$1000,AP304,$ET$2:$ET$1000,"Y",$J$2:$J$1000,"&gt;"&amp;J304)+COUNTIFS($AP$2:$AP$1000,AP304,$ET$2:$ET$1000,"Y",$J$2:$J$1000,J304,$EW$2:$EW$1000,"&lt;"&amp;EW304)=0,"Y","N"))</f>
        <v/>
      </c>
      <c r="EV304">
        <f>IF(Y304="","N",IF(Y304&lt;=10,"Y","N"))</f>
        <v/>
      </c>
      <c r="EW304">
        <f>ROW()-1</f>
        <v/>
      </c>
    </row>
    <row r="305">
      <c r="A305" t="inlineStr">
        <is>
          <t>AO-W-031</t>
        </is>
      </c>
      <c r="B305" t="inlineStr">
        <is>
          <t>Regus 1250 Broadway</t>
        </is>
      </c>
      <c r="H305" t="inlineStr">
        <is>
          <t>none</t>
        </is>
      </c>
      <c r="I305" t="inlineStr">
        <is>
          <t>linkedin</t>
        </is>
      </c>
      <c r="J305">
        <f>IF(AX305="pass",ROUND(CU305+CV305+CW305+CX305+CY305+CZ305,1),0)</f>
        <v/>
      </c>
      <c r="K305" t="inlineStr">
        <is>
          <t>Gated out: outside the cluster (0.8 blocks outside the line); operator control of the pantry not shown (pantry_control=unknown).</t>
        </is>
      </c>
      <c r="L305" t="inlineStr">
        <is>
          <t>unknown</t>
        </is>
      </c>
      <c r="R305" t="inlineStr">
        <is>
          <t>N</t>
        </is>
      </c>
      <c r="S305" t="inlineStr">
        <is>
          <t>unknown</t>
        </is>
      </c>
      <c r="T305" t="inlineStr">
        <is>
          <t>N</t>
        </is>
      </c>
      <c r="U305" t="inlineStr">
        <is>
          <t>new</t>
        </is>
      </c>
      <c r="V305" t="inlineStr">
        <is>
          <t>https://old.regus.com/offices/united-states/new-york/new-york-city/office-space/ny-new-york-1250-broadway</t>
        </is>
      </c>
      <c r="W305" t="inlineStr">
        <is>
          <t>2026-10-23</t>
        </is>
      </c>
      <c r="X305" t="inlineStr">
        <is>
          <t>office</t>
        </is>
      </c>
      <c r="Y305">
        <f>IF(EU305&lt;&gt;"Y","",COUNTIFS($EU$2:$EU$1000,"Y",$J$2:$J$1000,"&gt;"&amp;J305)+COUNTIFS($EU$2:$EU$1000,"Y",$J$2:$J$1000,J305,$EW$2:$EW$1000,"&lt;"&amp;EW305)+1)</f>
        <v/>
      </c>
      <c r="AA305" t="inlineStr">
        <is>
          <t>N</t>
        </is>
      </c>
      <c r="AD305" t="inlineStr">
        <is>
          <t>none</t>
        </is>
      </c>
      <c r="AH305" t="inlineStr">
        <is>
          <t>none</t>
        </is>
      </c>
      <c r="AI305" t="inlineStr">
        <is>
          <t>1250 Broadway, 36th Floor, New York, NY 10001</t>
        </is>
      </c>
      <c r="AJ305" t="inlineStr">
        <is>
          <t>36th Floor</t>
        </is>
      </c>
      <c r="AK305" t="inlineStr">
        <is>
          <t>unverified</t>
        </is>
      </c>
      <c r="AL305" t="inlineStr">
        <is>
          <t>unknown</t>
        </is>
      </c>
      <c r="AM305" t="inlineStr">
        <is>
          <t>unknown</t>
        </is>
      </c>
      <c r="AN305" t="inlineStr">
        <is>
          <t>none</t>
        </is>
      </c>
      <c r="AO305" t="inlineStr">
        <is>
          <t>unknown</t>
        </is>
      </c>
      <c r="AP305" t="inlineStr">
        <is>
          <t>grp-W012-W030-W031</t>
        </is>
      </c>
      <c r="AQ305" t="inlineStr">
        <is>
          <t>N</t>
        </is>
      </c>
      <c r="AT305">
        <f>IF(AND(AX305="pass",AQ305&lt;&gt;"Y",C305&lt;&gt;"",OR(AW305&lt;&gt;"Y",AV305="Y")),"Y","N")</f>
        <v/>
      </c>
      <c r="AU305">
        <f>_xlfn.TEXTJOIN("; ",TRUE,IF(AX305&lt;&gt;"pass","gated out",""),IF(AQ305="Y","on hold: "&amp;AR305,""),IF(C305="","no contact named on an opened page",""),IF(AND(AW305="Y",AV305&lt;&gt;"Y"),"Tuesday estimate band "&amp;L305&amp;": founder's call",""))</f>
        <v/>
      </c>
      <c r="AW305" t="inlineStr">
        <is>
          <t>N</t>
        </is>
      </c>
      <c r="AX305" t="inlineStr">
        <is>
          <t>fail</t>
        </is>
      </c>
      <c r="AY305" t="inlineStr">
        <is>
          <t>outside the cluster (0.8 blocks outside the line); operator control of the pantry not shown (pantry_control=unknown)</t>
        </is>
      </c>
      <c r="AZ305" t="inlineStr">
        <is>
          <t>coworking-operator</t>
        </is>
      </c>
      <c r="BA305" t="inlineStr">
        <is>
          <t>B-W-031</t>
        </is>
      </c>
      <c r="BB305" t="inlineStr">
        <is>
          <t>https://old.regus.com</t>
        </is>
      </c>
      <c r="BC305" t="inlineStr">
        <is>
          <t>coworking operator</t>
        </is>
      </c>
      <c r="BD305" t="inlineStr">
        <is>
          <t>unknown</t>
        </is>
      </c>
      <c r="BF305" t="inlineStr">
        <is>
          <t>unknown</t>
        </is>
      </c>
      <c r="BG305" t="inlineStr">
        <is>
          <t>unknown</t>
        </is>
      </c>
      <c r="BK305" t="inlineStr">
        <is>
          <t>unknown</t>
        </is>
      </c>
      <c r="BL305" t="inlineStr">
        <is>
          <t>n/a (operator site)</t>
        </is>
      </c>
      <c r="BM305" t="inlineStr">
        <is>
          <t>unknown</t>
        </is>
      </c>
      <c r="BN305" t="inlineStr">
        <is>
          <t>Regus (IWG)</t>
        </is>
      </c>
      <c r="BP305" t="inlineStr">
        <is>
          <t>10001</t>
        </is>
      </c>
      <c r="BQ305" t="n">
        <v>40.747741</v>
      </c>
      <c r="BR305" t="n">
        <v>-73.988094</v>
      </c>
      <c r="BS305" t="inlineStr">
        <is>
          <t>N</t>
        </is>
      </c>
      <c r="BT305" t="n">
        <v>0.8</v>
      </c>
      <c r="BV305" t="inlineStr">
        <is>
          <t>unknown</t>
        </is>
      </c>
      <c r="BW305" t="inlineStr">
        <is>
          <t>https://old.regus.com/offices/united-states/new-york/new-york-city/office-space/ny-new-york-1250-broadway</t>
        </is>
      </c>
      <c r="BX305" t="inlineStr">
        <is>
          <t>2026-10-23</t>
        </is>
      </c>
      <c r="BY305" t="inlineStr">
        <is>
          <t>operator-site</t>
        </is>
      </c>
      <c r="CC305" t="inlineStr">
        <is>
          <t>low</t>
        </is>
      </c>
      <c r="CE305" t="inlineStr">
        <is>
          <t>N</t>
        </is>
      </c>
      <c r="CF305" t="inlineStr">
        <is>
          <t>B-W-031</t>
        </is>
      </c>
      <c r="CG305" t="inlineStr">
        <is>
          <t>unknown</t>
        </is>
      </c>
      <c r="CH305" t="inlineStr">
        <is>
          <t>unknown</t>
        </is>
      </c>
      <c r="CJ305" t="inlineStr">
        <is>
          <t>unknown</t>
        </is>
      </c>
      <c r="CK305" t="inlineStr">
        <is>
          <t>N</t>
        </is>
      </c>
      <c r="CL305" t="inlineStr">
        <is>
          <t>unknown</t>
        </is>
      </c>
      <c r="CO305" t="inlineStr">
        <is>
          <t>unknown</t>
        </is>
      </c>
      <c r="CQ305" t="inlineStr">
        <is>
          <t>Coworking site: member headcount not sourced; treat as one office if the operator controls the pantry and ask the Tuesday count at intake.</t>
        </is>
      </c>
      <c r="CR305" t="inlineStr">
        <is>
          <t>estimate until intake replaces it</t>
        </is>
      </c>
      <c r="CS305" t="inlineStr">
        <is>
          <t>unknown</t>
        </is>
      </c>
      <c r="CT305" t="n">
        <v>23</v>
      </c>
      <c r="CU305" t="n">
        <v>7</v>
      </c>
      <c r="CV305" t="n">
        <v>8</v>
      </c>
      <c r="CW305" t="n">
        <v>6</v>
      </c>
      <c r="CX305" t="n">
        <v>2</v>
      </c>
      <c r="CY305">
        <f>IF(AH305="exact",10,IF(AH305="adjacent",5,0))</f>
        <v/>
      </c>
      <c r="CZ305">
        <f>IF(R305="Y",15,0)</f>
        <v/>
      </c>
      <c r="DF305" t="inlineStr">
        <is>
          <t>none</t>
        </is>
      </c>
      <c r="DG305" t="inlineStr">
        <is>
          <t>coworking-operator</t>
        </is>
      </c>
      <c r="DK305" t="inlineStr">
        <is>
          <t>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is>
      </c>
      <c r="DS305" t="inlineStr">
        <is>
          <t>none</t>
        </is>
      </c>
      <c r="DX305" t="inlineStr">
        <is>
          <t>N</t>
        </is>
      </c>
      <c r="DZ305" t="inlineStr">
        <is>
          <t>parent 'regus' shared with AO-W-030, AO-W-012</t>
        </is>
      </c>
      <c r="ER305">
        <f>IF(ISNUMBER(MATCH(U305,{"queued","contacted","replied","call_booked","call_done","yes_in_principle","materials_sent"},0)),"Y","N")</f>
        <v/>
      </c>
      <c r="ES305">
        <f>IF(COUNTIFS($AP$2:$AP$1000,AP305,$ER$2:$ER$1000,"Y")+COUNTIFS($AP$2:$AP$1000,AP305,$T$2:$T$1000,"Y")&gt;0,"Y","N")</f>
        <v/>
      </c>
      <c r="ET305">
        <f>IF(AND(U305="new",T305="N",AT305="Y",AS305="",ES305="N"),"Y","N")</f>
        <v/>
      </c>
      <c r="EU305">
        <f>IF(ET305&lt;&gt;"Y","N",IF(COUNTIFS($AP$2:$AP$1000,AP305,$ET$2:$ET$1000,"Y",$J$2:$J$1000,"&gt;"&amp;J305)+COUNTIFS($AP$2:$AP$1000,AP305,$ET$2:$ET$1000,"Y",$J$2:$J$1000,J305,$EW$2:$EW$1000,"&lt;"&amp;EW305)=0,"Y","N"))</f>
        <v/>
      </c>
      <c r="EV305">
        <f>IF(Y305="","N",IF(Y305&lt;=10,"Y","N"))</f>
        <v/>
      </c>
      <c r="EW305">
        <f>ROW()-1</f>
        <v/>
      </c>
    </row>
    <row r="306">
      <c r="A306" t="inlineStr">
        <is>
          <t>AO-W-030</t>
        </is>
      </c>
      <c r="B306" t="inlineStr">
        <is>
          <t>Regus 136 Madison Avenue</t>
        </is>
      </c>
      <c r="H306" t="inlineStr">
        <is>
          <t>none</t>
        </is>
      </c>
      <c r="I306" t="inlineStr">
        <is>
          <t>linkedin</t>
        </is>
      </c>
      <c r="J306">
        <f>IF(AX306="pass",ROUND(CU306+CV306+CW306+CX306+CY306+CZ306,1),0)</f>
        <v/>
      </c>
      <c r="K306" t="inlineStr">
        <is>
          <t>Gated out: outside the cluster (0.8 blocks outside the line); operator control of the pantry not shown (pantry_control=unknown).</t>
        </is>
      </c>
      <c r="L306" t="inlineStr">
        <is>
          <t>unknown</t>
        </is>
      </c>
      <c r="R306" t="inlineStr">
        <is>
          <t>N</t>
        </is>
      </c>
      <c r="S306" t="inlineStr">
        <is>
          <t>unknown</t>
        </is>
      </c>
      <c r="T306" t="inlineStr">
        <is>
          <t>N</t>
        </is>
      </c>
      <c r="U306" t="inlineStr">
        <is>
          <t>new</t>
        </is>
      </c>
      <c r="V306" t="inlineStr">
        <is>
          <t>https://old.regus.com/offices/united-states/new-york/new-york-city/office-space/ny-new-york-city-136-madison-avenue</t>
        </is>
      </c>
      <c r="W306" t="inlineStr">
        <is>
          <t>2026-10-23</t>
        </is>
      </c>
      <c r="X306" t="inlineStr">
        <is>
          <t>office</t>
        </is>
      </c>
      <c r="Y306">
        <f>IF(EU306&lt;&gt;"Y","",COUNTIFS($EU$2:$EU$1000,"Y",$J$2:$J$1000,"&gt;"&amp;J306)+COUNTIFS($EU$2:$EU$1000,"Y",$J$2:$J$1000,J306,$EW$2:$EW$1000,"&lt;"&amp;EW306)+1)</f>
        <v/>
      </c>
      <c r="AA306" t="inlineStr">
        <is>
          <t>N</t>
        </is>
      </c>
      <c r="AD306" t="inlineStr">
        <is>
          <t>none</t>
        </is>
      </c>
      <c r="AH306" t="inlineStr">
        <is>
          <t>none</t>
        </is>
      </c>
      <c r="AI306" t="inlineStr">
        <is>
          <t>136 Madison Avenue, 6th Floor, New York, NY 10016</t>
        </is>
      </c>
      <c r="AJ306" t="inlineStr">
        <is>
          <t>6th Floor</t>
        </is>
      </c>
      <c r="AK306" t="inlineStr">
        <is>
          <t>unverified</t>
        </is>
      </c>
      <c r="AL306" t="inlineStr">
        <is>
          <t>unknown</t>
        </is>
      </c>
      <c r="AM306" t="inlineStr">
        <is>
          <t>unknown</t>
        </is>
      </c>
      <c r="AN306" t="inlineStr">
        <is>
          <t>none</t>
        </is>
      </c>
      <c r="AO306" t="inlineStr">
        <is>
          <t>unknown</t>
        </is>
      </c>
      <c r="AP306" t="inlineStr">
        <is>
          <t>grp-W012-W030-W031</t>
        </is>
      </c>
      <c r="AQ306" t="inlineStr">
        <is>
          <t>N</t>
        </is>
      </c>
      <c r="AT306">
        <f>IF(AND(AX306="pass",AQ306&lt;&gt;"Y",C306&lt;&gt;"",OR(AW306&lt;&gt;"Y",AV306="Y")),"Y","N")</f>
        <v/>
      </c>
      <c r="AU306">
        <f>_xlfn.TEXTJOIN("; ",TRUE,IF(AX306&lt;&gt;"pass","gated out",""),IF(AQ306="Y","on hold: "&amp;AR306,""),IF(C306="","no contact named on an opened page",""),IF(AND(AW306="Y",AV306&lt;&gt;"Y"),"Tuesday estimate band "&amp;L306&amp;": founder's call",""))</f>
        <v/>
      </c>
      <c r="AW306" t="inlineStr">
        <is>
          <t>N</t>
        </is>
      </c>
      <c r="AX306" t="inlineStr">
        <is>
          <t>fail</t>
        </is>
      </c>
      <c r="AY306" t="inlineStr">
        <is>
          <t>outside the cluster (0.8 blocks outside the line); operator control of the pantry not shown (pantry_control=unknown)</t>
        </is>
      </c>
      <c r="AZ306" t="inlineStr">
        <is>
          <t>coworking-operator</t>
        </is>
      </c>
      <c r="BA306" t="inlineStr">
        <is>
          <t>B-W-030</t>
        </is>
      </c>
      <c r="BB306" t="inlineStr">
        <is>
          <t>https://old.regus.com</t>
        </is>
      </c>
      <c r="BC306" t="inlineStr">
        <is>
          <t>coworking operator</t>
        </is>
      </c>
      <c r="BD306" t="inlineStr">
        <is>
          <t>unknown</t>
        </is>
      </c>
      <c r="BF306" t="inlineStr">
        <is>
          <t>unknown</t>
        </is>
      </c>
      <c r="BG306" t="inlineStr">
        <is>
          <t>unknown</t>
        </is>
      </c>
      <c r="BK306" t="inlineStr">
        <is>
          <t>unknown</t>
        </is>
      </c>
      <c r="BL306" t="inlineStr">
        <is>
          <t>n/a (operator site)</t>
        </is>
      </c>
      <c r="BM306" t="inlineStr">
        <is>
          <t>unknown</t>
        </is>
      </c>
      <c r="BN306" t="inlineStr">
        <is>
          <t>Regus (IWG)</t>
        </is>
      </c>
      <c r="BP306" t="inlineStr">
        <is>
          <t>10016</t>
        </is>
      </c>
      <c r="BQ306" t="n">
        <v>40.746229</v>
      </c>
      <c r="BR306" t="n">
        <v>-73.984472</v>
      </c>
      <c r="BS306" t="inlineStr">
        <is>
          <t>N</t>
        </is>
      </c>
      <c r="BT306" t="n">
        <v>0.8</v>
      </c>
      <c r="BV306" t="inlineStr">
        <is>
          <t>unknown</t>
        </is>
      </c>
      <c r="BW306" t="inlineStr">
        <is>
          <t>https://old.regus.com/offices/united-states/new-york/new-york-city/office-space/ny-new-york-city-136-madison-avenue</t>
        </is>
      </c>
      <c r="BX306" t="inlineStr">
        <is>
          <t>2026-10-23</t>
        </is>
      </c>
      <c r="BY306" t="inlineStr">
        <is>
          <t>operator-site</t>
        </is>
      </c>
      <c r="CC306" t="inlineStr">
        <is>
          <t>low</t>
        </is>
      </c>
      <c r="CE306" t="inlineStr">
        <is>
          <t>N</t>
        </is>
      </c>
      <c r="CF306" t="inlineStr">
        <is>
          <t>B-W-030</t>
        </is>
      </c>
      <c r="CG306" t="inlineStr">
        <is>
          <t>unknown</t>
        </is>
      </c>
      <c r="CH306" t="inlineStr">
        <is>
          <t>unknown</t>
        </is>
      </c>
      <c r="CJ306" t="inlineStr">
        <is>
          <t>unknown</t>
        </is>
      </c>
      <c r="CK306" t="inlineStr">
        <is>
          <t>N</t>
        </is>
      </c>
      <c r="CL306" t="inlineStr">
        <is>
          <t>unknown</t>
        </is>
      </c>
      <c r="CO306" t="inlineStr">
        <is>
          <t>unknown</t>
        </is>
      </c>
      <c r="CQ306" t="inlineStr">
        <is>
          <t>Coworking site: member headcount not sourced; treat as one office if the operator controls the pantry and ask the Tuesday count at intake.</t>
        </is>
      </c>
      <c r="CR306" t="inlineStr">
        <is>
          <t>estimate until intake replaces it</t>
        </is>
      </c>
      <c r="CS306" t="inlineStr">
        <is>
          <t>unknown</t>
        </is>
      </c>
      <c r="CT306" t="n">
        <v>23</v>
      </c>
      <c r="CU306" t="n">
        <v>7</v>
      </c>
      <c r="CV306" t="n">
        <v>8</v>
      </c>
      <c r="CW306" t="n">
        <v>6</v>
      </c>
      <c r="CX306" t="n">
        <v>2</v>
      </c>
      <c r="CY306">
        <f>IF(AH306="exact",10,IF(AH306="adjacent",5,0))</f>
        <v/>
      </c>
      <c r="CZ306">
        <f>IF(R306="Y",15,0)</f>
        <v/>
      </c>
      <c r="DF306" t="inlineStr">
        <is>
          <t>none</t>
        </is>
      </c>
      <c r="DG306" t="inlineStr">
        <is>
          <t>coworking-operator</t>
        </is>
      </c>
      <c r="DK306" t="inlineStr">
        <is>
          <t>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is>
      </c>
      <c r="DS306" t="inlineStr">
        <is>
          <t>none</t>
        </is>
      </c>
      <c r="DX306" t="inlineStr">
        <is>
          <t>N</t>
        </is>
      </c>
      <c r="DZ306" t="inlineStr">
        <is>
          <t>parent 'regus' shared with AO-W-031, AO-W-012</t>
        </is>
      </c>
      <c r="ER306">
        <f>IF(ISNUMBER(MATCH(U306,{"queued","contacted","replied","call_booked","call_done","yes_in_principle","materials_sent"},0)),"Y","N")</f>
        <v/>
      </c>
      <c r="ES306">
        <f>IF(COUNTIFS($AP$2:$AP$1000,AP306,$ER$2:$ER$1000,"Y")+COUNTIFS($AP$2:$AP$1000,AP306,$T$2:$T$1000,"Y")&gt;0,"Y","N")</f>
        <v/>
      </c>
      <c r="ET306">
        <f>IF(AND(U306="new",T306="N",AT306="Y",AS306="",ES306="N"),"Y","N")</f>
        <v/>
      </c>
      <c r="EU306">
        <f>IF(ET306&lt;&gt;"Y","N",IF(COUNTIFS($AP$2:$AP$1000,AP306,$ET$2:$ET$1000,"Y",$J$2:$J$1000,"&gt;"&amp;J306)+COUNTIFS($AP$2:$AP$1000,AP306,$ET$2:$ET$1000,"Y",$J$2:$J$1000,J306,$EW$2:$EW$1000,"&lt;"&amp;EW306)=0,"Y","N"))</f>
        <v/>
      </c>
      <c r="EV306">
        <f>IF(Y306="","N",IF(Y306&lt;=10,"Y","N"))</f>
        <v/>
      </c>
      <c r="EW306">
        <f>ROW()-1</f>
        <v/>
      </c>
    </row>
    <row r="307">
      <c r="A307" t="inlineStr">
        <is>
          <t>AO-W-012</t>
        </is>
      </c>
      <c r="B307" t="inlineStr">
        <is>
          <t>Regus 41 Madison Avenue</t>
        </is>
      </c>
      <c r="H307" t="inlineStr">
        <is>
          <t>none</t>
        </is>
      </c>
      <c r="I307" t="inlineStr">
        <is>
          <t>linkedin</t>
        </is>
      </c>
      <c r="J307">
        <f>IF(AX307="pass",ROUND(CU307+CV307+CW307+CX307+CY307+CZ307,1),0)</f>
        <v/>
      </c>
      <c r="K307" t="inlineStr">
        <is>
          <t>Gated out: operator control of the pantry not shown (pantry_control=unknown).</t>
        </is>
      </c>
      <c r="L307" t="inlineStr">
        <is>
          <t>unknown</t>
        </is>
      </c>
      <c r="R307" t="inlineStr">
        <is>
          <t>N</t>
        </is>
      </c>
      <c r="S307" t="inlineStr">
        <is>
          <t>unknown</t>
        </is>
      </c>
      <c r="T307" t="inlineStr">
        <is>
          <t>N</t>
        </is>
      </c>
      <c r="U307" t="inlineStr">
        <is>
          <t>new</t>
        </is>
      </c>
      <c r="V307" t="inlineStr">
        <is>
          <t>https://old.regus.com/offices/united-states/new-york/new-york-city/office-space/ny-new-york-city-41-madison-avenue</t>
        </is>
      </c>
      <c r="W307" t="inlineStr">
        <is>
          <t>2026-10-23</t>
        </is>
      </c>
      <c r="X307" t="inlineStr">
        <is>
          <t>office</t>
        </is>
      </c>
      <c r="Y307">
        <f>IF(EU307&lt;&gt;"Y","",COUNTIFS($EU$2:$EU$1000,"Y",$J$2:$J$1000,"&gt;"&amp;J307)+COUNTIFS($EU$2:$EU$1000,"Y",$J$2:$J$1000,J307,$EW$2:$EW$1000,"&lt;"&amp;EW307)+1)</f>
        <v/>
      </c>
      <c r="AA307" t="inlineStr">
        <is>
          <t>N</t>
        </is>
      </c>
      <c r="AD307" t="inlineStr">
        <is>
          <t>none</t>
        </is>
      </c>
      <c r="AH307" t="inlineStr">
        <is>
          <t>none</t>
        </is>
      </c>
      <c r="AI307" t="inlineStr">
        <is>
          <t>41 Madison Avenue, 31st Floor, New York, NY 10010</t>
        </is>
      </c>
      <c r="AJ307" t="inlineStr">
        <is>
          <t>31st Floor</t>
        </is>
      </c>
      <c r="AK307" t="inlineStr">
        <is>
          <t>unverified</t>
        </is>
      </c>
      <c r="AL307" t="inlineStr">
        <is>
          <t>unknown</t>
        </is>
      </c>
      <c r="AM307" t="inlineStr">
        <is>
          <t>unknown</t>
        </is>
      </c>
      <c r="AN307" t="inlineStr">
        <is>
          <t>none</t>
        </is>
      </c>
      <c r="AO307" t="inlineStr">
        <is>
          <t>unknown</t>
        </is>
      </c>
      <c r="AP307" t="inlineStr">
        <is>
          <t>grp-W012-W030-W031</t>
        </is>
      </c>
      <c r="AQ307" t="inlineStr">
        <is>
          <t>N</t>
        </is>
      </c>
      <c r="AT307">
        <f>IF(AND(AX307="pass",AQ307&lt;&gt;"Y",C307&lt;&gt;"",OR(AW307&lt;&gt;"Y",AV307="Y")),"Y","N")</f>
        <v/>
      </c>
      <c r="AU307">
        <f>_xlfn.TEXTJOIN("; ",TRUE,IF(AX307&lt;&gt;"pass","gated out",""),IF(AQ307="Y","on hold: "&amp;AR307,""),IF(C307="","no contact named on an opened page",""),IF(AND(AW307="Y",AV307&lt;&gt;"Y"),"Tuesday estimate band "&amp;L307&amp;": founder's call",""))</f>
        <v/>
      </c>
      <c r="AW307" t="inlineStr">
        <is>
          <t>N</t>
        </is>
      </c>
      <c r="AX307" t="inlineStr">
        <is>
          <t>fail</t>
        </is>
      </c>
      <c r="AY307" t="inlineStr">
        <is>
          <t>operator control of the pantry not shown (pantry_control=unknown)</t>
        </is>
      </c>
      <c r="AZ307" t="inlineStr">
        <is>
          <t>coworking-operator</t>
        </is>
      </c>
      <c r="BA307" t="inlineStr">
        <is>
          <t>B-W-012</t>
        </is>
      </c>
      <c r="BB307" t="inlineStr">
        <is>
          <t>https://old.regus.com</t>
        </is>
      </c>
      <c r="BC307" t="inlineStr">
        <is>
          <t>coworking operator</t>
        </is>
      </c>
      <c r="BD307" t="inlineStr">
        <is>
          <t>unknown</t>
        </is>
      </c>
      <c r="BF307" t="inlineStr">
        <is>
          <t>unknown</t>
        </is>
      </c>
      <c r="BG307" t="inlineStr">
        <is>
          <t>unknown</t>
        </is>
      </c>
      <c r="BK307" t="inlineStr">
        <is>
          <t>unknown</t>
        </is>
      </c>
      <c r="BL307" t="inlineStr">
        <is>
          <t>n/a (operator site)</t>
        </is>
      </c>
      <c r="BM307" t="inlineStr">
        <is>
          <t>unknown</t>
        </is>
      </c>
      <c r="BN307" t="inlineStr">
        <is>
          <t>Regus (IWG)</t>
        </is>
      </c>
      <c r="BP307" t="inlineStr">
        <is>
          <t>10010</t>
        </is>
      </c>
      <c r="BQ307" t="n">
        <v>40.742477</v>
      </c>
      <c r="BR307" t="n">
        <v>-73.986608</v>
      </c>
      <c r="BS307" t="inlineStr">
        <is>
          <t>Y</t>
        </is>
      </c>
      <c r="BT307" t="n">
        <v>0</v>
      </c>
      <c r="BU307" t="inlineStr">
        <is>
          <t>B-B-057</t>
        </is>
      </c>
      <c r="BV307" t="inlineStr">
        <is>
          <t>41 Madison Avenue (Rudin)</t>
        </is>
      </c>
      <c r="BW307" t="inlineStr">
        <is>
          <t>https://old.regus.com/offices/united-states/new-york/new-york-city/office-space/ny-new-york-city-41-madison-avenue</t>
        </is>
      </c>
      <c r="BX307" t="inlineStr">
        <is>
          <t>2026-10-23</t>
        </is>
      </c>
      <c r="BY307" t="inlineStr">
        <is>
          <t>operator-site</t>
        </is>
      </c>
      <c r="CC307" t="inlineStr">
        <is>
          <t>low</t>
        </is>
      </c>
      <c r="CE307" t="inlineStr">
        <is>
          <t>N</t>
        </is>
      </c>
      <c r="CF307" t="inlineStr">
        <is>
          <t>B-W-012</t>
        </is>
      </c>
      <c r="CG307" t="inlineStr">
        <is>
          <t>unknown</t>
        </is>
      </c>
      <c r="CH307" t="inlineStr">
        <is>
          <t>security desk</t>
        </is>
      </c>
      <c r="CI307" t="inlineStr">
        <is>
          <t>https://www.metro-manhattan.com/buildings/41-madison-avenue-forty-one-madison-office-space/</t>
        </is>
      </c>
      <c r="CJ307" t="inlineStr">
        <is>
          <t>unknown</t>
        </is>
      </c>
      <c r="CK307" t="inlineStr">
        <is>
          <t>N</t>
        </is>
      </c>
      <c r="CL307" t="inlineStr">
        <is>
          <t>unknown</t>
        </is>
      </c>
      <c r="CO307" t="inlineStr">
        <is>
          <t>unknown</t>
        </is>
      </c>
      <c r="CQ307" t="inlineStr">
        <is>
          <t>Coworking site: member headcount not sourced; treat as one office if the operator controls the pantry and ask the Tuesday count at intake.</t>
        </is>
      </c>
      <c r="CR307" t="inlineStr">
        <is>
          <t>estimate until intake replaces it</t>
        </is>
      </c>
      <c r="CS307" t="inlineStr">
        <is>
          <t>unknown</t>
        </is>
      </c>
      <c r="CT307" t="n">
        <v>23</v>
      </c>
      <c r="CU307" t="n">
        <v>7</v>
      </c>
      <c r="CV307" t="n">
        <v>8</v>
      </c>
      <c r="CW307" t="n">
        <v>6</v>
      </c>
      <c r="CX307" t="n">
        <v>2</v>
      </c>
      <c r="CY307">
        <f>IF(AH307="exact",10,IF(AH307="adjacent",5,0))</f>
        <v/>
      </c>
      <c r="CZ307">
        <f>IF(R307="Y",15,0)</f>
        <v/>
      </c>
      <c r="DF307" t="inlineStr">
        <is>
          <t>none</t>
        </is>
      </c>
      <c r="DG307" t="inlineStr">
        <is>
          <t>coworking-operator</t>
        </is>
      </c>
      <c r="DK307" t="inlineStr">
        <is>
          <t>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is>
      </c>
      <c r="DS307" t="inlineStr">
        <is>
          <t>none</t>
        </is>
      </c>
      <c r="DX307" t="inlineStr">
        <is>
          <t>N</t>
        </is>
      </c>
      <c r="DZ307" t="inlineStr">
        <is>
          <t>parent 'regus' shared with AO-W-031, AO-W-030</t>
        </is>
      </c>
      <c r="ER307">
        <f>IF(ISNUMBER(MATCH(U307,{"queued","contacted","replied","call_booked","call_done","yes_in_principle","materials_sent"},0)),"Y","N")</f>
        <v/>
      </c>
      <c r="ES307">
        <f>IF(COUNTIFS($AP$2:$AP$1000,AP307,$ER$2:$ER$1000,"Y")+COUNTIFS($AP$2:$AP$1000,AP307,$T$2:$T$1000,"Y")&gt;0,"Y","N")</f>
        <v/>
      </c>
      <c r="ET307">
        <f>IF(AND(U307="new",T307="N",AT307="Y",AS307="",ES307="N"),"Y","N")</f>
        <v/>
      </c>
      <c r="EU307">
        <f>IF(ET307&lt;&gt;"Y","N",IF(COUNTIFS($AP$2:$AP$1000,AP307,$ET$2:$ET$1000,"Y",$J$2:$J$1000,"&gt;"&amp;J307)+COUNTIFS($AP$2:$AP$1000,AP307,$ET$2:$ET$1000,"Y",$J$2:$J$1000,J307,$EW$2:$EW$1000,"&lt;"&amp;EW307)=0,"Y","N"))</f>
        <v/>
      </c>
      <c r="EV307">
        <f>IF(Y307="","N",IF(Y307&lt;=10,"Y","N"))</f>
        <v/>
      </c>
      <c r="EW307">
        <f>ROW()-1</f>
        <v/>
      </c>
    </row>
    <row r="308">
      <c r="A308" t="inlineStr">
        <is>
          <t>AO-W-019</t>
        </is>
      </c>
      <c r="B308" t="inlineStr">
        <is>
          <t>Spaces Midtown South (401 Park Avenue South)</t>
        </is>
      </c>
      <c r="H308" t="inlineStr">
        <is>
          <t>none</t>
        </is>
      </c>
      <c r="I308" t="inlineStr">
        <is>
          <t>linkedin</t>
        </is>
      </c>
      <c r="J308">
        <f>IF(AX308="pass",ROUND(CU308+CV308+CW308+CX308+CY308+CZ308,1),0)</f>
        <v/>
      </c>
      <c r="K308" t="inlineStr">
        <is>
          <t>Gated out: operator control of the pantry not shown (pantry_control=unknown).</t>
        </is>
      </c>
      <c r="L308" t="inlineStr">
        <is>
          <t>unknown</t>
        </is>
      </c>
      <c r="R308" t="inlineStr">
        <is>
          <t>N</t>
        </is>
      </c>
      <c r="S308" t="inlineStr">
        <is>
          <t>unknown</t>
        </is>
      </c>
      <c r="T308" t="inlineStr">
        <is>
          <t>N</t>
        </is>
      </c>
      <c r="U308" t="inlineStr">
        <is>
          <t>new</t>
        </is>
      </c>
      <c r="V308" t="inlineStr">
        <is>
          <t>https://old.regus.com/offices/united-states/new-york/new-york-city/office-space/ny-new-york-spaces-midtown-south</t>
        </is>
      </c>
      <c r="W308" t="inlineStr">
        <is>
          <t>2026-10-23</t>
        </is>
      </c>
      <c r="X308" t="inlineStr">
        <is>
          <t>office</t>
        </is>
      </c>
      <c r="Y308">
        <f>IF(EU308&lt;&gt;"Y","",COUNTIFS($EU$2:$EU$1000,"Y",$J$2:$J$1000,"&gt;"&amp;J308)+COUNTIFS($EU$2:$EU$1000,"Y",$J$2:$J$1000,J308,$EW$2:$EW$1000,"&lt;"&amp;EW308)+1)</f>
        <v/>
      </c>
      <c r="AA308" t="inlineStr">
        <is>
          <t>N</t>
        </is>
      </c>
      <c r="AD308" t="inlineStr">
        <is>
          <t>none</t>
        </is>
      </c>
      <c r="AH308" t="inlineStr">
        <is>
          <t>none</t>
        </is>
      </c>
      <c r="AI308" t="inlineStr">
        <is>
          <t>401 Park Avenue South, Floors 8-10, New York, NY 10016</t>
        </is>
      </c>
      <c r="AJ308" t="inlineStr">
        <is>
          <t>Floors 8-10</t>
        </is>
      </c>
      <c r="AK308" t="inlineStr">
        <is>
          <t>unverified</t>
        </is>
      </c>
      <c r="AL308" t="inlineStr">
        <is>
          <t>unknown</t>
        </is>
      </c>
      <c r="AM308" t="inlineStr">
        <is>
          <t>unknown</t>
        </is>
      </c>
      <c r="AN308" t="inlineStr">
        <is>
          <t>none</t>
        </is>
      </c>
      <c r="AO308" t="inlineStr">
        <is>
          <t>unknown</t>
        </is>
      </c>
      <c r="AP308" t="inlineStr">
        <is>
          <t>AO-W-019</t>
        </is>
      </c>
      <c r="AQ308" t="inlineStr">
        <is>
          <t>N</t>
        </is>
      </c>
      <c r="AT308">
        <f>IF(AND(AX308="pass",AQ308&lt;&gt;"Y",C308&lt;&gt;"",OR(AW308&lt;&gt;"Y",AV308="Y")),"Y","N")</f>
        <v/>
      </c>
      <c r="AU308">
        <f>_xlfn.TEXTJOIN("; ",TRUE,IF(AX308&lt;&gt;"pass","gated out",""),IF(AQ308="Y","on hold: "&amp;AR308,""),IF(C308="","no contact named on an opened page",""),IF(AND(AW308="Y",AV308&lt;&gt;"Y"),"Tuesday estimate band "&amp;L308&amp;": founder's call",""))</f>
        <v/>
      </c>
      <c r="AW308" t="inlineStr">
        <is>
          <t>N</t>
        </is>
      </c>
      <c r="AX308" t="inlineStr">
        <is>
          <t>fail</t>
        </is>
      </c>
      <c r="AY308" t="inlineStr">
        <is>
          <t>operator control of the pantry not shown (pantry_control=unknown)</t>
        </is>
      </c>
      <c r="AZ308" t="inlineStr">
        <is>
          <t>coworking-operator</t>
        </is>
      </c>
      <c r="BA308" t="inlineStr">
        <is>
          <t>B-W-019</t>
        </is>
      </c>
      <c r="BB308" t="inlineStr">
        <is>
          <t>https://old.regus.com</t>
        </is>
      </c>
      <c r="BC308" t="inlineStr">
        <is>
          <t>coworking operator</t>
        </is>
      </c>
      <c r="BD308" t="inlineStr">
        <is>
          <t>unknown</t>
        </is>
      </c>
      <c r="BF308" t="inlineStr">
        <is>
          <t>unknown</t>
        </is>
      </c>
      <c r="BG308" t="inlineStr">
        <is>
          <t>unknown</t>
        </is>
      </c>
      <c r="BK308" t="inlineStr">
        <is>
          <t>unknown</t>
        </is>
      </c>
      <c r="BL308" t="inlineStr">
        <is>
          <t>n/a (operator site)</t>
        </is>
      </c>
      <c r="BM308" t="inlineStr">
        <is>
          <t>unknown</t>
        </is>
      </c>
      <c r="BN308" t="inlineStr">
        <is>
          <t>Spaces / Regus (IWG)</t>
        </is>
      </c>
      <c r="BP308" t="inlineStr">
        <is>
          <t>10016</t>
        </is>
      </c>
      <c r="BQ308" t="n">
        <v>40.743042</v>
      </c>
      <c r="BR308" t="n">
        <v>-73.98402400000001</v>
      </c>
      <c r="BS308" t="inlineStr">
        <is>
          <t>Y</t>
        </is>
      </c>
      <c r="BT308" t="n">
        <v>0</v>
      </c>
      <c r="BV308" t="inlineStr">
        <is>
          <t>unknown</t>
        </is>
      </c>
      <c r="BW308" t="inlineStr">
        <is>
          <t>https://old.regus.com/offices/united-states/new-york/new-york-city/office-space/ny-new-york-spaces-midtown-south</t>
        </is>
      </c>
      <c r="BX308" t="inlineStr">
        <is>
          <t>2026-10-23</t>
        </is>
      </c>
      <c r="BY308" t="inlineStr">
        <is>
          <t>operator-site</t>
        </is>
      </c>
      <c r="CC308" t="inlineStr">
        <is>
          <t>low</t>
        </is>
      </c>
      <c r="CE308" t="inlineStr">
        <is>
          <t>N</t>
        </is>
      </c>
      <c r="CF308" t="inlineStr">
        <is>
          <t>B-W-019</t>
        </is>
      </c>
      <c r="CG308" t="inlineStr">
        <is>
          <t>unknown</t>
        </is>
      </c>
      <c r="CH308" t="inlineStr">
        <is>
          <t>unknown</t>
        </is>
      </c>
      <c r="CJ308" t="inlineStr">
        <is>
          <t>unknown</t>
        </is>
      </c>
      <c r="CK308" t="inlineStr">
        <is>
          <t>N</t>
        </is>
      </c>
      <c r="CL308" t="inlineStr">
        <is>
          <t>unknown</t>
        </is>
      </c>
      <c r="CO308" t="inlineStr">
        <is>
          <t>unknown</t>
        </is>
      </c>
      <c r="CQ308" t="inlineStr">
        <is>
          <t>Coworking site: member headcount not sourced; treat as one office if the operator controls the pantry and ask the Tuesday count at intake.</t>
        </is>
      </c>
      <c r="CR308" t="inlineStr">
        <is>
          <t>estimate until intake replaces it</t>
        </is>
      </c>
      <c r="CS308" t="inlineStr">
        <is>
          <t>unknown</t>
        </is>
      </c>
      <c r="CT308" t="n">
        <v>23</v>
      </c>
      <c r="CU308" t="n">
        <v>7</v>
      </c>
      <c r="CV308" t="n">
        <v>8</v>
      </c>
      <c r="CW308" t="n">
        <v>6</v>
      </c>
      <c r="CX308" t="n">
        <v>2</v>
      </c>
      <c r="CY308">
        <f>IF(AH308="exact",10,IF(AH308="adjacent",5,0))</f>
        <v/>
      </c>
      <c r="CZ308">
        <f>IF(R308="Y",15,0)</f>
        <v/>
      </c>
      <c r="DF308" t="inlineStr">
        <is>
          <t>none</t>
        </is>
      </c>
      <c r="DG308" t="inlineStr">
        <is>
          <t>coworking-operator</t>
        </is>
      </c>
      <c r="DK308" t="inlineStr">
        <is>
          <t>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is>
      </c>
      <c r="DS308" t="inlineStr">
        <is>
          <t>none</t>
        </is>
      </c>
      <c r="DX308" t="inlineStr">
        <is>
          <t>N</t>
        </is>
      </c>
      <c r="ER308">
        <f>IF(ISNUMBER(MATCH(U308,{"queued","contacted","replied","call_booked","call_done","yes_in_principle","materials_sent"},0)),"Y","N")</f>
        <v/>
      </c>
      <c r="ES308">
        <f>IF(COUNTIFS($AP$2:$AP$1000,AP308,$ER$2:$ER$1000,"Y")+COUNTIFS($AP$2:$AP$1000,AP308,$T$2:$T$1000,"Y")&gt;0,"Y","N")</f>
        <v/>
      </c>
      <c r="ET308">
        <f>IF(AND(U308="new",T308="N",AT308="Y",AS308="",ES308="N"),"Y","N")</f>
        <v/>
      </c>
      <c r="EU308">
        <f>IF(ET308&lt;&gt;"Y","N",IF(COUNTIFS($AP$2:$AP$1000,AP308,$ET$2:$ET$1000,"Y",$J$2:$J$1000,"&gt;"&amp;J308)+COUNTIFS($AP$2:$AP$1000,AP308,$ET$2:$ET$1000,"Y",$J$2:$J$1000,J308,$EW$2:$EW$1000,"&lt;"&amp;EW308)=0,"Y","N"))</f>
        <v/>
      </c>
      <c r="EV308">
        <f>IF(Y308="","N",IF(Y308&lt;=10,"Y","N"))</f>
        <v/>
      </c>
      <c r="EW308">
        <f>ROW()-1</f>
        <v/>
      </c>
    </row>
    <row r="309">
      <c r="A309" t="inlineStr">
        <is>
          <t>AO-W-020</t>
        </is>
      </c>
      <c r="B309" t="inlineStr">
        <is>
          <t>WeWork 27 E 28th St (79 Madison Ave building)</t>
        </is>
      </c>
      <c r="H309" t="inlineStr">
        <is>
          <t>none</t>
        </is>
      </c>
      <c r="I309" t="inlineStr">
        <is>
          <t>linkedin</t>
        </is>
      </c>
      <c r="J309">
        <f>IF(AX309="pass",ROUND(CU309+CV309+CW309+CX309+CY309+CZ309,1),0)</f>
        <v/>
      </c>
      <c r="K309" t="inlineStr">
        <is>
          <t>Gated out: operator control of the pantry not shown (pantry_control=unknown); site possibly closed (B status).</t>
        </is>
      </c>
      <c r="L309" t="inlineStr">
        <is>
          <t>unknown</t>
        </is>
      </c>
      <c r="R309" t="inlineStr">
        <is>
          <t>N</t>
        </is>
      </c>
      <c r="S309" t="inlineStr">
        <is>
          <t>unknown</t>
        </is>
      </c>
      <c r="T309" t="inlineStr">
        <is>
          <t>N</t>
        </is>
      </c>
      <c r="U309" t="inlineStr">
        <is>
          <t>new</t>
        </is>
      </c>
      <c r="V309" t="inlineStr">
        <is>
          <t>https://liquidspace.com/us/ny/new-york/wework-27-e-28th-st</t>
        </is>
      </c>
      <c r="W309" t="inlineStr">
        <is>
          <t>2026-10-24</t>
        </is>
      </c>
      <c r="X309" t="inlineStr">
        <is>
          <t>office</t>
        </is>
      </c>
      <c r="Y309">
        <f>IF(EU309&lt;&gt;"Y","",COUNTIFS($EU$2:$EU$1000,"Y",$J$2:$J$1000,"&gt;"&amp;J309)+COUNTIFS($EU$2:$EU$1000,"Y",$J$2:$J$1000,J309,$EW$2:$EW$1000,"&lt;"&amp;EW309)+1)</f>
        <v/>
      </c>
      <c r="AA309" t="inlineStr">
        <is>
          <t>N</t>
        </is>
      </c>
      <c r="AD309" t="inlineStr">
        <is>
          <t>none</t>
        </is>
      </c>
      <c r="AH309" t="inlineStr">
        <is>
          <t>none</t>
        </is>
      </c>
      <c r="AI309" t="inlineStr">
        <is>
          <t>27 East 28th Street, New York, NY 10016</t>
        </is>
      </c>
      <c r="AJ309" t="inlineStr">
        <is>
          <t>eight floors of 17 (unnamed)</t>
        </is>
      </c>
      <c r="AK309" t="inlineStr">
        <is>
          <t>possibly-closed</t>
        </is>
      </c>
      <c r="AL309" t="inlineStr">
        <is>
          <t>unknown</t>
        </is>
      </c>
      <c r="AM309" t="inlineStr">
        <is>
          <t>unknown</t>
        </is>
      </c>
      <c r="AN309" t="inlineStr">
        <is>
          <t>none</t>
        </is>
      </c>
      <c r="AO309" t="inlineStr">
        <is>
          <t>unknown</t>
        </is>
      </c>
      <c r="AP309" t="inlineStr">
        <is>
          <t>grp-W004-W018-W020-W024-W026-W029</t>
        </is>
      </c>
      <c r="AQ309" t="inlineStr">
        <is>
          <t>Y</t>
        </is>
      </c>
      <c r="AR309" t="inlineStr">
        <is>
          <t>address conflict in B's sources: check the lobby directory before outreach (B); site possibly closed: walk by first (B)</t>
        </is>
      </c>
      <c r="AT309">
        <f>IF(AND(AX309="pass",AQ309&lt;&gt;"Y",C309&lt;&gt;"",OR(AW309&lt;&gt;"Y",AV309="Y")),"Y","N")</f>
        <v/>
      </c>
      <c r="AU309">
        <f>_xlfn.TEXTJOIN("; ",TRUE,IF(AX309&lt;&gt;"pass","gated out",""),IF(AQ309="Y","on hold: "&amp;AR309,""),IF(C309="","no contact named on an opened page",""),IF(AND(AW309="Y",AV309&lt;&gt;"Y"),"Tuesday estimate band "&amp;L309&amp;": founder's call",""))</f>
        <v/>
      </c>
      <c r="AW309" t="inlineStr">
        <is>
          <t>N</t>
        </is>
      </c>
      <c r="AX309" t="inlineStr">
        <is>
          <t>fail</t>
        </is>
      </c>
      <c r="AY309" t="inlineStr">
        <is>
          <t>operator control of the pantry not shown (pantry_control=unknown); site possibly closed (B status)</t>
        </is>
      </c>
      <c r="AZ309" t="inlineStr">
        <is>
          <t>coworking-operator</t>
        </is>
      </c>
      <c r="BA309" t="inlineStr">
        <is>
          <t>B-W-020</t>
        </is>
      </c>
      <c r="BB309" t="inlineStr">
        <is>
          <t>https://liquidspace.com</t>
        </is>
      </c>
      <c r="BC309" t="inlineStr">
        <is>
          <t>coworking operator</t>
        </is>
      </c>
      <c r="BD309" t="inlineStr">
        <is>
          <t>unknown</t>
        </is>
      </c>
      <c r="BF309" t="inlineStr">
        <is>
          <t>unknown</t>
        </is>
      </c>
      <c r="BG309" t="inlineStr">
        <is>
          <t>unknown</t>
        </is>
      </c>
      <c r="BK309" t="inlineStr">
        <is>
          <t>unknown</t>
        </is>
      </c>
      <c r="BL309" t="inlineStr">
        <is>
          <t>n/a (operator site)</t>
        </is>
      </c>
      <c r="BM309" t="inlineStr">
        <is>
          <t>unknown</t>
        </is>
      </c>
      <c r="BN309" t="inlineStr">
        <is>
          <t>WeWork</t>
        </is>
      </c>
      <c r="BP309" t="inlineStr">
        <is>
          <t>10016</t>
        </is>
      </c>
      <c r="BQ309" t="n">
        <v>40.744057</v>
      </c>
      <c r="BR309" t="n">
        <v>-73.985252</v>
      </c>
      <c r="BS309" t="inlineStr">
        <is>
          <t>Y</t>
        </is>
      </c>
      <c r="BT309" t="n">
        <v>0</v>
      </c>
      <c r="BU309" t="inlineStr">
        <is>
          <t>B-B-076</t>
        </is>
      </c>
      <c r="BV309" t="inlineStr">
        <is>
          <t>79 Madison Avenue / 27 East 28th Street (Williams Equities)</t>
        </is>
      </c>
      <c r="BW309" t="inlineStr">
        <is>
          <t>https://liquidspace.com/us/ny/new-york/wework-27-e-28th-st</t>
        </is>
      </c>
      <c r="BX309" t="inlineStr">
        <is>
          <t>2026-10-24</t>
        </is>
      </c>
      <c r="BY309" t="inlineStr">
        <is>
          <t>operator-site</t>
        </is>
      </c>
      <c r="BZ309" t="inlineStr">
        <is>
          <t>https://www.builtinnyc.com/company/monte-carlo/offices</t>
        </is>
      </c>
      <c r="CC309" t="inlineStr">
        <is>
          <t>low</t>
        </is>
      </c>
      <c r="CE309" t="inlineStr">
        <is>
          <t>N</t>
        </is>
      </c>
      <c r="CF309" t="inlineStr">
        <is>
          <t>B-W-020</t>
        </is>
      </c>
      <c r="CG309" t="inlineStr">
        <is>
          <t>unknown</t>
        </is>
      </c>
      <c r="CH309" t="inlineStr">
        <is>
          <t>unknown</t>
        </is>
      </c>
      <c r="CJ309" t="inlineStr">
        <is>
          <t>unknown</t>
        </is>
      </c>
      <c r="CK309" t="inlineStr">
        <is>
          <t>N</t>
        </is>
      </c>
      <c r="CL309" t="inlineStr">
        <is>
          <t>unknown</t>
        </is>
      </c>
      <c r="CO309" t="inlineStr">
        <is>
          <t>unknown</t>
        </is>
      </c>
      <c r="CQ309" t="inlineStr">
        <is>
          <t>Coworking site: member headcount not sourced; treat as one office if the operator controls the pantry and ask the Tuesday count at intake.</t>
        </is>
      </c>
      <c r="CR309" t="inlineStr">
        <is>
          <t>estimate until intake replaces it</t>
        </is>
      </c>
      <c r="CS309" t="inlineStr">
        <is>
          <t>unknown</t>
        </is>
      </c>
      <c r="CT309" t="n">
        <v>21</v>
      </c>
      <c r="CU309" t="n">
        <v>7</v>
      </c>
      <c r="CV309" t="n">
        <v>8</v>
      </c>
      <c r="CW309" t="n">
        <v>6</v>
      </c>
      <c r="CX309" t="n">
        <v>0</v>
      </c>
      <c r="CY309">
        <f>IF(AH309="exact",10,IF(AH309="adjacent",5,0))</f>
        <v/>
      </c>
      <c r="CZ309">
        <f>IF(R309="Y",15,0)</f>
        <v/>
      </c>
      <c r="DF309" t="inlineStr">
        <is>
          <t>none</t>
        </is>
      </c>
      <c r="DG309" t="inlineStr">
        <is>
          <t>coworking-operator</t>
        </is>
      </c>
      <c r="DK309" t="inlineStr">
        <is>
          <t>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is>
      </c>
      <c r="DS309" t="inlineStr">
        <is>
          <t>none</t>
        </is>
      </c>
      <c r="DX309" t="inlineStr">
        <is>
          <t>N</t>
        </is>
      </c>
      <c r="DZ309" t="inlineStr">
        <is>
          <t>parent 'wework' shared with AO-W-004, AO-W-024, AO-W-018, AO-W-029, AO-W-026</t>
        </is>
      </c>
      <c r="ER309">
        <f>IF(ISNUMBER(MATCH(U309,{"queued","contacted","replied","call_booked","call_done","yes_in_principle","materials_sent"},0)),"Y","N")</f>
        <v/>
      </c>
      <c r="ES309">
        <f>IF(COUNTIFS($AP$2:$AP$1000,AP309,$ER$2:$ER$1000,"Y")+COUNTIFS($AP$2:$AP$1000,AP309,$T$2:$T$1000,"Y")&gt;0,"Y","N")</f>
        <v/>
      </c>
      <c r="ET309">
        <f>IF(AND(U309="new",T309="N",AT309="Y",AS309="",ES309="N"),"Y","N")</f>
        <v/>
      </c>
      <c r="EU309">
        <f>IF(ET309&lt;&gt;"Y","N",IF(COUNTIFS($AP$2:$AP$1000,AP309,$ET$2:$ET$1000,"Y",$J$2:$J$1000,"&gt;"&amp;J309)+COUNTIFS($AP$2:$AP$1000,AP309,$ET$2:$ET$1000,"Y",$J$2:$J$1000,J309,$EW$2:$EW$1000,"&lt;"&amp;EW309)=0,"Y","N"))</f>
        <v/>
      </c>
      <c r="EV309">
        <f>IF(Y309="","N",IF(Y309&lt;=10,"Y","N"))</f>
        <v/>
      </c>
      <c r="EW309">
        <f>ROW()-1</f>
        <v/>
      </c>
    </row>
  </sheetData>
  <autoFilter ref="A1:EW309"/>
  <dataValidations count="8">
    <dataValidation sqref="U2:U309" showDropDown="0" showInputMessage="0" showErrorMessage="0" allowBlank="1" type="list">
      <formula1>"new,queued,contacted,replied,call_booked,call_done,yes_in_principle,materials_sent,signed,not_now,no,wrong_person,do_not_contact"</formula1>
    </dataValidation>
    <dataValidation sqref="T2:T309" showDropDown="0" showInputMessage="0" showErrorMessage="0" allowBlank="1" type="list">
      <formula1>"Y,N"</formula1>
    </dataValidation>
    <dataValidation sqref="R2:R309" showDropDown="0" showInputMessage="0" showErrorMessage="0" allowBlank="1" type="list">
      <formula1>"Y,N"</formula1>
    </dataValidation>
    <dataValidation sqref="AQ2:AQ309" showDropDown="0" showInputMessage="0" showErrorMessage="0" allowBlank="1" type="list">
      <formula1>"Y,N"</formula1>
    </dataValidation>
    <dataValidation sqref="AV2:AV309" showDropDown="0" showInputMessage="0" showErrorMessage="0" allowBlank="1" type="list">
      <formula1>"Y"</formula1>
    </dataValidation>
    <dataValidation sqref="H2:H309" showDropDown="0" showInputMessage="0" showErrorMessage="0" allowBlank="1" type="list">
      <formula1>"verified,unverified,none"</formula1>
    </dataValidation>
    <dataValidation sqref="I2:I309" showDropDown="0" showInputMessage="0" showErrorMessage="0" allowBlank="1" type="list">
      <formula1>"email,linkedin,warm-intro,walk-in"</formula1>
    </dataValidation>
    <dataValidation sqref="AH2:AH309" showDropDown="0" showInputMessage="0" showErrorMessage="0" allowBlank="1" type="list">
      <formula1>"exact,adjacent,none"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D31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40" customWidth="1" min="39" max="39"/>
    <col width="14" customWidth="1" min="40" max="40"/>
    <col width="14" customWidth="1" min="41" max="41"/>
    <col width="40" customWidth="1" min="42" max="42"/>
    <col width="14" customWidth="1" min="43" max="43"/>
    <col width="14" customWidth="1" min="44" max="44"/>
    <col width="40" customWidth="1" min="45" max="45"/>
    <col width="14" customWidth="1" min="46" max="46"/>
    <col width="14" customWidth="1" min="47" max="47"/>
    <col width="14" customWidth="1" min="48" max="48"/>
    <col width="40"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40"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40"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s>
  <sheetData>
    <row r="1">
      <c r="A1" s="1" t="inlineStr">
        <is>
          <t>row_id</t>
        </is>
      </c>
      <c r="B1" s="1" t="inlineStr">
        <is>
          <t>company</t>
        </is>
      </c>
      <c r="C1" s="1" t="inlineStr">
        <is>
          <t>first_name</t>
        </is>
      </c>
      <c r="D1" s="1" t="inlineStr">
        <is>
          <t>last_name</t>
        </is>
      </c>
      <c r="E1" s="1" t="inlineStr">
        <is>
          <t>title</t>
        </is>
      </c>
      <c r="F1" s="2" t="inlineStr">
        <is>
          <t>contact_linkedin_url</t>
        </is>
      </c>
      <c r="G1" s="2" t="inlineStr">
        <is>
          <t>work_email</t>
        </is>
      </c>
      <c r="H1" s="2" t="inlineStr">
        <is>
          <t>email_status</t>
        </is>
      </c>
      <c r="I1" s="1" t="inlineStr">
        <is>
          <t>channel</t>
        </is>
      </c>
      <c r="J1" s="3" t="inlineStr">
        <is>
          <t>score</t>
        </is>
      </c>
      <c r="K1" s="1" t="inlineStr">
        <is>
          <t>score_reason</t>
        </is>
      </c>
      <c r="L1" s="1" t="inlineStr">
        <is>
          <t>onsite_band</t>
        </is>
      </c>
      <c r="M1" s="1" t="inlineStr">
        <is>
          <t>nearest_stocked_retailer</t>
        </is>
      </c>
      <c r="N1" s="1" t="inlineStr">
        <is>
          <t>nearest_retailer_grade</t>
        </is>
      </c>
      <c r="O1" s="1" t="inlineStr">
        <is>
          <t>why_now</t>
        </is>
      </c>
      <c r="P1" s="1" t="inlineStr">
        <is>
          <t>why_now_url</t>
        </is>
      </c>
      <c r="Q1" s="1" t="inlineStr">
        <is>
          <t>why_now_date</t>
        </is>
      </c>
      <c r="R1" s="2" t="inlineStr">
        <is>
          <t>known_to_founder</t>
        </is>
      </c>
      <c r="S1" s="1" t="inlineStr">
        <is>
          <t>startup_cpg_member</t>
        </is>
      </c>
      <c r="T1" s="4" t="inlineStr">
        <is>
          <t>do_not_contact</t>
        </is>
      </c>
      <c r="U1" s="4" t="inlineStr">
        <is>
          <t>status</t>
        </is>
      </c>
      <c r="V1" s="1" t="inlineStr">
        <is>
          <t>source_url</t>
        </is>
      </c>
      <c r="W1" s="1" t="inlineStr">
        <is>
          <t>found_date</t>
        </is>
      </c>
      <c r="X1" s="1" t="inlineStr">
        <is>
          <t>side</t>
        </is>
      </c>
      <c r="Y1" s="3" t="inlineStr">
        <is>
          <t>daily_view_rank</t>
        </is>
      </c>
      <c r="Z1" s="1" t="inlineStr">
        <is>
          <t>rank</t>
        </is>
      </c>
      <c r="AA1" s="1" t="inlineStr">
        <is>
          <t>top60</t>
        </is>
      </c>
      <c r="AB1" s="1" t="inlineStr">
        <is>
          <t>check_before_send</t>
        </is>
      </c>
      <c r="AC1" s="1" t="inlineStr">
        <is>
          <t>contact_role</t>
        </is>
      </c>
      <c r="AD1" s="1" t="inlineStr">
        <is>
          <t>contact_status</t>
        </is>
      </c>
      <c r="AE1" s="1" t="inlineStr">
        <is>
          <t>contact_evidence</t>
        </is>
      </c>
      <c r="AF1" s="1" t="inlineStr">
        <is>
          <t>contact_source_url</t>
        </is>
      </c>
      <c r="AG1" s="1" t="inlineStr">
        <is>
          <t>contact_source_date</t>
        </is>
      </c>
      <c r="AH1" s="1" t="inlineStr">
        <is>
          <t>product_example</t>
        </is>
      </c>
      <c r="AI1" s="1" t="inlineStr">
        <is>
          <t>category</t>
        </is>
      </c>
      <c r="AJ1" s="1" t="inlineStr">
        <is>
          <t>hq_city</t>
        </is>
      </c>
      <c r="AK1" s="1" t="inlineStr">
        <is>
          <t>online_store_url</t>
        </is>
      </c>
      <c r="AL1" s="1" t="inlineStr">
        <is>
          <t>founder_review</t>
        </is>
      </c>
      <c r="AM1" s="1" t="inlineStr">
        <is>
          <t>founder_review_reason</t>
        </is>
      </c>
      <c r="AN1" s="1" t="inlineStr">
        <is>
          <t>company_group</t>
        </is>
      </c>
      <c r="AO1" s="2" t="inlineStr">
        <is>
          <t>hold_before_outreach</t>
        </is>
      </c>
      <c r="AP1" s="1" t="inlineStr">
        <is>
          <t>hold_reason</t>
        </is>
      </c>
      <c r="AQ1" s="4" t="inlineStr">
        <is>
          <t>opt_out_date</t>
        </is>
      </c>
      <c r="AR1" s="3" t="inlineStr">
        <is>
          <t>ready_for_outreach</t>
        </is>
      </c>
      <c r="AS1" s="3" t="inlineStr">
        <is>
          <t>ready_reason</t>
        </is>
      </c>
      <c r="AT1" s="2" t="inlineStr">
        <is>
          <t>founder_ok_to_queue</t>
        </is>
      </c>
      <c r="AU1" s="1" t="inlineStr">
        <is>
          <t>gate_result</t>
        </is>
      </c>
      <c r="AV1" s="1" t="inlineStr">
        <is>
          <t>gate_failed</t>
        </is>
      </c>
      <c r="AW1" s="1" t="inlineStr">
        <is>
          <t>gate_reason</t>
        </is>
      </c>
      <c r="AX1" s="1" t="inlineStr">
        <is>
          <t>founder_review_type</t>
        </is>
      </c>
      <c r="AY1" s="1" t="inlineStr">
        <is>
          <t>website</t>
        </is>
      </c>
      <c r="AZ1" s="1" t="inlineStr">
        <is>
          <t>hq_state</t>
        </is>
      </c>
      <c r="BA1" s="1" t="inlineStr">
        <is>
          <t>hq_class</t>
        </is>
      </c>
      <c r="BB1" s="1" t="inlineStr">
        <is>
          <t>funding_stage</t>
        </is>
      </c>
      <c r="BC1" s="1" t="inlineStr">
        <is>
          <t>funding_source_url</t>
        </is>
      </c>
      <c r="BD1" s="1" t="inlineStr">
        <is>
          <t>shelf_stable</t>
        </is>
      </c>
      <c r="BE1" s="1" t="inlineStr">
        <is>
          <t>shelf_stable_basis</t>
        </is>
      </c>
      <c r="BF1" s="1" t="inlineStr">
        <is>
          <t>individually_packaged</t>
        </is>
      </c>
      <c r="BG1" s="1" t="inlineStr">
        <is>
          <t>online_store</t>
        </is>
      </c>
      <c r="BH1" s="1" t="inlineStr">
        <is>
          <t>revenue_band</t>
        </is>
      </c>
      <c r="BI1" s="1" t="inlineStr">
        <is>
          <t>revenue_band_type</t>
        </is>
      </c>
      <c r="BJ1" s="1" t="inlineStr">
        <is>
          <t>revenue_basis</t>
        </is>
      </c>
      <c r="BK1" s="1" t="inlineStr">
        <is>
          <t>health_claim_flag</t>
        </is>
      </c>
      <c r="BL1" s="1" t="inlineStr">
        <is>
          <t>research_excluded</t>
        </is>
      </c>
      <c r="BM1" s="1" t="inlineStr">
        <is>
          <t>research_exclusion_reason</t>
        </is>
      </c>
      <c r="BN1" s="1" t="inlineStr">
        <is>
          <t>nearest_retailer_blocks_outside</t>
        </is>
      </c>
      <c r="BO1" s="1" t="inlineStr">
        <is>
          <t>nearest_retailer_inside_cluster</t>
        </is>
      </c>
      <c r="BP1" s="1" t="inlineStr">
        <is>
          <t>graded_retailer_count_within_ten</t>
        </is>
      </c>
      <c r="BQ1" s="1" t="inlineStr">
        <is>
          <t>retailers_within_ten_blocks</t>
        </is>
      </c>
      <c r="BR1" s="1" t="inlineStr">
        <is>
          <t>stores_beyond_ten_or_unplaced</t>
        </is>
      </c>
      <c r="BS1" s="1" t="inlineStr">
        <is>
          <t>retailers_claimed</t>
        </is>
      </c>
      <c r="BT1" s="1" t="inlineStr">
        <is>
          <t>retailer_evidence_urls</t>
        </is>
      </c>
      <c r="BU1" s="1" t="inlineStr">
        <is>
          <t>why_now_type</t>
        </is>
      </c>
      <c r="BV1" s="1" t="inlineStr">
        <is>
          <t>why_now_age_days</t>
        </is>
      </c>
      <c r="BW1" s="1" t="inlineStr">
        <is>
          <t>startup_cpg_evidence_url</t>
        </is>
      </c>
      <c r="BX1" s="1" t="inlineStr">
        <is>
          <t>contact_name_as_found</t>
        </is>
      </c>
      <c r="BY1" s="1" t="inlineStr">
        <is>
          <t>contact_note</t>
        </is>
      </c>
      <c r="BZ1" s="1" t="inlineStr">
        <is>
          <t>linkedin_status</t>
        </is>
      </c>
      <c r="CA1" s="1" t="inlineStr">
        <is>
          <t>backup_contact_name_as_found</t>
        </is>
      </c>
      <c r="CB1" s="1" t="inlineStr">
        <is>
          <t>backup_first_name</t>
        </is>
      </c>
      <c r="CC1" s="1" t="inlineStr">
        <is>
          <t>backup_last_name</t>
        </is>
      </c>
      <c r="CD1" s="1" t="inlineStr">
        <is>
          <t>backup_title</t>
        </is>
      </c>
      <c r="CE1" s="1" t="inlineStr">
        <is>
          <t>backup_contact_role</t>
        </is>
      </c>
      <c r="CF1" s="1" t="inlineStr">
        <is>
          <t>backup_contact_status</t>
        </is>
      </c>
      <c r="CG1" s="1" t="inlineStr">
        <is>
          <t>backup_contact_note</t>
        </is>
      </c>
      <c r="CH1" s="2" t="inlineStr">
        <is>
          <t>backup_linkedin_url</t>
        </is>
      </c>
      <c r="CI1" s="1" t="inlineStr">
        <is>
          <t>backup_linkedin_status</t>
        </is>
      </c>
      <c r="CJ1" s="2" t="inlineStr">
        <is>
          <t>backup_work_email</t>
        </is>
      </c>
      <c r="CK1" s="2" t="inlineStr">
        <is>
          <t>backup_email_status</t>
        </is>
      </c>
      <c r="CL1" s="1" t="inlineStr">
        <is>
          <t>score_raw</t>
        </is>
      </c>
      <c r="CM1" s="1" t="inlineStr">
        <is>
          <t>score_buy</t>
        </is>
      </c>
      <c r="CN1" s="1" t="inlineStr">
        <is>
          <t>score_ny</t>
        </is>
      </c>
      <c r="CO1" s="1" t="inlineStr">
        <is>
          <t>score_why</t>
        </is>
      </c>
      <c r="CP1" s="1" t="inlineStr">
        <is>
          <t>score_rev</t>
        </is>
      </c>
      <c r="CQ1" s="1" t="inlineStr">
        <is>
          <t>score_fit</t>
        </is>
      </c>
      <c r="CR1" s="1" t="inlineStr">
        <is>
          <t>score_contact</t>
        </is>
      </c>
      <c r="CS1" s="3" t="inlineStr">
        <is>
          <t>score_known</t>
        </is>
      </c>
      <c r="CT1" s="1" t="inlineStr">
        <is>
          <t>score_review</t>
        </is>
      </c>
      <c r="CU1" s="1" t="inlineStr">
        <is>
          <t>instagram_url</t>
        </is>
      </c>
      <c r="CV1" s="1" t="inlineStr">
        <is>
          <t>research_slice</t>
        </is>
      </c>
      <c r="CW1" s="1" t="inlineStr">
        <is>
          <t>slice_row</t>
        </is>
      </c>
      <c r="CX1" s="1" t="inlineStr">
        <is>
          <t>notes</t>
        </is>
      </c>
      <c r="CY1" s="1" t="inlineStr">
        <is>
          <t>enrichment_log</t>
        </is>
      </c>
      <c r="CZ1" s="1" t="inlineStr">
        <is>
          <t>backup_contact_source_url</t>
        </is>
      </c>
      <c r="DA1" s="1" t="inlineStr">
        <is>
          <t>contacts_researched</t>
        </is>
      </c>
      <c r="DB1" s="1" t="inlineStr">
        <is>
          <t>contact_record_date</t>
        </is>
      </c>
      <c r="DC1" s="1" t="inlineStr">
        <is>
          <t>backup_contact_evidence</t>
        </is>
      </c>
      <c r="DD1" s="1" t="inlineStr">
        <is>
          <t>backup_contact_record_date</t>
        </is>
      </c>
      <c r="DE1" s="1" t="inlineStr">
        <is>
          <t>online_store_note</t>
        </is>
      </c>
      <c r="DF1" s="1" t="inlineStr">
        <is>
          <t>company_group_reason</t>
        </is>
      </c>
      <c r="DG1" s="4" t="inlineStr">
        <is>
          <t>sequence</t>
        </is>
      </c>
      <c r="DH1" s="4" t="inlineStr">
        <is>
          <t>touch_1_date</t>
        </is>
      </c>
      <c r="DI1" s="4" t="inlineStr">
        <is>
          <t>touch_2_date</t>
        </is>
      </c>
      <c r="DJ1" s="4" t="inlineStr">
        <is>
          <t>touch_3_date</t>
        </is>
      </c>
      <c r="DK1" s="4" t="inlineStr">
        <is>
          <t>last_reply_date</t>
        </is>
      </c>
      <c r="DL1" s="4" t="inlineStr">
        <is>
          <t>reply_type</t>
        </is>
      </c>
      <c r="DM1" s="4" t="inlineStr">
        <is>
          <t>call_date</t>
        </is>
      </c>
      <c r="DN1" s="4" t="inlineStr">
        <is>
          <t>call_notes</t>
        </is>
      </c>
      <c r="DO1" s="4" t="inlineStr">
        <is>
          <t>yes_in_principle</t>
        </is>
      </c>
      <c r="DP1" s="4" t="inlineStr">
        <is>
          <t>next_action</t>
        </is>
      </c>
      <c r="DQ1" s="4" t="inlineStr">
        <is>
          <t>next_action_date</t>
        </is>
      </c>
      <c r="DR1" s="4" t="inlineStr">
        <is>
          <t>referral_from</t>
        </is>
      </c>
      <c r="DS1" s="4" t="inlineStr">
        <is>
          <t>why_now_hook</t>
        </is>
      </c>
      <c r="DT1" s="4" t="inlineStr">
        <is>
          <t>product_short</t>
        </is>
      </c>
      <c r="DU1" s="4" t="inlineStr">
        <is>
          <t>call_note_hook</t>
        </is>
      </c>
      <c r="DV1" s="4" t="inlineStr">
        <is>
          <t>how_we_know</t>
        </is>
      </c>
      <c r="DW1" s="4" t="inlineStr">
        <is>
          <t>referrer_ok_to_name</t>
        </is>
      </c>
      <c r="DX1" s="4" t="inlineStr">
        <is>
          <t>office_approvals_complete</t>
        </is>
      </c>
      <c r="DY1" s="3" t="inlineStr">
        <is>
          <t>in_flight</t>
        </is>
      </c>
      <c r="DZ1" s="3" t="inlineStr">
        <is>
          <t>group_blocked</t>
        </is>
      </c>
      <c r="EA1" s="3" t="inlineStr">
        <is>
          <t>eligible</t>
        </is>
      </c>
      <c r="EB1" s="3" t="inlineStr">
        <is>
          <t>view_pick</t>
        </is>
      </c>
      <c r="EC1" s="3" t="inlineStr">
        <is>
          <t>in_daily_view</t>
        </is>
      </c>
      <c r="ED1" s="3" t="inlineStr">
        <is>
          <t>row_order</t>
        </is>
      </c>
    </row>
    <row r="2">
      <c r="A2" t="inlineStr">
        <is>
          <t>AB-219</t>
        </is>
      </c>
      <c r="B2" t="inlineStr">
        <is>
          <t>The Lucky Ox</t>
        </is>
      </c>
      <c r="C2" t="inlineStr">
        <is>
          <t>Fane</t>
        </is>
      </c>
      <c r="D2" t="inlineStr">
        <is>
          <t>He</t>
        </is>
      </c>
      <c r="E2" t="inlineStr">
        <is>
          <t>Co-founder and Chief Motion Officer</t>
        </is>
      </c>
      <c r="F2" t="inlineStr">
        <is>
          <t>https://www.linkedin.com/in/fane-he/</t>
        </is>
      </c>
      <c r="H2" t="inlineStr">
        <is>
          <t>none</t>
        </is>
      </c>
      <c r="I2" t="inlineStr">
        <is>
          <t>linkedin</t>
        </is>
      </c>
      <c r="J2">
        <f>IF(AU2="pass",CM2+CN2+CO2+CP2+CQ2+CR2+CS2+CT2,0)</f>
        <v/>
      </c>
      <c r="K2" t="inlineStr">
        <is>
          <t>New York City brand, store page shows Whole Foods Market NoMad inside the cluster, news 176 days ago, revenue unknown, contact named plus a marketing lead; founder review: claim-borderline.</t>
        </is>
      </c>
      <c r="M2" t="inlineStr">
        <is>
          <t>Whole Foods Market NoMad, 63 Madison Ave</t>
        </is>
      </c>
      <c r="N2" t="inlineStr">
        <is>
          <t>store_selector</t>
        </is>
      </c>
      <c r="O2" t="inlineStr">
        <is>
          <t>Launched in Whole Foods Market Northeast with a WFM-exclusive Mango Sticky Rice flavor; Pandan Coconut in WFM Discovery Program</t>
        </is>
      </c>
      <c r="P2" t="inlineStr">
        <is>
          <t>https://startupcpg.com/startup-cpg-newswire-the-lucky-ox-launches-into-whole-foods-across-the-northeast/</t>
        </is>
      </c>
      <c r="Q2" t="inlineStr">
        <is>
          <t>2026-05-01</t>
        </is>
      </c>
      <c r="R2" t="inlineStr">
        <is>
          <t>N</t>
        </is>
      </c>
      <c r="S2" t="inlineStr">
        <is>
          <t>Y</t>
        </is>
      </c>
      <c r="T2" t="inlineStr">
        <is>
          <t>N</t>
        </is>
      </c>
      <c r="U2" t="inlineStr">
        <is>
          <t>new</t>
        </is>
      </c>
      <c r="V2" t="inlineStr">
        <is>
          <t>https://luckyox.co/pages/about-us</t>
        </is>
      </c>
      <c r="W2" t="inlineStr">
        <is>
          <t>2026-10-23</t>
        </is>
      </c>
      <c r="X2" t="inlineStr">
        <is>
          <t>brand</t>
        </is>
      </c>
      <c r="Y2">
        <f>IF(EB2&lt;&gt;"Y","",COUNTIFS($EB$2:$EB$1000,"Y",$J$2:$J$1000,"&gt;"&amp;J2)+COUNTIFS($EB$2:$EB$1000,"Y",$J$2:$J$1000,J2,$ED$2:$ED$1000,"&lt;"&amp;ED2)+1)</f>
        <v/>
      </c>
      <c r="Z2" t="n">
        <v>1</v>
      </c>
      <c r="AA2" t="inlineStr">
        <is>
          <t>Y</t>
        </is>
      </c>
      <c r="AB2" t="inlineStr">
        <is>
          <t>before using the retailer line, check Whole Foods Market NoMad still lists it: https://www.wholefoodsmarket.com/search?text=The%20Lucky%20Ox with your store set to NoMad (catalogs change daily); founder review (claim-borderline): read founder_review_reason first</t>
        </is>
      </c>
      <c r="AC2" t="inlineStr">
        <is>
          <t>founder</t>
        </is>
      </c>
      <c r="AD2" t="inlineStr">
        <is>
          <t>verified-page</t>
        </is>
      </c>
      <c r="AE2" t="inlineStr">
        <is>
          <t>The Org (crowd-edited org chart)</t>
        </is>
      </c>
      <c r="AF2" t="inlineStr">
        <is>
          <t>https://theorg.com/org/the-lucky-ox/person/fane-he</t>
        </is>
      </c>
      <c r="AG2" t="inlineStr">
        <is>
          <t>2026-10-24</t>
        </is>
      </c>
      <c r="AH2" t="inlineStr">
        <is>
          <t>Pandan Coconut Sparkler 12 fl oz can; Vietnamese Lemonade Sparkler</t>
        </is>
      </c>
      <c r="AI2" t="inlineStr">
        <is>
          <t>sparkling-soda</t>
        </is>
      </c>
      <c r="AJ2" t="inlineStr">
        <is>
          <t>New York (about page: 'Rooted in Culture, Born in NYC'; release datelined New York, NY)</t>
        </is>
      </c>
      <c r="AK2" t="inlineStr">
        <is>
          <t>https://luckyox.co</t>
        </is>
      </c>
      <c r="AL2" t="inlineStr">
        <is>
          <t>Y</t>
        </is>
      </c>
      <c r="AM2" t="inlineStr">
        <is>
          <t>Sparklers page mentions 'natural electrolytes' (nutrient wording, not a health claim)</t>
        </is>
      </c>
      <c r="AN2" t="inlineStr">
        <is>
          <t>AB-219</t>
        </is>
      </c>
      <c r="AO2" t="inlineStr">
        <is>
          <t>N</t>
        </is>
      </c>
      <c r="AR2">
        <f>IF(AND(AU2="pass",AO2&lt;&gt;"Y",C2&lt;&gt;""),"Y","N")</f>
        <v/>
      </c>
      <c r="AS2">
        <f>_xlfn.TEXTJOIN("; ",TRUE,IF(AU2&lt;&gt;"pass","gated out",""),IF(AO2="Y","on hold: "&amp;AP2,""),IF(C2="","no contact named on an opened page",""))</f>
        <v/>
      </c>
      <c r="AU2" t="inlineStr">
        <is>
          <t>pass</t>
        </is>
      </c>
      <c r="AW2" t="inlineStr">
        <is>
          <t>passes all hard gates</t>
        </is>
      </c>
      <c r="AX2" t="inlineStr">
        <is>
          <t>claim-borderline</t>
        </is>
      </c>
      <c r="AY2" t="inlineStr">
        <is>
          <t>https://luckyox.co</t>
        </is>
      </c>
      <c r="AZ2" t="inlineStr">
        <is>
          <t>NY</t>
        </is>
      </c>
      <c r="BA2" t="inlineStr">
        <is>
          <t>nyc</t>
        </is>
      </c>
      <c r="BB2" t="inlineStr">
        <is>
          <t>seed ($584K total, round announced Oct 2025; unverified, founder to confirm)</t>
        </is>
      </c>
      <c r="BD2" t="inlineStr">
        <is>
          <t>Y</t>
        </is>
      </c>
      <c r="BE2" t="inlineStr">
        <is>
          <t>Canned sparkling drink sold in WFM grocery catalog; no shelf-life figure published, founder to confirm 60+ days</t>
        </is>
      </c>
      <c r="BF2" t="inlineStr">
        <is>
          <t>Y</t>
        </is>
      </c>
      <c r="BG2" t="inlineStr">
        <is>
          <t>Y</t>
        </is>
      </c>
      <c r="BH2" t="inlineStr">
        <is>
          <t>unknown</t>
        </is>
      </c>
      <c r="BJ2" t="inlineStr">
        <is>
          <t>Release says 1,300 doors nationwide (store count, not used for band)</t>
        </is>
      </c>
      <c r="BK2" t="inlineStr">
        <is>
          <t>N</t>
        </is>
      </c>
      <c r="BL2" t="inlineStr">
        <is>
          <t>N</t>
        </is>
      </c>
      <c r="BN2" t="n">
        <v>0</v>
      </c>
      <c r="BO2" t="inlineStr">
        <is>
          <t>Y</t>
        </is>
      </c>
      <c r="BP2" t="n">
        <v>12</v>
      </c>
      <c r="BQ2" t="inlineStr">
        <is>
          <t>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is>
      </c>
      <c r="BR2" t="inlineStr">
        <is>
          <t>Whole Foods Market Manhattan West (store_selector, 13.8 blocks out);Pearl River Mart Chelsea (brand_claim, 11.4 blocks out)</t>
        </is>
      </c>
      <c r="BS2" t="inlineStr">
        <is>
          <t>Whole Foods Market Northeast region (launch April 2026; Discovery Program); 1,300 doors; independents and restaurants</t>
        </is>
      </c>
      <c r="BT2" t="inlineStr">
        <is>
          <t>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is>
      </c>
      <c r="BU2" t="inlineStr">
        <is>
          <t>press</t>
        </is>
      </c>
      <c r="BV2" t="n">
        <v>176</v>
      </c>
      <c r="BW2" t="inlineStr">
        <is>
          <t>https://startupcpg.com/startup-cpg-newswire-the-lucky-ox-launches-into-whole-foods-across-the-northeast/</t>
        </is>
      </c>
      <c r="BX2" t="inlineStr">
        <is>
          <t>Fane He</t>
        </is>
      </c>
      <c r="BY2" t="inlineStr">
        <is>
          <t>The Org (updated 2026-07-02); earlier role Co-founder and COO. Startup CPG podcast "Founder Feature - Fane He and Kyle Nguyen of The Lucky Ox" (2025-06-20) lists this LinkedIn URL; LinkedIn not opened.</t>
        </is>
      </c>
      <c r="BZ2" t="inlineStr">
        <is>
          <t>listed on an opened page or in search results; LinkedIn itself not opened</t>
        </is>
      </c>
      <c r="CA2" t="inlineStr">
        <is>
          <t>Kyle Nguyen</t>
        </is>
      </c>
      <c r="CB2" t="inlineStr">
        <is>
          <t>Kyle</t>
        </is>
      </c>
      <c r="CC2" t="inlineStr">
        <is>
          <t>Nguyen</t>
        </is>
      </c>
      <c r="CD2" t="inlineStr">
        <is>
          <t>Creative Director (co-founder)</t>
        </is>
      </c>
      <c r="CE2" t="inlineStr">
        <is>
          <t>marketing lead</t>
        </is>
      </c>
      <c r="CF2" t="inlineStr">
        <is>
          <t>verified-page</t>
        </is>
      </c>
      <c r="CG2" t="inlineStr">
        <is>
          <t>The Org (updated 2026-01-27): Creative Director since 2025. Named as a founder in the Startup CPG podcast episode title. No dedicated marketing title found; closest brand role.</t>
        </is>
      </c>
      <c r="CK2" t="inlineStr">
        <is>
          <t>none</t>
        </is>
      </c>
      <c r="CL2" t="n">
        <v>81</v>
      </c>
      <c r="CM2" t="n">
        <v>25</v>
      </c>
      <c r="CN2" t="n">
        <v>20</v>
      </c>
      <c r="CO2" t="n">
        <v>15</v>
      </c>
      <c r="CP2" t="n">
        <v>5</v>
      </c>
      <c r="CQ2" t="n">
        <v>10</v>
      </c>
      <c r="CR2" t="n">
        <v>10</v>
      </c>
      <c r="CS2">
        <f>IF(R2="Y",10,0)</f>
        <v/>
      </c>
      <c r="CT2" t="n">
        <v>-4</v>
      </c>
      <c r="CU2" t="inlineStr">
        <is>
          <t>https://www.instagram.com/theluckyoxco</t>
        </is>
      </c>
      <c r="CV2" t="inlineStr">
        <is>
          <t>BR4</t>
        </is>
      </c>
      <c r="CW2" t="inlineStr">
        <is>
          <t>BR4:14</t>
        </is>
      </c>
      <c r="CX2" t="inlineStr">
        <is>
          <t>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is>
      </c>
      <c r="CY2" t="inlineStr">
        <is>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is>
      </c>
      <c r="CZ2" t="inlineStr">
        <is>
          <t>https://theorg.com/org/the-lucky-ox/person/kyle-nguyen</t>
        </is>
      </c>
      <c r="DA2" t="inlineStr">
        <is>
          <t>stage 2</t>
        </is>
      </c>
      <c r="DB2" t="inlineStr">
        <is>
          <t>2026-07-02</t>
        </is>
      </c>
      <c r="DC2" t="inlineStr">
        <is>
          <t>The Org (crowd-edited org chart)</t>
        </is>
      </c>
      <c r="DD2" t="inlineStr">
        <is>
          <t>2026-01-27</t>
        </is>
      </c>
      <c r="DY2">
        <f>IF(ISNUMBER(MATCH(U2,{"queued","contacted","replied","call_booked","call_done","yes_in_principle","materials_sent"},0)),"Y","N")</f>
        <v/>
      </c>
      <c r="DZ2">
        <f>IF(COUNTIFS($AN$2:$AN$1000,AN2,$DY$2:$DY$1000,"Y")+COUNTIFS($AN$2:$AN$1000,AN2,$T$2:$T$1000,"Y")&gt;0,"Y","N")</f>
        <v/>
      </c>
      <c r="EA2">
        <f>IF(AND(U2="new",T2="N",AR2="Y",AQ2="",DZ2="N"),"Y","N")</f>
        <v/>
      </c>
      <c r="EB2">
        <f>IF(EA2&lt;&gt;"Y","N",IF(COUNTIFS($AN$2:$AN$1000,AN2,$EA$2:$EA$1000,"Y",$J$2:$J$1000,"&gt;"&amp;J2)+COUNTIFS($AN$2:$AN$1000,AN2,$EA$2:$EA$1000,"Y",$J$2:$J$1000,J2,$ED$2:$ED$1000,"&lt;"&amp;ED2)=0,"Y","N"))</f>
        <v/>
      </c>
      <c r="EC2">
        <f>IF(Y2="","N",IF(Y2&lt;=10,"Y","N"))</f>
        <v/>
      </c>
      <c r="ED2">
        <f>ROW()-1</f>
        <v/>
      </c>
    </row>
    <row r="3">
      <c r="A3" t="inlineStr">
        <is>
          <t>AB-216</t>
        </is>
      </c>
      <c r="B3" t="inlineStr">
        <is>
          <t>The Matzo Project</t>
        </is>
      </c>
      <c r="C3" t="inlineStr">
        <is>
          <t>Kevin</t>
        </is>
      </c>
      <c r="D3" t="inlineStr">
        <is>
          <t>Rodriguez</t>
        </is>
      </c>
      <c r="E3" t="inlineStr">
        <is>
          <t>Co-founder</t>
        </is>
      </c>
      <c r="H3" t="inlineStr">
        <is>
          <t>none</t>
        </is>
      </c>
      <c r="I3" t="inlineStr">
        <is>
          <t>linkedin</t>
        </is>
      </c>
      <c r="J3">
        <f>IF(AU3="pass",CM3+CN3+CO3+CP3+CQ3+CR3+CS3+CT3,0)</f>
        <v/>
      </c>
      <c r="K3" t="inlineStr">
        <is>
          <t>New York City brand, store page shows Whole Foods Market Union Square inside the cluster, news 248 days ago, revenue unknown, contact named plus a marketing lead.</t>
        </is>
      </c>
      <c r="M3" t="inlineStr">
        <is>
          <t>Whole Foods Market Union Square, 4 Union Sq S</t>
        </is>
      </c>
      <c r="N3" t="inlineStr">
        <is>
          <t>store_selector</t>
        </is>
      </c>
      <c r="O3" t="inlineStr">
        <is>
          <t>Holiday Hanukkah set on Target.com and in select Target stores from Nov 1 (homepage); Passover Shmura matzo release (Feb 2026); Publix launch (Oct 2025)</t>
        </is>
      </c>
      <c r="P3" t="inlineStr">
        <is>
          <t>https://startupcpg.com/startup-cpg-newswire-the-matzo-project-does-something-unusual-for-passover-by-not-changing-a-thing/</t>
        </is>
      </c>
      <c r="Q3" t="inlineStr">
        <is>
          <t>2026-02-18</t>
        </is>
      </c>
      <c r="R3" t="inlineStr">
        <is>
          <t>N</t>
        </is>
      </c>
      <c r="S3" t="inlineStr">
        <is>
          <t>Y</t>
        </is>
      </c>
      <c r="T3" t="inlineStr">
        <is>
          <t>N</t>
        </is>
      </c>
      <c r="U3" t="inlineStr">
        <is>
          <t>new</t>
        </is>
      </c>
      <c r="V3" t="inlineStr">
        <is>
          <t>https://www.matzoproject.com/</t>
        </is>
      </c>
      <c r="W3" t="inlineStr">
        <is>
          <t>2026-10-23</t>
        </is>
      </c>
      <c r="X3" t="inlineStr">
        <is>
          <t>brand</t>
        </is>
      </c>
      <c r="Y3">
        <f>IF(EB3&lt;&gt;"Y","",COUNTIFS($EB$2:$EB$1000,"Y",$J$2:$J$1000,"&gt;"&amp;J3)+COUNTIFS($EB$2:$EB$1000,"Y",$J$2:$J$1000,J3,$ED$2:$ED$1000,"&lt;"&amp;ED3)+1)</f>
        <v/>
      </c>
      <c r="Z3" t="n">
        <v>2</v>
      </c>
      <c r="AA3" t="inlineStr">
        <is>
          <t>Y</t>
        </is>
      </c>
      <c r="AB3" t="inlineStr">
        <is>
          <t>find Kevin Rodriguez at The Matzo Project on LinkedIn and paste the profile URL; before using the retailer line, check Whole Foods Market Union Square still lists it: https://www.wholefoodsmarket.com/search?text=The%20Matzo%20Project with your store set to Union Square (catalogs change daily)</t>
        </is>
      </c>
      <c r="AC3" t="inlineStr">
        <is>
          <t>founder</t>
        </is>
      </c>
      <c r="AD3" t="inlineStr">
        <is>
          <t>verified-page</t>
        </is>
      </c>
      <c r="AE3" t="inlineStr">
        <is>
          <t>press, event or podcast page</t>
        </is>
      </c>
      <c r="AF3" t="inlineStr">
        <is>
          <t>https://startupcpg.com/startup-cpg-newswire-the-matzo-project-does-something-unusual-for-passover-by-not-changing-a-thing/</t>
        </is>
      </c>
      <c r="AG3" t="inlineStr">
        <is>
          <t>2026-10-24</t>
        </is>
      </c>
      <c r="AH3" t="inlineStr">
        <is>
          <t>Everything Matzo Chips 6 oz bag (also Flats, Crumbs, soup kits)</t>
        </is>
      </c>
      <c r="AI3" t="inlineStr">
        <is>
          <t>crackers-pretzels</t>
        </is>
      </c>
      <c r="AJ3" t="inlineStr">
        <is>
          <t>Brooklyn</t>
        </is>
      </c>
      <c r="AK3" t="inlineStr">
        <is>
          <t>https://www.matzoproject.com</t>
        </is>
      </c>
      <c r="AL3" t="inlineStr">
        <is>
          <t>N</t>
        </is>
      </c>
      <c r="AN3" t="inlineStr">
        <is>
          <t>AB-216</t>
        </is>
      </c>
      <c r="AO3" t="inlineStr">
        <is>
          <t>N</t>
        </is>
      </c>
      <c r="AR3">
        <f>IF(AND(AU3="pass",AO3&lt;&gt;"Y",C3&lt;&gt;""),"Y","N")</f>
        <v/>
      </c>
      <c r="AS3">
        <f>_xlfn.TEXTJOIN("; ",TRUE,IF(AU3&lt;&gt;"pass","gated out",""),IF(AO3="Y","on hold: "&amp;AP3,""),IF(C3="","no contact named on an opened page",""))</f>
        <v/>
      </c>
      <c r="AU3" t="inlineStr">
        <is>
          <t>pass</t>
        </is>
      </c>
      <c r="AW3" t="inlineStr">
        <is>
          <t>passes all hard gates</t>
        </is>
      </c>
      <c r="AY3" t="inlineStr">
        <is>
          <t>https://www.matzoproject.com</t>
        </is>
      </c>
      <c r="AZ3" t="inlineStr">
        <is>
          <t>NY</t>
        </is>
      </c>
      <c r="BA3" t="inlineStr">
        <is>
          <t>nyc</t>
        </is>
      </c>
      <c r="BB3" t="inlineStr">
        <is>
          <t>unknown</t>
        </is>
      </c>
      <c r="BD3" t="inlineStr">
        <is>
          <t>Y</t>
        </is>
      </c>
      <c r="BE3" t="inlineStr">
        <is>
          <t>Bagged matzo chips/crackers sold ambient; no shelf-life figure found on site, founder to confirm 60+ days</t>
        </is>
      </c>
      <c r="BF3" t="inlineStr">
        <is>
          <t>Y</t>
        </is>
      </c>
      <c r="BG3" t="inlineStr">
        <is>
          <t>Y</t>
        </is>
      </c>
      <c r="BH3" t="inlineStr">
        <is>
          <t>unknown</t>
        </is>
      </c>
      <c r="BJ3" t="inlineStr">
        <is>
          <t>unknown</t>
        </is>
      </c>
      <c r="BK3" t="inlineStr">
        <is>
          <t>N</t>
        </is>
      </c>
      <c r="BL3" t="inlineStr">
        <is>
          <t>N</t>
        </is>
      </c>
      <c r="BN3" t="n">
        <v>0</v>
      </c>
      <c r="BO3" t="inlineStr">
        <is>
          <t>Y</t>
        </is>
      </c>
      <c r="BP3" t="n">
        <v>1</v>
      </c>
      <c r="BQ3" t="inlineStr">
        <is>
          <t>Whole Foods Market Union Square, 4 Union Sq S (store_selector, inside)</t>
        </is>
      </c>
      <c r="BS3" t="inlineStr">
        <is>
          <t>Whole Foods Market; Target; Walmart; Amazon; Meijer; Sprouts; H-E-B; Stop &amp; Shop; Publix; Harris Teeter; Plum Market; Thrive Market; Vitacost; Zabar's; Carnegie Deli; Cibo Gourmet; Zingerman's; Canadian grocers (Longo's, Loblaws, Farm Boy) and others</t>
        </is>
      </c>
      <c r="BT3" t="inlineStr">
        <is>
          <t>https://www.wholefoodsmarket.com/api/search?text=matzo%20project&amp;store=10162&amp;limit=60&amp;offset=0</t>
        </is>
      </c>
      <c r="BU3" t="inlineStr">
        <is>
          <t>press</t>
        </is>
      </c>
      <c r="BV3" t="n">
        <v>248</v>
      </c>
      <c r="BW3" t="inlineStr">
        <is>
          <t>https://startupcpg.com/startup-cpg-newswire-the-matzo-project-launches-at-publix/</t>
        </is>
      </c>
      <c r="BX3" t="inlineStr">
        <is>
          <t>Kevin Rodriguez</t>
        </is>
      </c>
      <c r="BY3" t="inlineStr">
        <is>
          <t>Release (2026-02) quotes "Kevin Rodriguez, Co-Founder". Brand homepage names Ashley Albert and Kevin Rodriguez as founders. The Org lists Avi B. Markus as CEO and co-owner since 2024 (backup row); he may hold the budget.</t>
        </is>
      </c>
      <c r="CA3" t="inlineStr">
        <is>
          <t>Crystal Bennett</t>
        </is>
      </c>
      <c r="CB3" t="inlineStr">
        <is>
          <t>Crystal</t>
        </is>
      </c>
      <c r="CC3" t="inlineStr">
        <is>
          <t>Bennett</t>
        </is>
      </c>
      <c r="CD3" t="inlineStr">
        <is>
          <t>Partner and company spokeswoman</t>
        </is>
      </c>
      <c r="CE3" t="inlineStr">
        <is>
          <t>marketing lead</t>
        </is>
      </c>
      <c r="CF3" t="inlineStr">
        <is>
          <t>verified-page</t>
        </is>
      </c>
      <c r="CG3" t="inlineStr">
        <is>
          <t>FoodNavigator 2025-07-23 quotes her as "a spokeswoman for The Matzo Project" at the Summer Fancy Food Show. Brand homepage (https://www.matzoproject.com/) says she joined the founders as a partner. No formal marketing title found; closest public-facing role.</t>
        </is>
      </c>
      <c r="CK3" t="inlineStr">
        <is>
          <t>none</t>
        </is>
      </c>
      <c r="CL3" t="n">
        <v>78</v>
      </c>
      <c r="CM3" t="n">
        <v>25</v>
      </c>
      <c r="CN3" t="n">
        <v>20</v>
      </c>
      <c r="CO3" t="n">
        <v>8</v>
      </c>
      <c r="CP3" t="n">
        <v>5</v>
      </c>
      <c r="CQ3" t="n">
        <v>10</v>
      </c>
      <c r="CR3" t="n">
        <v>10</v>
      </c>
      <c r="CS3">
        <f>IF(R3="Y",10,0)</f>
        <v/>
      </c>
      <c r="CT3" t="n">
        <v>0</v>
      </c>
      <c r="CV3" t="inlineStr">
        <is>
          <t>BR4</t>
        </is>
      </c>
      <c r="CW3" t="inlineStr">
        <is>
          <t>BR4:11</t>
        </is>
      </c>
      <c r="CX3" t="inlineStr">
        <is>
          <t>Releases datelined Brooklyn, NY. Brooklyn-made per homepage. Four Startup CPG Newswire releases 2025-2026 (participation). Only WFM Union Square lists a SKU among cluster stores on 2026-10-23. Avi Markus also named as partner on homepage.</t>
        </is>
      </c>
      <c r="CY3" t="inlineStr">
        <is>
          <t xml:space="preserve">retailers_claimed &lt;- https://www.matzoproject.com/pages/find-us-in-stores (2026-10-24, opened); </t>
        </is>
      </c>
      <c r="CZ3" t="inlineStr">
        <is>
          <t>https://www.foodnavigator-usa.com/Article/2025/07/23/brands-give-jewish-staples-a-new-look-new-uses</t>
        </is>
      </c>
      <c r="DA3" t="inlineStr">
        <is>
          <t>stage 2</t>
        </is>
      </c>
      <c r="DC3" t="inlineStr">
        <is>
          <t>press, event or podcast page</t>
        </is>
      </c>
      <c r="DE3" t="inlineStr">
        <is>
          <t>Shop links to Amazon and Target.com</t>
        </is>
      </c>
      <c r="DY3">
        <f>IF(ISNUMBER(MATCH(U3,{"queued","contacted","replied","call_booked","call_done","yes_in_principle","materials_sent"},0)),"Y","N")</f>
        <v/>
      </c>
      <c r="DZ3">
        <f>IF(COUNTIFS($AN$2:$AN$1000,AN3,$DY$2:$DY$1000,"Y")+COUNTIFS($AN$2:$AN$1000,AN3,$T$2:$T$1000,"Y")&gt;0,"Y","N")</f>
        <v/>
      </c>
      <c r="EA3">
        <f>IF(AND(U3="new",T3="N",AR3="Y",AQ3="",DZ3="N"),"Y","N")</f>
        <v/>
      </c>
      <c r="EB3">
        <f>IF(EA3&lt;&gt;"Y","N",IF(COUNTIFS($AN$2:$AN$1000,AN3,$EA$2:$EA$1000,"Y",$J$2:$J$1000,"&gt;"&amp;J3)+COUNTIFS($AN$2:$AN$1000,AN3,$EA$2:$EA$1000,"Y",$J$2:$J$1000,J3,$ED$2:$ED$1000,"&lt;"&amp;ED3)=0,"Y","N"))</f>
        <v/>
      </c>
      <c r="EC3">
        <f>IF(Y3="","N",IF(Y3&lt;=10,"Y","N"))</f>
        <v/>
      </c>
      <c r="ED3">
        <f>ROW()-1</f>
        <v/>
      </c>
    </row>
    <row r="4">
      <c r="A4" t="inlineStr">
        <is>
          <t>AB-249</t>
        </is>
      </c>
      <c r="B4" t="inlineStr">
        <is>
          <t>Häppy Candy</t>
        </is>
      </c>
      <c r="C4" t="inlineStr">
        <is>
          <t>Maxi</t>
        </is>
      </c>
      <c r="D4" t="inlineStr">
        <is>
          <t>Heidenblut</t>
        </is>
      </c>
      <c r="E4" t="inlineStr">
        <is>
          <t>Founder and CEO</t>
        </is>
      </c>
      <c r="F4" t="inlineStr">
        <is>
          <t>https://www.linkedin.com/in/maxi-heidenblut-cfa-ab704024/</t>
        </is>
      </c>
      <c r="H4" t="inlineStr">
        <is>
          <t>none</t>
        </is>
      </c>
      <c r="I4" t="inlineStr">
        <is>
          <t>linkedin</t>
        </is>
      </c>
      <c r="J4">
        <f>IF(AU4="pass",CM4+CN4+CO4+CP4+CQ4+CR4+CS4+CT4,0)</f>
        <v/>
      </c>
      <c r="K4" t="inlineStr">
        <is>
          <t>New York City brand, store page shows Whole Foods Market NoMad inside the cluster, news 44 days ago, revenue unknown, contact named; founder review: claim-borderline.</t>
        </is>
      </c>
      <c r="M4" t="inlineStr">
        <is>
          <t>Whole Foods Market NoMad, 63 Madison Ave</t>
        </is>
      </c>
      <c r="N4" t="inlineStr">
        <is>
          <t>store_selector</t>
        </is>
      </c>
      <c r="O4" t="inlineStr">
        <is>
          <t>Launched nationwide at Target (~2,000 stores) with a limited Haunted Edition Halloween pack</t>
        </is>
      </c>
      <c r="P4" t="inlineStr">
        <is>
          <t>https://startupcpg.com/startup-cpg-newswire-happy-candy-launches-nationwide-at-target-with-limited-edition-haunted-edition-halloween-variety-pack/</t>
        </is>
      </c>
      <c r="Q4" t="inlineStr">
        <is>
          <t>2026-09-10</t>
        </is>
      </c>
      <c r="R4" t="inlineStr">
        <is>
          <t>N</t>
        </is>
      </c>
      <c r="S4" t="inlineStr">
        <is>
          <t>Y</t>
        </is>
      </c>
      <c r="T4" t="inlineStr">
        <is>
          <t>N</t>
        </is>
      </c>
      <c r="U4" t="inlineStr">
        <is>
          <t>new</t>
        </is>
      </c>
      <c r="V4" t="inlineStr">
        <is>
          <t>https://startupcpg.com/startup-cpg-newswire-happy-candy-launches-nationwide-at-target-with-limited-edition-haunted-edition-halloween-variety-pack/</t>
        </is>
      </c>
      <c r="W4" t="inlineStr">
        <is>
          <t>2026-10-23</t>
        </is>
      </c>
      <c r="X4" t="inlineStr">
        <is>
          <t>brand</t>
        </is>
      </c>
      <c r="Y4">
        <f>IF(EB4&lt;&gt;"Y","",COUNTIFS($EB$2:$EB$1000,"Y",$J$2:$J$1000,"&gt;"&amp;J4)+COUNTIFS($EB$2:$EB$1000,"Y",$J$2:$J$1000,J4,$ED$2:$ED$1000,"&lt;"&amp;ED4)+1)</f>
        <v/>
      </c>
      <c r="Z4" t="n">
        <v>3</v>
      </c>
      <c r="AA4" t="inlineStr">
        <is>
          <t>Y</t>
        </is>
      </c>
      <c r="AB4" t="inlineStr">
        <is>
          <t>before using the retailer line, check Whole Foods Market NoMad still lists it: https://www.wholefoodsmarket.com/search?text=H%C3%A4ppy%20Candy with your store set to NoMad (catalogs change daily); founder review (claim-borderline): read founder_review_reason first</t>
        </is>
      </c>
      <c r="AC4" t="inlineStr">
        <is>
          <t>founder</t>
        </is>
      </c>
      <c r="AD4" t="inlineStr">
        <is>
          <t>verified-page</t>
        </is>
      </c>
      <c r="AE4" t="inlineStr">
        <is>
          <t>press, event or podcast page</t>
        </is>
      </c>
      <c r="AF4" t="inlineStr">
        <is>
          <t>https://startupcpg.com/startup-cpg-newswire-happy-candy-launches-nationwide-at-target-with-limited-edition-haunted-edition-halloween-variety-pack/</t>
        </is>
      </c>
      <c r="AG4" t="inlineStr">
        <is>
          <t>2026-10-24</t>
        </is>
      </c>
      <c r="AH4" t="inlineStr">
        <is>
          <t>The Big Apple gummies 1.8 oz bag (WFM); individually wrapped 0.7 oz bags in Target Haunted Edition pack</t>
        </is>
      </c>
      <c r="AI4" t="inlineStr">
        <is>
          <t>chocolate-candy</t>
        </is>
      </c>
      <c r="AJ4" t="inlineStr">
        <is>
          <t>New York (terms of service: P.O. Box 4, NYC, NY 10013; release datelined New York, NY)</t>
        </is>
      </c>
      <c r="AK4" t="inlineStr">
        <is>
          <t>https://eathappycandy.com</t>
        </is>
      </c>
      <c r="AL4" t="inlineStr">
        <is>
          <t>Y</t>
        </is>
      </c>
      <c r="AM4" t="inlineStr">
        <is>
          <t>Kids and classroom positioning; reduced-sugar wording ('significantly less' sugar) is a nutrient-content angle; national retail distribution in the why-now ('nationwide at Target'): check the revenue band at intake</t>
        </is>
      </c>
      <c r="AN4" t="inlineStr">
        <is>
          <t>AB-249</t>
        </is>
      </c>
      <c r="AO4" t="inlineStr">
        <is>
          <t>N</t>
        </is>
      </c>
      <c r="AR4">
        <f>IF(AND(AU4="pass",AO4&lt;&gt;"Y",C4&lt;&gt;""),"Y","N")</f>
        <v/>
      </c>
      <c r="AS4">
        <f>_xlfn.TEXTJOIN("; ",TRUE,IF(AU4&lt;&gt;"pass","gated out",""),IF(AO4="Y","on hold: "&amp;AP4,""),IF(C4="","no contact named on an opened page",""))</f>
        <v/>
      </c>
      <c r="AU4" t="inlineStr">
        <is>
          <t>pass</t>
        </is>
      </c>
      <c r="AW4" t="inlineStr">
        <is>
          <t>passes all hard gates</t>
        </is>
      </c>
      <c r="AX4" t="inlineStr">
        <is>
          <t>claim-borderline</t>
        </is>
      </c>
      <c r="AY4" t="inlineStr">
        <is>
          <t>https://eathappycandy.com</t>
        </is>
      </c>
      <c r="AZ4" t="inlineStr">
        <is>
          <t>NY</t>
        </is>
      </c>
      <c r="BA4" t="inlineStr">
        <is>
          <t>nyc</t>
        </is>
      </c>
      <c r="BB4" t="inlineStr">
        <is>
          <t>unknown</t>
        </is>
      </c>
      <c r="BD4" t="inlineStr">
        <is>
          <t>Y</t>
        </is>
      </c>
      <c r="BE4" t="inlineStr">
        <is>
          <t>Brand FAQ: 'Our candy has an 18-month shelf life. Each bag is single serve'</t>
        </is>
      </c>
      <c r="BF4" t="inlineStr">
        <is>
          <t>Y</t>
        </is>
      </c>
      <c r="BG4" t="inlineStr">
        <is>
          <t>Y</t>
        </is>
      </c>
      <c r="BH4" t="inlineStr">
        <is>
          <t>unknown</t>
        </is>
      </c>
      <c r="BJ4" t="inlineStr">
        <is>
          <t>unknown</t>
        </is>
      </c>
      <c r="BK4" t="inlineStr">
        <is>
          <t>N</t>
        </is>
      </c>
      <c r="BL4" t="inlineStr">
        <is>
          <t>N</t>
        </is>
      </c>
      <c r="BN4" t="n">
        <v>0</v>
      </c>
      <c r="BO4" t="inlineStr">
        <is>
          <t>Y</t>
        </is>
      </c>
      <c r="BP4" t="n">
        <v>3</v>
      </c>
      <c r="BQ4" t="inlineStr">
        <is>
          <t>Whole Foods Market NoMad, 63 Madison Ave (store_selector, inside);Whole Foods Market Union Square, 4 Union Sq S (store_selector, inside);Whole Foods Market Chelsea, 250 7th Ave (store_selector, 3.0 blocks out)</t>
        </is>
      </c>
      <c r="BR4" t="inlineStr">
        <is>
          <t>Whole Foods Market Manhattan West (store_selector, 13.8 blocks out)</t>
        </is>
      </c>
      <c r="BS4" t="inlineStr">
        <is>
          <t>Whole Foods Market (Big Apple and Italian Summer gummies at all four cluster stores); Target (~2,000 stores nationwide from Sept 6, 2026)</t>
        </is>
      </c>
      <c r="BT4" t="inlineStr">
        <is>
          <t>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is>
      </c>
      <c r="BU4" t="inlineStr">
        <is>
          <t>press</t>
        </is>
      </c>
      <c r="BV4" t="n">
        <v>44</v>
      </c>
      <c r="BW4" t="inlineStr">
        <is>
          <t>https://startupcpg.com/startup-cpg-newswire-happy-candy-launches-nationwide-at-target-with-limited-edition-haunted-edition-halloween-variety-pack/</t>
        </is>
      </c>
      <c r="BX4" t="inlineStr">
        <is>
          <t>Maxi Heidenblut</t>
        </is>
      </c>
      <c r="BY4" t="inlineStr">
        <is>
          <t>Release (2026-09) quotes "Maxi Heidenblut, Founder &amp; CEO". LinkedIn URL from the episode links of the Startup CPG podcast "BONUS: Winter Fancy Food Show Recap" (2025-02-26) in the public feed https://feeds.transistor.fm/startupcpg; LinkedIn not opened.</t>
        </is>
      </c>
      <c r="BZ4" t="inlineStr">
        <is>
          <t>listed on an opened page or in search results; LinkedIn itself not opened</t>
        </is>
      </c>
      <c r="CF4" t="inlineStr">
        <is>
          <t>none</t>
        </is>
      </c>
      <c r="CK4" t="inlineStr">
        <is>
          <t>none</t>
        </is>
      </c>
      <c r="CL4" t="n">
        <v>77</v>
      </c>
      <c r="CM4" t="n">
        <v>25</v>
      </c>
      <c r="CN4" t="n">
        <v>20</v>
      </c>
      <c r="CO4" t="n">
        <v>15</v>
      </c>
      <c r="CP4" t="n">
        <v>5</v>
      </c>
      <c r="CQ4" t="n">
        <v>10</v>
      </c>
      <c r="CR4" t="n">
        <v>6</v>
      </c>
      <c r="CS4">
        <f>IF(R4="Y",10,0)</f>
        <v/>
      </c>
      <c r="CT4" t="n">
        <v>-4</v>
      </c>
      <c r="CV4" t="inlineStr">
        <is>
          <t>BR4</t>
        </is>
      </c>
      <c r="CW4" t="inlineStr">
        <is>
          <t>BR4:44</t>
        </is>
      </c>
      <c r="CX4" t="inlineStr">
        <is>
          <t>Free from the top 9 allergens (release). WFM lists 'Happy Candy' Big Apple and Italian Summer Gummies 1.8 oz at all four cluster stores (2026-10-23); same product names appear on eathappycandy.com (vendor 'Häppy Candy').</t>
        </is>
      </c>
      <c r="CY4" t="inlineStr">
        <is>
          <t xml:space="preserve">shelf_stable_basis &lt;- https://eathappycandy.com/pages/faq (2026-10-24, opened); hq_city &lt;- https://eathappycandy.com/policies/terms-of-service (2026-10-24, opened); </t>
        </is>
      </c>
      <c r="DA4" t="inlineStr">
        <is>
          <t>stage 2</t>
        </is>
      </c>
      <c r="DY4">
        <f>IF(ISNUMBER(MATCH(U4,{"queued","contacted","replied","call_booked","call_done","yes_in_principle","materials_sent"},0)),"Y","N")</f>
        <v/>
      </c>
      <c r="DZ4">
        <f>IF(COUNTIFS($AN$2:$AN$1000,AN4,$DY$2:$DY$1000,"Y")+COUNTIFS($AN$2:$AN$1000,AN4,$T$2:$T$1000,"Y")&gt;0,"Y","N")</f>
        <v/>
      </c>
      <c r="EA4">
        <f>IF(AND(U4="new",T4="N",AR4="Y",AQ4="",DZ4="N"),"Y","N")</f>
        <v/>
      </c>
      <c r="EB4">
        <f>IF(EA4&lt;&gt;"Y","N",IF(COUNTIFS($AN$2:$AN$1000,AN4,$EA$2:$EA$1000,"Y",$J$2:$J$1000,"&gt;"&amp;J4)+COUNTIFS($AN$2:$AN$1000,AN4,$EA$2:$EA$1000,"Y",$J$2:$J$1000,J4,$ED$2:$ED$1000,"&lt;"&amp;ED4)=0,"Y","N"))</f>
        <v/>
      </c>
      <c r="EC4">
        <f>IF(Y4="","N",IF(Y4&lt;=10,"Y","N"))</f>
        <v/>
      </c>
      <c r="ED4">
        <f>ROW()-1</f>
        <v/>
      </c>
    </row>
    <row r="5">
      <c r="A5" t="inlineStr">
        <is>
          <t>AB-097</t>
        </is>
      </c>
      <c r="B5" t="inlineStr">
        <is>
          <t>Beyond Good</t>
        </is>
      </c>
      <c r="C5" t="inlineStr">
        <is>
          <t>Tim</t>
        </is>
      </c>
      <c r="D5" t="inlineStr">
        <is>
          <t>McCollum</t>
        </is>
      </c>
      <c r="E5" t="inlineStr">
        <is>
          <t>Founder and CEO</t>
        </is>
      </c>
      <c r="H5" t="inlineStr">
        <is>
          <t>none</t>
        </is>
      </c>
      <c r="I5" t="inlineStr">
        <is>
          <t>linkedin</t>
        </is>
      </c>
      <c r="J5">
        <f>IF(AU5="pass",CM5+CN5+CO5+CP5+CQ5+CR5+CS5+CT5,0)</f>
        <v/>
      </c>
      <c r="K5" t="inlineStr">
        <is>
          <t>New York City brand, store page shows Whole Foods Market NoMad inside the cluster, a new store listing 22 days ago, revenue unknown, contact named plus a marketing lead; founder review: shelf life not stated.</t>
        </is>
      </c>
      <c r="M5" t="inlineStr">
        <is>
          <t>Whole Foods Market NoMad, 63 Madison Ave</t>
        </is>
      </c>
      <c r="N5" t="inlineStr">
        <is>
          <t>store_selector</t>
        </is>
      </c>
      <c r="O5" t="inlineStr">
        <is>
          <t>Launched 70% Dark Chocolate Pistachio Crunch bar on brand store, Oct 2026</t>
        </is>
      </c>
      <c r="P5" t="inlineStr">
        <is>
          <t>https://beyondgood.com/</t>
        </is>
      </c>
      <c r="Q5" t="inlineStr">
        <is>
          <t>2026-10-02</t>
        </is>
      </c>
      <c r="R5" t="inlineStr">
        <is>
          <t>N</t>
        </is>
      </c>
      <c r="S5" t="inlineStr">
        <is>
          <t>unknown</t>
        </is>
      </c>
      <c r="T5" t="inlineStr">
        <is>
          <t>N</t>
        </is>
      </c>
      <c r="U5" t="inlineStr">
        <is>
          <t>new</t>
        </is>
      </c>
      <c r="V5" t="inlineStr">
        <is>
          <t>https://beyondgood.com/</t>
        </is>
      </c>
      <c r="W5" t="inlineStr">
        <is>
          <t>2026-10-23</t>
        </is>
      </c>
      <c r="X5" t="inlineStr">
        <is>
          <t>brand</t>
        </is>
      </c>
      <c r="Y5">
        <f>IF(EB5&lt;&gt;"Y","",COUNTIFS($EB$2:$EB$1000,"Y",$J$2:$J$1000,"&gt;"&amp;J5)+COUNTIFS($EB$2:$EB$1000,"Y",$J$2:$J$1000,J5,$ED$2:$ED$1000,"&lt;"&amp;ED5)+1)</f>
        <v/>
      </c>
      <c r="Z5" t="n">
        <v>4</v>
      </c>
      <c r="AA5" t="inlineStr">
        <is>
          <t>Y</t>
        </is>
      </c>
      <c r="AB5" t="inlineStr">
        <is>
          <t>find Tim McCollum at Beyond Good on LinkedIn and paste the profile URL (this also confirms the name: The Org is crowd-edited); before using the retailer line, check Whole Foods Market NoMad still lists it: https://www.wholefoodsmarket.com/search?text=Beyond%20Good with your store set to NoMad (catalogs change daily); founder review (shelf life or online store): read founder_review_reason first</t>
        </is>
      </c>
      <c r="AC5" t="inlineStr">
        <is>
          <t>founder</t>
        </is>
      </c>
      <c r="AD5" t="inlineStr">
        <is>
          <t>verified-page</t>
        </is>
      </c>
      <c r="AE5" t="inlineStr">
        <is>
          <t>The Org (crowd-edited org chart)</t>
        </is>
      </c>
      <c r="AF5" t="inlineStr">
        <is>
          <t>https://theorg.com/org/beyond-good/person/tim-mccollum</t>
        </is>
      </c>
      <c r="AG5" t="inlineStr">
        <is>
          <t>2026-10-24</t>
        </is>
      </c>
      <c r="AH5" t="inlineStr">
        <is>
          <t>70% Cocoa Dark Chocolate Pistachio Crunch bar; Organic 92% Dark Chocolate Bar 2.64 oz</t>
        </is>
      </c>
      <c r="AI5" t="inlineStr">
        <is>
          <t>chocolate-candy</t>
        </is>
      </c>
      <c r="AJ5" t="inlineStr">
        <is>
          <t>Brooklyn</t>
        </is>
      </c>
      <c r="AK5" t="inlineStr">
        <is>
          <t>https://beyondgood.com</t>
        </is>
      </c>
      <c r="AL5" t="inlineStr">
        <is>
          <t>Y</t>
        </is>
      </c>
      <c r="AM5" t="inlineStr">
        <is>
          <t>60-day shelf life not stated</t>
        </is>
      </c>
      <c r="AN5" t="inlineStr">
        <is>
          <t>AB-097</t>
        </is>
      </c>
      <c r="AO5" t="inlineStr">
        <is>
          <t>N</t>
        </is>
      </c>
      <c r="AR5">
        <f>IF(AND(AU5="pass",AO5&lt;&gt;"Y",C5&lt;&gt;""),"Y","N")</f>
        <v/>
      </c>
      <c r="AS5">
        <f>_xlfn.TEXTJOIN("; ",TRUE,IF(AU5&lt;&gt;"pass","gated out",""),IF(AO5="Y","on hold: "&amp;AP5,""),IF(C5="","no contact named on an opened page",""))</f>
        <v/>
      </c>
      <c r="AU5" t="inlineStr">
        <is>
          <t>pass</t>
        </is>
      </c>
      <c r="AW5" t="inlineStr">
        <is>
          <t>passes all hard gates</t>
        </is>
      </c>
      <c r="AY5" t="inlineStr">
        <is>
          <t>https://beyondgood.com</t>
        </is>
      </c>
      <c r="AZ5" t="inlineStr">
        <is>
          <t>NY</t>
        </is>
      </c>
      <c r="BA5" t="inlineStr">
        <is>
          <t>nyc</t>
        </is>
      </c>
      <c r="BB5" t="inlineStr">
        <is>
          <t>unknown</t>
        </is>
      </c>
      <c r="BD5" t="inlineStr">
        <is>
          <t>likely</t>
        </is>
      </c>
      <c r="BE5" t="inlineStr">
        <is>
          <t>Wrapped chocolate bars sold ambient at Whole Foods; shelf-life figure not found</t>
        </is>
      </c>
      <c r="BF5" t="inlineStr">
        <is>
          <t>Y</t>
        </is>
      </c>
      <c r="BG5" t="inlineStr">
        <is>
          <t>Y</t>
        </is>
      </c>
      <c r="BH5" t="inlineStr">
        <is>
          <t>unknown</t>
        </is>
      </c>
      <c r="BJ5" t="inlineStr">
        <is>
          <t>unknown</t>
        </is>
      </c>
      <c r="BK5" t="inlineStr">
        <is>
          <t>N</t>
        </is>
      </c>
      <c r="BL5" t="inlineStr">
        <is>
          <t>N</t>
        </is>
      </c>
      <c r="BN5" t="n">
        <v>0</v>
      </c>
      <c r="BO5" t="inlineStr">
        <is>
          <t>Y</t>
        </is>
      </c>
      <c r="BP5" t="n">
        <v>3</v>
      </c>
      <c r="BQ5" t="inlineStr">
        <is>
          <t>Whole Foods Market NoMad, 63 Madison Ave (store_selector, inside);Whole Foods Market Union Square, 4 Union Sq S (store_selector, inside);Whole Foods Market Chelsea, 250 7th Ave (store_selector, 3.0 blocks out)</t>
        </is>
      </c>
      <c r="BS5" t="inlineStr">
        <is>
          <t>Whole Foods</t>
        </is>
      </c>
      <c r="BT5" t="inlineStr">
        <is>
          <t>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is>
      </c>
      <c r="BU5" t="inlineStr">
        <is>
          <t>listing</t>
        </is>
      </c>
      <c r="BV5" t="n">
        <v>22</v>
      </c>
      <c r="BX5" t="inlineStr">
        <is>
          <t>Tim McCollum</t>
        </is>
      </c>
      <c r="BY5" t="inlineStr">
        <is>
          <t>The Org (updated 2026-01-28): Founder and CEO since 2008, HQ office. Wikipedia (https://en.wikipedia.org/wiki/Beyond_Good) names Tim McCollum and Brett Beach as founders.</t>
        </is>
      </c>
      <c r="CA5" t="inlineStr">
        <is>
          <t>Kristine Ford</t>
        </is>
      </c>
      <c r="CB5" t="inlineStr">
        <is>
          <t>Kristine</t>
        </is>
      </c>
      <c r="CC5" t="inlineStr">
        <is>
          <t>Ford</t>
        </is>
      </c>
      <c r="CD5" t="inlineStr">
        <is>
          <t>Head of Marketing</t>
        </is>
      </c>
      <c r="CE5" t="inlineStr">
        <is>
          <t>marketing lead</t>
        </is>
      </c>
      <c r="CF5" t="inlineStr">
        <is>
          <t>verified-page</t>
        </is>
      </c>
      <c r="CG5" t="inlineStr">
        <is>
          <t>The Org (updated 2026-02-02): Head of Marketing since 2024-11. Bio says she provides marketing leadership for mission-driven brands, so the role may be part-time or fractional.</t>
        </is>
      </c>
      <c r="CK5" t="inlineStr">
        <is>
          <t>none</t>
        </is>
      </c>
      <c r="CL5" t="n">
        <v>76</v>
      </c>
      <c r="CM5" t="n">
        <v>25</v>
      </c>
      <c r="CN5" t="n">
        <v>20</v>
      </c>
      <c r="CO5" t="n">
        <v>8</v>
      </c>
      <c r="CP5" t="n">
        <v>5</v>
      </c>
      <c r="CQ5" t="n">
        <v>8</v>
      </c>
      <c r="CR5" t="n">
        <v>10</v>
      </c>
      <c r="CS5">
        <f>IF(R5="Y",10,0)</f>
        <v/>
      </c>
      <c r="CT5" t="n">
        <v>0</v>
      </c>
      <c r="CU5" t="inlineStr">
        <is>
          <t>https://www.instagram.com/eatbeyondgood/</t>
        </is>
      </c>
      <c r="CV5" t="inlineStr">
        <is>
          <t>BR2</t>
        </is>
      </c>
      <c r="CW5" t="inlineStr">
        <is>
          <t>BR2:35</t>
        </is>
      </c>
      <c r="CX5" t="inlineStr">
        <is>
          <t>LinkedIn snippets: company page lists Brooklyn HQ and 11-50 employees; no marketing lead found, only a sales manager. Tim McCollum LinkedIn: https://www.linkedin.com/in/tim-mccollum-15ab5715/ (not opened). The founder is the likely budget owner.</t>
        </is>
      </c>
      <c r="CY5" t="inlineStr">
        <is>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t>
        </is>
      </c>
      <c r="CZ5" t="inlineStr">
        <is>
          <t>https://theorg.com/org/beyond-good/person/kristine-ford</t>
        </is>
      </c>
      <c r="DA5" t="inlineStr">
        <is>
          <t>stage 2</t>
        </is>
      </c>
      <c r="DB5" t="inlineStr">
        <is>
          <t>2026-01-28</t>
        </is>
      </c>
      <c r="DC5" t="inlineStr">
        <is>
          <t>The Org (crowd-edited org chart)</t>
        </is>
      </c>
      <c r="DD5" t="inlineStr">
        <is>
          <t>2026-02-02</t>
        </is>
      </c>
      <c r="DY5">
        <f>IF(ISNUMBER(MATCH(U5,{"queued","contacted","replied","call_booked","call_done","yes_in_principle","materials_sent"},0)),"Y","N")</f>
        <v/>
      </c>
      <c r="DZ5">
        <f>IF(COUNTIFS($AN$2:$AN$1000,AN5,$DY$2:$DY$1000,"Y")+COUNTIFS($AN$2:$AN$1000,AN5,$T$2:$T$1000,"Y")&gt;0,"Y","N")</f>
        <v/>
      </c>
      <c r="EA5">
        <f>IF(AND(U5="new",T5="N",AR5="Y",AQ5="",DZ5="N"),"Y","N")</f>
        <v/>
      </c>
      <c r="EB5">
        <f>IF(EA5&lt;&gt;"Y","N",IF(COUNTIFS($AN$2:$AN$1000,AN5,$EA$2:$EA$1000,"Y",$J$2:$J$1000,"&gt;"&amp;J5)+COUNTIFS($AN$2:$AN$1000,AN5,$EA$2:$EA$1000,"Y",$J$2:$J$1000,J5,$ED$2:$ED$1000,"&lt;"&amp;ED5)=0,"Y","N"))</f>
        <v/>
      </c>
      <c r="EC5">
        <f>IF(Y5="","N",IF(Y5&lt;=10,"Y","N"))</f>
        <v/>
      </c>
      <c r="ED5">
        <f>ROW()-1</f>
        <v/>
      </c>
    </row>
    <row r="6">
      <c r="A6" t="inlineStr">
        <is>
          <t>AB-075</t>
        </is>
      </c>
      <c r="B6" t="inlineStr">
        <is>
          <t>Eleni's New York</t>
        </is>
      </c>
      <c r="C6" t="inlineStr">
        <is>
          <t>Eleni</t>
        </is>
      </c>
      <c r="D6" t="inlineStr">
        <is>
          <t>Gianopulos</t>
        </is>
      </c>
      <c r="E6" t="inlineStr">
        <is>
          <t>Founder and CEO</t>
        </is>
      </c>
      <c r="H6" t="inlineStr">
        <is>
          <t>none</t>
        </is>
      </c>
      <c r="I6" t="inlineStr">
        <is>
          <t>linkedin</t>
        </is>
      </c>
      <c r="J6">
        <f>IF(AU6="pass",CM6+CN6+CO6+CP6+CQ6+CR6+CS6+CT6,0)</f>
        <v/>
      </c>
      <c r="K6" t="inlineStr">
        <is>
          <t>New York City brand, store page shows Whole Foods Market NoMad inside the cluster, news 201 days ago, revenue unknown, contact named.</t>
        </is>
      </c>
      <c r="M6" t="inlineStr">
        <is>
          <t>Whole Foods Market NoMad, 63 Madison Ave</t>
        </is>
      </c>
      <c r="N6" t="inlineStr">
        <is>
          <t>store_selector</t>
        </is>
      </c>
      <c r="O6" t="inlineStr">
        <is>
          <t>Moxie &amp; Co. and Eleni's launched licensed Chicka Chicka Boom Boom Alphabet Cookies (announced by Licensing International)</t>
        </is>
      </c>
      <c r="P6" t="inlineStr">
        <is>
          <t>https://licensinginternational.org/news/sweet-meets-storytime-moxie-co-and-elenis-cookies-launch-chicka-chicka-boom-boom-alphabet-cookies/</t>
        </is>
      </c>
      <c r="Q6" t="inlineStr">
        <is>
          <t>2026-04-06</t>
        </is>
      </c>
      <c r="R6" t="inlineStr">
        <is>
          <t>N</t>
        </is>
      </c>
      <c r="S6" t="inlineStr">
        <is>
          <t>unknown</t>
        </is>
      </c>
      <c r="T6" t="inlineStr">
        <is>
          <t>N</t>
        </is>
      </c>
      <c r="U6" t="inlineStr">
        <is>
          <t>new</t>
        </is>
      </c>
      <c r="V6" t="inlineStr">
        <is>
          <t>https://elenis.com/pages/about-us</t>
        </is>
      </c>
      <c r="W6" t="inlineStr">
        <is>
          <t>2026-10-23</t>
        </is>
      </c>
      <c r="X6" t="inlineStr">
        <is>
          <t>brand</t>
        </is>
      </c>
      <c r="Y6">
        <f>IF(EB6&lt;&gt;"Y","",COUNTIFS($EB$2:$EB$1000,"Y",$J$2:$J$1000,"&gt;"&amp;J6)+COUNTIFS($EB$2:$EB$1000,"Y",$J$2:$J$1000,J6,$ED$2:$ED$1000,"&lt;"&amp;ED6)+1)</f>
        <v/>
      </c>
      <c r="Z6" t="n">
        <v>5</v>
      </c>
      <c r="AA6" t="inlineStr">
        <is>
          <t>Y</t>
        </is>
      </c>
      <c r="AB6" t="inlineStr">
        <is>
          <t>find Eleni Gianopulos at Eleni's New York on LinkedIn and paste the profile URL (this also confirms the name: The Org is crowd-edited); the source is dated 2024-10-17: check Eleni still holds the role; before using the retailer line, check Whole Foods Market NoMad still lists it: https://www.wholefoodsmarket.com/search?text=Eleni%27s%20New%20York with your store set to NoMad (catalogs change daily)</t>
        </is>
      </c>
      <c r="AC6" t="inlineStr">
        <is>
          <t>founder</t>
        </is>
      </c>
      <c r="AD6" t="inlineStr">
        <is>
          <t>verified-page</t>
        </is>
      </c>
      <c r="AE6" t="inlineStr">
        <is>
          <t>The Org (crowd-edited org chart)</t>
        </is>
      </c>
      <c r="AF6" t="inlineStr">
        <is>
          <t>https://theorg.com/org/elenis/person/eleni-gianopulos</t>
        </is>
      </c>
      <c r="AG6" t="inlineStr">
        <is>
          <t>2026-10-24</t>
        </is>
      </c>
      <c r="AH6" t="inlineStr">
        <is>
          <t>Crisp Chocolate Chip Cookie 3.5 oz; Mini Crisp cookie pouches 4.5 oz</t>
        </is>
      </c>
      <c r="AI6" t="inlineStr">
        <is>
          <t>cookies-baked</t>
        </is>
      </c>
      <c r="AJ6" t="inlineStr">
        <is>
          <t>New York</t>
        </is>
      </c>
      <c r="AK6" t="inlineStr">
        <is>
          <t>https://elenis.com</t>
        </is>
      </c>
      <c r="AL6" t="inlineStr">
        <is>
          <t>N</t>
        </is>
      </c>
      <c r="AN6" t="inlineStr">
        <is>
          <t>AB-075</t>
        </is>
      </c>
      <c r="AO6" t="inlineStr">
        <is>
          <t>N</t>
        </is>
      </c>
      <c r="AR6">
        <f>IF(AND(AU6="pass",AO6&lt;&gt;"Y",C6&lt;&gt;""),"Y","N")</f>
        <v/>
      </c>
      <c r="AS6">
        <f>_xlfn.TEXTJOIN("; ",TRUE,IF(AU6&lt;&gt;"pass","gated out",""),IF(AO6="Y","on hold: "&amp;AP6,""),IF(C6="","no contact named on an opened page",""))</f>
        <v/>
      </c>
      <c r="AU6" t="inlineStr">
        <is>
          <t>pass</t>
        </is>
      </c>
      <c r="AW6" t="inlineStr">
        <is>
          <t>passes all hard gates</t>
        </is>
      </c>
      <c r="AY6" t="inlineStr">
        <is>
          <t>https://elenis.com</t>
        </is>
      </c>
      <c r="AZ6" t="inlineStr">
        <is>
          <t>NY</t>
        </is>
      </c>
      <c r="BA6" t="inlineStr">
        <is>
          <t>nyc</t>
        </is>
      </c>
      <c r="BB6" t="inlineStr">
        <is>
          <t>unknown</t>
        </is>
      </c>
      <c r="BD6" t="inlineStr">
        <is>
          <t>Y</t>
        </is>
      </c>
      <c r="BE6" t="inlineStr">
        <is>
          <t>Brand FAQ: Everyday Crisp Cookies 'are awesome after 9 months post purchase' in original packaging; hand-iced sugar cookies and Color Me! cookies 6 months; Photo Cookies 2-3 months. Do not refrigerate.</t>
        </is>
      </c>
      <c r="BF6" t="inlineStr">
        <is>
          <t>Y</t>
        </is>
      </c>
      <c r="BG6" t="inlineStr">
        <is>
          <t>Y</t>
        </is>
      </c>
      <c r="BH6" t="inlineStr">
        <is>
          <t>unknown</t>
        </is>
      </c>
      <c r="BJ6" t="inlineStr">
        <is>
          <t>unknown</t>
        </is>
      </c>
      <c r="BK6" t="inlineStr">
        <is>
          <t>N</t>
        </is>
      </c>
      <c r="BL6" t="inlineStr">
        <is>
          <t>N</t>
        </is>
      </c>
      <c r="BN6" t="n">
        <v>0</v>
      </c>
      <c r="BO6" t="inlineStr">
        <is>
          <t>Y</t>
        </is>
      </c>
      <c r="BP6" t="n">
        <v>10</v>
      </c>
      <c r="BQ6" t="inlineStr">
        <is>
          <t>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is>
      </c>
      <c r="BS6" t="inlineStr">
        <is>
          <t>Grocery stores nationwide; Whole Foods; Westside Market; D'Agostino; Gristedes (brand Stockist locator)</t>
        </is>
      </c>
      <c r="BT6" t="inlineStr">
        <is>
          <t>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is>
      </c>
      <c r="BU6" t="inlineStr">
        <is>
          <t>press</t>
        </is>
      </c>
      <c r="BV6" t="n">
        <v>201</v>
      </c>
      <c r="BX6" t="inlineStr">
        <is>
          <t>Eleni Gianopulos</t>
        </is>
      </c>
      <c r="BY6" t="inlineStr">
        <is>
          <t>The Org (updated 2024-10-17): CEO. The brand about page (https://elenis.com/pages/about-us) names her as founder but spells "Gianopulous"; The Org and press spell "Gianopulos". Founder to confirm the spelling before any email lookup.</t>
        </is>
      </c>
      <c r="CF6" t="inlineStr">
        <is>
          <t>none</t>
        </is>
      </c>
      <c r="CK6" t="inlineStr">
        <is>
          <t>none</t>
        </is>
      </c>
      <c r="CL6" t="n">
        <v>74</v>
      </c>
      <c r="CM6" t="n">
        <v>25</v>
      </c>
      <c r="CN6" t="n">
        <v>20</v>
      </c>
      <c r="CO6" t="n">
        <v>8</v>
      </c>
      <c r="CP6" t="n">
        <v>5</v>
      </c>
      <c r="CQ6" t="n">
        <v>10</v>
      </c>
      <c r="CR6" t="n">
        <v>6</v>
      </c>
      <c r="CS6">
        <f>IF(R6="Y",10,0)</f>
        <v/>
      </c>
      <c r="CT6" t="n">
        <v>0</v>
      </c>
      <c r="CU6" t="inlineStr">
        <is>
          <t>https://www.instagram.com/elenisny/</t>
        </is>
      </c>
      <c r="CV6" t="inlineStr">
        <is>
          <t>BR2</t>
        </is>
      </c>
      <c r="CW6" t="inlineStr">
        <is>
          <t>BR2:12</t>
        </is>
      </c>
      <c r="CX6" t="inlineStr">
        <is>
          <t>Strong local fit: many cluster grocers on brand locator. Pouches are single packages but multi-serve (3.5 to 4.5 oz). Why-now date from Shopify publish dates; Chicka Chicka items are kids-licensed.</t>
        </is>
      </c>
      <c r="CY6" t="inlineStr">
        <is>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is>
      </c>
      <c r="DA6" t="inlineStr">
        <is>
          <t>stage 2</t>
        </is>
      </c>
      <c r="DB6" t="inlineStr">
        <is>
          <t>2024-10-17</t>
        </is>
      </c>
      <c r="DY6">
        <f>IF(ISNUMBER(MATCH(U6,{"queued","contacted","replied","call_booked","call_done","yes_in_principle","materials_sent"},0)),"Y","N")</f>
        <v/>
      </c>
      <c r="DZ6">
        <f>IF(COUNTIFS($AN$2:$AN$1000,AN6,$DY$2:$DY$1000,"Y")+COUNTIFS($AN$2:$AN$1000,AN6,$T$2:$T$1000,"Y")&gt;0,"Y","N")</f>
        <v/>
      </c>
      <c r="EA6">
        <f>IF(AND(U6="new",T6="N",AR6="Y",AQ6="",DZ6="N"),"Y","N")</f>
        <v/>
      </c>
      <c r="EB6">
        <f>IF(EA6&lt;&gt;"Y","N",IF(COUNTIFS($AN$2:$AN$1000,AN6,$EA$2:$EA$1000,"Y",$J$2:$J$1000,"&gt;"&amp;J6)+COUNTIFS($AN$2:$AN$1000,AN6,$EA$2:$EA$1000,"Y",$J$2:$J$1000,J6,$ED$2:$ED$1000,"&lt;"&amp;ED6)=0,"Y","N"))</f>
        <v/>
      </c>
      <c r="EC6">
        <f>IF(Y6="","N",IF(Y6&lt;=10,"Y","N"))</f>
        <v/>
      </c>
      <c r="ED6">
        <f>ROW()-1</f>
        <v/>
      </c>
    </row>
    <row r="7">
      <c r="A7" t="inlineStr">
        <is>
          <t>AB-070</t>
        </is>
      </c>
      <c r="B7" t="inlineStr">
        <is>
          <t>Raaka Chocolate</t>
        </is>
      </c>
      <c r="C7" t="inlineStr">
        <is>
          <t>Nathan</t>
        </is>
      </c>
      <c r="D7" t="inlineStr">
        <is>
          <t>Hodge</t>
        </is>
      </c>
      <c r="E7" t="inlineStr">
        <is>
          <t>CEO and co-founder</t>
        </is>
      </c>
      <c r="H7" t="inlineStr">
        <is>
          <t>none</t>
        </is>
      </c>
      <c r="I7" t="inlineStr">
        <is>
          <t>linkedin</t>
        </is>
      </c>
      <c r="J7">
        <f>IF(AU7="pass",CM7+CN7+CO7+CP7+CQ7+CR7+CS7+CT7,0)</f>
        <v/>
      </c>
      <c r="K7" t="inlineStr">
        <is>
          <t>New York City brand, store page shows Whole Foods Market Union Square inside the cluster, a new store listing 2 days ago, revenue unknown, contact named plus a marketing lead; founder review: claim-borderline.</t>
        </is>
      </c>
      <c r="M7" t="inlineStr">
        <is>
          <t>Whole Foods Market Union Square, 4 Union Sq S</t>
        </is>
      </c>
      <c r="N7" t="inlineStr">
        <is>
          <t>store_selector</t>
        </is>
      </c>
      <c r="O7" t="inlineStr">
        <is>
          <t>New limited-batch Chili Meltaways truffle box and Pumpkin Crunch Minis launched on brand site for fall 2026</t>
        </is>
      </c>
      <c r="P7" t="inlineStr">
        <is>
          <t>https://www.raakachocolate.com/</t>
        </is>
      </c>
      <c r="Q7" t="inlineStr">
        <is>
          <t>2026-10-22</t>
        </is>
      </c>
      <c r="R7" t="inlineStr">
        <is>
          <t>N</t>
        </is>
      </c>
      <c r="S7" t="inlineStr">
        <is>
          <t>unknown</t>
        </is>
      </c>
      <c r="T7" t="inlineStr">
        <is>
          <t>N</t>
        </is>
      </c>
      <c r="U7" t="inlineStr">
        <is>
          <t>new</t>
        </is>
      </c>
      <c r="V7" t="inlineStr">
        <is>
          <t>https://www.raakachocolate.com/pages/our-story-process</t>
        </is>
      </c>
      <c r="W7" t="inlineStr">
        <is>
          <t>2026-10-23</t>
        </is>
      </c>
      <c r="X7" t="inlineStr">
        <is>
          <t>brand</t>
        </is>
      </c>
      <c r="Y7">
        <f>IF(EB7&lt;&gt;"Y","",COUNTIFS($EB$2:$EB$1000,"Y",$J$2:$J$1000,"&gt;"&amp;J7)+COUNTIFS($EB$2:$EB$1000,"Y",$J$2:$J$1000,J7,$ED$2:$ED$1000,"&lt;"&amp;ED7)+1)</f>
        <v/>
      </c>
      <c r="Z7" t="n">
        <v>6</v>
      </c>
      <c r="AA7" t="inlineStr">
        <is>
          <t>Y</t>
        </is>
      </c>
      <c r="AB7" t="inlineStr">
        <is>
          <t>find Nathan Hodge at Raaka Chocolate on LinkedIn and paste the profile URL (this also confirms the name: The Org is crowd-edited); the source is dated 2024-10-31: check Nathan still holds the role; before using the retailer line, check Whole Foods Market Union Square still lists it: https://www.wholefoodsmarket.com/search?text=Raaka%20Chocolate with your store set to Union Square (catalogs change daily); founder review (claim-borderline): read founder_review_reason first</t>
        </is>
      </c>
      <c r="AC7" t="inlineStr">
        <is>
          <t>founder</t>
        </is>
      </c>
      <c r="AD7" t="inlineStr">
        <is>
          <t>verified-page</t>
        </is>
      </c>
      <c r="AE7" t="inlineStr">
        <is>
          <t>The Org (crowd-edited org chart)</t>
        </is>
      </c>
      <c r="AF7" t="inlineStr">
        <is>
          <t>https://theorg.com/org/raaka-chocolate/person/nathan-hodge</t>
        </is>
      </c>
      <c r="AG7" t="inlineStr">
        <is>
          <t>2026-10-24</t>
        </is>
      </c>
      <c r="AH7" t="inlineStr">
        <is>
          <t>Organic Coconut Chocolate Bar 1.8 oz; Coco Milk Mini 0.28 oz</t>
        </is>
      </c>
      <c r="AI7" t="inlineStr">
        <is>
          <t>chocolate-candy</t>
        </is>
      </c>
      <c r="AJ7" t="inlineStr">
        <is>
          <t>Brooklyn (Red Hook factory, 64 Seabring St)</t>
        </is>
      </c>
      <c r="AK7" t="inlineStr">
        <is>
          <t>https://www.raakachocolate.com</t>
        </is>
      </c>
      <c r="AL7" t="inlineStr">
        <is>
          <t>Y</t>
        </is>
      </c>
      <c r="AM7" t="inlineStr">
        <is>
          <t>Sells a 'Functional' adaptogen and mushroom chocolate line (Day Break 'Focus &amp; Energy', Mellow Moon 'Rest &amp; Calm'); offer only the classic bars</t>
        </is>
      </c>
      <c r="AN7" t="inlineStr">
        <is>
          <t>AB-070</t>
        </is>
      </c>
      <c r="AO7" t="inlineStr">
        <is>
          <t>N</t>
        </is>
      </c>
      <c r="AR7">
        <f>IF(AND(AU7="pass",AO7&lt;&gt;"Y",C7&lt;&gt;""),"Y","N")</f>
        <v/>
      </c>
      <c r="AS7">
        <f>_xlfn.TEXTJOIN("; ",TRUE,IF(AU7&lt;&gt;"pass","gated out",""),IF(AO7="Y","on hold: "&amp;AP7,""),IF(C7="","no contact named on an opened page",""))</f>
        <v/>
      </c>
      <c r="AU7" t="inlineStr">
        <is>
          <t>pass</t>
        </is>
      </c>
      <c r="AW7" t="inlineStr">
        <is>
          <t>passes all hard gates</t>
        </is>
      </c>
      <c r="AX7" t="inlineStr">
        <is>
          <t>claim-borderline</t>
        </is>
      </c>
      <c r="AY7" t="inlineStr">
        <is>
          <t>https://www.raakachocolate.com</t>
        </is>
      </c>
      <c r="AZ7" t="inlineStr">
        <is>
          <t>NY</t>
        </is>
      </c>
      <c r="BA7" t="inlineStr">
        <is>
          <t>nyc</t>
        </is>
      </c>
      <c r="BB7" t="inlineStr">
        <is>
          <t>unknown</t>
        </is>
      </c>
      <c r="BD7" t="inlineStr">
        <is>
          <t>Y</t>
        </is>
      </c>
      <c r="BE7" t="inlineStr">
        <is>
          <t>Brand wholesale FAQ: coconut-containing products (Coconut Milk, Oat Milk, Cocoa Magic, Holiday Hot Chocolates, Waffle Cone bars) have a 9 month shelf life; all non-coconut products have a 16 month shelf life.</t>
        </is>
      </c>
      <c r="BF7" t="inlineStr">
        <is>
          <t>Y</t>
        </is>
      </c>
      <c r="BG7" t="inlineStr">
        <is>
          <t>Y</t>
        </is>
      </c>
      <c r="BH7" t="inlineStr">
        <is>
          <t>unknown</t>
        </is>
      </c>
      <c r="BJ7" t="inlineStr">
        <is>
          <t>unknown</t>
        </is>
      </c>
      <c r="BK7" t="inlineStr">
        <is>
          <t>N</t>
        </is>
      </c>
      <c r="BL7" t="inlineStr">
        <is>
          <t>N</t>
        </is>
      </c>
      <c r="BN7" t="n">
        <v>0</v>
      </c>
      <c r="BO7" t="inlineStr">
        <is>
          <t>Y</t>
        </is>
      </c>
      <c r="BP7" t="n">
        <v>7</v>
      </c>
      <c r="BQ7" t="inlineStr">
        <is>
          <t>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is>
      </c>
      <c r="BR7" t="inlineStr">
        <is>
          <t>Seed + Mill (brand_claim, 11.4 blocks out)</t>
        </is>
      </c>
      <c r="BS7" t="inlineStr">
        <is>
          <t>Whole Foods; Amazon; ~1,700 locator entries (Storemapper)</t>
        </is>
      </c>
      <c r="BT7" t="inlineStr">
        <is>
          <t>https://www.wholefoodsmarket.com/api/search?text=raaka&amp;store=10162&amp;limit=60&amp;offset=0; https://www.wholefoodsmarket.com/api/search?text=raaka&amp;store=10131&amp;limit=60&amp;offset=0; https://www.storemapper.co/api/users/1035/stores.js?callback=SMcallback2 (data behind https://www.raakachocolate.com/pages/store-locator)</t>
        </is>
      </c>
      <c r="BU7" t="inlineStr">
        <is>
          <t>listing</t>
        </is>
      </c>
      <c r="BV7" t="n">
        <v>2</v>
      </c>
      <c r="BX7" t="inlineStr">
        <is>
          <t>Nathan Hodge</t>
        </is>
      </c>
      <c r="BY7" t="inlineStr">
        <is>
          <t>The Org (updated 2024-10-31): CEO since 2021; Head Chocolate Maker and Co-Founder from 2010. Brand story page names co-founders "Ryan and Nate". Replaces the unverified stage-1 surname.</t>
        </is>
      </c>
      <c r="CA7" t="inlineStr">
        <is>
          <t>William Mullan</t>
        </is>
      </c>
      <c r="CB7" t="inlineStr">
        <is>
          <t>William</t>
        </is>
      </c>
      <c r="CC7" t="inlineStr">
        <is>
          <t>Mullan</t>
        </is>
      </c>
      <c r="CD7" t="inlineStr">
        <is>
          <t>Brand Manager</t>
        </is>
      </c>
      <c r="CE7" t="inlineStr">
        <is>
          <t>marketing lead</t>
        </is>
      </c>
      <c r="CF7" t="inlineStr">
        <is>
          <t>verified-page</t>
        </is>
      </c>
      <c r="CG7" t="inlineStr">
        <is>
          <t>The Org (updated 2024-10-31): Brand Manager since 2014, HQ office. Two years since the page was updated.</t>
        </is>
      </c>
      <c r="CK7" t="inlineStr">
        <is>
          <t>none</t>
        </is>
      </c>
      <c r="CL7" t="n">
        <v>74</v>
      </c>
      <c r="CM7" t="n">
        <v>25</v>
      </c>
      <c r="CN7" t="n">
        <v>20</v>
      </c>
      <c r="CO7" t="n">
        <v>8</v>
      </c>
      <c r="CP7" t="n">
        <v>5</v>
      </c>
      <c r="CQ7" t="n">
        <v>10</v>
      </c>
      <c r="CR7" t="n">
        <v>10</v>
      </c>
      <c r="CS7">
        <f>IF(R7="Y",10,0)</f>
        <v/>
      </c>
      <c r="CT7" t="n">
        <v>-4</v>
      </c>
      <c r="CU7" t="inlineStr">
        <is>
          <t>https://www.instagram.com/raakachocolate/</t>
        </is>
      </c>
      <c r="CV7" t="inlineStr">
        <is>
          <t>BR2</t>
        </is>
      </c>
      <c r="CW7" t="inlineStr">
        <is>
          <t>BR2:7</t>
        </is>
      </c>
      <c r="CX7" t="inlineStr">
        <is>
          <t>WFM NoMad catalog showed 0 Raaka hits on 2026-10-23 although the brand locator lists it, so NoMad is brand_claim only. Locator entries may be stale. Why-now date is the Shopify publish date of the Chili Meltaway product.</t>
        </is>
      </c>
      <c r="CY7" t="inlineStr">
        <is>
          <t xml:space="preserve">shelf_stable &lt;- https://www.raakachocolate.com/pages/wholesale (2026-10-24, opened); shelf_stable_basis &lt;- https://www.raakachocolate.com/pages/wholesale (2026-10-24, opened); </t>
        </is>
      </c>
      <c r="CZ7" t="inlineStr">
        <is>
          <t>https://theorg.com/org/raaka-chocolate/person/william-mullan</t>
        </is>
      </c>
      <c r="DA7" t="inlineStr">
        <is>
          <t>stage 2</t>
        </is>
      </c>
      <c r="DB7" t="inlineStr">
        <is>
          <t>2024-10-31</t>
        </is>
      </c>
      <c r="DC7" t="inlineStr">
        <is>
          <t>The Org (crowd-edited org chart)</t>
        </is>
      </c>
      <c r="DD7" t="inlineStr">
        <is>
          <t>2024-10-31</t>
        </is>
      </c>
      <c r="DY7">
        <f>IF(ISNUMBER(MATCH(U7,{"queued","contacted","replied","call_booked","call_done","yes_in_principle","materials_sent"},0)),"Y","N")</f>
        <v/>
      </c>
      <c r="DZ7">
        <f>IF(COUNTIFS($AN$2:$AN$1000,AN7,$DY$2:$DY$1000,"Y")+COUNTIFS($AN$2:$AN$1000,AN7,$T$2:$T$1000,"Y")&gt;0,"Y","N")</f>
        <v/>
      </c>
      <c r="EA7">
        <f>IF(AND(U7="new",T7="N",AR7="Y",AQ7="",DZ7="N"),"Y","N")</f>
        <v/>
      </c>
      <c r="EB7">
        <f>IF(EA7&lt;&gt;"Y","N",IF(COUNTIFS($AN$2:$AN$1000,AN7,$EA$2:$EA$1000,"Y",$J$2:$J$1000,"&gt;"&amp;J7)+COUNTIFS($AN$2:$AN$1000,AN7,$EA$2:$EA$1000,"Y",$J$2:$J$1000,J7,$ED$2:$ED$1000,"&lt;"&amp;ED7)=0,"Y","N"))</f>
        <v/>
      </c>
      <c r="EC7">
        <f>IF(Y7="","N",IF(Y7&lt;=10,"Y","N"))</f>
        <v/>
      </c>
      <c r="ED7">
        <f>ROW()-1</f>
        <v/>
      </c>
    </row>
    <row r="8">
      <c r="A8" t="inlineStr">
        <is>
          <t>AB-071</t>
        </is>
      </c>
      <c r="B8" t="inlineStr">
        <is>
          <t>Fine &amp; Raw</t>
        </is>
      </c>
      <c r="C8" t="inlineStr">
        <is>
          <t>Daniel</t>
        </is>
      </c>
      <c r="D8" t="inlineStr">
        <is>
          <t>Sklaar</t>
        </is>
      </c>
      <c r="E8" t="inlineStr">
        <is>
          <t>Founder</t>
        </is>
      </c>
      <c r="H8" t="inlineStr">
        <is>
          <t>none</t>
        </is>
      </c>
      <c r="I8" t="inlineStr">
        <is>
          <t>linkedin</t>
        </is>
      </c>
      <c r="J8">
        <f>IF(AU8="pass",CM8+CN8+CO8+CP8+CQ8+CR8+CS8+CT8,0)</f>
        <v/>
      </c>
      <c r="K8" t="inlineStr">
        <is>
          <t>New York City brand, store page shows Whole Foods Market NoMad inside the cluster, a new store listing 9 days ago, revenue unknown, contact named; founder review: shelf life not stated.</t>
        </is>
      </c>
      <c r="M8" t="inlineStr">
        <is>
          <t>Whole Foods Market NoMad, 63 Madison Ave</t>
        </is>
      </c>
      <c r="N8" t="inlineStr">
        <is>
          <t>store_selector</t>
        </is>
      </c>
      <c r="O8" t="inlineStr">
        <is>
          <t>Launched Josh Cellars x FINE &amp; RAW pairing collection and 2026 Halloween boxes on brand store (Oct 2026); note the pairing is with a wine brand</t>
        </is>
      </c>
      <c r="P8" t="inlineStr">
        <is>
          <t>https://www.fineandraw.com/</t>
        </is>
      </c>
      <c r="Q8" t="inlineStr">
        <is>
          <t>2026-10-15</t>
        </is>
      </c>
      <c r="R8" t="inlineStr">
        <is>
          <t>N</t>
        </is>
      </c>
      <c r="S8" t="inlineStr">
        <is>
          <t>unknown</t>
        </is>
      </c>
      <c r="T8" t="inlineStr">
        <is>
          <t>N</t>
        </is>
      </c>
      <c r="U8" t="inlineStr">
        <is>
          <t>new</t>
        </is>
      </c>
      <c r="V8" t="inlineStr">
        <is>
          <t>https://www.fineandraw.com/pages/about</t>
        </is>
      </c>
      <c r="W8" t="inlineStr">
        <is>
          <t>2026-10-23</t>
        </is>
      </c>
      <c r="X8" t="inlineStr">
        <is>
          <t>brand</t>
        </is>
      </c>
      <c r="Y8">
        <f>IF(EB8&lt;&gt;"Y","",COUNTIFS($EB$2:$EB$1000,"Y",$J$2:$J$1000,"&gt;"&amp;J8)+COUNTIFS($EB$2:$EB$1000,"Y",$J$2:$J$1000,J8,$ED$2:$ED$1000,"&lt;"&amp;ED8)+1)</f>
        <v/>
      </c>
      <c r="Z8" t="n">
        <v>7</v>
      </c>
      <c r="AA8" t="inlineStr">
        <is>
          <t>Y</t>
        </is>
      </c>
      <c r="AB8" t="inlineStr">
        <is>
          <t>find Daniel Sklaar at Fine &amp; Raw on LinkedIn and paste the profile URL; before using the retailer line, check Whole Foods Market NoMad still lists it: https://www.wholefoodsmarket.com/search?text=Fine%20%26%20Raw with your store set to NoMad (catalogs change daily); founder review (shelf life or online store): read founder_review_reason first</t>
        </is>
      </c>
      <c r="AC8" t="inlineStr">
        <is>
          <t>founder</t>
        </is>
      </c>
      <c r="AD8" t="inlineStr">
        <is>
          <t>verified-page</t>
        </is>
      </c>
      <c r="AE8" t="inlineStr">
        <is>
          <t>employer's own site</t>
        </is>
      </c>
      <c r="AF8" t="inlineStr">
        <is>
          <t>https://www.fineandraw.com/pages/about</t>
        </is>
      </c>
      <c r="AG8" t="inlineStr">
        <is>
          <t>2026-10-24</t>
        </is>
      </c>
      <c r="AH8" t="inlineStr">
        <is>
          <t>Sea Salt Dark Chocolate Bar 2 oz; Almond Chunky 1.5 oz</t>
        </is>
      </c>
      <c r="AI8" t="inlineStr">
        <is>
          <t>chocolate-candy</t>
        </is>
      </c>
      <c r="AJ8" t="inlineStr">
        <is>
          <t>Brooklyn</t>
        </is>
      </c>
      <c r="AK8" t="inlineStr">
        <is>
          <t>https://www.fineandraw.com</t>
        </is>
      </c>
      <c r="AL8" t="inlineStr">
        <is>
          <t>Y</t>
        </is>
      </c>
      <c r="AM8" t="inlineStr">
        <is>
          <t>60-day shelf life not stated</t>
        </is>
      </c>
      <c r="AN8" t="inlineStr">
        <is>
          <t>AB-071</t>
        </is>
      </c>
      <c r="AO8" t="inlineStr">
        <is>
          <t>N</t>
        </is>
      </c>
      <c r="AR8">
        <f>IF(AND(AU8="pass",AO8&lt;&gt;"Y",C8&lt;&gt;""),"Y","N")</f>
        <v/>
      </c>
      <c r="AS8">
        <f>_xlfn.TEXTJOIN("; ",TRUE,IF(AU8&lt;&gt;"pass","gated out",""),IF(AO8="Y","on hold: "&amp;AP8,""),IF(C8="","no contact named on an opened page",""))</f>
        <v/>
      </c>
      <c r="AU8" t="inlineStr">
        <is>
          <t>pass</t>
        </is>
      </c>
      <c r="AW8" t="inlineStr">
        <is>
          <t>passes all hard gates</t>
        </is>
      </c>
      <c r="AY8" t="inlineStr">
        <is>
          <t>https://www.fineandraw.com</t>
        </is>
      </c>
      <c r="AZ8" t="inlineStr">
        <is>
          <t>NY</t>
        </is>
      </c>
      <c r="BA8" t="inlineStr">
        <is>
          <t>nyc</t>
        </is>
      </c>
      <c r="BB8" t="inlineStr">
        <is>
          <t>unknown</t>
        </is>
      </c>
      <c r="BD8" t="inlineStr">
        <is>
          <t>likely</t>
        </is>
      </c>
      <c r="BE8" t="inlineStr">
        <is>
          <t>Wrapped chocolate bars sold ambient at Whole Foods and shipped worldwide; shelf-life figure not published (founder to confirm)</t>
        </is>
      </c>
      <c r="BF8" t="inlineStr">
        <is>
          <t>Y</t>
        </is>
      </c>
      <c r="BG8" t="inlineStr">
        <is>
          <t>Y</t>
        </is>
      </c>
      <c r="BH8" t="inlineStr">
        <is>
          <t>unknown</t>
        </is>
      </c>
      <c r="BJ8" t="inlineStr">
        <is>
          <t>unknown</t>
        </is>
      </c>
      <c r="BK8" t="inlineStr">
        <is>
          <t>N</t>
        </is>
      </c>
      <c r="BL8" t="inlineStr">
        <is>
          <t>N</t>
        </is>
      </c>
      <c r="BN8" t="n">
        <v>0</v>
      </c>
      <c r="BO8" t="inlineStr">
        <is>
          <t>Y</t>
        </is>
      </c>
      <c r="BP8" t="n">
        <v>2</v>
      </c>
      <c r="BQ8" t="inlineStr">
        <is>
          <t>Whole Foods Market NoMad, 63 Madison Ave (store_selector, inside);Whole Foods Market Union Square, 4 Union Sq S (store_selector, inside)</t>
        </is>
      </c>
      <c r="BS8" t="inlineStr">
        <is>
          <t>Whole Foods</t>
        </is>
      </c>
      <c r="BT8" t="inlineStr">
        <is>
          <t>https://www.wholefoodsmarket.com/api/search?text=fine%20and%20raw&amp;store=10162&amp;limit=60&amp;offset=0; https://www.wholefoodsmarket.com/api/search?text=fine%20and%20raw&amp;store=10773&amp;limit=60&amp;offset=0</t>
        </is>
      </c>
      <c r="BU8" t="inlineStr">
        <is>
          <t>listing</t>
        </is>
      </c>
      <c r="BV8" t="n">
        <v>9</v>
      </c>
      <c r="BX8" t="inlineStr">
        <is>
          <t>Daniel Sklaar</t>
        </is>
      </c>
      <c r="BY8" t="inlineStr">
        <is>
          <t>Brand about page: established in 2007 by Daniel Sklaar; homepage signs "Daniel, Founder, chocolate maker".</t>
        </is>
      </c>
      <c r="CF8" t="inlineStr">
        <is>
          <t>none</t>
        </is>
      </c>
      <c r="CK8" t="inlineStr">
        <is>
          <t>none</t>
        </is>
      </c>
      <c r="CL8" t="n">
        <v>72</v>
      </c>
      <c r="CM8" t="n">
        <v>25</v>
      </c>
      <c r="CN8" t="n">
        <v>20</v>
      </c>
      <c r="CO8" t="n">
        <v>8</v>
      </c>
      <c r="CP8" t="n">
        <v>5</v>
      </c>
      <c r="CQ8" t="n">
        <v>8</v>
      </c>
      <c r="CR8" t="n">
        <v>6</v>
      </c>
      <c r="CS8">
        <f>IF(R8="Y",10,0)</f>
        <v/>
      </c>
      <c r="CT8" t="n">
        <v>0</v>
      </c>
      <c r="CU8" t="inlineStr">
        <is>
          <t>https://www.instagram.com/fineandraw/</t>
        </is>
      </c>
      <c r="CV8" t="inlineStr">
        <is>
          <t>BR2</t>
        </is>
      </c>
      <c r="CW8" t="inlineStr">
        <is>
          <t>BR2:8</t>
        </is>
      </c>
      <c r="CX8" t="inlineStr">
        <is>
          <t>Founded 2007 in Williamsburg. Some WFM listings are under 'Cowgirl Fine And Raw' (distributor naming). Not in WFM Chelsea catalog. Why-now date from Shopify publish date of the pairing products.</t>
        </is>
      </c>
      <c r="DA8" t="inlineStr">
        <is>
          <t>stage 2</t>
        </is>
      </c>
      <c r="DY8">
        <f>IF(ISNUMBER(MATCH(U8,{"queued","contacted","replied","call_booked","call_done","yes_in_principle","materials_sent"},0)),"Y","N")</f>
        <v/>
      </c>
      <c r="DZ8">
        <f>IF(COUNTIFS($AN$2:$AN$1000,AN8,$DY$2:$DY$1000,"Y")+COUNTIFS($AN$2:$AN$1000,AN8,$T$2:$T$1000,"Y")&gt;0,"Y","N")</f>
        <v/>
      </c>
      <c r="EA8">
        <f>IF(AND(U8="new",T8="N",AR8="Y",AQ8="",DZ8="N"),"Y","N")</f>
        <v/>
      </c>
      <c r="EB8">
        <f>IF(EA8&lt;&gt;"Y","N",IF(COUNTIFS($AN$2:$AN$1000,AN8,$EA$2:$EA$1000,"Y",$J$2:$J$1000,"&gt;"&amp;J8)+COUNTIFS($AN$2:$AN$1000,AN8,$EA$2:$EA$1000,"Y",$J$2:$J$1000,J8,$ED$2:$ED$1000,"&lt;"&amp;ED8)=0,"Y","N"))</f>
        <v/>
      </c>
      <c r="EC8">
        <f>IF(Y8="","N",IF(Y8&lt;=10,"Y","N"))</f>
        <v/>
      </c>
      <c r="ED8">
        <f>ROW()-1</f>
        <v/>
      </c>
    </row>
    <row r="9">
      <c r="A9" t="inlineStr">
        <is>
          <t>AB-082</t>
        </is>
      </c>
      <c r="B9" t="inlineStr">
        <is>
          <t>Steve &amp; Andy's</t>
        </is>
      </c>
      <c r="C9" t="inlineStr">
        <is>
          <t>Steve</t>
        </is>
      </c>
      <c r="D9" t="inlineStr">
        <is>
          <t>Marino</t>
        </is>
      </c>
      <c r="E9" t="inlineStr">
        <is>
          <t>Co-founder</t>
        </is>
      </c>
      <c r="H9" t="inlineStr">
        <is>
          <t>none</t>
        </is>
      </c>
      <c r="I9" t="inlineStr">
        <is>
          <t>linkedin</t>
        </is>
      </c>
      <c r="J9">
        <f>IF(AU9="pass",CM9+CN9+CO9+CP9+CQ9+CR9+CS9+CT9,0)</f>
        <v/>
      </c>
      <c r="K9" t="inlineStr">
        <is>
          <t>New York City brand, store page shows Whole Foods Market NoMad inside the cluster, a new store listing 36 days ago, revenue unknown, contact named.</t>
        </is>
      </c>
      <c r="M9" t="inlineStr">
        <is>
          <t>Whole Foods Market NoMad, 63 Madison Ave</t>
        </is>
      </c>
      <c r="N9" t="inlineStr">
        <is>
          <t>store_selector</t>
        </is>
      </c>
      <c r="O9" t="inlineStr">
        <is>
          <t>New Ginger Snap cookies and soft-baked Chocolate Chip boxes added to brand store, Aug to Sept 2026</t>
        </is>
      </c>
      <c r="P9" t="inlineStr">
        <is>
          <t>https://steveandandys.com/</t>
        </is>
      </c>
      <c r="Q9" t="inlineStr">
        <is>
          <t>2026-09-18</t>
        </is>
      </c>
      <c r="R9" t="inlineStr">
        <is>
          <t>N</t>
        </is>
      </c>
      <c r="S9" t="inlineStr">
        <is>
          <t>unknown</t>
        </is>
      </c>
      <c r="T9" t="inlineStr">
        <is>
          <t>N</t>
        </is>
      </c>
      <c r="U9" t="inlineStr">
        <is>
          <t>new</t>
        </is>
      </c>
      <c r="V9" t="inlineStr">
        <is>
          <t>https://steveandandys.com/pages/about</t>
        </is>
      </c>
      <c r="W9" t="inlineStr">
        <is>
          <t>2026-10-23</t>
        </is>
      </c>
      <c r="X9" t="inlineStr">
        <is>
          <t>brand</t>
        </is>
      </c>
      <c r="Y9">
        <f>IF(EB9&lt;&gt;"Y","",COUNTIFS($EB$2:$EB$1000,"Y",$J$2:$J$1000,"&gt;"&amp;J9)+COUNTIFS($EB$2:$EB$1000,"Y",$J$2:$J$1000,J9,$ED$2:$ED$1000,"&lt;"&amp;ED9)+1)</f>
        <v/>
      </c>
      <c r="Z9" t="n">
        <v>8</v>
      </c>
      <c r="AA9" t="inlineStr">
        <is>
          <t>Y</t>
        </is>
      </c>
      <c r="AB9" t="inlineStr">
        <is>
          <t>find Steve Marino at Steve &amp; Andy's on LinkedIn and paste the profile URL; before using the retailer line, check Whole Foods Market NoMad still lists it: https://www.wholefoodsmarket.com/search?text=Steve%20%26%20Andy%27s with your store set to NoMad (catalogs change daily)</t>
        </is>
      </c>
      <c r="AC9" t="inlineStr">
        <is>
          <t>founder</t>
        </is>
      </c>
      <c r="AD9" t="inlineStr">
        <is>
          <t>verified-page</t>
        </is>
      </c>
      <c r="AE9" t="inlineStr">
        <is>
          <t>employer's own site</t>
        </is>
      </c>
      <c r="AF9" t="inlineStr">
        <is>
          <t>https://steveandandys.com/pages/about</t>
        </is>
      </c>
      <c r="AG9" t="inlineStr">
        <is>
          <t>2026-10-24</t>
        </is>
      </c>
      <c r="AH9" t="inlineStr">
        <is>
          <t>Organic Chocolate Chip Cookies 5.5 oz (gluten-free)</t>
        </is>
      </c>
      <c r="AI9" t="inlineStr">
        <is>
          <t>cookies-baked</t>
        </is>
      </c>
      <c r="AJ9" t="inlineStr">
        <is>
          <t>New York</t>
        </is>
      </c>
      <c r="AK9" t="inlineStr">
        <is>
          <t>https://steveandandys.com</t>
        </is>
      </c>
      <c r="AL9" t="inlineStr">
        <is>
          <t>N</t>
        </is>
      </c>
      <c r="AN9" t="inlineStr">
        <is>
          <t>AB-082</t>
        </is>
      </c>
      <c r="AO9" t="inlineStr">
        <is>
          <t>N</t>
        </is>
      </c>
      <c r="AR9">
        <f>IF(AND(AU9="pass",AO9&lt;&gt;"Y",C9&lt;&gt;""),"Y","N")</f>
        <v/>
      </c>
      <c r="AS9">
        <f>_xlfn.TEXTJOIN("; ",TRUE,IF(AU9&lt;&gt;"pass","gated out",""),IF(AO9="Y","on hold: "&amp;AP9,""),IF(C9="","no contact named on an opened page",""))</f>
        <v/>
      </c>
      <c r="AU9" t="inlineStr">
        <is>
          <t>pass</t>
        </is>
      </c>
      <c r="AW9" t="inlineStr">
        <is>
          <t>passes all hard gates</t>
        </is>
      </c>
      <c r="AY9" t="inlineStr">
        <is>
          <t>https://steveandandys.com</t>
        </is>
      </c>
      <c r="AZ9" t="inlineStr">
        <is>
          <t>NY</t>
        </is>
      </c>
      <c r="BA9" t="inlineStr">
        <is>
          <t>nyc</t>
        </is>
      </c>
      <c r="BB9" t="inlineStr">
        <is>
          <t>unknown</t>
        </is>
      </c>
      <c r="BD9" t="inlineStr">
        <is>
          <t>Y</t>
        </is>
      </c>
      <c r="BE9" t="inlineStr">
        <is>
          <t>Brand FAQ: 'Shelf life is 270 days from date of production'; store at room temperature</t>
        </is>
      </c>
      <c r="BF9" t="inlineStr">
        <is>
          <t>unknown</t>
        </is>
      </c>
      <c r="BG9" t="inlineStr">
        <is>
          <t>Y</t>
        </is>
      </c>
      <c r="BH9" t="inlineStr">
        <is>
          <t>unknown</t>
        </is>
      </c>
      <c r="BJ9" t="inlineStr">
        <is>
          <t>unknown</t>
        </is>
      </c>
      <c r="BK9" t="inlineStr">
        <is>
          <t>N</t>
        </is>
      </c>
      <c r="BL9" t="inlineStr">
        <is>
          <t>N</t>
        </is>
      </c>
      <c r="BN9" t="n">
        <v>0</v>
      </c>
      <c r="BO9" t="inlineStr">
        <is>
          <t>Y</t>
        </is>
      </c>
      <c r="BP9" t="n">
        <v>3</v>
      </c>
      <c r="BQ9" t="inlineStr">
        <is>
          <t>Whole Foods Market NoMad, 63 Madison Ave (store_selector, inside);Whole Foods Market Union Square, 4 Union Sq S (store_selector, inside);Whole Foods Market Chelsea, 250 7th Ave (store_selector, 3.0 blocks out)</t>
        </is>
      </c>
      <c r="BS9" t="inlineStr">
        <is>
          <t>Whole Foods; nationwide (brand home page)</t>
        </is>
      </c>
      <c r="BT9" t="inlineStr">
        <is>
          <t>https://www.wholefoodsmarket.com/api/search?text=steve%20andys&amp;store=10162&amp;limit=60&amp;offset=0; https://www.wholefoodsmarket.com/api/search?text=steve%20andys&amp;store=10773&amp;limit=60&amp;offset=0; https://www.wholefoodsmarket.com/api/search?text=steve%20andys&amp;store=10131&amp;limit=60&amp;offset=0</t>
        </is>
      </c>
      <c r="BU9" t="inlineStr">
        <is>
          <t>listing</t>
        </is>
      </c>
      <c r="BV9" t="n">
        <v>36</v>
      </c>
      <c r="BX9" t="inlineStr">
        <is>
          <t>Steve Marino</t>
        </is>
      </c>
      <c r="BY9" t="inlineStr">
        <is>
          <t>Brand about page: "Founders Steve Marino and Arjan 'Andy' Khiani".</t>
        </is>
      </c>
      <c r="CA9" t="inlineStr">
        <is>
          <t>Arjan Khiani</t>
        </is>
      </c>
      <c r="CB9" t="inlineStr">
        <is>
          <t>Arjan</t>
        </is>
      </c>
      <c r="CC9" t="inlineStr">
        <is>
          <t>Khiani</t>
        </is>
      </c>
      <c r="CD9" t="inlineStr">
        <is>
          <t>Co-founder</t>
        </is>
      </c>
      <c r="CE9" t="inlineStr">
        <is>
          <t>co-founder or executive</t>
        </is>
      </c>
      <c r="CF9" t="inlineStr">
        <is>
          <t>verified-page</t>
        </is>
      </c>
      <c r="CG9" t="inlineStr">
        <is>
          <t>Goes by "Andy" per the brand about page.</t>
        </is>
      </c>
      <c r="CK9" t="inlineStr">
        <is>
          <t>none</t>
        </is>
      </c>
      <c r="CL9" t="n">
        <v>72</v>
      </c>
      <c r="CM9" t="n">
        <v>25</v>
      </c>
      <c r="CN9" t="n">
        <v>20</v>
      </c>
      <c r="CO9" t="n">
        <v>8</v>
      </c>
      <c r="CP9" t="n">
        <v>5</v>
      </c>
      <c r="CQ9" t="n">
        <v>8</v>
      </c>
      <c r="CR9" t="n">
        <v>6</v>
      </c>
      <c r="CS9">
        <f>IF(R9="Y",10,0)</f>
        <v/>
      </c>
      <c r="CT9" t="n">
        <v>0</v>
      </c>
      <c r="CU9" t="inlineStr">
        <is>
          <t>https://www.instagram.com/steveandandys/</t>
        </is>
      </c>
      <c r="CV9" t="inlineStr">
        <is>
          <t>BR2</t>
        </is>
      </c>
      <c r="CW9" t="inlineStr">
        <is>
          <t>BR2:19</t>
        </is>
      </c>
      <c r="CX9" t="inlineStr">
        <is>
          <t>Company name on site: Steve &amp; Andy's Organics Inc. Brand Stockist locator (u21490) returned 0 locations within 3 km of Union Square. Single-serve format not confirmed (5.5 oz boxes at WFM). Why-now date from Shopify publish dates.</t>
        </is>
      </c>
      <c r="CY9" t="inlineStr">
        <is>
          <t xml:space="preserve">hq_city &lt;- https://steveandandys.com/policies/contact-information (2026-10-24, opened); </t>
        </is>
      </c>
      <c r="CZ9" t="inlineStr">
        <is>
          <t>https://steveandandys.com/pages/about</t>
        </is>
      </c>
      <c r="DA9" t="inlineStr">
        <is>
          <t>stage 2</t>
        </is>
      </c>
      <c r="DC9" t="inlineStr">
        <is>
          <t>employer's own site</t>
        </is>
      </c>
      <c r="DY9">
        <f>IF(ISNUMBER(MATCH(U9,{"queued","contacted","replied","call_booked","call_done","yes_in_principle","materials_sent"},0)),"Y","N")</f>
        <v/>
      </c>
      <c r="DZ9">
        <f>IF(COUNTIFS($AN$2:$AN$1000,AN9,$DY$2:$DY$1000,"Y")+COUNTIFS($AN$2:$AN$1000,AN9,$T$2:$T$1000,"Y")&gt;0,"Y","N")</f>
        <v/>
      </c>
      <c r="EA9">
        <f>IF(AND(U9="new",T9="N",AR9="Y",AQ9="",DZ9="N"),"Y","N")</f>
        <v/>
      </c>
      <c r="EB9">
        <f>IF(EA9&lt;&gt;"Y","N",IF(COUNTIFS($AN$2:$AN$1000,AN9,$EA$2:$EA$1000,"Y",$J$2:$J$1000,"&gt;"&amp;J9)+COUNTIFS($AN$2:$AN$1000,AN9,$EA$2:$EA$1000,"Y",$J$2:$J$1000,J9,$ED$2:$ED$1000,"&lt;"&amp;ED9)=0,"Y","N"))</f>
        <v/>
      </c>
      <c r="EC9">
        <f>IF(Y9="","N",IF(Y9&lt;=10,"Y","N"))</f>
        <v/>
      </c>
      <c r="ED9">
        <f>ROW()-1</f>
        <v/>
      </c>
    </row>
    <row r="10">
      <c r="A10" t="inlineStr">
        <is>
          <t>AB-002</t>
        </is>
      </c>
      <c r="B10" t="inlineStr">
        <is>
          <t>Zack's Mighty</t>
        </is>
      </c>
      <c r="C10" t="inlineStr">
        <is>
          <t>Zack</t>
        </is>
      </c>
      <c r="D10" t="inlineStr">
        <is>
          <t>Gazzaniga</t>
        </is>
      </c>
      <c r="E10" t="inlineStr">
        <is>
          <t>Founder</t>
        </is>
      </c>
      <c r="H10" t="inlineStr">
        <is>
          <t>none</t>
        </is>
      </c>
      <c r="I10" t="inlineStr">
        <is>
          <t>linkedin</t>
        </is>
      </c>
      <c r="J10">
        <f>IF(AU10="pass",CM10+CN10+CO10+CP10+CQ10+CR10+CS10+CT10,0)</f>
        <v/>
      </c>
      <c r="K10" t="inlineStr">
        <is>
          <t>New York City brand, store page shows Whole Foods Market NoMad inside the cluster, a new store listing 12 days ago, revenue unknown, contact named plus a marketing lead; founder review: format.</t>
        </is>
      </c>
      <c r="M10" t="inlineStr">
        <is>
          <t>Whole Foods Market NoMad, 63 Madison Ave</t>
        </is>
      </c>
      <c r="N10" t="inlineStr">
        <is>
          <t>store_selector</t>
        </is>
      </c>
      <c r="O10" t="inlineStr">
        <is>
          <t>Relaunched brand store with new variety packs (tortilla and rolled)</t>
        </is>
      </c>
      <c r="P10" t="inlineStr">
        <is>
          <t>https://zacksmighty.com/products/rolled-variety-pack</t>
        </is>
      </c>
      <c r="Q10" t="inlineStr">
        <is>
          <t>2026-10-12</t>
        </is>
      </c>
      <c r="R10" t="inlineStr">
        <is>
          <t>N</t>
        </is>
      </c>
      <c r="S10" t="inlineStr">
        <is>
          <t>unknown</t>
        </is>
      </c>
      <c r="T10" t="inlineStr">
        <is>
          <t>N</t>
        </is>
      </c>
      <c r="U10" t="inlineStr">
        <is>
          <t>new</t>
        </is>
      </c>
      <c r="V10" t="inlineStr">
        <is>
          <t>https://zacksmighty.com</t>
        </is>
      </c>
      <c r="W10" t="inlineStr">
        <is>
          <t>2026-10-23</t>
        </is>
      </c>
      <c r="X10" t="inlineStr">
        <is>
          <t>brand</t>
        </is>
      </c>
      <c r="Y10">
        <f>IF(EB10&lt;&gt;"Y","",COUNTIFS($EB$2:$EB$1000,"Y",$J$2:$J$1000,"&gt;"&amp;J10)+COUNTIFS($EB$2:$EB$1000,"Y",$J$2:$J$1000,J10,$ED$2:$ED$1000,"&lt;"&amp;ED10)+1)</f>
        <v/>
      </c>
      <c r="Z10" t="n">
        <v>9</v>
      </c>
      <c r="AA10" t="inlineStr">
        <is>
          <t>Y</t>
        </is>
      </c>
      <c r="AB10" t="inlineStr">
        <is>
          <t>find Zack Gazzaniga at Zack's Mighty on LinkedIn and paste the profile URL; before using the retailer line, check Whole Foods Market NoMad still lists it: https://www.wholefoodsmarket.com/search?text=Zack%27s%20Mighty with your store set to NoMad (catalogs change daily); founder review (format): read founder_review_reason first</t>
        </is>
      </c>
      <c r="AC10" t="inlineStr">
        <is>
          <t>founder</t>
        </is>
      </c>
      <c r="AD10" t="inlineStr">
        <is>
          <t>verified-page</t>
        </is>
      </c>
      <c r="AE10" t="inlineStr">
        <is>
          <t>press, event or podcast page</t>
        </is>
      </c>
      <c r="AF10" t="inlineStr">
        <is>
          <t>https://www.snackandbakery.com/articles/110099-zacks-mighty-reveals-first-ever-non-gmo-rolled-tortilla-chips</t>
        </is>
      </c>
      <c r="AG10" t="inlineStr">
        <is>
          <t>2026-10-24</t>
        </is>
      </c>
      <c r="AH10" t="inlineStr">
        <is>
          <t>Zack's Mighty Chile Lime Rolled Tortilla Chips, 6 oz</t>
        </is>
      </c>
      <c r="AI10" t="inlineStr">
        <is>
          <t>chips-crisps</t>
        </is>
      </c>
      <c r="AJ10" t="inlineStr">
        <is>
          <t>Brooklyn</t>
        </is>
      </c>
      <c r="AK10" t="inlineStr">
        <is>
          <t>https://zacksmighty.com</t>
        </is>
      </c>
      <c r="AL10" t="inlineStr">
        <is>
          <t>Y</t>
        </is>
      </c>
      <c r="AM10" t="inlineStr">
        <is>
          <t>Only share-size bags (6 to 7.5 oz) found; no single-serve pack seen, so the 50-units-per-office format needs a pack-size check</t>
        </is>
      </c>
      <c r="AN10" t="inlineStr">
        <is>
          <t>AB-002</t>
        </is>
      </c>
      <c r="AO10" t="inlineStr">
        <is>
          <t>N</t>
        </is>
      </c>
      <c r="AR10">
        <f>IF(AND(AU10="pass",AO10&lt;&gt;"Y",C10&lt;&gt;""),"Y","N")</f>
        <v/>
      </c>
      <c r="AS10">
        <f>_xlfn.TEXTJOIN("; ",TRUE,IF(AU10&lt;&gt;"pass","gated out",""),IF(AO10="Y","on hold: "&amp;AP10,""),IF(C10="","no contact named on an opened page",""))</f>
        <v/>
      </c>
      <c r="AU10" t="inlineStr">
        <is>
          <t>pass</t>
        </is>
      </c>
      <c r="AW10" t="inlineStr">
        <is>
          <t>passes all hard gates</t>
        </is>
      </c>
      <c r="AX10" t="inlineStr">
        <is>
          <t>format</t>
        </is>
      </c>
      <c r="AY10" t="inlineStr">
        <is>
          <t>https://zacksmighty.com</t>
        </is>
      </c>
      <c r="AZ10" t="inlineStr">
        <is>
          <t>NY</t>
        </is>
      </c>
      <c r="BA10" t="inlineStr">
        <is>
          <t>nyc</t>
        </is>
      </c>
      <c r="BB10" t="inlineStr">
        <is>
          <t>Series A (unverified, founder to confirm; CB Insights snippet in search results, not opened)</t>
        </is>
      </c>
      <c r="BC10" t="inlineStr">
        <is>
          <t>https://cbinsights.com/company/zacks-mighty</t>
        </is>
      </c>
      <c r="BD10" t="inlineStr">
        <is>
          <t>Y</t>
        </is>
      </c>
      <c r="BE10" t="inlineStr">
        <is>
          <t>Bagged tortilla chips sold ambient</t>
        </is>
      </c>
      <c r="BF10" t="inlineStr">
        <is>
          <t>N</t>
        </is>
      </c>
      <c r="BG10" t="inlineStr">
        <is>
          <t>Y</t>
        </is>
      </c>
      <c r="BH10" t="inlineStr">
        <is>
          <t>unknown</t>
        </is>
      </c>
      <c r="BJ10" t="inlineStr">
        <is>
          <t>unknown</t>
        </is>
      </c>
      <c r="BK10" t="inlineStr">
        <is>
          <t>N</t>
        </is>
      </c>
      <c r="BL10" t="inlineStr">
        <is>
          <t>N</t>
        </is>
      </c>
      <c r="BN10" t="n">
        <v>0</v>
      </c>
      <c r="BO10" t="inlineStr">
        <is>
          <t>Y</t>
        </is>
      </c>
      <c r="BP10" t="n">
        <v>2</v>
      </c>
      <c r="BQ10" t="inlineStr">
        <is>
          <t>Whole Foods Market NoMad, 63 Madison Ave (store_selector, inside);Whole Foods Market Union Square, 4 Union Sq S (store_selector, inside)</t>
        </is>
      </c>
      <c r="BS10" t="inlineStr">
        <is>
          <t>Whole Foods Market; Costco (Southwest region, per trade press headline)</t>
        </is>
      </c>
      <c r="BT10" t="inlineStr">
        <is>
          <t>https://www.wholefoodsmarket.com/search?text=zack%27s%20mighty (store context Union Square 10162 and NoMad 10773; IN_STOCK 2026-10-23)</t>
        </is>
      </c>
      <c r="BU10" t="inlineStr">
        <is>
          <t>listing</t>
        </is>
      </c>
      <c r="BV10" t="n">
        <v>12</v>
      </c>
      <c r="BX10" t="inlineStr">
        <is>
          <t>Zack Gazzaniga</t>
        </is>
      </c>
      <c r="BY10" t="inlineStr">
        <is>
          <t>Article: founded in 2020 by Zack Gazzaniga. "CEO" from a Spoiler Alert case study seen in search results. | Stage 3 fix: Spot check round 6: the opened article says 'founded in 2020 by ... Zack Gazzaniga'; 'CEO' came only from a search result, so it is dropped until a page shows it.</t>
        </is>
      </c>
      <c r="CA10" t="inlineStr">
        <is>
          <t>Kate Scofield</t>
        </is>
      </c>
      <c r="CB10" t="inlineStr">
        <is>
          <t>Kate</t>
        </is>
      </c>
      <c r="CC10" t="inlineStr">
        <is>
          <t>Scofield</t>
        </is>
      </c>
      <c r="CD10" t="inlineStr">
        <is>
          <t>Senior Brand Manager</t>
        </is>
      </c>
      <c r="CE10" t="inlineStr">
        <is>
          <t>marketing lead</t>
        </is>
      </c>
      <c r="CF10" t="inlineStr">
        <is>
          <t>verified-page</t>
        </is>
      </c>
      <c r="CG10" t="inlineStr">
        <is>
          <t>The Org (updated 2026-05-30): Senior Brand Manager since 2026.</t>
        </is>
      </c>
      <c r="CK10" t="inlineStr">
        <is>
          <t>none</t>
        </is>
      </c>
      <c r="CL10" t="n">
        <v>71</v>
      </c>
      <c r="CM10" t="n">
        <v>25</v>
      </c>
      <c r="CN10" t="n">
        <v>20</v>
      </c>
      <c r="CO10" t="n">
        <v>8</v>
      </c>
      <c r="CP10" t="n">
        <v>5</v>
      </c>
      <c r="CQ10" t="n">
        <v>7</v>
      </c>
      <c r="CR10" t="n">
        <v>10</v>
      </c>
      <c r="CS10">
        <f>IF(R10="Y",10,0)</f>
        <v/>
      </c>
      <c r="CT10" t="n">
        <v>-4</v>
      </c>
      <c r="CU10" t="inlineStr">
        <is>
          <t>unknown</t>
        </is>
      </c>
      <c r="CV10" t="inlineStr">
        <is>
          <t>BR1</t>
        </is>
      </c>
      <c r="CW10" t="inlineStr">
        <is>
          <t>BR1:3</t>
        </is>
      </c>
      <c r="CX10" t="inlineStr">
        <is>
          <t>Founded 2020 by Zack Gazzaniga, previously first hire and COO at Sir Kensington's (Snack Food &amp; Wholesale Bakery). Brooklyn HQ (356 Wythe Ave) appears only in a CB Insights search snippet. why_now date is Shopify published_at from products.json.</t>
        </is>
      </c>
      <c r="CY10" t="inlineStr">
        <is>
          <t xml:space="preserve">hq_city &lt;- https://www.cbinsights.com/company/zacks-mighty (2026-10-24, opened); </t>
        </is>
      </c>
      <c r="CZ10" t="inlineStr">
        <is>
          <t>https://theorg.com/org/zacks-mighty/person/kate-scofield</t>
        </is>
      </c>
      <c r="DA10" t="inlineStr">
        <is>
          <t>stage 2</t>
        </is>
      </c>
      <c r="DC10" t="inlineStr">
        <is>
          <t>The Org (crowd-edited org chart)</t>
        </is>
      </c>
      <c r="DD10" t="inlineStr">
        <is>
          <t>2026-05-30</t>
        </is>
      </c>
      <c r="DY10">
        <f>IF(ISNUMBER(MATCH(U10,{"queued","contacted","replied","call_booked","call_done","yes_in_principle","materials_sent"},0)),"Y","N")</f>
        <v/>
      </c>
      <c r="DZ10">
        <f>IF(COUNTIFS($AN$2:$AN$1000,AN10,$DY$2:$DY$1000,"Y")+COUNTIFS($AN$2:$AN$1000,AN10,$T$2:$T$1000,"Y")&gt;0,"Y","N")</f>
        <v/>
      </c>
      <c r="EA10">
        <f>IF(AND(U10="new",T10="N",AR10="Y",AQ10="",DZ10="N"),"Y","N")</f>
        <v/>
      </c>
      <c r="EB10">
        <f>IF(EA10&lt;&gt;"Y","N",IF(COUNTIFS($AN$2:$AN$1000,AN10,$EA$2:$EA$1000,"Y",$J$2:$J$1000,"&gt;"&amp;J10)+COUNTIFS($AN$2:$AN$1000,AN10,$EA$2:$EA$1000,"Y",$J$2:$J$1000,J10,$ED$2:$ED$1000,"&lt;"&amp;ED10)=0,"Y","N"))</f>
        <v/>
      </c>
      <c r="EC10">
        <f>IF(Y10="","N",IF(Y10&lt;=10,"Y","N"))</f>
        <v/>
      </c>
      <c r="ED10">
        <f>ROW()-1</f>
        <v/>
      </c>
    </row>
    <row r="11">
      <c r="A11" t="inlineStr">
        <is>
          <t>AB-233</t>
        </is>
      </c>
      <c r="B11" t="inlineStr">
        <is>
          <t>Simply Gum</t>
        </is>
      </c>
      <c r="C11" t="inlineStr">
        <is>
          <t>Caron</t>
        </is>
      </c>
      <c r="D11" t="inlineStr">
        <is>
          <t>Proschan</t>
        </is>
      </c>
      <c r="E11" t="inlineStr">
        <is>
          <t>Founder and CEO</t>
        </is>
      </c>
      <c r="H11" t="inlineStr">
        <is>
          <t>none</t>
        </is>
      </c>
      <c r="I11" t="inlineStr">
        <is>
          <t>linkedin</t>
        </is>
      </c>
      <c r="J11">
        <f>IF(AU11="pass",CM11+CN11+CO11+CP11+CQ11+CR11+CS11+CT11,0)</f>
        <v/>
      </c>
      <c r="K11" t="inlineStr">
        <is>
          <t>New York City brand, store page shows Whole Foods Market NoMad inside the cluster, a new store listing 241 days ago, revenue unknown, contact named plus a marketing lead; founder review: claim-borderline.</t>
        </is>
      </c>
      <c r="M11" t="inlineStr">
        <is>
          <t>Whole Foods Market NoMad, 63 Madison Ave</t>
        </is>
      </c>
      <c r="N11" t="inlineStr">
        <is>
          <t>store_selector</t>
        </is>
      </c>
      <c r="O11" t="inlineStr">
        <is>
          <t>Launched Simply Sours, a sour hard candy line (Citrus Berry, Fruit Punch), announced 2026-02-25 and previewed at Natural Products Expo West; pouches added 2026-04-16 and a limited Halloween bundle 2026-09-09</t>
        </is>
      </c>
      <c r="P11" t="inlineStr">
        <is>
          <t>https://www.simplygum.com/blogs/news/introducing-simply-sours</t>
        </is>
      </c>
      <c r="Q11" t="inlineStr">
        <is>
          <t>2026-02-25</t>
        </is>
      </c>
      <c r="R11" t="inlineStr">
        <is>
          <t>N</t>
        </is>
      </c>
      <c r="S11" t="inlineStr">
        <is>
          <t>unknown</t>
        </is>
      </c>
      <c r="T11" t="inlineStr">
        <is>
          <t>N</t>
        </is>
      </c>
      <c r="U11" t="inlineStr">
        <is>
          <t>new</t>
        </is>
      </c>
      <c r="V11" t="inlineStr">
        <is>
          <t>https://www.simplygum.com/pages/about</t>
        </is>
      </c>
      <c r="W11" t="inlineStr">
        <is>
          <t>2026-10-23</t>
        </is>
      </c>
      <c r="X11" t="inlineStr">
        <is>
          <t>brand</t>
        </is>
      </c>
      <c r="Y11">
        <f>IF(EB11&lt;&gt;"Y","",COUNTIFS($EB$2:$EB$1000,"Y",$J$2:$J$1000,"&gt;"&amp;J11)+COUNTIFS($EB$2:$EB$1000,"Y",$J$2:$J$1000,J11,$ED$2:$ED$1000,"&lt;"&amp;ED11)+1)</f>
        <v/>
      </c>
      <c r="Z11" t="n">
        <v>10</v>
      </c>
      <c r="AA11" t="inlineStr">
        <is>
          <t>Y</t>
        </is>
      </c>
      <c r="AB11" t="inlineStr">
        <is>
          <t>find Caron Proschan at Simply Gum on LinkedIn and paste the profile URL; before using the retailer line, check Whole Foods Market NoMad still lists it: https://www.wholefoodsmarket.com/search?text=Simply%20Gum with your store set to NoMad (catalogs change daily); founder review (claim-borderline): read founder_review_reason first</t>
        </is>
      </c>
      <c r="AC11" t="inlineStr">
        <is>
          <t>founder</t>
        </is>
      </c>
      <c r="AD11" t="inlineStr">
        <is>
          <t>verified-page</t>
        </is>
      </c>
      <c r="AE11" t="inlineStr">
        <is>
          <t>press, event or podcast page</t>
        </is>
      </c>
      <c r="AF11" t="inlineStr">
        <is>
          <t>https://www.snackandbakery.com/articles/112597-video-simply-on-vegan-candy-treats</t>
        </is>
      </c>
      <c r="AG11" t="inlineStr">
        <is>
          <t>2026-10-24</t>
        </is>
      </c>
      <c r="AH11" t="inlineStr">
        <is>
          <t>Peppermint Gum 15 ct pack; Peppermint Mints (tins and individually wrapped)</t>
        </is>
      </c>
      <c r="AI11" t="inlineStr">
        <is>
          <t>chocolate-candy</t>
        </is>
      </c>
      <c r="AJ11" t="inlineStr">
        <is>
          <t>Brooklyn (privacy policy: Simply Gum, 630 Flushing Ave, #16, Brooklyn NY 11206)</t>
        </is>
      </c>
      <c r="AK11" t="inlineStr">
        <is>
          <t>https://www.simplygum.com</t>
        </is>
      </c>
      <c r="AL11" t="inlineStr">
        <is>
          <t>Y</t>
        </is>
      </c>
      <c r="AM11" t="inlineStr">
        <is>
          <t>Gum and mints are a candy-adjacent fit for a snack drop; sugar-free line cites xylitol 'dental health benefits' on about page (check pack wording)</t>
        </is>
      </c>
      <c r="AN11" t="inlineStr">
        <is>
          <t>AB-233</t>
        </is>
      </c>
      <c r="AO11" t="inlineStr">
        <is>
          <t>N</t>
        </is>
      </c>
      <c r="AR11">
        <f>IF(AND(AU11="pass",AO11&lt;&gt;"Y",C11&lt;&gt;""),"Y","N")</f>
        <v/>
      </c>
      <c r="AS11">
        <f>_xlfn.TEXTJOIN("; ",TRUE,IF(AU11&lt;&gt;"pass","gated out",""),IF(AO11="Y","on hold: "&amp;AP11,""),IF(C11="","no contact named on an opened page",""))</f>
        <v/>
      </c>
      <c r="AU11" t="inlineStr">
        <is>
          <t>pass</t>
        </is>
      </c>
      <c r="AW11" t="inlineStr">
        <is>
          <t>passes all hard gates</t>
        </is>
      </c>
      <c r="AX11" t="inlineStr">
        <is>
          <t>claim-borderline</t>
        </is>
      </c>
      <c r="AY11" t="inlineStr">
        <is>
          <t>https://www.simplygum.com</t>
        </is>
      </c>
      <c r="AZ11" t="inlineStr">
        <is>
          <t>NY</t>
        </is>
      </c>
      <c r="BA11" t="inlineStr">
        <is>
          <t>nyc</t>
        </is>
      </c>
      <c r="BB11" t="inlineStr">
        <is>
          <t>unknown</t>
        </is>
      </c>
      <c r="BD11" t="inlineStr">
        <is>
          <t>Y</t>
        </is>
      </c>
      <c r="BE11" t="inlineStr">
        <is>
          <t>Gum and mints sold ambient with Best By dates (FAQ); no shelf-life figure, founder to confirm</t>
        </is>
      </c>
      <c r="BF11" t="inlineStr">
        <is>
          <t>Y</t>
        </is>
      </c>
      <c r="BG11" t="inlineStr">
        <is>
          <t>Y</t>
        </is>
      </c>
      <c r="BH11" t="inlineStr">
        <is>
          <t>unknown</t>
        </is>
      </c>
      <c r="BJ11" t="inlineStr">
        <is>
          <t>unknown</t>
        </is>
      </c>
      <c r="BK11" t="inlineStr">
        <is>
          <t>N</t>
        </is>
      </c>
      <c r="BL11" t="inlineStr">
        <is>
          <t>N</t>
        </is>
      </c>
      <c r="BN11" t="n">
        <v>0</v>
      </c>
      <c r="BO11" t="inlineStr">
        <is>
          <t>Y</t>
        </is>
      </c>
      <c r="BP11" t="n">
        <v>3</v>
      </c>
      <c r="BQ11" t="inlineStr">
        <is>
          <t>Whole Foods Market NoMad, 63 Madison Ave (store_selector, inside);Whole Foods Market Union Square, 4 Union Sq S (store_selector, inside);Whole Foods Market Chelsea, 250 7th Ave (store_selector, 3.0 blocks out)</t>
        </is>
      </c>
      <c r="BR11" t="inlineStr">
        <is>
          <t>Whole Foods Market Manhattan West (store_selector, 13.8 blocks out)</t>
        </is>
      </c>
      <c r="BS11" t="inlineStr">
        <is>
          <t>Whole Foods Market (WFM catalog); Amazon; store locator (not machine-readable)</t>
        </is>
      </c>
      <c r="BT11" t="inlineStr">
        <is>
          <t>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is>
      </c>
      <c r="BU11" t="inlineStr">
        <is>
          <t>listing</t>
        </is>
      </c>
      <c r="BV11" t="n">
        <v>241</v>
      </c>
      <c r="BX11" t="inlineStr">
        <is>
          <t>Caron Proschan</t>
        </is>
      </c>
      <c r="BY11" t="inlineStr">
        <is>
          <t>Candy Industry 2024-12-06: "Caron Proschan, founder and CEO". The Org shows "Caron P., CEO".</t>
        </is>
      </c>
      <c r="CA11" t="inlineStr">
        <is>
          <t>Jeannie Kim</t>
        </is>
      </c>
      <c r="CB11" t="inlineStr">
        <is>
          <t>Jeannie</t>
        </is>
      </c>
      <c r="CC11" t="inlineStr">
        <is>
          <t>Kim</t>
        </is>
      </c>
      <c r="CD11" t="inlineStr">
        <is>
          <t>Vice President, Marketing</t>
        </is>
      </c>
      <c r="CE11" t="inlineStr">
        <is>
          <t>marketing lead</t>
        </is>
      </c>
      <c r="CF11" t="inlineStr">
        <is>
          <t>verified-page</t>
        </is>
      </c>
      <c r="CG11" t="inlineStr">
        <is>
          <t>The Org (updated 2024-10-31): VP Marketing since 2019. FoodNavigator 2022 (https://www.foodnavigator-usa.com/Article/2022/01/17/Simply-Gum-expands-into-gummies-chocolate-with-low-key-launches-featuring-clean-labels/) quotes her as vice president of marketing. No 2026 confirmation.</t>
        </is>
      </c>
      <c r="CK11" t="inlineStr">
        <is>
          <t>none</t>
        </is>
      </c>
      <c r="CL11" t="n">
        <v>70</v>
      </c>
      <c r="CM11" t="n">
        <v>25</v>
      </c>
      <c r="CN11" t="n">
        <v>20</v>
      </c>
      <c r="CO11" t="n">
        <v>4</v>
      </c>
      <c r="CP11" t="n">
        <v>5</v>
      </c>
      <c r="CQ11" t="n">
        <v>10</v>
      </c>
      <c r="CR11" t="n">
        <v>10</v>
      </c>
      <c r="CS11">
        <f>IF(R11="Y",10,0)</f>
        <v/>
      </c>
      <c r="CT11" t="n">
        <v>-4</v>
      </c>
      <c r="CU11" t="inlineStr">
        <is>
          <t>https://www.instagram.com/simplygum</t>
        </is>
      </c>
      <c r="CV11" t="inlineStr">
        <is>
          <t>BR4</t>
        </is>
      </c>
      <c r="CW11" t="inlineStr">
        <is>
          <t>BR4:28</t>
        </is>
      </c>
      <c r="CX11" t="inlineStr">
        <is>
          <t>Female and AANHPI founded (about page). Plastic-free gum, mints, sours, gummies and chocolate. WFM store-scoped catalog lists 5-7 SKUs at each cluster store and flags them Local (2026-10-23).</t>
        </is>
      </c>
      <c r="CY11" t="inlineStr">
        <is>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t>
        </is>
      </c>
      <c r="CZ11" t="inlineStr">
        <is>
          <t>https://theorg.com/org/simply-gum/person/jeannie-kim</t>
        </is>
      </c>
      <c r="DA11" t="inlineStr">
        <is>
          <t>stage 2</t>
        </is>
      </c>
      <c r="DC11" t="inlineStr">
        <is>
          <t>The Org (crowd-edited org chart)</t>
        </is>
      </c>
      <c r="DD11" t="inlineStr">
        <is>
          <t>2024-10-31</t>
        </is>
      </c>
      <c r="DY11">
        <f>IF(ISNUMBER(MATCH(U11,{"queued","contacted","replied","call_booked","call_done","yes_in_principle","materials_sent"},0)),"Y","N")</f>
        <v/>
      </c>
      <c r="DZ11">
        <f>IF(COUNTIFS($AN$2:$AN$1000,AN11,$DY$2:$DY$1000,"Y")+COUNTIFS($AN$2:$AN$1000,AN11,$T$2:$T$1000,"Y")&gt;0,"Y","N")</f>
        <v/>
      </c>
      <c r="EA11">
        <f>IF(AND(U11="new",T11="N",AR11="Y",AQ11="",DZ11="N"),"Y","N")</f>
        <v/>
      </c>
      <c r="EB11">
        <f>IF(EA11&lt;&gt;"Y","N",IF(COUNTIFS($AN$2:$AN$1000,AN11,$EA$2:$EA$1000,"Y",$J$2:$J$1000,"&gt;"&amp;J11)+COUNTIFS($AN$2:$AN$1000,AN11,$EA$2:$EA$1000,"Y",$J$2:$J$1000,J11,$ED$2:$ED$1000,"&lt;"&amp;ED11)=0,"Y","N"))</f>
        <v/>
      </c>
      <c r="EC11">
        <f>IF(Y11="","N",IF(Y11&lt;=10,"Y","N"))</f>
        <v/>
      </c>
      <c r="ED11">
        <f>ROW()-1</f>
        <v/>
      </c>
    </row>
    <row r="12">
      <c r="A12" t="inlineStr">
        <is>
          <t>AB-111</t>
        </is>
      </c>
      <c r="B12" t="inlineStr">
        <is>
          <t>Harken Sweets</t>
        </is>
      </c>
      <c r="C12" t="inlineStr">
        <is>
          <t>Katie</t>
        </is>
      </c>
      <c r="D12" t="inlineStr">
        <is>
          <t>Lefkowitz</t>
        </is>
      </c>
      <c r="E12" t="inlineStr">
        <is>
          <t>Founder and CEO</t>
        </is>
      </c>
      <c r="F12" t="inlineStr">
        <is>
          <t>https://www.linkedin.com/in/katielefkowitz/</t>
        </is>
      </c>
      <c r="H12" t="inlineStr">
        <is>
          <t>none</t>
        </is>
      </c>
      <c r="I12" t="inlineStr">
        <is>
          <t>linkedin</t>
        </is>
      </c>
      <c r="J12">
        <f>IF(AU12="pass",CM12+CN12+CO12+CP12+CQ12+CR12+CS12+CT12,0)</f>
        <v/>
      </c>
      <c r="K12" t="inlineStr">
        <is>
          <t>New York City brand, store page shows Whole Foods Market NoMad inside the cluster, news 163 days ago, revenue unknown, contact named; founder review: claim-borderline, scale.</t>
        </is>
      </c>
      <c r="M12" t="inlineStr">
        <is>
          <t>Whole Foods Market NoMad, 63 Madison Ave</t>
        </is>
      </c>
      <c r="N12" t="inlineStr">
        <is>
          <t>store_selector</t>
        </is>
      </c>
      <c r="O12" t="inlineStr">
        <is>
          <t>Taste Tomorrow Ventures invested in Harken Sweets' seed round (joining Selva and Grtsht); brand at Sprouts, Whole Foods, Kroger, Costco, Walmart, Wegmans and others</t>
        </is>
      </c>
      <c r="P12" t="inlineStr">
        <is>
          <t>https://www.snackandbakery.com/articles/115735-taste-tomorrow-ventures-invests-in-harken-sweets</t>
        </is>
      </c>
      <c r="Q12" t="inlineStr">
        <is>
          <t>2026-05-14</t>
        </is>
      </c>
      <c r="R12" t="inlineStr">
        <is>
          <t>N</t>
        </is>
      </c>
      <c r="S12" t="inlineStr">
        <is>
          <t>Y</t>
        </is>
      </c>
      <c r="T12" t="inlineStr">
        <is>
          <t>N</t>
        </is>
      </c>
      <c r="U12" t="inlineStr">
        <is>
          <t>new</t>
        </is>
      </c>
      <c r="V12" t="inlineStr">
        <is>
          <t>https://harkensweets.com/pages/our-story</t>
        </is>
      </c>
      <c r="W12" t="inlineStr">
        <is>
          <t>2026-10-23</t>
        </is>
      </c>
      <c r="X12" t="inlineStr">
        <is>
          <t>brand</t>
        </is>
      </c>
      <c r="Y12">
        <f>IF(EB12&lt;&gt;"Y","",COUNTIFS($EB$2:$EB$1000,"Y",$J$2:$J$1000,"&gt;"&amp;J12)+COUNTIFS($EB$2:$EB$1000,"Y",$J$2:$J$1000,J12,$ED$2:$ED$1000,"&lt;"&amp;ED12)+1)</f>
        <v/>
      </c>
      <c r="Z12" t="n">
        <v>11</v>
      </c>
      <c r="AA12" t="inlineStr">
        <is>
          <t>Y</t>
        </is>
      </c>
      <c r="AB12" t="inlineStr">
        <is>
          <t>before using the retailer line, check Whole Foods Market NoMad still lists it: https://www.wholefoodsmarket.com/search?text=Harken%20Sweets with your store set to NoMad (catalogs change daily); founder review (claim-borderline, scale): read founder_review_reason first</t>
        </is>
      </c>
      <c r="AC12" t="inlineStr">
        <is>
          <t>founder</t>
        </is>
      </c>
      <c r="AD12" t="inlineStr">
        <is>
          <t>verified-page</t>
        </is>
      </c>
      <c r="AE12" t="inlineStr">
        <is>
          <t>press, event or podcast page</t>
        </is>
      </c>
      <c r="AF12" t="inlineStr">
        <is>
          <t>https://startupcpg.transistor.fm/episodes/founder-feature-katie-lefkowitz-of-harken-sweets</t>
        </is>
      </c>
      <c r="AG12" t="inlineStr">
        <is>
          <t>2026-10-24</t>
        </is>
      </c>
      <c r="AH12" t="inlineStr">
        <is>
          <t>Snack-size Date Caramel Candy Bars, individually wrapped (20 or 30 count); The Lil Nutty Ones</t>
        </is>
      </c>
      <c r="AI12" t="inlineStr">
        <is>
          <t>chocolate-candy</t>
        </is>
      </c>
      <c r="AJ12" t="inlineStr">
        <is>
          <t>New York</t>
        </is>
      </c>
      <c r="AK12" t="inlineStr">
        <is>
          <t>https://harkensweets.com</t>
        </is>
      </c>
      <c r="AL12" t="inlineStr">
        <is>
          <t>Y</t>
        </is>
      </c>
      <c r="AM12" t="inlineStr">
        <is>
          <t>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is>
      </c>
      <c r="AN12" t="inlineStr">
        <is>
          <t>AB-111</t>
        </is>
      </c>
      <c r="AO12" t="inlineStr">
        <is>
          <t>N</t>
        </is>
      </c>
      <c r="AR12">
        <f>IF(AND(AU12="pass",AO12&lt;&gt;"Y",C12&lt;&gt;""),"Y","N")</f>
        <v/>
      </c>
      <c r="AS12">
        <f>_xlfn.TEXTJOIN("; ",TRUE,IF(AU12&lt;&gt;"pass","gated out",""),IF(AO12="Y","on hold: "&amp;AP12,""),IF(C12="","no contact named on an opened page",""))</f>
        <v/>
      </c>
      <c r="AU12" t="inlineStr">
        <is>
          <t>pass</t>
        </is>
      </c>
      <c r="AW12" t="inlineStr">
        <is>
          <t>passes all hard gates</t>
        </is>
      </c>
      <c r="AX12" t="inlineStr">
        <is>
          <t>claim-borderline;scale</t>
        </is>
      </c>
      <c r="AY12" t="inlineStr">
        <is>
          <t>https://harkensweets.com</t>
        </is>
      </c>
      <c r="AZ12" t="inlineStr">
        <is>
          <t>NY</t>
        </is>
      </c>
      <c r="BA12" t="inlineStr">
        <is>
          <t>nyc</t>
        </is>
      </c>
      <c r="BB12" t="inlineStr">
        <is>
          <t>Seed (Taste Tomorrow Ventures, Selva, Grtsht)</t>
        </is>
      </c>
      <c r="BD12" t="inlineStr">
        <is>
          <t>likely</t>
        </is>
      </c>
      <c r="BE12" t="inlineStr">
        <is>
          <t>Brand FAQ: products must stay at or below room temperature (heat-sensitive, no refrigeration stated); shelf-life figure not found</t>
        </is>
      </c>
      <c r="BF12" t="inlineStr">
        <is>
          <t>Y</t>
        </is>
      </c>
      <c r="BG12" t="inlineStr">
        <is>
          <t>Y</t>
        </is>
      </c>
      <c r="BH12" t="inlineStr">
        <is>
          <t>unknown</t>
        </is>
      </c>
      <c r="BJ12" t="inlineStr">
        <is>
          <t>unknown</t>
        </is>
      </c>
      <c r="BK12" t="inlineStr">
        <is>
          <t>Y</t>
        </is>
      </c>
      <c r="BL12" t="inlineStr">
        <is>
          <t>N</t>
        </is>
      </c>
      <c r="BN12" t="n">
        <v>0</v>
      </c>
      <c r="BO12" t="inlineStr">
        <is>
          <t>Y</t>
        </is>
      </c>
      <c r="BP12" t="n">
        <v>3</v>
      </c>
      <c r="BQ12" t="inlineStr">
        <is>
          <t>Whole Foods Market NoMad, 63 Madison Ave (store_selector, inside);Whole Foods Market Union Square, 4 Union Sq S (store_selector, inside);Whole Foods Market Chelsea, 250 7th Ave (store_selector, 3.0 blocks out)</t>
        </is>
      </c>
      <c r="BS12" t="inlineStr">
        <is>
          <t>Whole Foods; Stockist locator</t>
        </is>
      </c>
      <c r="BT12" t="inlineStr">
        <is>
          <t>https://www.wholefoodsmarket.com/api/search?text=harken&amp;store=10162&amp;limit=60&amp;offset=0; https://www.wholefoodsmarket.com/api/search?text=harken&amp;store=10773&amp;limit=60&amp;offset=0; https://www.wholefoodsmarket.com/api/search?text=harken&amp;store=10131&amp;limit=60&amp;offset=0</t>
        </is>
      </c>
      <c r="BU12" t="inlineStr">
        <is>
          <t>press</t>
        </is>
      </c>
      <c r="BV12" t="n">
        <v>163</v>
      </c>
      <c r="BW12" t="inlineStr">
        <is>
          <t>https://startupcpg.com/startup-cpg-newswire-harken-sweets-brings-its-plant-based-candy-bars-to-nearly-5000-doors-across-leading-retailers/</t>
        </is>
      </c>
      <c r="BX12" t="inlineStr">
        <is>
          <t>Katie Lefkowitz</t>
        </is>
      </c>
      <c r="BY12" t="inlineStr">
        <is>
          <t>Episode links on the Startup CPG podcast page and on https://karagoldin.com/podcasts/katie-lefkowitz/ both give this LinkedIn URL; LinkedIn not opened. The Org (harken-sweets) also lists her as Founder &amp; CEO.</t>
        </is>
      </c>
      <c r="BZ12" t="inlineStr">
        <is>
          <t>listed on an opened page or in search results; LinkedIn itself not opened</t>
        </is>
      </c>
      <c r="CA12" t="inlineStr">
        <is>
          <t>Shaila Garde-Lester</t>
        </is>
      </c>
      <c r="CE12" t="inlineStr">
        <is>
          <t>marketing lead</t>
        </is>
      </c>
      <c r="CF12" t="inlineStr">
        <is>
          <t>unverified</t>
        </is>
      </c>
      <c r="CG12" t="inlineStr">
        <is>
          <t>Seen only in a search summary of a 2025 Nosh Expo West article; Nosh returned 403 so the page was not opened. Title may have changed.</t>
        </is>
      </c>
      <c r="CK12" t="inlineStr">
        <is>
          <t>none</t>
        </is>
      </c>
      <c r="CL12" t="n">
        <v>69</v>
      </c>
      <c r="CM12" t="n">
        <v>25</v>
      </c>
      <c r="CN12" t="n">
        <v>20</v>
      </c>
      <c r="CO12" t="n">
        <v>15</v>
      </c>
      <c r="CP12" t="n">
        <v>5</v>
      </c>
      <c r="CQ12" t="n">
        <v>8</v>
      </c>
      <c r="CR12" t="n">
        <v>8</v>
      </c>
      <c r="CS12">
        <f>IF(R12="Y",10,0)</f>
        <v/>
      </c>
      <c r="CT12" t="n">
        <v>-12</v>
      </c>
      <c r="CU12" t="inlineStr">
        <is>
          <t>https://www.instagram.com/harkensweets/</t>
        </is>
      </c>
      <c r="CV12" t="inlineStr">
        <is>
          <t>BR2</t>
        </is>
      </c>
      <c r="CW12" t="inlineStr">
        <is>
          <t>BR2:49</t>
        </is>
      </c>
      <c r="CX12" t="inlineStr">
        <is>
          <t>Snack-size individually wrapped format is a strong pantry fit. Stockist locator (u20848) returned 0 locations within 3 km of Union Square. Shopify product feed not readable.</t>
        </is>
      </c>
      <c r="CY12" t="inlineStr">
        <is>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t>
        </is>
      </c>
      <c r="CZ12" t="inlineStr">
        <is>
          <t>https://www.nosh.com/news/2025/expo-west-harken-secures-cash-rustic-bakery-adds-cookies-bubbies-goes-green</t>
        </is>
      </c>
      <c r="DA12" t="inlineStr">
        <is>
          <t>stage 2</t>
        </is>
      </c>
      <c r="DC12" t="inlineStr">
        <is>
          <t>search snippet only (not opened)</t>
        </is>
      </c>
      <c r="DY12">
        <f>IF(ISNUMBER(MATCH(U12,{"queued","contacted","replied","call_booked","call_done","yes_in_principle","materials_sent"},0)),"Y","N")</f>
        <v/>
      </c>
      <c r="DZ12">
        <f>IF(COUNTIFS($AN$2:$AN$1000,AN12,$DY$2:$DY$1000,"Y")+COUNTIFS($AN$2:$AN$1000,AN12,$T$2:$T$1000,"Y")&gt;0,"Y","N")</f>
        <v/>
      </c>
      <c r="EA12">
        <f>IF(AND(U12="new",T12="N",AR12="Y",AQ12="",DZ12="N"),"Y","N")</f>
        <v/>
      </c>
      <c r="EB12">
        <f>IF(EA12&lt;&gt;"Y","N",IF(COUNTIFS($AN$2:$AN$1000,AN12,$EA$2:$EA$1000,"Y",$J$2:$J$1000,"&gt;"&amp;J12)+COUNTIFS($AN$2:$AN$1000,AN12,$EA$2:$EA$1000,"Y",$J$2:$J$1000,J12,$ED$2:$ED$1000,"&lt;"&amp;ED12)=0,"Y","N"))</f>
        <v/>
      </c>
      <c r="EC12">
        <f>IF(Y12="","N",IF(Y12&lt;=10,"Y","N"))</f>
        <v/>
      </c>
      <c r="ED12">
        <f>ROW()-1</f>
        <v/>
      </c>
    </row>
    <row r="13">
      <c r="A13" t="inlineStr">
        <is>
          <t>AB-003</t>
        </is>
      </c>
      <c r="B13" t="inlineStr">
        <is>
          <t>PRETZELIZED</t>
        </is>
      </c>
      <c r="C13" t="inlineStr">
        <is>
          <t>Sammy</t>
        </is>
      </c>
      <c r="D13" t="inlineStr">
        <is>
          <t>Kestenbaum</t>
        </is>
      </c>
      <c r="E13" t="inlineStr">
        <is>
          <t>Co-founder and CEO</t>
        </is>
      </c>
      <c r="F13" t="inlineStr">
        <is>
          <t>https://www.linkedin.com/in/samuel-kestenbaum-26154418/</t>
        </is>
      </c>
      <c r="H13" t="inlineStr">
        <is>
          <t>none</t>
        </is>
      </c>
      <c r="I13" t="inlineStr">
        <is>
          <t>linkedin</t>
        </is>
      </c>
      <c r="J13">
        <f>IF(AU13="pass",CM13+CN13+CO13+CP13+CQ13+CR13+CS13+CT13,0)</f>
        <v/>
      </c>
      <c r="K13" t="inlineStr">
        <is>
          <t>Northeast brand (HQ unverified), store page shows Whole Foods Market NoMad inside the cluster, news 80 days ago, revenue unknown, contact named; founder review: shelf life not stated.</t>
        </is>
      </c>
      <c r="M13" t="inlineStr">
        <is>
          <t>Whole Foods Market NoMad, 63 Madison Ave</t>
        </is>
      </c>
      <c r="N13" t="inlineStr">
        <is>
          <t>store_selector</t>
        </is>
      </c>
      <c r="O13" t="inlineStr">
        <is>
          <t>Launched limited-edition Pretzelized x Crayola Sea Salt Pretzel Snackers Multipack (10 single-serve bags) at Target and Whole Foods for back-to-school</t>
        </is>
      </c>
      <c r="P13" t="inlineStr">
        <is>
          <t>https://www.snackandbakery.com/articles/116147-pretzelized-crayola-team-up-for-back-to-school-snacking</t>
        </is>
      </c>
      <c r="Q13" t="inlineStr">
        <is>
          <t>2026-08-05</t>
        </is>
      </c>
      <c r="R13" t="inlineStr">
        <is>
          <t>N</t>
        </is>
      </c>
      <c r="S13" t="inlineStr">
        <is>
          <t>unknown</t>
        </is>
      </c>
      <c r="T13" t="inlineStr">
        <is>
          <t>N</t>
        </is>
      </c>
      <c r="U13" t="inlineStr">
        <is>
          <t>new</t>
        </is>
      </c>
      <c r="V13" t="inlineStr">
        <is>
          <t>https://pretzelized.com</t>
        </is>
      </c>
      <c r="W13" t="inlineStr">
        <is>
          <t>2026-10-23</t>
        </is>
      </c>
      <c r="X13" t="inlineStr">
        <is>
          <t>brand</t>
        </is>
      </c>
      <c r="Y13">
        <f>IF(EB13&lt;&gt;"Y","",COUNTIFS($EB$2:$EB$1000,"Y",$J$2:$J$1000,"&gt;"&amp;J13)+COUNTIFS($EB$2:$EB$1000,"Y",$J$2:$J$1000,J13,$ED$2:$ED$1000,"&lt;"&amp;ED13)+1)</f>
        <v/>
      </c>
      <c r="Z13" t="n">
        <v>12</v>
      </c>
      <c r="AA13" t="inlineStr">
        <is>
          <t>Y</t>
        </is>
      </c>
      <c r="AB13" t="inlineStr">
        <is>
          <t>before using the retailer line, check Whole Foods Market NoMad still lists it: https://www.wholefoodsmarket.com/search?text=PRETZELIZED with your store set to NoMad (catalogs change daily); founder review (shelf life or online store): read founder_review_reason first</t>
        </is>
      </c>
      <c r="AC13" t="inlineStr">
        <is>
          <t>founder</t>
        </is>
      </c>
      <c r="AD13" t="inlineStr">
        <is>
          <t>verified-page</t>
        </is>
      </c>
      <c r="AE13" t="inlineStr">
        <is>
          <t>employer's own site</t>
        </is>
      </c>
      <c r="AF13" t="inlineStr">
        <is>
          <t>https://pretzelized.com/pages/press</t>
        </is>
      </c>
      <c r="AG13" t="inlineStr">
        <is>
          <t>2026-10-24</t>
        </is>
      </c>
      <c r="AH13" t="inlineStr">
        <is>
          <t>PRETZELIZED Sea Salt Pretzel Crackers Multipack 7.5 oz; Honey Mustard Pretzel Crackers 6.5 oz</t>
        </is>
      </c>
      <c r="AI13" t="inlineStr">
        <is>
          <t>crackers-pretzels</t>
        </is>
      </c>
      <c r="AJ13" t="inlineStr">
        <is>
          <t>Fairfield (unverified, founder to confirm)</t>
        </is>
      </c>
      <c r="AK13" t="inlineStr">
        <is>
          <t>https://pretzelized.com</t>
        </is>
      </c>
      <c r="AL13" t="inlineStr">
        <is>
          <t>Y</t>
        </is>
      </c>
      <c r="AM13" t="inlineStr">
        <is>
          <t>no online store: buy path is the store only</t>
        </is>
      </c>
      <c r="AN13" t="inlineStr">
        <is>
          <t>grp-003-024</t>
        </is>
      </c>
      <c r="AO13" t="inlineStr">
        <is>
          <t>N</t>
        </is>
      </c>
      <c r="AR13">
        <f>IF(AND(AU13="pass",AO13&lt;&gt;"Y",C13&lt;&gt;""),"Y","N")</f>
        <v/>
      </c>
      <c r="AS13">
        <f>_xlfn.TEXTJOIN("; ",TRUE,IF(AU13&lt;&gt;"pass","gated out",""),IF(AO13="Y","on hold: "&amp;AP13,""),IF(C13="","no contact named on an opened page",""))</f>
        <v/>
      </c>
      <c r="AU13" t="inlineStr">
        <is>
          <t>pass</t>
        </is>
      </c>
      <c r="AW13" t="inlineStr">
        <is>
          <t>passes all hard gates</t>
        </is>
      </c>
      <c r="AY13" t="inlineStr">
        <is>
          <t>https://pretzelized.com</t>
        </is>
      </c>
      <c r="AZ13" t="inlineStr">
        <is>
          <t>NJ</t>
        </is>
      </c>
      <c r="BA13" t="inlineStr">
        <is>
          <t>northeast (unverified)</t>
        </is>
      </c>
      <c r="BB13" t="inlineStr">
        <is>
          <t>unknown (incubated by 7 Mile Brands per trade press)</t>
        </is>
      </c>
      <c r="BD13" t="inlineStr">
        <is>
          <t>Y</t>
        </is>
      </c>
      <c r="BE13" t="inlineStr">
        <is>
          <t>Boxed/bagged baked pretzel crackers and pita chips sold ambient</t>
        </is>
      </c>
      <c r="BF13" t="inlineStr">
        <is>
          <t>Y</t>
        </is>
      </c>
      <c r="BG13" t="inlineStr">
        <is>
          <t>N</t>
        </is>
      </c>
      <c r="BH13" t="inlineStr">
        <is>
          <t>unknown</t>
        </is>
      </c>
      <c r="BJ13" t="inlineStr">
        <is>
          <t>unknown</t>
        </is>
      </c>
      <c r="BK13" t="inlineStr">
        <is>
          <t>N</t>
        </is>
      </c>
      <c r="BL13" t="inlineStr">
        <is>
          <t>N</t>
        </is>
      </c>
      <c r="BN13" t="n">
        <v>0</v>
      </c>
      <c r="BO13" t="inlineStr">
        <is>
          <t>Y</t>
        </is>
      </c>
      <c r="BP13" t="n">
        <v>3</v>
      </c>
      <c r="BQ13" t="inlineStr">
        <is>
          <t>Whole Foods Market NoMad, 63 Madison Ave (store_selector, inside);Whole Foods Market Union Square, 4 Union Sq S (store_selector, inside);Whole Foods Market Chelsea, 250 7th Ave (store_selector, 3.0 blocks out)</t>
        </is>
      </c>
      <c r="BS13" t="inlineStr">
        <is>
          <t>Whole Foods Market; ShopRite; Target; Costco (per press list)</t>
        </is>
      </c>
      <c r="BT13" t="inlineStr">
        <is>
          <t>https://www.wholefoodsmarket.com/search?text=pretzelized (store context NoMad 10773 shows Sea Salt Multipack 7.5 oz, Honey Mustard, Cheddar; Union Square and Chelsea also IN_STOCK 2026-10-23)</t>
        </is>
      </c>
      <c r="BU13" t="inlineStr">
        <is>
          <t>press</t>
        </is>
      </c>
      <c r="BV13" t="n">
        <v>80</v>
      </c>
      <c r="BX13" t="inlineStr">
        <is>
          <t>Sammy Kestenbaum</t>
        </is>
      </c>
      <c r="BY13" t="inlineStr">
        <is>
          <t>Press page: "PRETZELIZED CEO Sammy Kestenbaum". Kara Goldin Show page (https://karagoldin.com/podcasts/sammy-kestembaum/, title "Co-Founder &amp; CEO of PRETZELIZED") links this LinkedIn URL; LinkedIn not opened.</t>
        </is>
      </c>
      <c r="BZ13" t="inlineStr">
        <is>
          <t>listed on an opened page or in search results; LinkedIn itself not opened</t>
        </is>
      </c>
      <c r="CA13" t="inlineStr">
        <is>
          <t>Caitlin Mack</t>
        </is>
      </c>
      <c r="CE13" t="inlineStr">
        <is>
          <t>marketing lead</t>
        </is>
      </c>
      <c r="CF13" t="inlineStr">
        <is>
          <t>unverified</t>
        </is>
      </c>
      <c r="CG13" t="inlineStr">
        <is>
          <t>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is>
      </c>
      <c r="CI13" t="inlineStr">
        <is>
          <t>search result, not opened</t>
        </is>
      </c>
      <c r="CK13" t="inlineStr">
        <is>
          <t>none</t>
        </is>
      </c>
      <c r="CL13" t="n">
        <v>68</v>
      </c>
      <c r="CM13" t="n">
        <v>25</v>
      </c>
      <c r="CN13" t="n">
        <v>8</v>
      </c>
      <c r="CO13" t="n">
        <v>15</v>
      </c>
      <c r="CP13" t="n">
        <v>5</v>
      </c>
      <c r="CQ13" t="n">
        <v>7</v>
      </c>
      <c r="CR13" t="n">
        <v>8</v>
      </c>
      <c r="CS13">
        <f>IF(R13="Y",10,0)</f>
        <v/>
      </c>
      <c r="CT13" t="n">
        <v>0</v>
      </c>
      <c r="CU13" t="inlineStr">
        <is>
          <t>unknown</t>
        </is>
      </c>
      <c r="CV13" t="inlineStr">
        <is>
          <t>BR1</t>
        </is>
      </c>
      <c r="CW13" t="inlineStr">
        <is>
          <t>BR1:4</t>
        </is>
      </c>
      <c r="CX13" t="inlineStr">
        <is>
          <t>Site footer entity: STILL SNACKIN INC. Fairfield NJ HQ appears in search-result snippets (LinkedIn, company directories) not opened. Multipack implies single-serve bags inside; confirm unit size. Press page lists a Crayola back-to-school collaboration (undated on page).</t>
        </is>
      </c>
      <c r="CY13" t="inlineStr">
        <is>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is>
      </c>
      <c r="DA13" t="inlineStr">
        <is>
          <t>stage 2</t>
        </is>
      </c>
      <c r="DC13" t="inlineStr">
        <is>
          <t>search snippet only (not opened)</t>
        </is>
      </c>
      <c r="DE13" t="inlineStr">
        <is>
          <t>product pages point to Amazon; site prices show $0.00</t>
        </is>
      </c>
      <c r="DF13" t="inlineStr">
        <is>
          <t>person 'caitlin mack' shared with AB-024</t>
        </is>
      </c>
      <c r="DY13">
        <f>IF(ISNUMBER(MATCH(U13,{"queued","contacted","replied","call_booked","call_done","yes_in_principle","materials_sent"},0)),"Y","N")</f>
        <v/>
      </c>
      <c r="DZ13">
        <f>IF(COUNTIFS($AN$2:$AN$1000,AN13,$DY$2:$DY$1000,"Y")+COUNTIFS($AN$2:$AN$1000,AN13,$T$2:$T$1000,"Y")&gt;0,"Y","N")</f>
        <v/>
      </c>
      <c r="EA13">
        <f>IF(AND(U13="new",T13="N",AR13="Y",AQ13="",DZ13="N"),"Y","N")</f>
        <v/>
      </c>
      <c r="EB13">
        <f>IF(EA13&lt;&gt;"Y","N",IF(COUNTIFS($AN$2:$AN$1000,AN13,$EA$2:$EA$1000,"Y",$J$2:$J$1000,"&gt;"&amp;J13)+COUNTIFS($AN$2:$AN$1000,AN13,$EA$2:$EA$1000,"Y",$J$2:$J$1000,J13,$ED$2:$ED$1000,"&lt;"&amp;ED13)=0,"Y","N"))</f>
        <v/>
      </c>
      <c r="EC13">
        <f>IF(Y13="","N",IF(Y13&lt;=10,"Y","N"))</f>
        <v/>
      </c>
      <c r="ED13">
        <f>ROW()-1</f>
        <v/>
      </c>
    </row>
    <row r="14">
      <c r="A14" t="inlineStr">
        <is>
          <t>AB-235</t>
        </is>
      </c>
      <c r="B14" t="inlineStr">
        <is>
          <t>Issa's</t>
        </is>
      </c>
      <c r="C14" t="inlineStr">
        <is>
          <t>Andrew</t>
        </is>
      </c>
      <c r="D14" t="inlineStr">
        <is>
          <t>Issa</t>
        </is>
      </c>
      <c r="E14" t="inlineStr">
        <is>
          <t>Co-founder</t>
        </is>
      </c>
      <c r="H14" t="inlineStr">
        <is>
          <t>none</t>
        </is>
      </c>
      <c r="I14" t="inlineStr">
        <is>
          <t>linkedin</t>
        </is>
      </c>
      <c r="J14">
        <f>IF(AU14="pass",CM14+CN14+CO14+CP14+CQ14+CR14+CS14+CT14,0)</f>
        <v/>
      </c>
      <c r="K14" t="inlineStr">
        <is>
          <t>New York State brand, store page shows Whole Foods Market NoMad inside the cluster, a new store listing 95 days ago, revenue unknown, contact named.</t>
        </is>
      </c>
      <c r="M14" t="inlineStr">
        <is>
          <t>Whole Foods Market NoMad, 63 Madison Ave</t>
        </is>
      </c>
      <c r="N14" t="inlineStr">
        <is>
          <t>store_selector</t>
        </is>
      </c>
      <c r="O14" t="inlineStr">
        <is>
          <t>Launched Restaurant Style Garlic &amp; Herb and Sea Salt Cooked in Olive Oil pita chips (store listings added 2026-07-21; Garlic &amp; Herb published 2026-10-11), after a 10 oz Restaurant Style sampler (2026-05-20); homepage flags Garlic &amp; Herb 'BRAND NEW'</t>
        </is>
      </c>
      <c r="P14" t="inlineStr">
        <is>
          <t>https://www.issaspitachips.com/store?format=json</t>
        </is>
      </c>
      <c r="Q14" t="inlineStr">
        <is>
          <t>2026-07-21</t>
        </is>
      </c>
      <c r="R14" t="inlineStr">
        <is>
          <t>N</t>
        </is>
      </c>
      <c r="S14" t="inlineStr">
        <is>
          <t>unknown</t>
        </is>
      </c>
      <c r="T14" t="inlineStr">
        <is>
          <t>N</t>
        </is>
      </c>
      <c r="U14" t="inlineStr">
        <is>
          <t>new</t>
        </is>
      </c>
      <c r="V14" t="inlineStr">
        <is>
          <t>https://www.issaspitachips.com/our-story</t>
        </is>
      </c>
      <c r="W14" t="inlineStr">
        <is>
          <t>2026-10-23</t>
        </is>
      </c>
      <c r="X14" t="inlineStr">
        <is>
          <t>brand</t>
        </is>
      </c>
      <c r="Y14">
        <f>IF(EB14&lt;&gt;"Y","",COUNTIFS($EB$2:$EB$1000,"Y",$J$2:$J$1000,"&gt;"&amp;J14)+COUNTIFS($EB$2:$EB$1000,"Y",$J$2:$J$1000,J14,$ED$2:$ED$1000,"&lt;"&amp;ED14)+1)</f>
        <v/>
      </c>
      <c r="Z14" t="n">
        <v>13</v>
      </c>
      <c r="AA14" t="inlineStr">
        <is>
          <t>Y</t>
        </is>
      </c>
      <c r="AB14" t="inlineStr">
        <is>
          <t>find Andrew Issa at Issa's on LinkedIn and paste the profile URL; before using the retailer line, check Whole Foods Market NoMad still lists it: https://www.wholefoodsmarket.com/search?text=Issa%27s with your store set to NoMad (catalogs change daily)</t>
        </is>
      </c>
      <c r="AC14" t="inlineStr">
        <is>
          <t>founder</t>
        </is>
      </c>
      <c r="AD14" t="inlineStr">
        <is>
          <t>verified-page</t>
        </is>
      </c>
      <c r="AE14" t="inlineStr">
        <is>
          <t>press, event or podcast page</t>
        </is>
      </c>
      <c r="AF14" t="inlineStr">
        <is>
          <t>https://www.wkbw.com/news/local-news/believe-in-buffalo/buffalo-born-issas-makes-pita-chips-like-no-other-in-the-nation-using-family-recipe-and-flame-baking-process</t>
        </is>
      </c>
      <c r="AG14" t="inlineStr">
        <is>
          <t>2026-10-24</t>
        </is>
      </c>
      <c r="AH14" t="inlineStr">
        <is>
          <t>Classic Sea Salt Pita Chips 2 oz single-serve bag (30 per case, foodservice); Classic and Za'atar + Thyme 6 oz bags at WFM</t>
        </is>
      </c>
      <c r="AI14" t="inlineStr">
        <is>
          <t>chips-crisps</t>
        </is>
      </c>
      <c r="AJ14" t="inlineStr">
        <is>
          <t>Buffalo</t>
        </is>
      </c>
      <c r="AK14" t="inlineStr">
        <is>
          <t>https://www.issaspitachips.com</t>
        </is>
      </c>
      <c r="AL14" t="inlineStr">
        <is>
          <t>N</t>
        </is>
      </c>
      <c r="AN14" t="inlineStr">
        <is>
          <t>AB-235</t>
        </is>
      </c>
      <c r="AO14" t="inlineStr">
        <is>
          <t>N</t>
        </is>
      </c>
      <c r="AR14">
        <f>IF(AND(AU14="pass",AO14&lt;&gt;"Y",C14&lt;&gt;""),"Y","N")</f>
        <v/>
      </c>
      <c r="AS14">
        <f>_xlfn.TEXTJOIN("; ",TRUE,IF(AU14&lt;&gt;"pass","gated out",""),IF(AO14="Y","on hold: "&amp;AP14,""),IF(C14="","no contact named on an opened page",""))</f>
        <v/>
      </c>
      <c r="AU14" t="inlineStr">
        <is>
          <t>pass</t>
        </is>
      </c>
      <c r="AW14" t="inlineStr">
        <is>
          <t>passes all hard gates</t>
        </is>
      </c>
      <c r="AY14" t="inlineStr">
        <is>
          <t>https://www.issaspitachips.com</t>
        </is>
      </c>
      <c r="AZ14" t="inlineStr">
        <is>
          <t>NY</t>
        </is>
      </c>
      <c r="BA14" t="inlineStr">
        <is>
          <t>nys</t>
        </is>
      </c>
      <c r="BB14" t="inlineStr">
        <is>
          <t>family-owned (Our Story)</t>
        </is>
      </c>
      <c r="BC14" t="inlineStr">
        <is>
          <t>https://www.issaspitachips.com/our-story</t>
        </is>
      </c>
      <c r="BD14" t="inlineStr">
        <is>
          <t>Y</t>
        </is>
      </c>
      <c r="BE14" t="inlineStr">
        <is>
          <t>Bagged baked pita chips sold ambient; no shelf-life figure published, founder to confirm</t>
        </is>
      </c>
      <c r="BF14" t="inlineStr">
        <is>
          <t>Y</t>
        </is>
      </c>
      <c r="BG14" t="inlineStr">
        <is>
          <t>Y</t>
        </is>
      </c>
      <c r="BH14" t="inlineStr">
        <is>
          <t>unknown</t>
        </is>
      </c>
      <c r="BJ14" t="inlineStr">
        <is>
          <t>unknown</t>
        </is>
      </c>
      <c r="BK14" t="inlineStr">
        <is>
          <t>N</t>
        </is>
      </c>
      <c r="BL14" t="inlineStr">
        <is>
          <t>N</t>
        </is>
      </c>
      <c r="BN14" t="n">
        <v>0</v>
      </c>
      <c r="BO14" t="inlineStr">
        <is>
          <t>Y</t>
        </is>
      </c>
      <c r="BP14" t="n">
        <v>6</v>
      </c>
      <c r="BQ14" t="inlineStr">
        <is>
          <t>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is>
      </c>
      <c r="BR14" t="inlineStr">
        <is>
          <t>Whole Foods Market Manhattan West (store_selector, 13.8 blocks out);Chelsea Market Baskets (brand_claim, 11.4 blocks out)</t>
        </is>
      </c>
      <c r="BS14" t="inlineStr">
        <is>
          <t>Whole Foods Market (WFM catalog); store locator page</t>
        </is>
      </c>
      <c r="BT14" t="inlineStr">
        <is>
          <t>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is>
      </c>
      <c r="BU14" t="inlineStr">
        <is>
          <t>listing</t>
        </is>
      </c>
      <c r="BV14" t="n">
        <v>95</v>
      </c>
      <c r="BX14" t="inlineStr">
        <is>
          <t>Andrew Issa</t>
        </is>
      </c>
      <c r="BY14" t="inlineStr">
        <is>
          <t>WKBW: "Andrew, and his brother James Issa, co-founded Issa's Baked Pita Chips in 2016".</t>
        </is>
      </c>
      <c r="CA14" t="inlineStr">
        <is>
          <t>James Issa</t>
        </is>
      </c>
      <c r="CB14" t="inlineStr">
        <is>
          <t>James</t>
        </is>
      </c>
      <c r="CC14" t="inlineStr">
        <is>
          <t>Issa</t>
        </is>
      </c>
      <c r="CD14" t="inlineStr">
        <is>
          <t>Co-founder</t>
        </is>
      </c>
      <c r="CE14" t="inlineStr">
        <is>
          <t>co-founder or executive</t>
        </is>
      </c>
      <c r="CF14" t="inlineStr">
        <is>
          <t>verified-page</t>
        </is>
      </c>
      <c r="CG14" t="inlineStr">
        <is>
          <t>Same article.</t>
        </is>
      </c>
      <c r="CK14" t="inlineStr">
        <is>
          <t>none</t>
        </is>
      </c>
      <c r="CL14" t="n">
        <v>67</v>
      </c>
      <c r="CM14" t="n">
        <v>25</v>
      </c>
      <c r="CN14" t="n">
        <v>13</v>
      </c>
      <c r="CO14" t="n">
        <v>8</v>
      </c>
      <c r="CP14" t="n">
        <v>5</v>
      </c>
      <c r="CQ14" t="n">
        <v>10</v>
      </c>
      <c r="CR14" t="n">
        <v>6</v>
      </c>
      <c r="CS14">
        <f>IF(R14="Y",10,0)</f>
        <v/>
      </c>
      <c r="CT14" t="n">
        <v>0</v>
      </c>
      <c r="CU14" t="inlineStr">
        <is>
          <t>https://www.instagram.com/issasflamebaked</t>
        </is>
      </c>
      <c r="CV14" t="inlineStr">
        <is>
          <t>BR4</t>
        </is>
      </c>
      <c r="CW14" t="inlineStr">
        <is>
          <t>BR4:30</t>
        </is>
      </c>
      <c r="CX14" t="inlineStr">
        <is>
          <t>'The only flame baked pita chip on the market' (Our Story). Upstate NY family business. WFM lists 3-4 SKUs at every cluster store and flags them Local (2026-10-23). 6 oz bags are share size, not single-serve.</t>
        </is>
      </c>
      <c r="CY14" t="inlineStr">
        <is>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is>
      </c>
      <c r="CZ14" t="inlineStr">
        <is>
          <t>https://www.wkbw.com/news/local-news/believe-in-buffalo/buffalo-born-issas-makes-pita-chips-like-no-other-in-the-nation-using-family-recipe-and-flame-baking-process</t>
        </is>
      </c>
      <c r="DA14" t="inlineStr">
        <is>
          <t>stage 2</t>
        </is>
      </c>
      <c r="DC14" t="inlineStr">
        <is>
          <t>press, event or podcast page</t>
        </is>
      </c>
      <c r="DY14">
        <f>IF(ISNUMBER(MATCH(U14,{"queued","contacted","replied","call_booked","call_done","yes_in_principle","materials_sent"},0)),"Y","N")</f>
        <v/>
      </c>
      <c r="DZ14">
        <f>IF(COUNTIFS($AN$2:$AN$1000,AN14,$DY$2:$DY$1000,"Y")+COUNTIFS($AN$2:$AN$1000,AN14,$T$2:$T$1000,"Y")&gt;0,"Y","N")</f>
        <v/>
      </c>
      <c r="EA14">
        <f>IF(AND(U14="new",T14="N",AR14="Y",AQ14="",DZ14="N"),"Y","N")</f>
        <v/>
      </c>
      <c r="EB14">
        <f>IF(EA14&lt;&gt;"Y","N",IF(COUNTIFS($AN$2:$AN$1000,AN14,$EA$2:$EA$1000,"Y",$J$2:$J$1000,"&gt;"&amp;J14)+COUNTIFS($AN$2:$AN$1000,AN14,$EA$2:$EA$1000,"Y",$J$2:$J$1000,J14,$ED$2:$ED$1000,"&lt;"&amp;ED14)=0,"Y","N"))</f>
        <v/>
      </c>
      <c r="EC14">
        <f>IF(Y14="","N",IF(Y14&lt;=10,"Y","N"))</f>
        <v/>
      </c>
      <c r="ED14">
        <f>ROW()-1</f>
        <v/>
      </c>
    </row>
    <row r="15">
      <c r="A15" t="inlineStr">
        <is>
          <t>AB-236</t>
        </is>
      </c>
      <c r="B15" t="inlineStr">
        <is>
          <t>Goody's Granola</t>
        </is>
      </c>
      <c r="H15" t="inlineStr">
        <is>
          <t>none</t>
        </is>
      </c>
      <c r="J15">
        <f>IF(AU15="pass",CM15+CN15+CO15+CP15+CQ15+CR15+CS15+CT15,0)</f>
        <v/>
      </c>
      <c r="K15" t="inlineStr">
        <is>
          <t>New York City brand, store page shows Whole Foods Market NoMad inside the cluster, a new store listing 18 days ago, revenue unknown, no contact named; founder review: other.</t>
        </is>
      </c>
      <c r="M15" t="inlineStr">
        <is>
          <t>Whole Foods Market NoMad, 63 Madison Ave</t>
        </is>
      </c>
      <c r="N15" t="inlineStr">
        <is>
          <t>store_selector</t>
        </is>
      </c>
      <c r="O15" t="inlineStr">
        <is>
          <t>Released a new granola line on its store: Honey Crunch, Frostberry Bite and Crowenilla Chunk (2026-09-18), then Amber Maple Pecan Crunch, Navy Midnight Cocoa Blend and Soft-Baked Crimson Berry (2026-10-06)</t>
        </is>
      </c>
      <c r="P15" t="inlineStr">
        <is>
          <t>https://goodysgranola.nyc/products.json?limit=250</t>
        </is>
      </c>
      <c r="Q15" t="inlineStr">
        <is>
          <t>2026-10-06</t>
        </is>
      </c>
      <c r="R15" t="inlineStr">
        <is>
          <t>N</t>
        </is>
      </c>
      <c r="S15" t="inlineStr">
        <is>
          <t>unknown</t>
        </is>
      </c>
      <c r="T15" t="inlineStr">
        <is>
          <t>N</t>
        </is>
      </c>
      <c r="U15" t="inlineStr">
        <is>
          <t>new</t>
        </is>
      </c>
      <c r="V15" t="inlineStr">
        <is>
          <t>https://goodysgranola.nyc/</t>
        </is>
      </c>
      <c r="W15" t="inlineStr">
        <is>
          <t>2026-10-23</t>
        </is>
      </c>
      <c r="X15" t="inlineStr">
        <is>
          <t>brand</t>
        </is>
      </c>
      <c r="Y15">
        <f>IF(EB15&lt;&gt;"Y","",COUNTIFS($EB$2:$EB$1000,"Y",$J$2:$J$1000,"&gt;"&amp;J15)+COUNTIFS($EB$2:$EB$1000,"Y",$J$2:$J$1000,J15,$ED$2:$ED$1000,"&lt;"&amp;ED15)+1)</f>
        <v/>
      </c>
      <c r="Z15" t="n">
        <v>14</v>
      </c>
      <c r="AA15" t="inlineStr">
        <is>
          <t>Y</t>
        </is>
      </c>
      <c r="AB15" t="inlineStr">
        <is>
          <t>no person named on an opened page: not ready; before using the retailer line, check Whole Foods Market NoMad still lists it: https://www.wholefoodsmarket.com/search?text=Goody%27s%20Granola with your store set to NoMad (catalogs change daily); founder review (other): read founder_review_reason first</t>
        </is>
      </c>
      <c r="AD15" t="inlineStr">
        <is>
          <t>none</t>
        </is>
      </c>
      <c r="AH15" t="inlineStr">
        <is>
          <t>Honey Granola 4 oz bag</t>
        </is>
      </c>
      <c r="AI15" t="inlineStr">
        <is>
          <t>other-snack</t>
        </is>
      </c>
      <c r="AJ15" t="inlineStr">
        <is>
          <t>Brooklyn (homepage: 'Brooklyn Baked', 'From Brooklyn to your local Whole Foods shelf')</t>
        </is>
      </c>
      <c r="AK15" t="inlineStr">
        <is>
          <t>https://goodysgranola.nyc</t>
        </is>
      </c>
      <c r="AL15" t="inlineStr">
        <is>
          <t>Y</t>
        </is>
      </c>
      <c r="AM15" t="inlineStr">
        <is>
          <t>Granola is snack-adjacent; 4 oz bag is closer to single-serve than most</t>
        </is>
      </c>
      <c r="AN15" t="inlineStr">
        <is>
          <t>AB-236</t>
        </is>
      </c>
      <c r="AO15" t="inlineStr">
        <is>
          <t>N</t>
        </is>
      </c>
      <c r="AR15">
        <f>IF(AND(AU15="pass",AO15&lt;&gt;"Y",C15&lt;&gt;""),"Y","N")</f>
        <v/>
      </c>
      <c r="AS15">
        <f>_xlfn.TEXTJOIN("; ",TRUE,IF(AU15&lt;&gt;"pass","gated out",""),IF(AO15="Y","on hold: "&amp;AP15,""),IF(C15="","no contact named on an opened page",""))</f>
        <v/>
      </c>
      <c r="AU15" t="inlineStr">
        <is>
          <t>pass</t>
        </is>
      </c>
      <c r="AW15" t="inlineStr">
        <is>
          <t>passes all hard gates</t>
        </is>
      </c>
      <c r="AX15" t="inlineStr">
        <is>
          <t>other</t>
        </is>
      </c>
      <c r="AY15" t="inlineStr">
        <is>
          <t>https://goodysgranola.nyc</t>
        </is>
      </c>
      <c r="AZ15" t="inlineStr">
        <is>
          <t>NY</t>
        </is>
      </c>
      <c r="BA15" t="inlineStr">
        <is>
          <t>nyc</t>
        </is>
      </c>
      <c r="BB15" t="inlineStr">
        <is>
          <t>unknown</t>
        </is>
      </c>
      <c r="BD15" t="inlineStr">
        <is>
          <t>Y</t>
        </is>
      </c>
      <c r="BE15" t="inlineStr">
        <is>
          <t>Bagged granola sold ambient; homepage says no preservatives and gives no shelf life, founder to confirm</t>
        </is>
      </c>
      <c r="BF15" t="inlineStr">
        <is>
          <t>Y</t>
        </is>
      </c>
      <c r="BG15" t="inlineStr">
        <is>
          <t>Y</t>
        </is>
      </c>
      <c r="BH15" t="inlineStr">
        <is>
          <t>unknown</t>
        </is>
      </c>
      <c r="BJ15" t="inlineStr">
        <is>
          <t>unknown</t>
        </is>
      </c>
      <c r="BK15" t="inlineStr">
        <is>
          <t>N</t>
        </is>
      </c>
      <c r="BL15" t="inlineStr">
        <is>
          <t>N</t>
        </is>
      </c>
      <c r="BN15" t="n">
        <v>0</v>
      </c>
      <c r="BO15" t="inlineStr">
        <is>
          <t>Y</t>
        </is>
      </c>
      <c r="BP15" t="n">
        <v>1</v>
      </c>
      <c r="BQ15" t="inlineStr">
        <is>
          <t>Whole Foods Market NoMad, 63 Madison Ave (store_selector, inside)</t>
        </is>
      </c>
      <c r="BR15" t="inlineStr">
        <is>
          <t>Whole Foods Market Manhattan West (store_selector, 13.8 blocks out)</t>
        </is>
      </c>
      <c r="BS15" t="inlineStr">
        <is>
          <t>Whole Foods Market</t>
        </is>
      </c>
      <c r="BT15" t="inlineStr">
        <is>
          <t>https://www.wholefoodsmarket.com/api/search?text=goodys%20granola&amp;store=10773&amp;limit=60&amp;offset=0; https://www.wholefoodsmarket.com/api/search?text=goodys%20granola&amp;store=10713&amp;limit=60&amp;offset=0</t>
        </is>
      </c>
      <c r="BU15" t="inlineStr">
        <is>
          <t>listing</t>
        </is>
      </c>
      <c r="BV15" t="n">
        <v>18</v>
      </c>
      <c r="CF15" t="inlineStr">
        <is>
          <t>none</t>
        </is>
      </c>
      <c r="CK15" t="inlineStr">
        <is>
          <t>none</t>
        </is>
      </c>
      <c r="CL15" t="n">
        <v>66</v>
      </c>
      <c r="CM15" t="n">
        <v>25</v>
      </c>
      <c r="CN15" t="n">
        <v>20</v>
      </c>
      <c r="CO15" t="n">
        <v>8</v>
      </c>
      <c r="CP15" t="n">
        <v>5</v>
      </c>
      <c r="CQ15" t="n">
        <v>10</v>
      </c>
      <c r="CR15" t="n">
        <v>0</v>
      </c>
      <c r="CS15">
        <f>IF(R15="Y",10,0)</f>
        <v/>
      </c>
      <c r="CT15" t="n">
        <v>-2</v>
      </c>
      <c r="CV15" t="inlineStr">
        <is>
          <t>BR4</t>
        </is>
      </c>
      <c r="CW15" t="inlineStr">
        <is>
          <t>BR4:31</t>
        </is>
      </c>
      <c r="CX15" t="inlineStr">
        <is>
          <t>WFM lists 4 SKUs at NoMad and 1 at Manhattan West, flagged Local (2026-10-23). Site also sells a 'Soft Baked Selection'.</t>
        </is>
      </c>
      <c r="CY15" t="inlineStr">
        <is>
          <t xml:space="preserve">why_now &lt;- https://goodysgranola.nyc/products.json?limit=250 (2026-10-24, opened); why_now_url &lt;- https://goodysgranola.nyc/products.json?limit=250 (2026-10-24, opened); why_now_date &lt;- https://goodysgranola.nyc/products.json?limit=250 (2026-10-24, opened); </t>
        </is>
      </c>
      <c r="DA15" t="inlineStr">
        <is>
          <t>stage 2</t>
        </is>
      </c>
      <c r="DY15">
        <f>IF(ISNUMBER(MATCH(U15,{"queued","contacted","replied","call_booked","call_done","yes_in_principle","materials_sent"},0)),"Y","N")</f>
        <v/>
      </c>
      <c r="DZ15">
        <f>IF(COUNTIFS($AN$2:$AN$1000,AN15,$DY$2:$DY$1000,"Y")+COUNTIFS($AN$2:$AN$1000,AN15,$T$2:$T$1000,"Y")&gt;0,"Y","N")</f>
        <v/>
      </c>
      <c r="EA15">
        <f>IF(AND(U15="new",T15="N",AR15="Y",AQ15="",DZ15="N"),"Y","N")</f>
        <v/>
      </c>
      <c r="EB15">
        <f>IF(EA15&lt;&gt;"Y","N",IF(COUNTIFS($AN$2:$AN$1000,AN15,$EA$2:$EA$1000,"Y",$J$2:$J$1000,"&gt;"&amp;J15)+COUNTIFS($AN$2:$AN$1000,AN15,$EA$2:$EA$1000,"Y",$J$2:$J$1000,J15,$ED$2:$ED$1000,"&lt;"&amp;ED15)=0,"Y","N"))</f>
        <v/>
      </c>
      <c r="EC15">
        <f>IF(Y15="","N",IF(Y15&lt;=10,"Y","N"))</f>
        <v/>
      </c>
      <c r="ED15">
        <f>ROW()-1</f>
        <v/>
      </c>
    </row>
    <row r="16">
      <c r="A16" t="inlineStr">
        <is>
          <t>AB-077</t>
        </is>
      </c>
      <c r="B16" t="inlineStr">
        <is>
          <t>Fruition Chocolate Works</t>
        </is>
      </c>
      <c r="C16" t="inlineStr">
        <is>
          <t>Bryan</t>
        </is>
      </c>
      <c r="D16" t="inlineStr">
        <is>
          <t>Graham</t>
        </is>
      </c>
      <c r="E16" t="inlineStr">
        <is>
          <t>Founder</t>
        </is>
      </c>
      <c r="H16" t="inlineStr">
        <is>
          <t>none</t>
        </is>
      </c>
      <c r="I16" t="inlineStr">
        <is>
          <t>linkedin</t>
        </is>
      </c>
      <c r="J16">
        <f>IF(AU16="pass",CM16+CN16+CO16+CP16+CQ16+CR16+CS16+CT16,0)</f>
        <v/>
      </c>
      <c r="K16" t="inlineStr">
        <is>
          <t>New York State brand, store page shows Whole Foods Market NoMad inside the cluster, news 242 days ago, revenue unknown, contact named; founder review: shelf life not stated.</t>
        </is>
      </c>
      <c r="M16" t="inlineStr">
        <is>
          <t>Whole Foods Market NoMad, 63 Madison Ave</t>
        </is>
      </c>
      <c r="N16" t="inlineStr">
        <is>
          <t>store_selector</t>
        </is>
      </c>
      <c r="O16" t="inlineStr">
        <is>
          <t>Opened a pop-up shop inside Leavitt &amp; Peirce, Harvard Square, Cambridge MA, planned to run through at least spring 2026</t>
        </is>
      </c>
      <c r="P16" t="inlineStr">
        <is>
          <t>https://www.bostonglobe.com/2026/02/24/lifestyle/fruition-chocolate-works-pop-up-shop</t>
        </is>
      </c>
      <c r="Q16" t="inlineStr">
        <is>
          <t>2026-02-24</t>
        </is>
      </c>
      <c r="R16" t="inlineStr">
        <is>
          <t>N</t>
        </is>
      </c>
      <c r="S16" t="inlineStr">
        <is>
          <t>unknown</t>
        </is>
      </c>
      <c r="T16" t="inlineStr">
        <is>
          <t>N</t>
        </is>
      </c>
      <c r="U16" t="inlineStr">
        <is>
          <t>new</t>
        </is>
      </c>
      <c r="V16" t="inlineStr">
        <is>
          <t>https://www.fruitionchocolateworks.com/pages/our-story</t>
        </is>
      </c>
      <c r="W16" t="inlineStr">
        <is>
          <t>2026-10-23</t>
        </is>
      </c>
      <c r="X16" t="inlineStr">
        <is>
          <t>brand</t>
        </is>
      </c>
      <c r="Y16">
        <f>IF(EB16&lt;&gt;"Y","",COUNTIFS($EB$2:$EB$1000,"Y",$J$2:$J$1000,"&gt;"&amp;J16)+COUNTIFS($EB$2:$EB$1000,"Y",$J$2:$J$1000,J16,$ED$2:$ED$1000,"&lt;"&amp;ED16)+1)</f>
        <v/>
      </c>
      <c r="Z16" t="n">
        <v>15</v>
      </c>
      <c r="AA16" t="inlineStr">
        <is>
          <t>Y</t>
        </is>
      </c>
      <c r="AB16" t="inlineStr">
        <is>
          <t>find Bryan Graham at Fruition Chocolate Works on LinkedIn and paste the profile URL; before using the retailer line, check Whole Foods Market NoMad still lists it: https://www.wholefoodsmarket.com/search?text=Fruition%20Chocolate%20Works with your store set to NoMad (catalogs change daily); founder review (shelf life or online store): read founder_review_reason first</t>
        </is>
      </c>
      <c r="AC16" t="inlineStr">
        <is>
          <t>founder</t>
        </is>
      </c>
      <c r="AD16" t="inlineStr">
        <is>
          <t>verified-page</t>
        </is>
      </c>
      <c r="AE16" t="inlineStr">
        <is>
          <t>employer's own site</t>
        </is>
      </c>
      <c r="AF16" t="inlineStr">
        <is>
          <t>https://www.fruitionchocolateworks.com/pages/our-story</t>
        </is>
      </c>
      <c r="AG16" t="inlineStr">
        <is>
          <t>2026-10-24</t>
        </is>
      </c>
      <c r="AH16" t="inlineStr">
        <is>
          <t>Dominican Nacional Dark 77% bar; Milk Chocolate Caramel Crunch bar</t>
        </is>
      </c>
      <c r="AI16" t="inlineStr">
        <is>
          <t>chocolate-candy</t>
        </is>
      </c>
      <c r="AJ16" t="inlineStr">
        <is>
          <t>Shokan</t>
        </is>
      </c>
      <c r="AK16" t="inlineStr">
        <is>
          <t>https://www.fruitionchocolateworks.com</t>
        </is>
      </c>
      <c r="AL16" t="inlineStr">
        <is>
          <t>Y</t>
        </is>
      </c>
      <c r="AM16" t="inlineStr">
        <is>
          <t>60-day shelf life not stated</t>
        </is>
      </c>
      <c r="AN16" t="inlineStr">
        <is>
          <t>AB-077</t>
        </is>
      </c>
      <c r="AO16" t="inlineStr">
        <is>
          <t>N</t>
        </is>
      </c>
      <c r="AR16">
        <f>IF(AND(AU16="pass",AO16&lt;&gt;"Y",C16&lt;&gt;""),"Y","N")</f>
        <v/>
      </c>
      <c r="AS16">
        <f>_xlfn.TEXTJOIN("; ",TRUE,IF(AU16&lt;&gt;"pass","gated out",""),IF(AO16="Y","on hold: "&amp;AP16,""),IF(C16="","no contact named on an opened page",""))</f>
        <v/>
      </c>
      <c r="AU16" t="inlineStr">
        <is>
          <t>pass</t>
        </is>
      </c>
      <c r="AW16" t="inlineStr">
        <is>
          <t>passes all hard gates</t>
        </is>
      </c>
      <c r="AY16" t="inlineStr">
        <is>
          <t>https://www.fruitionchocolateworks.com</t>
        </is>
      </c>
      <c r="AZ16" t="inlineStr">
        <is>
          <t>NY</t>
        </is>
      </c>
      <c r="BA16" t="inlineStr">
        <is>
          <t>nys</t>
        </is>
      </c>
      <c r="BB16" t="inlineStr">
        <is>
          <t>unknown</t>
        </is>
      </c>
      <c r="BD16" t="inlineStr">
        <is>
          <t>likely</t>
        </is>
      </c>
      <c r="BE16" t="inlineStr">
        <is>
          <t>Wrapped chocolate bars sold ambient at Whole Foods; shelf-life figure not published</t>
        </is>
      </c>
      <c r="BF16" t="inlineStr">
        <is>
          <t>Y</t>
        </is>
      </c>
      <c r="BG16" t="inlineStr">
        <is>
          <t>Y</t>
        </is>
      </c>
      <c r="BH16" t="inlineStr">
        <is>
          <t>unknown</t>
        </is>
      </c>
      <c r="BJ16" t="inlineStr">
        <is>
          <t>unknown</t>
        </is>
      </c>
      <c r="BK16" t="inlineStr">
        <is>
          <t>N</t>
        </is>
      </c>
      <c r="BL16" t="inlineStr">
        <is>
          <t>N</t>
        </is>
      </c>
      <c r="BN16" t="n">
        <v>0</v>
      </c>
      <c r="BO16" t="inlineStr">
        <is>
          <t>Y</t>
        </is>
      </c>
      <c r="BP16" t="n">
        <v>3</v>
      </c>
      <c r="BQ16" t="inlineStr">
        <is>
          <t>Cocoa Store, 15 E 18th St (brand_claim, inside);Whole Foods Market NoMad, 63 Madison Ave (store_selector, inside);Whole Foods Market Union Square, 4 Union Sq S (store_selector, inside)</t>
        </is>
      </c>
      <c r="BR16" t="inlineStr">
        <is>
          <t>Chelsea Market Baskets (brand_claim, 11.4 blocks out);Whole Foods Market Manhattan West (brand_claim, 13.8 blocks out)</t>
        </is>
      </c>
      <c r="BS16" t="inlineStr">
        <is>
          <t>Whole Foods; Taste NY Grand Central; Chelsea Market Baskets (brand Stockist locator)</t>
        </is>
      </c>
      <c r="BT16" t="inlineStr">
        <is>
          <t>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is>
      </c>
      <c r="BU16" t="inlineStr">
        <is>
          <t>press</t>
        </is>
      </c>
      <c r="BV16" t="n">
        <v>242</v>
      </c>
      <c r="BX16" t="inlineStr">
        <is>
          <t>Bryan Graham</t>
        </is>
      </c>
      <c r="BY16" t="inlineStr">
        <is>
          <t>Our Story page: "Bryan Graham is the founder of Fruition Chocolate Works and Confectionery". Boston Globe 2026-02-24 agrees.</t>
        </is>
      </c>
      <c r="CA16" t="inlineStr">
        <is>
          <t>Dahlia</t>
        </is>
      </c>
      <c r="CB16" t="inlineStr">
        <is>
          <t>Dahlia</t>
        </is>
      </c>
      <c r="CC16" t="inlineStr">
        <is>
          <t>unknown</t>
        </is>
      </c>
      <c r="CD16" t="inlineStr">
        <is>
          <t>Title not stated (works in the business with founder Bryan Graham)</t>
        </is>
      </c>
      <c r="CE16" t="inlineStr">
        <is>
          <t>co-founder or executive</t>
        </is>
      </c>
      <c r="CF16" t="inlineStr">
        <is>
          <t>first-name-only</t>
        </is>
      </c>
      <c r="CG16" t="inlineStr">
        <is>
          <t>Boston Globe: "With his wife, Dahlia, they craft chocolate". Surname not printed (stage 1 assumed Graham); founder to confirm. | Stage 3 fix: Spot check round 6: the Boston Globe says only 'With his wife, Dahlia, they craft chocolate'; 'Co-owner' was an inference.</t>
        </is>
      </c>
      <c r="CK16" t="inlineStr">
        <is>
          <t>none</t>
        </is>
      </c>
      <c r="CL16" t="n">
        <v>65</v>
      </c>
      <c r="CM16" t="n">
        <v>25</v>
      </c>
      <c r="CN16" t="n">
        <v>13</v>
      </c>
      <c r="CO16" t="n">
        <v>8</v>
      </c>
      <c r="CP16" t="n">
        <v>5</v>
      </c>
      <c r="CQ16" t="n">
        <v>8</v>
      </c>
      <c r="CR16" t="n">
        <v>6</v>
      </c>
      <c r="CS16">
        <f>IF(R16="Y",10,0)</f>
        <v/>
      </c>
      <c r="CT16" t="n">
        <v>0</v>
      </c>
      <c r="CU16" t="inlineStr">
        <is>
          <t>https://www.instagram.com/fruitionchocolate/</t>
        </is>
      </c>
      <c r="CV16" t="inlineStr">
        <is>
          <t>BR2</t>
        </is>
      </c>
      <c r="CW16" t="inlineStr">
        <is>
          <t>BR2:14</t>
        </is>
      </c>
      <c r="CX16" t="inlineStr">
        <is>
          <t>New York State maker (Hudson Valley/Catskills). Nearest WFM with store_selector evidence is NoMad. Some confections include bourbon caramels; offer the bars. Why-now date from Shopify publish date.</t>
        </is>
      </c>
      <c r="CY16" t="inlineStr">
        <is>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is>
      </c>
      <c r="CZ16" t="inlineStr">
        <is>
          <t>https://www.bostonglobe.com/2026/02/24/lifestyle/fruition-chocolate-works-pop-up-shop</t>
        </is>
      </c>
      <c r="DA16" t="inlineStr">
        <is>
          <t>stage 2</t>
        </is>
      </c>
      <c r="DB16" t="inlineStr">
        <is>
          <t>2026-02-24</t>
        </is>
      </c>
      <c r="DC16" t="inlineStr">
        <is>
          <t>press, event or podcast page</t>
        </is>
      </c>
      <c r="DY16">
        <f>IF(ISNUMBER(MATCH(U16,{"queued","contacted","replied","call_booked","call_done","yes_in_principle","materials_sent"},0)),"Y","N")</f>
        <v/>
      </c>
      <c r="DZ16">
        <f>IF(COUNTIFS($AN$2:$AN$1000,AN16,$DY$2:$DY$1000,"Y")+COUNTIFS($AN$2:$AN$1000,AN16,$T$2:$T$1000,"Y")&gt;0,"Y","N")</f>
        <v/>
      </c>
      <c r="EA16">
        <f>IF(AND(U16="new",T16="N",AR16="Y",AQ16="",DZ16="N"),"Y","N")</f>
        <v/>
      </c>
      <c r="EB16">
        <f>IF(EA16&lt;&gt;"Y","N",IF(COUNTIFS($AN$2:$AN$1000,AN16,$EA$2:$EA$1000,"Y",$J$2:$J$1000,"&gt;"&amp;J16)+COUNTIFS($AN$2:$AN$1000,AN16,$EA$2:$EA$1000,"Y",$J$2:$J$1000,J16,$ED$2:$ED$1000,"&lt;"&amp;ED16)=0,"Y","N"))</f>
        <v/>
      </c>
      <c r="EC16">
        <f>IF(Y16="","N",IF(Y16&lt;=10,"Y","N"))</f>
        <v/>
      </c>
      <c r="ED16">
        <f>ROW()-1</f>
        <v/>
      </c>
    </row>
    <row r="17">
      <c r="A17" t="inlineStr">
        <is>
          <t>AB-226</t>
        </is>
      </c>
      <c r="B17" t="inlineStr">
        <is>
          <t>B-SIDES</t>
        </is>
      </c>
      <c r="C17" t="inlineStr">
        <is>
          <t>Yousuf</t>
        </is>
      </c>
      <c r="D17" t="inlineStr">
        <is>
          <t>Ahmed</t>
        </is>
      </c>
      <c r="E17" t="inlineStr">
        <is>
          <t>Founder</t>
        </is>
      </c>
      <c r="F17" t="inlineStr">
        <is>
          <t>https://www.linkedin.com/in/yousufmahmed/</t>
        </is>
      </c>
      <c r="H17" t="inlineStr">
        <is>
          <t>none</t>
        </is>
      </c>
      <c r="I17" t="inlineStr">
        <is>
          <t>linkedin</t>
        </is>
      </c>
      <c r="J17">
        <f>IF(AU17="pass",CM17+CN17+CO17+CP17+CQ17+CR17+CS17+CT17,0)</f>
        <v/>
      </c>
      <c r="K17" t="inlineStr">
        <is>
          <t>New York City brand, brand locator shows Westside Market NYC 1.0 blocks outside it, news 158 days ago, revenue unknown, contact named; founder review: claim-borderline.</t>
        </is>
      </c>
      <c r="M17" t="inlineStr">
        <is>
          <t>Westside Market NYC, 84 3rd Ave</t>
        </is>
      </c>
      <c r="N17" t="inlineStr">
        <is>
          <t>brand_claim</t>
        </is>
      </c>
      <c r="O17" t="inlineStr">
        <is>
          <t>Closed $500K seed to scale Northeast retail; rebrand debuted April 2026</t>
        </is>
      </c>
      <c r="P17" t="inlineStr">
        <is>
          <t>https://startupcpg.com/startup-cpg-newswire-b-sides-closes-500k-seed-round-to-scale-retail-expansion/</t>
        </is>
      </c>
      <c r="Q17" t="inlineStr">
        <is>
          <t>2026-05-19</t>
        </is>
      </c>
      <c r="R17" t="inlineStr">
        <is>
          <t>N</t>
        </is>
      </c>
      <c r="S17" t="inlineStr">
        <is>
          <t>Y</t>
        </is>
      </c>
      <c r="T17" t="inlineStr">
        <is>
          <t>N</t>
        </is>
      </c>
      <c r="U17" t="inlineStr">
        <is>
          <t>new</t>
        </is>
      </c>
      <c r="V17" t="inlineStr">
        <is>
          <t>https://www.enjoybsides.com/</t>
        </is>
      </c>
      <c r="W17" t="inlineStr">
        <is>
          <t>2026-10-23</t>
        </is>
      </c>
      <c r="X17" t="inlineStr">
        <is>
          <t>brand</t>
        </is>
      </c>
      <c r="Y17">
        <f>IF(EB17&lt;&gt;"Y","",COUNTIFS($EB$2:$EB$1000,"Y",$J$2:$J$1000,"&gt;"&amp;J17)+COUNTIFS($EB$2:$EB$1000,"Y",$J$2:$J$1000,J17,$ED$2:$ED$1000,"&lt;"&amp;ED17)+1)</f>
        <v/>
      </c>
      <c r="Z17" t="n">
        <v>16</v>
      </c>
      <c r="AA17" t="inlineStr">
        <is>
          <t>Y</t>
        </is>
      </c>
      <c r="AB17" t="inlineStr">
        <is>
          <t>the retailer line rests on the brand's own store locator: say 'your store locator lists ...'; founder review (claim-borderline): read founder_review_reason first</t>
        </is>
      </c>
      <c r="AC17" t="inlineStr">
        <is>
          <t>founder</t>
        </is>
      </c>
      <c r="AD17" t="inlineStr">
        <is>
          <t>verified-page</t>
        </is>
      </c>
      <c r="AE17" t="inlineStr">
        <is>
          <t>press, event or podcast page</t>
        </is>
      </c>
      <c r="AF17" t="inlineStr">
        <is>
          <t>https://startupcpg.com/startup-cpg-newswire-b-sides-closes-500k-seed-round-to-scale-retail-expansion/</t>
        </is>
      </c>
      <c r="AG17" t="inlineStr">
        <is>
          <t>2026-10-24</t>
        </is>
      </c>
      <c r="AH17" t="inlineStr">
        <is>
          <t>Jalapeno Crunch Puffs, single bag ($3/bag; sold in 12-packs online)</t>
        </is>
      </c>
      <c r="AI17" t="inlineStr">
        <is>
          <t>popcorn-puffs</t>
        </is>
      </c>
      <c r="AJ17" t="inlineStr">
        <is>
          <t>Brooklyn (privacy policy: 87 Saint Marks Place #1, Brooklyn, NY 11217)</t>
        </is>
      </c>
      <c r="AK17" t="inlineStr">
        <is>
          <t>https://www.enjoybsides.com</t>
        </is>
      </c>
      <c r="AL17" t="inlineStr">
        <is>
          <t>Y</t>
        </is>
      </c>
      <c r="AM17" t="inlineStr">
        <is>
          <t>Nutrient-content claim ('5g Plant Protein'); top-9-allergen-free positioning</t>
        </is>
      </c>
      <c r="AN17" t="inlineStr">
        <is>
          <t>AB-226</t>
        </is>
      </c>
      <c r="AO17" t="inlineStr">
        <is>
          <t>N</t>
        </is>
      </c>
      <c r="AR17">
        <f>IF(AND(AU17="pass",AO17&lt;&gt;"Y",C17&lt;&gt;""),"Y","N")</f>
        <v/>
      </c>
      <c r="AS17">
        <f>_xlfn.TEXTJOIN("; ",TRUE,IF(AU17&lt;&gt;"pass","gated out",""),IF(AO17="Y","on hold: "&amp;AP17,""),IF(C17="","no contact named on an opened page",""))</f>
        <v/>
      </c>
      <c r="AU17" t="inlineStr">
        <is>
          <t>pass</t>
        </is>
      </c>
      <c r="AW17" t="inlineStr">
        <is>
          <t>passes all hard gates</t>
        </is>
      </c>
      <c r="AX17" t="inlineStr">
        <is>
          <t>claim-borderline</t>
        </is>
      </c>
      <c r="AY17" t="inlineStr">
        <is>
          <t>https://www.enjoybsides.com</t>
        </is>
      </c>
      <c r="AZ17" t="inlineStr">
        <is>
          <t>NY</t>
        </is>
      </c>
      <c r="BA17" t="inlineStr">
        <is>
          <t>nyc</t>
        </is>
      </c>
      <c r="BB17" t="inlineStr">
        <is>
          <t>seed ($500K, May 2026)</t>
        </is>
      </c>
      <c r="BC17" t="inlineStr">
        <is>
          <t>https://startupcpg.com/startup-cpg-newswire-b-sides-closes-500k-seed-round-to-scale-retail-expansion/</t>
        </is>
      </c>
      <c r="BD17" t="inlineStr">
        <is>
          <t>Y</t>
        </is>
      </c>
      <c r="BE17" t="inlineStr">
        <is>
          <t>Brand FAQ: 'Unopened bags of B-SIDES Crunch Puffs have a 1-year shelf life'; 12 single-serve bags per case</t>
        </is>
      </c>
      <c r="BF17" t="inlineStr">
        <is>
          <t>Y</t>
        </is>
      </c>
      <c r="BG17" t="inlineStr">
        <is>
          <t>Y</t>
        </is>
      </c>
      <c r="BH17" t="inlineStr">
        <is>
          <t>unknown</t>
        </is>
      </c>
      <c r="BJ17" t="inlineStr">
        <is>
          <t>Release says 'on track to achieve 5x topline revenue growth year-over-year' (no base figure)</t>
        </is>
      </c>
      <c r="BK17" t="inlineStr">
        <is>
          <t>N</t>
        </is>
      </c>
      <c r="BL17" t="inlineStr">
        <is>
          <t>N</t>
        </is>
      </c>
      <c r="BN17" t="n">
        <v>1</v>
      </c>
      <c r="BO17" t="inlineStr">
        <is>
          <t>N</t>
        </is>
      </c>
      <c r="BP17" t="n">
        <v>8</v>
      </c>
      <c r="BQ17" t="inlineStr">
        <is>
          <t>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is>
      </c>
      <c r="BR17" t="inlineStr">
        <is>
          <t>Heavenly Food Market (brand_claim, 17.6 blocks out)</t>
        </is>
      </c>
      <c r="BS17" t="inlineStr">
        <is>
          <t>Westside Market; Dumbo Market; Westerly Natural Market; 1,500+ Northeast doors expected (release)</t>
        </is>
      </c>
      <c r="BT17" t="inlineStr">
        <is>
          <t>https://www.enjoybsides.com/pages/find-us; https://stockist.co/api/v1/map_g3yz85zq/locations/search?latitude=40.7411&amp;longitude=-73.9897&amp;distance=3&amp;distance_unit=mi</t>
        </is>
      </c>
      <c r="BU17" t="inlineStr">
        <is>
          <t>press</t>
        </is>
      </c>
      <c r="BV17" t="n">
        <v>158</v>
      </c>
      <c r="BW17" t="inlineStr">
        <is>
          <t>https://startupcpg.com/startup-cpg-newswire-b-sides-closes-500k-seed-round-to-scale-retail-expansion/</t>
        </is>
      </c>
      <c r="BX17" t="inlineStr">
        <is>
          <t>Yousuf Ahmed</t>
        </is>
      </c>
      <c r="BY17" t="inlineStr">
        <is>
          <t>Release: "Founded by former Goldman Sachs private wealth advisor Yousuf Ahmed". The LinkedIn URL is linked from the brand's own homepage (https://www.enjoybsides.com/, site data "sameAs"); LinkedIn not opened.</t>
        </is>
      </c>
      <c r="BZ17" t="inlineStr">
        <is>
          <t>listed on an opened page or in search results; LinkedIn itself not opened</t>
        </is>
      </c>
      <c r="CF17" t="inlineStr">
        <is>
          <t>none</t>
        </is>
      </c>
      <c r="CK17" t="inlineStr">
        <is>
          <t>none</t>
        </is>
      </c>
      <c r="CL17" t="n">
        <v>65</v>
      </c>
      <c r="CM17" t="n">
        <v>13</v>
      </c>
      <c r="CN17" t="n">
        <v>20</v>
      </c>
      <c r="CO17" t="n">
        <v>15</v>
      </c>
      <c r="CP17" t="n">
        <v>5</v>
      </c>
      <c r="CQ17" t="n">
        <v>10</v>
      </c>
      <c r="CR17" t="n">
        <v>6</v>
      </c>
      <c r="CS17">
        <f>IF(R17="Y",10,0)</f>
        <v/>
      </c>
      <c r="CT17" t="n">
        <v>-4</v>
      </c>
      <c r="CV17" t="inlineStr">
        <is>
          <t>BR4</t>
        </is>
      </c>
      <c r="CW17" t="inlineStr">
        <is>
          <t>BR4:21</t>
        </is>
      </c>
      <c r="CX17" t="inlineStr">
        <is>
          <t>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is>
      </c>
      <c r="CY17" t="inlineStr">
        <is>
          <t xml:space="preserve">hq_city &lt;- https://www.enjoybsides.com/policies/privacy-policy (2026-10-24, opened); shelf_stable_basis &lt;- https://www.enjoybsides.com/pages/faq (2026-10-24, opened); </t>
        </is>
      </c>
      <c r="DA17" t="inlineStr">
        <is>
          <t>stage 2</t>
        </is>
      </c>
      <c r="DY17">
        <f>IF(ISNUMBER(MATCH(U17,{"queued","contacted","replied","call_booked","call_done","yes_in_principle","materials_sent"},0)),"Y","N")</f>
        <v/>
      </c>
      <c r="DZ17">
        <f>IF(COUNTIFS($AN$2:$AN$1000,AN17,$DY$2:$DY$1000,"Y")+COUNTIFS($AN$2:$AN$1000,AN17,$T$2:$T$1000,"Y")&gt;0,"Y","N")</f>
        <v/>
      </c>
      <c r="EA17">
        <f>IF(AND(U17="new",T17="N",AR17="Y",AQ17="",DZ17="N"),"Y","N")</f>
        <v/>
      </c>
      <c r="EB17">
        <f>IF(EA17&lt;&gt;"Y","N",IF(COUNTIFS($AN$2:$AN$1000,AN17,$EA$2:$EA$1000,"Y",$J$2:$J$1000,"&gt;"&amp;J17)+COUNTIFS($AN$2:$AN$1000,AN17,$EA$2:$EA$1000,"Y",$J$2:$J$1000,J17,$ED$2:$ED$1000,"&lt;"&amp;ED17)=0,"Y","N"))</f>
        <v/>
      </c>
      <c r="EC17">
        <f>IF(Y17="","N",IF(Y17&lt;=10,"Y","N"))</f>
        <v/>
      </c>
      <c r="ED17">
        <f>ROW()-1</f>
        <v/>
      </c>
    </row>
    <row r="18">
      <c r="A18" t="inlineStr">
        <is>
          <t>AB-016</t>
        </is>
      </c>
      <c r="B18" t="inlineStr">
        <is>
          <t>Ella's Flats</t>
        </is>
      </c>
      <c r="C18" t="inlineStr">
        <is>
          <t>Ellen</t>
        </is>
      </c>
      <c r="D18" t="inlineStr">
        <is>
          <t>Macks</t>
        </is>
      </c>
      <c r="E18" t="inlineStr">
        <is>
          <t>Founder</t>
        </is>
      </c>
      <c r="H18" t="inlineStr">
        <is>
          <t>none</t>
        </is>
      </c>
      <c r="I18" t="inlineStr">
        <is>
          <t>linkedin</t>
        </is>
      </c>
      <c r="J18">
        <f>IF(AU18="pass",CM18+CN18+CO18+CP18+CQ18+CR18+CS18+CT18,0)</f>
        <v/>
      </c>
      <c r="K18" t="inlineStr">
        <is>
          <t>Brand based outside the Northeast (HQ unverified), store page shows Whole Foods Market NoMad inside the cluster, news 116 days ago, revenue unknown, contact named.</t>
        </is>
      </c>
      <c r="M18" t="inlineStr">
        <is>
          <t>Whole Foods Market NoMad, 63 Madison Ave</t>
        </is>
      </c>
      <c r="N18" t="inlineStr">
        <is>
          <t>store_selector</t>
        </is>
      </c>
      <c r="O18" t="inlineStr">
        <is>
          <t>Boston Globe feature on the seed crackers: sold at Wegmans and Whole Foods; new mini flats and a lightly date-sweetened version</t>
        </is>
      </c>
      <c r="P18" t="inlineStr">
        <is>
          <t>https://www.bostonglobe.com/2026/06/30/lifestyle/ellas-flats-seed-cracker/</t>
        </is>
      </c>
      <c r="Q18" t="inlineStr">
        <is>
          <t>2026-06-30</t>
        </is>
      </c>
      <c r="R18" t="inlineStr">
        <is>
          <t>N</t>
        </is>
      </c>
      <c r="S18" t="inlineStr">
        <is>
          <t>unknown</t>
        </is>
      </c>
      <c r="T18" t="inlineStr">
        <is>
          <t>N</t>
        </is>
      </c>
      <c r="U18" t="inlineStr">
        <is>
          <t>new</t>
        </is>
      </c>
      <c r="V18" t="inlineStr">
        <is>
          <t>https://www.ellasflats.com/pages/about</t>
        </is>
      </c>
      <c r="W18" t="inlineStr">
        <is>
          <t>2026-10-23</t>
        </is>
      </c>
      <c r="X18" t="inlineStr">
        <is>
          <t>brand</t>
        </is>
      </c>
      <c r="Y18">
        <f>IF(EB18&lt;&gt;"Y","",COUNTIFS($EB$2:$EB$1000,"Y",$J$2:$J$1000,"&gt;"&amp;J18)+COUNTIFS($EB$2:$EB$1000,"Y",$J$2:$J$1000,J18,$ED$2:$ED$1000,"&lt;"&amp;ED18)+1)</f>
        <v/>
      </c>
      <c r="Z18" t="n">
        <v>17</v>
      </c>
      <c r="AA18" t="inlineStr">
        <is>
          <t>Y</t>
        </is>
      </c>
      <c r="AB18" t="inlineStr">
        <is>
          <t>find Ellen Macks at Ella's Flats on LinkedIn and paste the profile URL; before using the retailer line, check Whole Foods Market NoMad still lists it: https://www.wholefoodsmarket.com/search?text=Ella%27s%20Flats with your store set to NoMad (catalogs change daily)</t>
        </is>
      </c>
      <c r="AC18" t="inlineStr">
        <is>
          <t>founder</t>
        </is>
      </c>
      <c r="AD18" t="inlineStr">
        <is>
          <t>verified-page</t>
        </is>
      </c>
      <c r="AE18" t="inlineStr">
        <is>
          <t>employer's own site</t>
        </is>
      </c>
      <c r="AF18" t="inlineStr">
        <is>
          <t>https://www.ellasflats.com/</t>
        </is>
      </c>
      <c r="AG18" t="inlineStr">
        <is>
          <t>2026-10-24</t>
        </is>
      </c>
      <c r="AH18" t="inlineStr">
        <is>
          <t>Ella's Flats Everything Snack Pack (20-pack singles); Sesame Crisp 4.8 oz</t>
        </is>
      </c>
      <c r="AI18" t="inlineStr">
        <is>
          <t>crackers-pretzels</t>
        </is>
      </c>
      <c r="AJ18" t="inlineStr">
        <is>
          <t>Naples (search snippets: Press Hook profile and Naples FL press datelines; unverified, founder to confirm)</t>
        </is>
      </c>
      <c r="AK18" t="inlineStr">
        <is>
          <t>https://www.ellasflats.com</t>
        </is>
      </c>
      <c r="AL18" t="inlineStr">
        <is>
          <t>N</t>
        </is>
      </c>
      <c r="AN18" t="inlineStr">
        <is>
          <t>AB-016</t>
        </is>
      </c>
      <c r="AO18" t="inlineStr">
        <is>
          <t>N</t>
        </is>
      </c>
      <c r="AR18">
        <f>IF(AND(AU18="pass",AO18&lt;&gt;"Y",C18&lt;&gt;""),"Y","N")</f>
        <v/>
      </c>
      <c r="AS18">
        <f>_xlfn.TEXTJOIN("; ",TRUE,IF(AU18&lt;&gt;"pass","gated out",""),IF(AO18="Y","on hold: "&amp;AP18,""),IF(C18="","no contact named on an opened page",""))</f>
        <v/>
      </c>
      <c r="AU18" t="inlineStr">
        <is>
          <t>pass</t>
        </is>
      </c>
      <c r="AW18" t="inlineStr">
        <is>
          <t>passes all hard gates</t>
        </is>
      </c>
      <c r="AY18" t="inlineStr">
        <is>
          <t>https://www.ellasflats.com</t>
        </is>
      </c>
      <c r="AZ18" t="inlineStr">
        <is>
          <t>FL</t>
        </is>
      </c>
      <c r="BA18" t="inlineStr">
        <is>
          <t>elsewhere (unverified)</t>
        </is>
      </c>
      <c r="BB18" t="inlineStr">
        <is>
          <t>unknown</t>
        </is>
      </c>
      <c r="BD18" t="inlineStr">
        <is>
          <t>Y</t>
        </is>
      </c>
      <c r="BE18" t="inlineStr">
        <is>
          <t>Baked seed crisps sold ambient; 20-count snack packs on brand store</t>
        </is>
      </c>
      <c r="BF18" t="inlineStr">
        <is>
          <t>Y</t>
        </is>
      </c>
      <c r="BG18" t="inlineStr">
        <is>
          <t>Y</t>
        </is>
      </c>
      <c r="BH18" t="inlineStr">
        <is>
          <t>unknown</t>
        </is>
      </c>
      <c r="BJ18" t="inlineStr">
        <is>
          <t>unknown</t>
        </is>
      </c>
      <c r="BK18" t="inlineStr">
        <is>
          <t>N</t>
        </is>
      </c>
      <c r="BL18" t="inlineStr">
        <is>
          <t>N</t>
        </is>
      </c>
      <c r="BN18" t="n">
        <v>0</v>
      </c>
      <c r="BO18" t="inlineStr">
        <is>
          <t>Y</t>
        </is>
      </c>
      <c r="BP18" t="n">
        <v>2</v>
      </c>
      <c r="BQ18" t="inlineStr">
        <is>
          <t>Whole Foods Market NoMad, 63 Madison Ave (store_selector, inside);Whole Foods Market Union Square, 4 Union Sq S (store_selector, inside)</t>
        </is>
      </c>
      <c r="BS18" t="inlineStr">
        <is>
          <t>Whole Foods Market; PopUp Grocer</t>
        </is>
      </c>
      <c r="BT18" t="inlineStr">
        <is>
          <t>https://www.wholefoodsmarket.com/search?text=ella%27s%20flats (store context Union Square 10162 and NoMad 10773: Sesame Crisp 4.8 oz, Everything 6 oz, Hemp 6.5 oz IN_STOCK 2026-10-23); https://popupgrocer.com/products/ellas-flats</t>
        </is>
      </c>
      <c r="BU18" t="inlineStr">
        <is>
          <t>press</t>
        </is>
      </c>
      <c r="BV18" t="n">
        <v>116</v>
      </c>
      <c r="BX18" t="inlineStr">
        <is>
          <t>Ellen Macks</t>
        </is>
      </c>
      <c r="BY18" t="inlineStr">
        <is>
          <t>Homepage: started by Ellen Macks in 2017. The Org (ellas-flats) lists her as Owner.</t>
        </is>
      </c>
      <c r="CF18" t="inlineStr">
        <is>
          <t>none</t>
        </is>
      </c>
      <c r="CK18" t="inlineStr">
        <is>
          <t>none</t>
        </is>
      </c>
      <c r="CL18" t="n">
        <v>64</v>
      </c>
      <c r="CM18" t="n">
        <v>25</v>
      </c>
      <c r="CN18" t="n">
        <v>3</v>
      </c>
      <c r="CO18" t="n">
        <v>15</v>
      </c>
      <c r="CP18" t="n">
        <v>5</v>
      </c>
      <c r="CQ18" t="n">
        <v>10</v>
      </c>
      <c r="CR18" t="n">
        <v>6</v>
      </c>
      <c r="CS18">
        <f>IF(R18="Y",10,0)</f>
        <v/>
      </c>
      <c r="CT18" t="n">
        <v>0</v>
      </c>
      <c r="CU18" t="inlineStr">
        <is>
          <t>https://instagram.com/ellasflats</t>
        </is>
      </c>
      <c r="CV18" t="inlineStr">
        <is>
          <t>BR1</t>
        </is>
      </c>
      <c r="CW18" t="inlineStr">
        <is>
          <t>BR1:17</t>
        </is>
      </c>
      <c r="CX18" t="inlineStr">
        <is>
          <t>HQ not stated on site or policies. Snack-pack format suits office drops. why_now is weak (Shopify published_at of a bundle).</t>
        </is>
      </c>
      <c r="CY18" t="inlineStr">
        <is>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t>
        </is>
      </c>
      <c r="DA18" t="inlineStr">
        <is>
          <t>stage 2</t>
        </is>
      </c>
      <c r="DY18">
        <f>IF(ISNUMBER(MATCH(U18,{"queued","contacted","replied","call_booked","call_done","yes_in_principle","materials_sent"},0)),"Y","N")</f>
        <v/>
      </c>
      <c r="DZ18">
        <f>IF(COUNTIFS($AN$2:$AN$1000,AN18,$DY$2:$DY$1000,"Y")+COUNTIFS($AN$2:$AN$1000,AN18,$T$2:$T$1000,"Y")&gt;0,"Y","N")</f>
        <v/>
      </c>
      <c r="EA18">
        <f>IF(AND(U18="new",T18="N",AR18="Y",AQ18="",DZ18="N"),"Y","N")</f>
        <v/>
      </c>
      <c r="EB18">
        <f>IF(EA18&lt;&gt;"Y","N",IF(COUNTIFS($AN$2:$AN$1000,AN18,$EA$2:$EA$1000,"Y",$J$2:$J$1000,"&gt;"&amp;J18)+COUNTIFS($AN$2:$AN$1000,AN18,$EA$2:$EA$1000,"Y",$J$2:$J$1000,J18,$ED$2:$ED$1000,"&lt;"&amp;ED18)=0,"Y","N"))</f>
        <v/>
      </c>
      <c r="EC18">
        <f>IF(Y18="","N",IF(Y18&lt;=10,"Y","N"))</f>
        <v/>
      </c>
      <c r="ED18">
        <f>ROW()-1</f>
        <v/>
      </c>
    </row>
    <row r="19">
      <c r="A19" t="inlineStr">
        <is>
          <t>AB-081</t>
        </is>
      </c>
      <c r="B19" t="inlineStr">
        <is>
          <t>Mezcla</t>
        </is>
      </c>
      <c r="C19" t="inlineStr">
        <is>
          <t>Griffin</t>
        </is>
      </c>
      <c r="D19" t="inlineStr">
        <is>
          <t>Spolansky</t>
        </is>
      </c>
      <c r="E19" t="inlineStr">
        <is>
          <t>Co-founder and CEO</t>
        </is>
      </c>
      <c r="H19" t="inlineStr">
        <is>
          <t>none</t>
        </is>
      </c>
      <c r="I19" t="inlineStr">
        <is>
          <t>linkedin</t>
        </is>
      </c>
      <c r="J19">
        <f>IF(AU19="pass",CM19+CN19+CO19+CP19+CQ19+CR19+CS19+CT19,0)</f>
        <v/>
      </c>
      <c r="K19" t="inlineStr">
        <is>
          <t>New York City brand, store page shows Whole Foods Market NoMad inside the cluster, news 233 days ago, revenue unknown, contact named plus a marketing lead; founder review: claim-borderline, scale.</t>
        </is>
      </c>
      <c r="M19" t="inlineStr">
        <is>
          <t>Whole Foods Market NoMad, 63 Madison Ave</t>
        </is>
      </c>
      <c r="N19" t="inlineStr">
        <is>
          <t>store_selector</t>
        </is>
      </c>
      <c r="O19" t="inlineStr">
        <is>
          <t>Raised a $9.5M Series B led by Bluestein Ventures ($16.5M total); in 9,000+ US stores; plans to grow its marketing team</t>
        </is>
      </c>
      <c r="P19" t="inlineStr">
        <is>
          <t>https://www.greenqueen.com.hk/mezcla-plant-based-protein-bar-vegan-funding/</t>
        </is>
      </c>
      <c r="Q19" t="inlineStr">
        <is>
          <t>2026-03-05</t>
        </is>
      </c>
      <c r="R19" t="inlineStr">
        <is>
          <t>N</t>
        </is>
      </c>
      <c r="S19" t="inlineStr">
        <is>
          <t>unknown</t>
        </is>
      </c>
      <c r="T19" t="inlineStr">
        <is>
          <t>N</t>
        </is>
      </c>
      <c r="U19" t="inlineStr">
        <is>
          <t>new</t>
        </is>
      </c>
      <c r="V19" t="inlineStr">
        <is>
          <t>https://eatmezcla.com/pages/about</t>
        </is>
      </c>
      <c r="W19" t="inlineStr">
        <is>
          <t>2026-10-23</t>
        </is>
      </c>
      <c r="X19" t="inlineStr">
        <is>
          <t>brand</t>
        </is>
      </c>
      <c r="Y19">
        <f>IF(EB19&lt;&gt;"Y","",COUNTIFS($EB$2:$EB$1000,"Y",$J$2:$J$1000,"&gt;"&amp;J19)+COUNTIFS($EB$2:$EB$1000,"Y",$J$2:$J$1000,J19,$ED$2:$ED$1000,"&lt;"&amp;ED19)+1)</f>
        <v/>
      </c>
      <c r="Z19" t="n">
        <v>18</v>
      </c>
      <c r="AA19" t="inlineStr">
        <is>
          <t>Y</t>
        </is>
      </c>
      <c r="AB19" t="inlineStr">
        <is>
          <t>find Griffin Spolansky at Mezcla on LinkedIn and paste the profile URL (this also confirms the name: The Org is crowd-edited); before using the retailer line, check Whole Foods Market NoMad still lists it: https://www.wholefoodsmarket.com/search?text=Mezcla with your store set to NoMad (catalogs change daily); founder review (claim-borderline, scale): read founder_review_reason first</t>
        </is>
      </c>
      <c r="AC19" t="inlineStr">
        <is>
          <t>founder</t>
        </is>
      </c>
      <c r="AD19" t="inlineStr">
        <is>
          <t>verified-page</t>
        </is>
      </c>
      <c r="AE19" t="inlineStr">
        <is>
          <t>The Org (crowd-edited org chart)</t>
        </is>
      </c>
      <c r="AF19" t="inlineStr">
        <is>
          <t>https://theorg.com/org/mezcla/person/griffin-spolansky</t>
        </is>
      </c>
      <c r="AG19" t="inlineStr">
        <is>
          <t>2026-10-24</t>
        </is>
      </c>
      <c r="AH19" t="inlineStr">
        <is>
          <t>Mint Chocolate Protein Bar 1.4 oz (single); Hazelnut Chocolate Puff Crispy Bar</t>
        </is>
      </c>
      <c r="AI19" t="inlineStr">
        <is>
          <t>bars</t>
        </is>
      </c>
      <c r="AJ19" t="inlineStr">
        <is>
          <t>New York</t>
        </is>
      </c>
      <c r="AK19" t="inlineStr">
        <is>
          <t>https://eatmezcla.com</t>
        </is>
      </c>
      <c r="AL19" t="inlineStr">
        <is>
          <t>Y</t>
        </is>
      </c>
      <c r="AM19" t="inlineStr">
        <is>
          <t>Plant-based protein bar (nutrient-content positioning); scale signal in the why-now ('Series B'): likely above the $10M band; ask at intake; 60-day shelf life not stated</t>
        </is>
      </c>
      <c r="AN19" t="inlineStr">
        <is>
          <t>AB-081</t>
        </is>
      </c>
      <c r="AO19" t="inlineStr">
        <is>
          <t>N</t>
        </is>
      </c>
      <c r="AR19">
        <f>IF(AND(AU19="pass",AO19&lt;&gt;"Y",C19&lt;&gt;""),"Y","N")</f>
        <v/>
      </c>
      <c r="AS19">
        <f>_xlfn.TEXTJOIN("; ",TRUE,IF(AU19&lt;&gt;"pass","gated out",""),IF(AO19="Y","on hold: "&amp;AP19,""),IF(C19="","no contact named on an opened page",""))</f>
        <v/>
      </c>
      <c r="AU19" t="inlineStr">
        <is>
          <t>pass</t>
        </is>
      </c>
      <c r="AW19" t="inlineStr">
        <is>
          <t>passes all hard gates</t>
        </is>
      </c>
      <c r="AX19" t="inlineStr">
        <is>
          <t>claim-borderline;scale</t>
        </is>
      </c>
      <c r="AY19" t="inlineStr">
        <is>
          <t>https://eatmezcla.com</t>
        </is>
      </c>
      <c r="AZ19" t="inlineStr">
        <is>
          <t>NY</t>
        </is>
      </c>
      <c r="BA19" t="inlineStr">
        <is>
          <t>nyc</t>
        </is>
      </c>
      <c r="BB19" t="inlineStr">
        <is>
          <t>Series B ($9.5M, Bluestein Ventures, March 2026)</t>
        </is>
      </c>
      <c r="BD19" t="inlineStr">
        <is>
          <t>likely</t>
        </is>
      </c>
      <c r="BE19" t="inlineStr">
        <is>
          <t>Single wrapped bars sold ambient at Whole Foods and shipped by mail; shelf-life figure not published</t>
        </is>
      </c>
      <c r="BF19" t="inlineStr">
        <is>
          <t>Y</t>
        </is>
      </c>
      <c r="BG19" t="inlineStr">
        <is>
          <t>Y</t>
        </is>
      </c>
      <c r="BH19" t="inlineStr">
        <is>
          <t>unknown</t>
        </is>
      </c>
      <c r="BJ19" t="inlineStr">
        <is>
          <t>unknown</t>
        </is>
      </c>
      <c r="BK19" t="inlineStr">
        <is>
          <t>N</t>
        </is>
      </c>
      <c r="BL19" t="inlineStr">
        <is>
          <t>N</t>
        </is>
      </c>
      <c r="BN19" t="n">
        <v>0</v>
      </c>
      <c r="BO19" t="inlineStr">
        <is>
          <t>Y</t>
        </is>
      </c>
      <c r="BP19" t="n">
        <v>3</v>
      </c>
      <c r="BQ19" t="inlineStr">
        <is>
          <t>Whole Foods Market NoMad, 63 Madison Ave (store_selector, inside);Whole Foods Market Union Square, 4 Union Sq S (store_selector, inside);Whole Foods Market Chelsea, 250 7th Ave (store_selector, 3.0 blocks out)</t>
        </is>
      </c>
      <c r="BS19" t="inlineStr">
        <is>
          <t>Whole Foods; local stores and online retailers (brand home page)</t>
        </is>
      </c>
      <c r="BT19" t="inlineStr">
        <is>
          <t>https://www.wholefoodsmarket.com/api/search?text=mezcla&amp;store=10162&amp;limit=60&amp;offset=0; https://www.wholefoodsmarket.com/api/search?text=mezcla&amp;store=10773&amp;limit=60&amp;offset=0; https://www.wholefoodsmarket.com/api/search?text=mezcla&amp;store=10131&amp;limit=60&amp;offset=0</t>
        </is>
      </c>
      <c r="BU19" t="inlineStr">
        <is>
          <t>press</t>
        </is>
      </c>
      <c r="BV19" t="n">
        <v>233</v>
      </c>
      <c r="BX19" t="inlineStr">
        <is>
          <t>Griffin Spolansky</t>
        </is>
      </c>
      <c r="BY19" t="inlineStr">
        <is>
          <t>The Org company chart lists "Co-Founder | CEO"; Green Queen article names founders Griffin Spolansky and Coco Sotelo. The Org now lists Coco Sotelo as Director of Corporate and Social Responsibility. One search found no LinkedIn URL.</t>
        </is>
      </c>
      <c r="CA19" t="inlineStr">
        <is>
          <t>Michelle Brintnall Chester</t>
        </is>
      </c>
      <c r="CB19" t="inlineStr">
        <is>
          <t>Michelle</t>
        </is>
      </c>
      <c r="CC19" t="inlineStr">
        <is>
          <t>Brintnall Chester</t>
        </is>
      </c>
      <c r="CD19" t="inlineStr">
        <is>
          <t>Vice President of Marketing</t>
        </is>
      </c>
      <c r="CE19" t="inlineStr">
        <is>
          <t>marketing lead</t>
        </is>
      </c>
      <c r="CF19" t="inlineStr">
        <is>
          <t>verified-page</t>
        </is>
      </c>
      <c r="CG19" t="inlineStr">
        <is>
          <t>The Org (updated 2026-09-06): VP of Marketing since 2026.</t>
        </is>
      </c>
      <c r="CK19" t="inlineStr">
        <is>
          <t>none</t>
        </is>
      </c>
      <c r="CL19" t="n">
        <v>64</v>
      </c>
      <c r="CM19" t="n">
        <v>25</v>
      </c>
      <c r="CN19" t="n">
        <v>20</v>
      </c>
      <c r="CO19" t="n">
        <v>8</v>
      </c>
      <c r="CP19" t="n">
        <v>5</v>
      </c>
      <c r="CQ19" t="n">
        <v>8</v>
      </c>
      <c r="CR19" t="n">
        <v>10</v>
      </c>
      <c r="CS19">
        <f>IF(R19="Y",10,0)</f>
        <v/>
      </c>
      <c r="CT19" t="n">
        <v>-12</v>
      </c>
      <c r="CU19" t="inlineStr">
        <is>
          <t>https://www.instagram.com/eatmezcla/</t>
        </is>
      </c>
      <c r="CV19" t="inlineStr">
        <is>
          <t>BR2</t>
        </is>
      </c>
      <c r="CW19" t="inlineStr">
        <is>
          <t>BR2:18</t>
        </is>
      </c>
      <c r="CX19" t="inlineStr">
        <is>
          <t>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is>
      </c>
      <c r="CY19" t="inlineStr">
        <is>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is>
      </c>
      <c r="CZ19" t="inlineStr">
        <is>
          <t>https://theorg.com/org/mezcla/person/michelle-brintnall-chester</t>
        </is>
      </c>
      <c r="DA19" t="inlineStr">
        <is>
          <t>stage 2</t>
        </is>
      </c>
      <c r="DC19" t="inlineStr">
        <is>
          <t>The Org (crowd-edited org chart)</t>
        </is>
      </c>
      <c r="DD19" t="inlineStr">
        <is>
          <t>2026-09-06</t>
        </is>
      </c>
      <c r="DY19">
        <f>IF(ISNUMBER(MATCH(U19,{"queued","contacted","replied","call_booked","call_done","yes_in_principle","materials_sent"},0)),"Y","N")</f>
        <v/>
      </c>
      <c r="DZ19">
        <f>IF(COUNTIFS($AN$2:$AN$1000,AN19,$DY$2:$DY$1000,"Y")+COUNTIFS($AN$2:$AN$1000,AN19,$T$2:$T$1000,"Y")&gt;0,"Y","N")</f>
        <v/>
      </c>
      <c r="EA19">
        <f>IF(AND(U19="new",T19="N",AR19="Y",AQ19="",DZ19="N"),"Y","N")</f>
        <v/>
      </c>
      <c r="EB19">
        <f>IF(EA19&lt;&gt;"Y","N",IF(COUNTIFS($AN$2:$AN$1000,AN19,$EA$2:$EA$1000,"Y",$J$2:$J$1000,"&gt;"&amp;J19)+COUNTIFS($AN$2:$AN$1000,AN19,$EA$2:$EA$1000,"Y",$J$2:$J$1000,J19,$ED$2:$ED$1000,"&lt;"&amp;ED19)=0,"Y","N"))</f>
        <v/>
      </c>
      <c r="EC19">
        <f>IF(Y19="","N",IF(Y19&lt;=10,"Y","N"))</f>
        <v/>
      </c>
      <c r="ED19">
        <f>ROW()-1</f>
        <v/>
      </c>
    </row>
    <row r="20">
      <c r="A20" t="inlineStr">
        <is>
          <t>AB-210</t>
        </is>
      </c>
      <c r="B20" t="inlineStr">
        <is>
          <t>Treat House</t>
        </is>
      </c>
      <c r="C20" t="inlineStr">
        <is>
          <t>Chris</t>
        </is>
      </c>
      <c r="D20" t="inlineStr">
        <is>
          <t>Russell</t>
        </is>
      </c>
      <c r="E20" t="inlineStr">
        <is>
          <t>Co-founder and co-owner</t>
        </is>
      </c>
      <c r="H20" t="inlineStr">
        <is>
          <t>none</t>
        </is>
      </c>
      <c r="I20" t="inlineStr">
        <is>
          <t>linkedin</t>
        </is>
      </c>
      <c r="J20">
        <f>IF(AU20="pass",CM20+CN20+CO20+CP20+CQ20+CR20+CS20+CT20,0)</f>
        <v/>
      </c>
      <c r="K20" t="inlineStr">
        <is>
          <t>New York City brand, store page shows Whole Foods Market NoMad inside the cluster, no dated why-now in the last 12 months, revenue unknown, contact named; founder review: other.</t>
        </is>
      </c>
      <c r="M20" t="inlineStr">
        <is>
          <t>Whole Foods Market NoMad, 63 Madison Ave</t>
        </is>
      </c>
      <c r="N20" t="inlineStr">
        <is>
          <t>store_selector</t>
        </is>
      </c>
      <c r="R20" t="inlineStr">
        <is>
          <t>N</t>
        </is>
      </c>
      <c r="S20" t="inlineStr">
        <is>
          <t>unknown</t>
        </is>
      </c>
      <c r="T20" t="inlineStr">
        <is>
          <t>N</t>
        </is>
      </c>
      <c r="U20" t="inlineStr">
        <is>
          <t>new</t>
        </is>
      </c>
      <c r="V20" t="inlineStr">
        <is>
          <t>https://treathouse.com/</t>
        </is>
      </c>
      <c r="W20" t="inlineStr">
        <is>
          <t>2026-10-23</t>
        </is>
      </c>
      <c r="X20" t="inlineStr">
        <is>
          <t>brand</t>
        </is>
      </c>
      <c r="Y20">
        <f>IF(EB20&lt;&gt;"Y","",COUNTIFS($EB$2:$EB$1000,"Y",$J$2:$J$1000,"&gt;"&amp;J20)+COUNTIFS($EB$2:$EB$1000,"Y",$J$2:$J$1000,J20,$ED$2:$ED$1000,"&lt;"&amp;ED20)+1)</f>
        <v/>
      </c>
      <c r="Z20" t="n">
        <v>19</v>
      </c>
      <c r="AA20" t="inlineStr">
        <is>
          <t>Y</t>
        </is>
      </c>
      <c r="AB20" t="inlineStr">
        <is>
          <t>find Chris Russell at Treat House on LinkedIn and paste the profile URL; the source is dated 2015: check Chris still holds the role; before using the retailer line, check Whole Foods Market NoMad still lists it: https://www.wholefoodsmarket.com/search?text=Treat%20House with your store set to NoMad (catalogs change daily); founder review (other): read founder_review_reason first</t>
        </is>
      </c>
      <c r="AC20" t="inlineStr">
        <is>
          <t>founder</t>
        </is>
      </c>
      <c r="AD20" t="inlineStr">
        <is>
          <t>verified-page</t>
        </is>
      </c>
      <c r="AE20" t="inlineStr">
        <is>
          <t>press, event or podcast page</t>
        </is>
      </c>
      <c r="AF20" t="inlineStr">
        <is>
          <t>https://www.dnainfo.com/new-york/20150720/upper-east-side/gourmet-rice-krispies-treats-eatery-opens-on-ues-with-adults-mind/</t>
        </is>
      </c>
      <c r="AG20" t="inlineStr">
        <is>
          <t>2026-10-24</t>
        </is>
      </c>
      <c r="AH20" t="inlineStr">
        <is>
          <t>S'mores Rice Crispy Treat 3.2 oz single (WFM listing); Treat Bars and Classic Packs online</t>
        </is>
      </c>
      <c r="AI20" t="inlineStr">
        <is>
          <t>cookies-baked</t>
        </is>
      </c>
      <c r="AJ20" t="inlineStr">
        <is>
          <t>Woodside, Queens (privacy policy: 3258 62nd Street, Woodside NY 11377)</t>
        </is>
      </c>
      <c r="AK20" t="inlineStr">
        <is>
          <t>https://treathouse.com/collections/all</t>
        </is>
      </c>
      <c r="AL20" t="inlineStr">
        <is>
          <t>Y</t>
        </is>
      </c>
      <c r="AM20" t="inlineStr">
        <is>
          <t>Shelf life and storage not published; confirm 60+ days ambient before qualifying</t>
        </is>
      </c>
      <c r="AN20" t="inlineStr">
        <is>
          <t>AB-210</t>
        </is>
      </c>
      <c r="AO20" t="inlineStr">
        <is>
          <t>N</t>
        </is>
      </c>
      <c r="AR20">
        <f>IF(AND(AU20="pass",AO20&lt;&gt;"Y",C20&lt;&gt;""),"Y","N")</f>
        <v/>
      </c>
      <c r="AS20">
        <f>_xlfn.TEXTJOIN("; ",TRUE,IF(AU20&lt;&gt;"pass","gated out",""),IF(AO20="Y","on hold: "&amp;AP20,""),IF(C20="","no contact named on an opened page",""))</f>
        <v/>
      </c>
      <c r="AU20" t="inlineStr">
        <is>
          <t>pass</t>
        </is>
      </c>
      <c r="AW20" t="inlineStr">
        <is>
          <t>passes all hard gates</t>
        </is>
      </c>
      <c r="AX20" t="inlineStr">
        <is>
          <t>other</t>
        </is>
      </c>
      <c r="AY20" t="inlineStr">
        <is>
          <t>https://treathouse.com</t>
        </is>
      </c>
      <c r="AZ20" t="inlineStr">
        <is>
          <t>NY</t>
        </is>
      </c>
      <c r="BA20" t="inlineStr">
        <is>
          <t>nyc</t>
        </is>
      </c>
      <c r="BB20" t="inlineStr">
        <is>
          <t>unknown</t>
        </is>
      </c>
      <c r="BD20" t="inlineStr">
        <is>
          <t>Y</t>
        </is>
      </c>
      <c r="BE20" t="inlineStr">
        <is>
          <t>Brand product copy: bars are 'individually wrapped and will stay fresh for months'; deluxe donut boxes: 'individually wrapped for an extended 6 month shelf life' | brand product copy; founder to confirm 60+ days at delivery</t>
        </is>
      </c>
      <c r="BF20" t="inlineStr">
        <is>
          <t>Y</t>
        </is>
      </c>
      <c r="BG20" t="inlineStr">
        <is>
          <t>Y</t>
        </is>
      </c>
      <c r="BH20" t="inlineStr">
        <is>
          <t>unknown</t>
        </is>
      </c>
      <c r="BJ20" t="inlineStr">
        <is>
          <t>unknown</t>
        </is>
      </c>
      <c r="BK20" t="inlineStr">
        <is>
          <t>N</t>
        </is>
      </c>
      <c r="BL20" t="inlineStr">
        <is>
          <t>N</t>
        </is>
      </c>
      <c r="BN20" t="n">
        <v>0</v>
      </c>
      <c r="BO20" t="inlineStr">
        <is>
          <t>Y</t>
        </is>
      </c>
      <c r="BP20" t="n">
        <v>2</v>
      </c>
      <c r="BQ20" t="inlineStr">
        <is>
          <t>Whole Foods Market NoMad, 63 Madison Ave (store_selector, inside);Whole Foods Market Chelsea, 250 7th Ave (store_selector, 3.0 blocks out)</t>
        </is>
      </c>
      <c r="BR20" t="inlineStr">
        <is>
          <t>Whole Foods Market Manhattan West (store_selector, 13.8 blocks out)</t>
        </is>
      </c>
      <c r="BS20" t="inlineStr">
        <is>
          <t>Whole Foods Market (WFM catalog); wholesale and corporate gifting programs (brand site)</t>
        </is>
      </c>
      <c r="BT20" t="inlineStr">
        <is>
          <t>https://www.wholefoodsmarket.com/api/search?text=treat%20house&amp;store=10773&amp;limit=60&amp;offset=0; https://www.wholefoodsmarket.com/api/search?text=treat%20house&amp;store=10131&amp;limit=60&amp;offset=0; https://www.wholefoodsmarket.com/api/search?text=treat%20house&amp;store=10713&amp;limit=60&amp;offset=0</t>
        </is>
      </c>
      <c r="BU20" t="inlineStr">
        <is>
          <t>none</t>
        </is>
      </c>
      <c r="BX20" t="inlineStr">
        <is>
          <t>Chris Russell</t>
        </is>
      </c>
      <c r="BY20" t="inlineStr">
        <is>
          <t>DNAinfo 2015: "the owners of Treat House, Chris and Jennifer Russell". Untapped Cities article (stage 1 source) names Chris, a chef, as the maker. Sources are 2015 to 2017.</t>
        </is>
      </c>
      <c r="CA20" t="inlineStr">
        <is>
          <t>Jennifer Russell</t>
        </is>
      </c>
      <c r="CB20" t="inlineStr">
        <is>
          <t>Jennifer</t>
        </is>
      </c>
      <c r="CC20" t="inlineStr">
        <is>
          <t>Russell</t>
        </is>
      </c>
      <c r="CD20" t="inlineStr">
        <is>
          <t>Co-founder</t>
        </is>
      </c>
      <c r="CE20" t="inlineStr">
        <is>
          <t>co-founder or executive</t>
        </is>
      </c>
      <c r="CF20" t="inlineStr">
        <is>
          <t>verified-page</t>
        </is>
      </c>
      <c r="CG20" t="inlineStr">
        <is>
          <t>Creators 2017: "Jennifer Russell is the co-founder and co-creator of Treat House".</t>
        </is>
      </c>
      <c r="CK20" t="inlineStr">
        <is>
          <t>none</t>
        </is>
      </c>
      <c r="CL20" t="n">
        <v>64</v>
      </c>
      <c r="CM20" t="n">
        <v>25</v>
      </c>
      <c r="CN20" t="n">
        <v>20</v>
      </c>
      <c r="CO20" t="n">
        <v>0</v>
      </c>
      <c r="CP20" t="n">
        <v>5</v>
      </c>
      <c r="CQ20" t="n">
        <v>10</v>
      </c>
      <c r="CR20" t="n">
        <v>6</v>
      </c>
      <c r="CS20">
        <f>IF(R20="Y",10,0)</f>
        <v/>
      </c>
      <c r="CT20" t="n">
        <v>-2</v>
      </c>
      <c r="CV20" t="inlineStr">
        <is>
          <t>BR4</t>
        </is>
      </c>
      <c r="CW20" t="inlineStr">
        <is>
          <t>BR4:5</t>
        </is>
      </c>
      <c r="CX20" t="inlineStr">
        <is>
          <t>Origin story: bake sale on the Upper West Side started by the founders' two kids (homepage). Has a Corporate Gifting page, so already sells to offices. Certified gluten-free logo on homepage. Not in WFM Union Square catalog on 2026-10-23.</t>
        </is>
      </c>
      <c r="CY20" t="inlineStr">
        <is>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is>
      </c>
      <c r="CZ20" t="inlineStr">
        <is>
          <t>https://www.creators.com/read/this-womans-work/08/17/giving-back-with-love-and-chocolate-an-interview-with-jennifer-russell</t>
        </is>
      </c>
      <c r="DA20" t="inlineStr">
        <is>
          <t>stage 2</t>
        </is>
      </c>
      <c r="DB20" t="inlineStr">
        <is>
          <t>2015</t>
        </is>
      </c>
      <c r="DC20" t="inlineStr">
        <is>
          <t>press, event or podcast page</t>
        </is>
      </c>
      <c r="DY20">
        <f>IF(ISNUMBER(MATCH(U20,{"queued","contacted","replied","call_booked","call_done","yes_in_principle","materials_sent"},0)),"Y","N")</f>
        <v/>
      </c>
      <c r="DZ20">
        <f>IF(COUNTIFS($AN$2:$AN$1000,AN20,$DY$2:$DY$1000,"Y")+COUNTIFS($AN$2:$AN$1000,AN20,$T$2:$T$1000,"Y")&gt;0,"Y","N")</f>
        <v/>
      </c>
      <c r="EA20">
        <f>IF(AND(U20="new",T20="N",AR20="Y",AQ20="",DZ20="N"),"Y","N")</f>
        <v/>
      </c>
      <c r="EB20">
        <f>IF(EA20&lt;&gt;"Y","N",IF(COUNTIFS($AN$2:$AN$1000,AN20,$EA$2:$EA$1000,"Y",$J$2:$J$1000,"&gt;"&amp;J20)+COUNTIFS($AN$2:$AN$1000,AN20,$EA$2:$EA$1000,"Y",$J$2:$J$1000,J20,$ED$2:$ED$1000,"&lt;"&amp;ED20)=0,"Y","N"))</f>
        <v/>
      </c>
      <c r="EC20">
        <f>IF(Y20="","N",IF(Y20&lt;=10,"Y","N"))</f>
        <v/>
      </c>
      <c r="ED20">
        <f>ROW()-1</f>
        <v/>
      </c>
    </row>
    <row r="21">
      <c r="A21" t="inlineStr">
        <is>
          <t>AB-266</t>
        </is>
      </c>
      <c r="B21" t="inlineStr">
        <is>
          <t>Gigantic (Candy Deluxe)</t>
        </is>
      </c>
      <c r="C21" t="inlineStr">
        <is>
          <t>Stu</t>
        </is>
      </c>
      <c r="D21" t="inlineStr">
        <is>
          <t>Davidoff</t>
        </is>
      </c>
      <c r="E21" t="inlineStr">
        <is>
          <t>Founder</t>
        </is>
      </c>
      <c r="H21" t="inlineStr">
        <is>
          <t>none</t>
        </is>
      </c>
      <c r="I21" t="inlineStr">
        <is>
          <t>linkedin</t>
        </is>
      </c>
      <c r="J21">
        <f>IF(AU21="pass",CM21+CN21+CO21+CP21+CQ21+CR21+CS21+CT21,0)</f>
        <v/>
      </c>
      <c r="K21" t="inlineStr">
        <is>
          <t>New York State brand, brand locator shows Fairway Market inside the cluster, news 118 days ago, revenue unknown, contact named; founder review: other.</t>
        </is>
      </c>
      <c r="M21" t="inlineStr">
        <is>
          <t>Fairway Market, 766 6th Ave</t>
        </is>
      </c>
      <c r="N21" t="inlineStr">
        <is>
          <t>brand_claim</t>
        </is>
      </c>
      <c r="O21" t="inlineStr">
        <is>
          <t>Exhibited Candy Deluxe at the 2026 Summer Fancy Food Show in the Startup CPG pavilion (NYC)</t>
        </is>
      </c>
      <c r="P21" t="inlineStr">
        <is>
          <t>https://startupcpg.com/startup-cpg-pavilion-at-summer-fancy-food-2026/</t>
        </is>
      </c>
      <c r="Q21" t="inlineStr">
        <is>
          <t>2026-06-28</t>
        </is>
      </c>
      <c r="R21" t="inlineStr">
        <is>
          <t>N</t>
        </is>
      </c>
      <c r="S21" t="inlineStr">
        <is>
          <t>Y</t>
        </is>
      </c>
      <c r="T21" t="inlineStr">
        <is>
          <t>N</t>
        </is>
      </c>
      <c r="U21" t="inlineStr">
        <is>
          <t>new</t>
        </is>
      </c>
      <c r="V21" t="inlineStr">
        <is>
          <t>https://events.specialtyfood.com/event/2026-summer-fancy-food-show/exhibitor/RXhoaWJpdG9yXzI0NDM1ODU=</t>
        </is>
      </c>
      <c r="W21" t="inlineStr">
        <is>
          <t>2026-10-24</t>
        </is>
      </c>
      <c r="X21" t="inlineStr">
        <is>
          <t>brand</t>
        </is>
      </c>
      <c r="Y21">
        <f>IF(EB21&lt;&gt;"Y","",COUNTIFS($EB$2:$EB$1000,"Y",$J$2:$J$1000,"&gt;"&amp;J21)+COUNTIFS($EB$2:$EB$1000,"Y",$J$2:$J$1000,J21,$ED$2:$ED$1000,"&lt;"&amp;ED21)+1)</f>
        <v/>
      </c>
      <c r="Z21" t="n">
        <v>20</v>
      </c>
      <c r="AA21" t="inlineStr">
        <is>
          <t>Y</t>
        </is>
      </c>
      <c r="AB21" t="inlineStr">
        <is>
          <t>find Stu Davidoff at Gigantic (Candy Deluxe) on LinkedIn and paste the profile URL; the retailer line rests on the brand's own store locator: say 'your store locator lists ...'; founder review (other): read founder_review_reason first</t>
        </is>
      </c>
      <c r="AC21" t="inlineStr">
        <is>
          <t>founder</t>
        </is>
      </c>
      <c r="AD21" t="inlineStr">
        <is>
          <t>verified-page</t>
        </is>
      </c>
      <c r="AE21" t="inlineStr">
        <is>
          <t>press, event or podcast page</t>
        </is>
      </c>
      <c r="AF21" t="inlineStr">
        <is>
          <t>https://gritdaily.com/gigantic-candy-deluxe-smaller-deliberate-candy/</t>
        </is>
      </c>
      <c r="AG21" t="inlineStr">
        <is>
          <t>2026-10-24</t>
        </is>
      </c>
      <c r="AH21" t="inlineStr">
        <is>
          <t>Candy Deluxe Salted Peanut bar (dark chocolate, brown sugar caramel)</t>
        </is>
      </c>
      <c r="AI21" t="inlineStr">
        <is>
          <t>chocolate-candy</t>
        </is>
      </c>
      <c r="AJ21" t="inlineStr">
        <is>
          <t>unknown</t>
        </is>
      </c>
      <c r="AK21" t="inlineStr">
        <is>
          <t>https://giganticcandy.com</t>
        </is>
      </c>
      <c r="AL21" t="inlineStr">
        <is>
          <t>Y</t>
        </is>
      </c>
      <c r="AM21" t="inlineStr">
        <is>
          <t>Founder and HQ city not named on any page opened; pack size and per-bar price not confirmed (site sells $39 packs)</t>
        </is>
      </c>
      <c r="AN21" t="inlineStr">
        <is>
          <t>AB-266</t>
        </is>
      </c>
      <c r="AO21" t="inlineStr">
        <is>
          <t>N</t>
        </is>
      </c>
      <c r="AR21">
        <f>IF(AND(AU21="pass",AO21&lt;&gt;"Y",C21&lt;&gt;""),"Y","N")</f>
        <v/>
      </c>
      <c r="AS21">
        <f>_xlfn.TEXTJOIN("; ",TRUE,IF(AU21&lt;&gt;"pass","gated out",""),IF(AO21="Y","on hold: "&amp;AP21,""),IF(C21="","no contact named on an opened page",""))</f>
        <v/>
      </c>
      <c r="AU21" t="inlineStr">
        <is>
          <t>pass</t>
        </is>
      </c>
      <c r="AW21" t="inlineStr">
        <is>
          <t>passes all hard gates</t>
        </is>
      </c>
      <c r="AX21" t="inlineStr">
        <is>
          <t>other</t>
        </is>
      </c>
      <c r="AY21" t="inlineStr">
        <is>
          <t>https://giganticcandy.com</t>
        </is>
      </c>
      <c r="AZ21" t="inlineStr">
        <is>
          <t>NY</t>
        </is>
      </c>
      <c r="BA21" t="inlineStr">
        <is>
          <t>nys</t>
        </is>
      </c>
      <c r="BB21" t="inlineStr">
        <is>
          <t>unknown</t>
        </is>
      </c>
      <c r="BD21" t="inlineStr">
        <is>
          <t>Y</t>
        </is>
      </c>
      <c r="BE21" t="inlineStr">
        <is>
          <t>Wrapped chocolate-caramel candy bar sold ambient online and in grocery; shelf life not stated on site</t>
        </is>
      </c>
      <c r="BF21" t="inlineStr">
        <is>
          <t>Y</t>
        </is>
      </c>
      <c r="BG21" t="inlineStr">
        <is>
          <t>Y</t>
        </is>
      </c>
      <c r="BH21" t="inlineStr">
        <is>
          <t>unknown</t>
        </is>
      </c>
      <c r="BJ21" t="inlineStr">
        <is>
          <t>No sourced sales figure found</t>
        </is>
      </c>
      <c r="BK21" t="inlineStr">
        <is>
          <t>N</t>
        </is>
      </c>
      <c r="BL21" t="inlineStr">
        <is>
          <t>N</t>
        </is>
      </c>
      <c r="BN21" t="n">
        <v>0</v>
      </c>
      <c r="BO21" t="inlineStr">
        <is>
          <t>Y</t>
        </is>
      </c>
      <c r="BP21" t="n">
        <v>3</v>
      </c>
      <c r="BQ21" t="inlineStr">
        <is>
          <t>Fairway Market, 766 6th Ave (brand_claim, inside);Fairway Market, 550 2nd Ave (brand_claim, 7.0 blocks out);Casa Magazines, 22 8th Ave (brand_claim, 9.5 blocks out)</t>
        </is>
      </c>
      <c r="BS21" t="inlineStr">
        <is>
          <t>Fairway Market; Gourmet Garage; Casa Magazines; Happier Grocery; The Goods Mart (brand Stockist locator)</t>
        </is>
      </c>
      <c r="BT21" t="inlineStr">
        <is>
          <t>https://stockist.co/api/v1/u19294/locations/search?latitude=40.7411&amp;longitude=-73.9897&amp;distance=5 (widget tag on https://giganticcandy.com/pages/store-locator)</t>
        </is>
      </c>
      <c r="BU21" t="inlineStr">
        <is>
          <t>press</t>
        </is>
      </c>
      <c r="BV21" t="n">
        <v>118</v>
      </c>
      <c r="BW21" t="inlineStr">
        <is>
          <t>https://startupcpg.com/startup-cpg-pavilion-at-summer-fancy-food-2026/</t>
        </is>
      </c>
      <c r="BX21" t="inlineStr">
        <is>
          <t>Stu Davidoff</t>
        </is>
      </c>
      <c r="BY21" t="inlineStr">
        <is>
          <t>Grit Daily: "Gigantic was founded by Stu Davidoff". The brand's Presshook page (https://www.presshook.com/brands/gigantic/) calls him a lifelong New Yorker; HQ is still unknown in the table.</t>
        </is>
      </c>
      <c r="CF21" t="inlineStr">
        <is>
          <t>none</t>
        </is>
      </c>
      <c r="CK21" t="inlineStr">
        <is>
          <t>none</t>
        </is>
      </c>
      <c r="CL21" t="n">
        <v>64</v>
      </c>
      <c r="CM21" t="n">
        <v>17</v>
      </c>
      <c r="CN21" t="n">
        <v>13</v>
      </c>
      <c r="CO21" t="n">
        <v>15</v>
      </c>
      <c r="CP21" t="n">
        <v>5</v>
      </c>
      <c r="CQ21" t="n">
        <v>10</v>
      </c>
      <c r="CR21" t="n">
        <v>6</v>
      </c>
      <c r="CS21">
        <f>IF(R21="Y",10,0)</f>
        <v/>
      </c>
      <c r="CT21" t="n">
        <v>-2</v>
      </c>
      <c r="CU21" t="inlineStr">
        <is>
          <t>https://www.instagram.com/giganticcandy/</t>
        </is>
      </c>
      <c r="CV21" t="inlineStr">
        <is>
          <t>BR5</t>
        </is>
      </c>
      <c r="CW21" t="inlineStr">
        <is>
          <t>BR5:2</t>
        </is>
      </c>
      <c r="CX21" t="inlineStr">
        <is>
          <t>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is>
      </c>
      <c r="DA21" t="inlineStr">
        <is>
          <t>stage 2</t>
        </is>
      </c>
      <c r="DY21">
        <f>IF(ISNUMBER(MATCH(U21,{"queued","contacted","replied","call_booked","call_done","yes_in_principle","materials_sent"},0)),"Y","N")</f>
        <v/>
      </c>
      <c r="DZ21">
        <f>IF(COUNTIFS($AN$2:$AN$1000,AN21,$DY$2:$DY$1000,"Y")+COUNTIFS($AN$2:$AN$1000,AN21,$T$2:$T$1000,"Y")&gt;0,"Y","N")</f>
        <v/>
      </c>
      <c r="EA21">
        <f>IF(AND(U21="new",T21="N",AR21="Y",AQ21="",DZ21="N"),"Y","N")</f>
        <v/>
      </c>
      <c r="EB21">
        <f>IF(EA21&lt;&gt;"Y","N",IF(COUNTIFS($AN$2:$AN$1000,AN21,$EA$2:$EA$1000,"Y",$J$2:$J$1000,"&gt;"&amp;J21)+COUNTIFS($AN$2:$AN$1000,AN21,$EA$2:$EA$1000,"Y",$J$2:$J$1000,J21,$ED$2:$ED$1000,"&lt;"&amp;ED21)=0,"Y","N"))</f>
        <v/>
      </c>
      <c r="EC21">
        <f>IF(Y21="","N",IF(Y21&lt;=10,"Y","N"))</f>
        <v/>
      </c>
      <c r="ED21">
        <f>ROW()-1</f>
        <v/>
      </c>
    </row>
    <row r="22">
      <c r="A22" t="inlineStr">
        <is>
          <t>AB-001</t>
        </is>
      </c>
      <c r="B22" t="inlineStr">
        <is>
          <t>BjornQorn</t>
        </is>
      </c>
      <c r="C22" t="inlineStr">
        <is>
          <t>Bjorn</t>
        </is>
      </c>
      <c r="D22" t="inlineStr">
        <is>
          <t>Quenemoen</t>
        </is>
      </c>
      <c r="E22" t="inlineStr">
        <is>
          <t>Co-founder</t>
        </is>
      </c>
      <c r="H22" t="inlineStr">
        <is>
          <t>none</t>
        </is>
      </c>
      <c r="I22" t="inlineStr">
        <is>
          <t>linkedin</t>
        </is>
      </c>
      <c r="J22">
        <f>IF(AU22="pass",CM22+CN22+CO22+CP22+CQ22+CR22+CS22+CT22,0)</f>
        <v/>
      </c>
      <c r="K22" t="inlineStr">
        <is>
          <t>New York State brand, store page shows Whole Foods Market NoMad inside the cluster, a new store listing 316 days ago, revenue unknown, contact named.</t>
        </is>
      </c>
      <c r="M22" t="inlineStr">
        <is>
          <t>Whole Foods Market NoMad, 63 Madison Ave</t>
        </is>
      </c>
      <c r="N22" t="inlineStr">
        <is>
          <t>store_selector</t>
        </is>
      </c>
      <c r="O22" t="inlineStr">
        <is>
          <t>New flavor BjornQorn Ruby added to brand online store</t>
        </is>
      </c>
      <c r="P22" t="inlineStr">
        <is>
          <t>https://bjornqorn.com/products/bjornqorn-ruby</t>
        </is>
      </c>
      <c r="Q22" t="inlineStr">
        <is>
          <t>2025-12-12</t>
        </is>
      </c>
      <c r="R22" t="inlineStr">
        <is>
          <t>N</t>
        </is>
      </c>
      <c r="S22" t="inlineStr">
        <is>
          <t>unknown</t>
        </is>
      </c>
      <c r="T22" t="inlineStr">
        <is>
          <t>N</t>
        </is>
      </c>
      <c r="U22" t="inlineStr">
        <is>
          <t>new</t>
        </is>
      </c>
      <c r="V22" t="inlineStr">
        <is>
          <t>https://bjornqorn.com/pages/about</t>
        </is>
      </c>
      <c r="W22" t="inlineStr">
        <is>
          <t>2026-10-23</t>
        </is>
      </c>
      <c r="X22" t="inlineStr">
        <is>
          <t>brand</t>
        </is>
      </c>
      <c r="Y22">
        <f>IF(EB22&lt;&gt;"Y","",COUNTIFS($EB$2:$EB$1000,"Y",$J$2:$J$1000,"&gt;"&amp;J22)+COUNTIFS($EB$2:$EB$1000,"Y",$J$2:$J$1000,J22,$ED$2:$ED$1000,"&lt;"&amp;ED22)+1)</f>
        <v/>
      </c>
      <c r="Z22" t="n">
        <v>21</v>
      </c>
      <c r="AA22" t="inlineStr">
        <is>
          <t>Y</t>
        </is>
      </c>
      <c r="AB22" t="inlineStr">
        <is>
          <t>find Bjorn Quenemoen at BjornQorn on LinkedIn and paste the profile URL; before using the retailer line, check Whole Foods Market NoMad still lists it: https://www.wholefoodsmarket.com/search?text=BjornQorn with your store set to NoMad (catalogs change daily)</t>
        </is>
      </c>
      <c r="AC22" t="inlineStr">
        <is>
          <t>founder</t>
        </is>
      </c>
      <c r="AD22" t="inlineStr">
        <is>
          <t>verified-page</t>
        </is>
      </c>
      <c r="AE22" t="inlineStr">
        <is>
          <t>employer's own site</t>
        </is>
      </c>
      <c r="AF22" t="inlineStr">
        <is>
          <t>https://bjornqorn.com/pages/about</t>
        </is>
      </c>
      <c r="AG22" t="inlineStr">
        <is>
          <t>2026-10-24</t>
        </is>
      </c>
      <c r="AH22" t="inlineStr">
        <is>
          <t>BjornQorn Sun-Popped Corn, Classic, 1 oz bag (also 3 oz)</t>
        </is>
      </c>
      <c r="AI22" t="inlineStr">
        <is>
          <t>popcorn-puffs</t>
        </is>
      </c>
      <c r="AJ22" t="inlineStr">
        <is>
          <t>Kerhonkson</t>
        </is>
      </c>
      <c r="AK22" t="inlineStr">
        <is>
          <t>https://bjornqorn.com</t>
        </is>
      </c>
      <c r="AL22" t="inlineStr">
        <is>
          <t>N</t>
        </is>
      </c>
      <c r="AN22" t="inlineStr">
        <is>
          <t>AB-001</t>
        </is>
      </c>
      <c r="AO22" t="inlineStr">
        <is>
          <t>N</t>
        </is>
      </c>
      <c r="AR22">
        <f>IF(AND(AU22="pass",AO22&lt;&gt;"Y",C22&lt;&gt;""),"Y","N")</f>
        <v/>
      </c>
      <c r="AS22">
        <f>_xlfn.TEXTJOIN("; ",TRUE,IF(AU22&lt;&gt;"pass","gated out",""),IF(AO22="Y","on hold: "&amp;AP22,""),IF(C22="","no contact named on an opened page",""))</f>
        <v/>
      </c>
      <c r="AU22" t="inlineStr">
        <is>
          <t>pass</t>
        </is>
      </c>
      <c r="AW22" t="inlineStr">
        <is>
          <t>passes all hard gates</t>
        </is>
      </c>
      <c r="AY22" t="inlineStr">
        <is>
          <t>https://bjornqorn.com</t>
        </is>
      </c>
      <c r="AZ22" t="inlineStr">
        <is>
          <t>NY</t>
        </is>
      </c>
      <c r="BA22" t="inlineStr">
        <is>
          <t>nys</t>
        </is>
      </c>
      <c r="BB22" t="inlineStr">
        <is>
          <t>unknown</t>
        </is>
      </c>
      <c r="BD22" t="inlineStr">
        <is>
          <t>Y</t>
        </is>
      </c>
      <c r="BE22" t="inlineStr">
        <is>
          <t>Sealed bagged popcorn sold ambient online (15 x 1 oz packs) and in WFM grocery aisle; brand states allergen-free facility</t>
        </is>
      </c>
      <c r="BF22" t="inlineStr">
        <is>
          <t>Y</t>
        </is>
      </c>
      <c r="BG22" t="inlineStr">
        <is>
          <t>Y</t>
        </is>
      </c>
      <c r="BH22" t="inlineStr">
        <is>
          <t>unknown</t>
        </is>
      </c>
      <c r="BJ22" t="inlineStr">
        <is>
          <t>unknown</t>
        </is>
      </c>
      <c r="BK22" t="inlineStr">
        <is>
          <t>N</t>
        </is>
      </c>
      <c r="BL22" t="inlineStr">
        <is>
          <t>N</t>
        </is>
      </c>
      <c r="BN22" t="n">
        <v>0</v>
      </c>
      <c r="BO22" t="inlineStr">
        <is>
          <t>Y</t>
        </is>
      </c>
      <c r="BP22" t="n">
        <v>3</v>
      </c>
      <c r="BQ22" t="inlineStr">
        <is>
          <t>Whole Foods Market NoMad, 63 Madison Ave (store_selector, inside);Whole Foods Market Union Square, 4 Union Sq S (store_selector, inside);Whole Foods Market Chelsea, 250 7th Ave (store_selector, 3.0 blocks out)</t>
        </is>
      </c>
      <c r="BS22" t="inlineStr">
        <is>
          <t>Whole Foods Market; Eataly (Boston, NYC, LA per 2019 press); Vitacost; BKLYN Larder; Faire wholesale</t>
        </is>
      </c>
      <c r="BT22" t="inlineStr">
        <is>
          <t>https://www.wholefoodsmarket.com/search?text=bjornqorn (store context Union Square 10162, NoMad 10773, Chelsea 10131 set via site store selector; IN_STOCK 2026-10-23; not listed for Austin Lamar store, negative control)</t>
        </is>
      </c>
      <c r="BU22" t="inlineStr">
        <is>
          <t>listing</t>
        </is>
      </c>
      <c r="BV22" t="n">
        <v>316</v>
      </c>
      <c r="BX22" t="inlineStr">
        <is>
          <t>Bjorn Quenemoen</t>
        </is>
      </c>
      <c r="BY22" t="inlineStr">
        <is>
          <t>Modern Farmer via EcoWatch (2019): Bjorn Quenemoen and Jamie O'Shea, popcorn makers. | Stage 3 fix: Spot check round 6: the 2019 EcoWatch article calls the two 'popcorn makers'; the brand's own About page (opened 2026-10-24) presents 'BJORN &amp; JAMIE' as the people who started it. Better source.</t>
        </is>
      </c>
      <c r="CA22" t="inlineStr">
        <is>
          <t>Jamie O'Shea</t>
        </is>
      </c>
      <c r="CB22" t="inlineStr">
        <is>
          <t>Jamie</t>
        </is>
      </c>
      <c r="CC22" t="inlineStr">
        <is>
          <t>O'Shea</t>
        </is>
      </c>
      <c r="CD22" t="inlineStr">
        <is>
          <t>Co-founder</t>
        </is>
      </c>
      <c r="CE22" t="inlineStr">
        <is>
          <t>co-founder or executive</t>
        </is>
      </c>
      <c r="CF22" t="inlineStr">
        <is>
          <t>verified-page</t>
        </is>
      </c>
      <c r="CG22" t="inlineStr">
        <is>
          <t>Stage 1 had him in the marketing slot; the page says co-founder only, so moved to backup. | Stage 3 fix: Spot check round 6: as above.</t>
        </is>
      </c>
      <c r="CK22" t="inlineStr">
        <is>
          <t>none</t>
        </is>
      </c>
      <c r="CL22" t="n">
        <v>63</v>
      </c>
      <c r="CM22" t="n">
        <v>25</v>
      </c>
      <c r="CN22" t="n">
        <v>13</v>
      </c>
      <c r="CO22" t="n">
        <v>4</v>
      </c>
      <c r="CP22" t="n">
        <v>5</v>
      </c>
      <c r="CQ22" t="n">
        <v>10</v>
      </c>
      <c r="CR22" t="n">
        <v>6</v>
      </c>
      <c r="CS22">
        <f>IF(R22="Y",10,0)</f>
        <v/>
      </c>
      <c r="CT22" t="n">
        <v>0</v>
      </c>
      <c r="CU22" t="inlineStr">
        <is>
          <t>unknown</t>
        </is>
      </c>
      <c r="CV22" t="inlineStr">
        <is>
          <t>BR1</t>
        </is>
      </c>
      <c r="CW22" t="inlineStr">
        <is>
          <t>BR1:2</t>
        </is>
      </c>
      <c r="CX22" t="inlineStr">
        <is>
          <t>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is>
      </c>
      <c r="CZ22" t="inlineStr">
        <is>
          <t>https://bjornqorn.com/pages/about</t>
        </is>
      </c>
      <c r="DA22" t="inlineStr">
        <is>
          <t>stage 2</t>
        </is>
      </c>
      <c r="DC22" t="inlineStr">
        <is>
          <t>employer's own site</t>
        </is>
      </c>
      <c r="DY22">
        <f>IF(ISNUMBER(MATCH(U22,{"queued","contacted","replied","call_booked","call_done","yes_in_principle","materials_sent"},0)),"Y","N")</f>
        <v/>
      </c>
      <c r="DZ22">
        <f>IF(COUNTIFS($AN$2:$AN$1000,AN22,$DY$2:$DY$1000,"Y")+COUNTIFS($AN$2:$AN$1000,AN22,$T$2:$T$1000,"Y")&gt;0,"Y","N")</f>
        <v/>
      </c>
      <c r="EA22">
        <f>IF(AND(U22="new",T22="N",AR22="Y",AQ22="",DZ22="N"),"Y","N")</f>
        <v/>
      </c>
      <c r="EB22">
        <f>IF(EA22&lt;&gt;"Y","N",IF(COUNTIFS($AN$2:$AN$1000,AN22,$EA$2:$EA$1000,"Y",$J$2:$J$1000,"&gt;"&amp;J22)+COUNTIFS($AN$2:$AN$1000,AN22,$EA$2:$EA$1000,"Y",$J$2:$J$1000,J22,$ED$2:$ED$1000,"&lt;"&amp;ED22)=0,"Y","N"))</f>
        <v/>
      </c>
      <c r="EC22">
        <f>IF(Y22="","N",IF(Y22&lt;=10,"Y","N"))</f>
        <v/>
      </c>
      <c r="ED22">
        <f>ROW()-1</f>
        <v/>
      </c>
    </row>
    <row r="23">
      <c r="A23" t="inlineStr">
        <is>
          <t>AB-027</t>
        </is>
      </c>
      <c r="B23" t="inlineStr">
        <is>
          <t>Biena</t>
        </is>
      </c>
      <c r="C23" t="inlineStr">
        <is>
          <t>Poorvi</t>
        </is>
      </c>
      <c r="D23" t="inlineStr">
        <is>
          <t>Patodia</t>
        </is>
      </c>
      <c r="E23" t="inlineStr">
        <is>
          <t>Founder and CEO</t>
        </is>
      </c>
      <c r="H23" t="inlineStr">
        <is>
          <t>none</t>
        </is>
      </c>
      <c r="I23" t="inlineStr">
        <is>
          <t>linkedin</t>
        </is>
      </c>
      <c r="J23">
        <f>IF(AU23="pass",CM23+CN23+CO23+CP23+CQ23+CR23+CS23+CT23,0)</f>
        <v/>
      </c>
      <c r="K23" t="inlineStr">
        <is>
          <t>Northeast brand, store page shows Whole Foods Market NoMad inside the cluster, a new store listing 5 days ago, revenue unknown, contact named plus a marketing lead; founder review: claim-borderline.</t>
        </is>
      </c>
      <c r="M23" t="inlineStr">
        <is>
          <t>Whole Foods Market NoMad, 63 Madison Ave</t>
        </is>
      </c>
      <c r="N23" t="inlineStr">
        <is>
          <t>store_selector</t>
        </is>
      </c>
      <c r="O23" t="inlineStr">
        <is>
          <t>Launched 1.05 oz single-serve edamame 9-packs (Himalayan Pink Salt, Chili Lime, Ranch) and Dill Pickle Edamame on brand store</t>
        </is>
      </c>
      <c r="P23" t="inlineStr">
        <is>
          <t>https://bienasnacks.com/products/edamame-chili-lime-1-05oz-9ct</t>
        </is>
      </c>
      <c r="Q23" t="inlineStr">
        <is>
          <t>2026-10-19</t>
        </is>
      </c>
      <c r="R23" t="inlineStr">
        <is>
          <t>N</t>
        </is>
      </c>
      <c r="S23" t="inlineStr">
        <is>
          <t>unknown</t>
        </is>
      </c>
      <c r="T23" t="inlineStr">
        <is>
          <t>N</t>
        </is>
      </c>
      <c r="U23" t="inlineStr">
        <is>
          <t>new</t>
        </is>
      </c>
      <c r="V23" t="inlineStr">
        <is>
          <t>https://bienasnacks.com/pages/our-story</t>
        </is>
      </c>
      <c r="W23" t="inlineStr">
        <is>
          <t>2026-10-23</t>
        </is>
      </c>
      <c r="X23" t="inlineStr">
        <is>
          <t>brand</t>
        </is>
      </c>
      <c r="Y23">
        <f>IF(EB23&lt;&gt;"Y","",COUNTIFS($EB$2:$EB$1000,"Y",$J$2:$J$1000,"&gt;"&amp;J23)+COUNTIFS($EB$2:$EB$1000,"Y",$J$2:$J$1000,J23,$ED$2:$ED$1000,"&lt;"&amp;ED23)+1)</f>
        <v/>
      </c>
      <c r="Z23" t="n">
        <v>22</v>
      </c>
      <c r="AA23" t="inlineStr">
        <is>
          <t>Y</t>
        </is>
      </c>
      <c r="AB23" t="inlineStr">
        <is>
          <t>find Poorvi Patodia at Biena on LinkedIn and paste the profile URL; before using the retailer line, check Whole Foods Market NoMad still lists it: https://www.wholefoodsmarket.com/search?text=Biena with your store set to NoMad (catalogs change daily); founder review (claim-borderline): read founder_review_reason first</t>
        </is>
      </c>
      <c r="AC23" t="inlineStr">
        <is>
          <t>founder</t>
        </is>
      </c>
      <c r="AD23" t="inlineStr">
        <is>
          <t>verified-page</t>
        </is>
      </c>
      <c r="AE23" t="inlineStr">
        <is>
          <t>employer's own site</t>
        </is>
      </c>
      <c r="AF23" t="inlineStr">
        <is>
          <t>https://bienasnacks.com/pages/our-story</t>
        </is>
      </c>
      <c r="AG23" t="inlineStr">
        <is>
          <t>2026-10-24</t>
        </is>
      </c>
      <c r="AH23" t="inlineStr">
        <is>
          <t>Biena Roasted Edamame, Chili Lime 1.05 oz (9-count); Roasted Chickpeas Sea Salt 5 oz</t>
        </is>
      </c>
      <c r="AI23" t="inlineStr">
        <is>
          <t>other-snack</t>
        </is>
      </c>
      <c r="AJ23" t="inlineStr">
        <is>
          <t>Boston</t>
        </is>
      </c>
      <c r="AK23" t="inlineStr">
        <is>
          <t>https://bienasnacks.com</t>
        </is>
      </c>
      <c r="AL23" t="inlineStr">
        <is>
          <t>Y</t>
        </is>
      </c>
      <c r="AM23" t="inlineStr">
        <is>
          <t>Positioned 'Packed with Protein + Fiber' (nutrient-content claims in site title and product names)</t>
        </is>
      </c>
      <c r="AN23" t="inlineStr">
        <is>
          <t>AB-027</t>
        </is>
      </c>
      <c r="AO23" t="inlineStr">
        <is>
          <t>N</t>
        </is>
      </c>
      <c r="AR23">
        <f>IF(AND(AU23="pass",AO23&lt;&gt;"Y",C23&lt;&gt;""),"Y","N")</f>
        <v/>
      </c>
      <c r="AS23">
        <f>_xlfn.TEXTJOIN("; ",TRUE,IF(AU23&lt;&gt;"pass","gated out",""),IF(AO23="Y","on hold: "&amp;AP23,""),IF(C23="","no contact named on an opened page",""))</f>
        <v/>
      </c>
      <c r="AU23" t="inlineStr">
        <is>
          <t>pass</t>
        </is>
      </c>
      <c r="AW23" t="inlineStr">
        <is>
          <t>passes all hard gates</t>
        </is>
      </c>
      <c r="AX23" t="inlineStr">
        <is>
          <t>claim-borderline</t>
        </is>
      </c>
      <c r="AY23" t="inlineStr">
        <is>
          <t>https://bienasnacks.com</t>
        </is>
      </c>
      <c r="AZ23" t="inlineStr">
        <is>
          <t>MA</t>
        </is>
      </c>
      <c r="BA23" t="inlineStr">
        <is>
          <t>northeast</t>
        </is>
      </c>
      <c r="BB23" t="inlineStr">
        <is>
          <t>unknown</t>
        </is>
      </c>
      <c r="BD23" t="inlineStr">
        <is>
          <t>Y</t>
        </is>
      </c>
      <c r="BE23" t="inlineStr">
        <is>
          <t>Dry-roasted chickpea and edamame snacks in sealed bags, ambient</t>
        </is>
      </c>
      <c r="BF23" t="inlineStr">
        <is>
          <t>Y</t>
        </is>
      </c>
      <c r="BG23" t="inlineStr">
        <is>
          <t>Y</t>
        </is>
      </c>
      <c r="BH23" t="inlineStr">
        <is>
          <t>unknown</t>
        </is>
      </c>
      <c r="BJ23" t="inlineStr">
        <is>
          <t>unknown</t>
        </is>
      </c>
      <c r="BK23" t="inlineStr">
        <is>
          <t>N</t>
        </is>
      </c>
      <c r="BL23" t="inlineStr">
        <is>
          <t>N</t>
        </is>
      </c>
      <c r="BN23" t="n">
        <v>0</v>
      </c>
      <c r="BO23" t="inlineStr">
        <is>
          <t>Y</t>
        </is>
      </c>
      <c r="BP23" t="n">
        <v>2</v>
      </c>
      <c r="BQ23" t="inlineStr">
        <is>
          <t>Whole Foods Market NoMad, 63 Madison Ave (store_selector, inside);Whole Foods Market Union Square, 4 Union Sq S (store_selector, inside)</t>
        </is>
      </c>
      <c r="BS23" t="inlineStr">
        <is>
          <t>Whole Foods Market</t>
        </is>
      </c>
      <c r="BT23" t="inlineStr">
        <is>
          <t>https://www.wholefoodsmarket.com/search?text=biena (store context Union Square 10162 and NoMad 10773: roasted chickpeas and edamame IN_STOCK 2026-10-23)</t>
        </is>
      </c>
      <c r="BU23" t="inlineStr">
        <is>
          <t>listing</t>
        </is>
      </c>
      <c r="BV23" t="n">
        <v>5</v>
      </c>
      <c r="BX23" t="inlineStr">
        <is>
          <t>Poorvi Patodia</t>
        </is>
      </c>
      <c r="BY23" t="inlineStr">
        <is>
          <t>Our Story page.</t>
        </is>
      </c>
      <c r="CA23" t="inlineStr">
        <is>
          <t>Samantha Sieloff</t>
        </is>
      </c>
      <c r="CB23" t="inlineStr">
        <is>
          <t>Samantha</t>
        </is>
      </c>
      <c r="CC23" t="inlineStr">
        <is>
          <t>Sieloff</t>
        </is>
      </c>
      <c r="CD23" t="inlineStr">
        <is>
          <t>Director of Brand Marketing</t>
        </is>
      </c>
      <c r="CE23" t="inlineStr">
        <is>
          <t>marketing lead</t>
        </is>
      </c>
      <c r="CF23" t="inlineStr">
        <is>
          <t>verified-page</t>
        </is>
      </c>
      <c r="CG23" t="inlineStr">
        <is>
          <t>The Org (updated 2024-11-12): Director of Brand Marketing since 2023.</t>
        </is>
      </c>
      <c r="CK23" t="inlineStr">
        <is>
          <t>none</t>
        </is>
      </c>
      <c r="CL23" t="n">
        <v>62</v>
      </c>
      <c r="CM23" t="n">
        <v>25</v>
      </c>
      <c r="CN23" t="n">
        <v>8</v>
      </c>
      <c r="CO23" t="n">
        <v>8</v>
      </c>
      <c r="CP23" t="n">
        <v>5</v>
      </c>
      <c r="CQ23" t="n">
        <v>10</v>
      </c>
      <c r="CR23" t="n">
        <v>10</v>
      </c>
      <c r="CS23">
        <f>IF(R23="Y",10,0)</f>
        <v/>
      </c>
      <c r="CT23" t="n">
        <v>-4</v>
      </c>
      <c r="CU23" t="inlineStr">
        <is>
          <t>unknown</t>
        </is>
      </c>
      <c r="CV23" t="inlineStr">
        <is>
          <t>BR1</t>
        </is>
      </c>
      <c r="CW23" t="inlineStr">
        <is>
          <t>BR1:28</t>
        </is>
      </c>
      <c r="CX23" t="inlineStr">
        <is>
          <t>Legume snack (chickpea, edamame); category other-snack. HQ not stated on site or policy pages. why_now dates are Shopify published_at.</t>
        </is>
      </c>
      <c r="CY23" t="inlineStr">
        <is>
          <t xml:space="preserve">hq_city &lt;- https://bienasnacks.com/policies/refund-policy (2026-10-24, opened); hq_state &lt;- https://bienasnacks.com/policies/refund-policy (2026-10-24, opened); </t>
        </is>
      </c>
      <c r="CZ23" t="inlineStr">
        <is>
          <t>https://theorg.com/org/biena-snacks/person/samantha-sieloff</t>
        </is>
      </c>
      <c r="DA23" t="inlineStr">
        <is>
          <t>stage 2</t>
        </is>
      </c>
      <c r="DC23" t="inlineStr">
        <is>
          <t>The Org (crowd-edited org chart)</t>
        </is>
      </c>
      <c r="DD23" t="inlineStr">
        <is>
          <t>2024-11-12</t>
        </is>
      </c>
      <c r="DY23">
        <f>IF(ISNUMBER(MATCH(U23,{"queued","contacted","replied","call_booked","call_done","yes_in_principle","materials_sent"},0)),"Y","N")</f>
        <v/>
      </c>
      <c r="DZ23">
        <f>IF(COUNTIFS($AN$2:$AN$1000,AN23,$DY$2:$DY$1000,"Y")+COUNTIFS($AN$2:$AN$1000,AN23,$T$2:$T$1000,"Y")&gt;0,"Y","N")</f>
        <v/>
      </c>
      <c r="EA23">
        <f>IF(AND(U23="new",T23="N",AR23="Y",AQ23="",DZ23="N"),"Y","N")</f>
        <v/>
      </c>
      <c r="EB23">
        <f>IF(EA23&lt;&gt;"Y","N",IF(COUNTIFS($AN$2:$AN$1000,AN23,$EA$2:$EA$1000,"Y",$J$2:$J$1000,"&gt;"&amp;J23)+COUNTIFS($AN$2:$AN$1000,AN23,$EA$2:$EA$1000,"Y",$J$2:$J$1000,J23,$ED$2:$ED$1000,"&lt;"&amp;ED23)=0,"Y","N"))</f>
        <v/>
      </c>
      <c r="EC23">
        <f>IF(Y23="","N",IF(Y23&lt;=10,"Y","N"))</f>
        <v/>
      </c>
      <c r="ED23">
        <f>ROW()-1</f>
        <v/>
      </c>
    </row>
    <row r="24">
      <c r="A24" t="inlineStr">
        <is>
          <t>AB-207</t>
        </is>
      </c>
      <c r="B24" t="inlineStr">
        <is>
          <t>Stiller's Soda</t>
        </is>
      </c>
      <c r="C24" t="inlineStr">
        <is>
          <t>Alex</t>
        </is>
      </c>
      <c r="D24" t="inlineStr">
        <is>
          <t>Doman</t>
        </is>
      </c>
      <c r="E24" t="inlineStr">
        <is>
          <t>Co-founder</t>
        </is>
      </c>
      <c r="H24" t="inlineStr">
        <is>
          <t>none</t>
        </is>
      </c>
      <c r="I24" t="inlineStr">
        <is>
          <t>linkedin</t>
        </is>
      </c>
      <c r="J24">
        <f>IF(AU24="pass",CM24+CN24+CO24+CP24+CQ24+CR24+CS24+CT24,0)</f>
        <v/>
      </c>
      <c r="K24" t="inlineStr">
        <is>
          <t>New York City brand, store page shows Whole Foods Market NoMad inside the cluster, news 208 days ago, revenue unknown, contact named; founder review: scale, claim-borderline.</t>
        </is>
      </c>
      <c r="M24" t="inlineStr">
        <is>
          <t>Whole Foods Market NoMad, 63 Madison Ave</t>
        </is>
      </c>
      <c r="N24" t="inlineStr">
        <is>
          <t>store_selector</t>
        </is>
      </c>
      <c r="O24" t="inlineStr">
        <is>
          <t>Launched fourth flavor Shirley Cola into Walmart and Whole Foods in the Northeast and Target nationwide</t>
        </is>
      </c>
      <c r="P24" t="inlineStr">
        <is>
          <t>https://www.bevindustry.com/articles/98256-stillers-soda-shirley-cola</t>
        </is>
      </c>
      <c r="Q24" t="inlineStr">
        <is>
          <t>2026-03-30</t>
        </is>
      </c>
      <c r="R24" t="inlineStr">
        <is>
          <t>N</t>
        </is>
      </c>
      <c r="S24" t="inlineStr">
        <is>
          <t>unknown</t>
        </is>
      </c>
      <c r="T24" t="inlineStr">
        <is>
          <t>N</t>
        </is>
      </c>
      <c r="U24" t="inlineStr">
        <is>
          <t>new</t>
        </is>
      </c>
      <c r="V24" t="inlineStr">
        <is>
          <t>https://stillerssoda.com/</t>
        </is>
      </c>
      <c r="W24" t="inlineStr">
        <is>
          <t>2026-10-23</t>
        </is>
      </c>
      <c r="X24" t="inlineStr">
        <is>
          <t>brand</t>
        </is>
      </c>
      <c r="Y24">
        <f>IF(EB24&lt;&gt;"Y","",COUNTIFS($EB$2:$EB$1000,"Y",$J$2:$J$1000,"&gt;"&amp;J24)+COUNTIFS($EB$2:$EB$1000,"Y",$J$2:$J$1000,J24,$ED$2:$ED$1000,"&lt;"&amp;ED24)+1)</f>
        <v/>
      </c>
      <c r="Z24" t="n">
        <v>23</v>
      </c>
      <c r="AA24" t="inlineStr">
        <is>
          <t>Y</t>
        </is>
      </c>
      <c r="AB24" t="inlineStr">
        <is>
          <t>find Alex Doman at Stiller's Soda on LinkedIn and paste the profile URL; before using the retailer line, check Whole Foods Market NoMad still lists it: https://www.wholefoodsmarket.com/search?text=Stiller%27s%20Soda with your store set to NoMad (catalogs change daily); founder review (scale, claim-borderline): read founder_review_reason first</t>
        </is>
      </c>
      <c r="AC24" t="inlineStr">
        <is>
          <t>founder</t>
        </is>
      </c>
      <c r="AD24" t="inlineStr">
        <is>
          <t>verified-page</t>
        </is>
      </c>
      <c r="AE24" t="inlineStr">
        <is>
          <t>press, event or podcast page</t>
        </is>
      </c>
      <c r="AF24" t="inlineStr">
        <is>
          <t>https://www.foodbusinessnews.net/articles/29686-the-goldilocks-of-soda</t>
        </is>
      </c>
      <c r="AG24" t="inlineStr">
        <is>
          <t>2026-10-24</t>
        </is>
      </c>
      <c r="AH24" t="inlineStr">
        <is>
          <t>Shirley Temple Soda 12 fl oz can (also Root Beer, Lemon Lime, Shirley Cola)</t>
        </is>
      </c>
      <c r="AI24" t="inlineStr">
        <is>
          <t>sparkling-soda</t>
        </is>
      </c>
      <c r="AJ24" t="inlineStr">
        <is>
          <t>Brooklyn (privacy policy: 184 Kent Avenue, B514, Brooklyn, NY 11249)</t>
        </is>
      </c>
      <c r="AK24" t="inlineStr">
        <is>
          <t>https://stillerssoda.com</t>
        </is>
      </c>
      <c r="AL24" t="inlineStr">
        <is>
          <t>Y</t>
        </is>
      </c>
      <c r="AM24" t="inlineStr">
        <is>
          <t>Nutrient-content claims ('Only 30 Calories', 'low in calories'); celebrity co-founder (Ben Stiller) may mean a larger marketing budget than the target profile</t>
        </is>
      </c>
      <c r="AN24" t="inlineStr">
        <is>
          <t>AB-207</t>
        </is>
      </c>
      <c r="AO24" t="inlineStr">
        <is>
          <t>N</t>
        </is>
      </c>
      <c r="AR24">
        <f>IF(AND(AU24="pass",AO24&lt;&gt;"Y",C24&lt;&gt;""),"Y","N")</f>
        <v/>
      </c>
      <c r="AS24">
        <f>_xlfn.TEXTJOIN("; ",TRUE,IF(AU24&lt;&gt;"pass","gated out",""),IF(AO24="Y","on hold: "&amp;AP24,""),IF(C24="","no contact named on an opened page",""))</f>
        <v/>
      </c>
      <c r="AU24" t="inlineStr">
        <is>
          <t>pass</t>
        </is>
      </c>
      <c r="AW24" t="inlineStr">
        <is>
          <t>passes all hard gates</t>
        </is>
      </c>
      <c r="AX24" t="inlineStr">
        <is>
          <t>scale;claim-borderline</t>
        </is>
      </c>
      <c r="AY24" t="inlineStr">
        <is>
          <t>https://stillerssoda.com</t>
        </is>
      </c>
      <c r="AZ24" t="inlineStr">
        <is>
          <t>NY</t>
        </is>
      </c>
      <c r="BA24" t="inlineStr">
        <is>
          <t>nyc</t>
        </is>
      </c>
      <c r="BB24" t="inlineStr">
        <is>
          <t>unknown</t>
        </is>
      </c>
      <c r="BD24" t="inlineStr">
        <is>
          <t>Y</t>
        </is>
      </c>
      <c r="BE24" t="inlineStr">
        <is>
          <t>Canned carbonated soft drink sold in ambient soda aisle (WFM lists 12 FZ cans); no shelf-life figure published, founder to confirm 60+ days</t>
        </is>
      </c>
      <c r="BF24" t="inlineStr">
        <is>
          <t>Y</t>
        </is>
      </c>
      <c r="BG24" t="inlineStr">
        <is>
          <t>Y</t>
        </is>
      </c>
      <c r="BH24" t="inlineStr">
        <is>
          <t>unknown</t>
        </is>
      </c>
      <c r="BJ24" t="inlineStr">
        <is>
          <t>unknown</t>
        </is>
      </c>
      <c r="BK24" t="inlineStr">
        <is>
          <t>N</t>
        </is>
      </c>
      <c r="BL24" t="inlineStr">
        <is>
          <t>N</t>
        </is>
      </c>
      <c r="BN24" t="n">
        <v>0</v>
      </c>
      <c r="BO24" t="inlineStr">
        <is>
          <t>Y</t>
        </is>
      </c>
      <c r="BP24" t="n">
        <v>10</v>
      </c>
      <c r="BQ24" t="inlineStr">
        <is>
          <t>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is>
      </c>
      <c r="BR24" t="inlineStr">
        <is>
          <t>Whole Foods Market Manhattan West (store_selector, 13.8 blocks out)</t>
        </is>
      </c>
      <c r="BS24" t="inlineStr">
        <is>
          <t>Whole Foods Market; Walmart; Target; Amazon; Katz's Deli (BevNET/QSR headlines, search results)</t>
        </is>
      </c>
      <c r="BT24" t="inlineStr">
        <is>
          <t>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is>
      </c>
      <c r="BU24" t="inlineStr">
        <is>
          <t>press</t>
        </is>
      </c>
      <c r="BV24" t="n">
        <v>208</v>
      </c>
      <c r="BX24" t="inlineStr">
        <is>
          <t>Alex Doman</t>
        </is>
      </c>
      <c r="BY24" t="inlineStr">
        <is>
          <t>Food Business News: co-launched in 2025 by Ben Stiller and Alex Doman. The Org (https://theorg.com/org/stillers-soda/person/alexander-doman, updated 2026-08-31) lists Alexander Doman, "President of Global Soda Affairs" and co-founder.</t>
        </is>
      </c>
      <c r="CF24" t="inlineStr">
        <is>
          <t>none</t>
        </is>
      </c>
      <c r="CK24" t="inlineStr">
        <is>
          <t>none</t>
        </is>
      </c>
      <c r="CL24" t="n">
        <v>62</v>
      </c>
      <c r="CM24" t="n">
        <v>25</v>
      </c>
      <c r="CN24" t="n">
        <v>20</v>
      </c>
      <c r="CO24" t="n">
        <v>8</v>
      </c>
      <c r="CP24" t="n">
        <v>5</v>
      </c>
      <c r="CQ24" t="n">
        <v>10</v>
      </c>
      <c r="CR24" t="n">
        <v>6</v>
      </c>
      <c r="CS24">
        <f>IF(R24="Y",10,0)</f>
        <v/>
      </c>
      <c r="CT24" t="n">
        <v>-12</v>
      </c>
      <c r="CU24" t="inlineStr">
        <is>
          <t>https://www.instagram.com/stillerssoda</t>
        </is>
      </c>
      <c r="CV24" t="inlineStr">
        <is>
          <t>BR4</t>
        </is>
      </c>
      <c r="CW24" t="inlineStr">
        <is>
          <t>BR4:2</t>
        </is>
      </c>
      <c r="CX24" t="inlineStr">
        <is>
          <t>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is>
      </c>
      <c r="CY24" t="inlineStr">
        <is>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is>
      </c>
      <c r="DA24" t="inlineStr">
        <is>
          <t>stage 2</t>
        </is>
      </c>
      <c r="DB24" t="inlineStr">
        <is>
          <t>2026-08-31</t>
        </is>
      </c>
      <c r="DE24" t="inlineStr">
        <is>
          <t>Shop buttons route to Amazon</t>
        </is>
      </c>
      <c r="DY24">
        <f>IF(ISNUMBER(MATCH(U24,{"queued","contacted","replied","call_booked","call_done","yes_in_principle","materials_sent"},0)),"Y","N")</f>
        <v/>
      </c>
      <c r="DZ24">
        <f>IF(COUNTIFS($AN$2:$AN$1000,AN24,$DY$2:$DY$1000,"Y")+COUNTIFS($AN$2:$AN$1000,AN24,$T$2:$T$1000,"Y")&gt;0,"Y","N")</f>
        <v/>
      </c>
      <c r="EA24">
        <f>IF(AND(U24="new",T24="N",AR24="Y",AQ24="",DZ24="N"),"Y","N")</f>
        <v/>
      </c>
      <c r="EB24">
        <f>IF(EA24&lt;&gt;"Y","N",IF(COUNTIFS($AN$2:$AN$1000,AN24,$EA$2:$EA$1000,"Y",$J$2:$J$1000,"&gt;"&amp;J24)+COUNTIFS($AN$2:$AN$1000,AN24,$EA$2:$EA$1000,"Y",$J$2:$J$1000,J24,$ED$2:$ED$1000,"&lt;"&amp;ED24)=0,"Y","N"))</f>
        <v/>
      </c>
      <c r="EC24">
        <f>IF(Y24="","N",IF(Y24&lt;=10,"Y","N"))</f>
        <v/>
      </c>
      <c r="ED24">
        <f>ROW()-1</f>
        <v/>
      </c>
    </row>
    <row r="25">
      <c r="A25" t="inlineStr">
        <is>
          <t>AB-106</t>
        </is>
      </c>
      <c r="B25" t="inlineStr">
        <is>
          <t>Taza Chocolate</t>
        </is>
      </c>
      <c r="C25" t="inlineStr">
        <is>
          <t>Alex</t>
        </is>
      </c>
      <c r="D25" t="inlineStr">
        <is>
          <t>Whitmore</t>
        </is>
      </c>
      <c r="E25" t="inlineStr">
        <is>
          <t>Founder and CEO</t>
        </is>
      </c>
      <c r="H25" t="inlineStr">
        <is>
          <t>none</t>
        </is>
      </c>
      <c r="I25" t="inlineStr">
        <is>
          <t>linkedin</t>
        </is>
      </c>
      <c r="J25">
        <f>IF(AU25="pass",CM25+CN25+CO25+CP25+CQ25+CR25+CS25+CT25,0)</f>
        <v/>
      </c>
      <c r="K25" t="inlineStr">
        <is>
          <t>Northeast brand, store page shows Whole Foods Market NoMad inside the cluster, a new store listing 50 days ago, revenue unknown, contact named; founder review: shelf life not stated.</t>
        </is>
      </c>
      <c r="M25" t="inlineStr">
        <is>
          <t>Whole Foods Market NoMad, 63 Madison Ave</t>
        </is>
      </c>
      <c r="N25" t="inlineStr">
        <is>
          <t>store_selector</t>
        </is>
      </c>
      <c r="O25" t="inlineStr">
        <is>
          <t>Holiday 2026 bars and chocolate-covered fruit added to brand store, Aug to Sept 2026</t>
        </is>
      </c>
      <c r="P25" t="inlineStr">
        <is>
          <t>https://www.tazachocolate.com/</t>
        </is>
      </c>
      <c r="Q25" t="inlineStr">
        <is>
          <t>2026-09-04</t>
        </is>
      </c>
      <c r="R25" t="inlineStr">
        <is>
          <t>N</t>
        </is>
      </c>
      <c r="S25" t="inlineStr">
        <is>
          <t>unknown</t>
        </is>
      </c>
      <c r="T25" t="inlineStr">
        <is>
          <t>N</t>
        </is>
      </c>
      <c r="U25" t="inlineStr">
        <is>
          <t>new</t>
        </is>
      </c>
      <c r="V25" t="inlineStr">
        <is>
          <t>https://www.tazachocolate.com/pages/about-taza</t>
        </is>
      </c>
      <c r="W25" t="inlineStr">
        <is>
          <t>2026-10-23</t>
        </is>
      </c>
      <c r="X25" t="inlineStr">
        <is>
          <t>brand</t>
        </is>
      </c>
      <c r="Y25">
        <f>IF(EB25&lt;&gt;"Y","",COUNTIFS($EB$2:$EB$1000,"Y",$J$2:$J$1000,"&gt;"&amp;J25)+COUNTIFS($EB$2:$EB$1000,"Y",$J$2:$J$1000,J25,$ED$2:$ED$1000,"&lt;"&amp;ED25)+1)</f>
        <v/>
      </c>
      <c r="Z25" t="n">
        <v>24</v>
      </c>
      <c r="AA25" t="inlineStr">
        <is>
          <t>Y</t>
        </is>
      </c>
      <c r="AB25" t="inlineStr">
        <is>
          <t>find Alex Whitmore at Taza Chocolate on LinkedIn and paste the profile URL; before using the retailer line, check Whole Foods Market NoMad still lists it: https://www.wholefoodsmarket.com/search?text=Taza%20Chocolate with your store set to NoMad (catalogs change daily); founder review (shelf life or online store): read founder_review_reason first</t>
        </is>
      </c>
      <c r="AC25" t="inlineStr">
        <is>
          <t>founder</t>
        </is>
      </c>
      <c r="AD25" t="inlineStr">
        <is>
          <t>verified-page</t>
        </is>
      </c>
      <c r="AE25" t="inlineStr">
        <is>
          <t>employer's own site</t>
        </is>
      </c>
      <c r="AF25" t="inlineStr">
        <is>
          <t>https://www.tazachocolate.com/pages/about-taza</t>
        </is>
      </c>
      <c r="AG25" t="inlineStr">
        <is>
          <t>2026-10-24</t>
        </is>
      </c>
      <c r="AH25" t="inlineStr">
        <is>
          <t>Organic Chocolate Coffee Disc 2.7 oz; Holiday Toffee, Almond &amp; Sea Salt Bar</t>
        </is>
      </c>
      <c r="AI25" t="inlineStr">
        <is>
          <t>chocolate-candy</t>
        </is>
      </c>
      <c r="AJ25" t="inlineStr">
        <is>
          <t>Somerville</t>
        </is>
      </c>
      <c r="AK25" t="inlineStr">
        <is>
          <t>https://www.tazachocolate.com</t>
        </is>
      </c>
      <c r="AL25" t="inlineStr">
        <is>
          <t>Y</t>
        </is>
      </c>
      <c r="AM25" t="inlineStr">
        <is>
          <t>60-day shelf life not stated</t>
        </is>
      </c>
      <c r="AN25" t="inlineStr">
        <is>
          <t>AB-106</t>
        </is>
      </c>
      <c r="AO25" t="inlineStr">
        <is>
          <t>N</t>
        </is>
      </c>
      <c r="AR25">
        <f>IF(AND(AU25="pass",AO25&lt;&gt;"Y",C25&lt;&gt;""),"Y","N")</f>
        <v/>
      </c>
      <c r="AS25">
        <f>_xlfn.TEXTJOIN("; ",TRUE,IF(AU25&lt;&gt;"pass","gated out",""),IF(AO25="Y","on hold: "&amp;AP25,""),IF(C25="","no contact named on an opened page",""))</f>
        <v/>
      </c>
      <c r="AU25" t="inlineStr">
        <is>
          <t>pass</t>
        </is>
      </c>
      <c r="AW25" t="inlineStr">
        <is>
          <t>passes all hard gates</t>
        </is>
      </c>
      <c r="AY25" t="inlineStr">
        <is>
          <t>https://www.tazachocolate.com</t>
        </is>
      </c>
      <c r="AZ25" t="inlineStr">
        <is>
          <t>MA</t>
        </is>
      </c>
      <c r="BA25" t="inlineStr">
        <is>
          <t>northeast</t>
        </is>
      </c>
      <c r="BB25" t="inlineStr">
        <is>
          <t>unknown</t>
        </is>
      </c>
      <c r="BD25" t="inlineStr">
        <is>
          <t>likely</t>
        </is>
      </c>
      <c r="BE25" t="inlineStr">
        <is>
          <t>Wrapped stone-ground chocolate sold ambient at Whole Foods; shelf-life figure not found</t>
        </is>
      </c>
      <c r="BF25" t="inlineStr">
        <is>
          <t>Y</t>
        </is>
      </c>
      <c r="BG25" t="inlineStr">
        <is>
          <t>Y</t>
        </is>
      </c>
      <c r="BH25" t="inlineStr">
        <is>
          <t>unknown</t>
        </is>
      </c>
      <c r="BJ25" t="inlineStr">
        <is>
          <t>unknown</t>
        </is>
      </c>
      <c r="BK25" t="inlineStr">
        <is>
          <t>N</t>
        </is>
      </c>
      <c r="BL25" t="inlineStr">
        <is>
          <t>N</t>
        </is>
      </c>
      <c r="BN25" t="n">
        <v>0</v>
      </c>
      <c r="BO25" t="inlineStr">
        <is>
          <t>Y</t>
        </is>
      </c>
      <c r="BP25" t="n">
        <v>3</v>
      </c>
      <c r="BQ25" t="inlineStr">
        <is>
          <t>Whole Foods Market NoMad, 63 Madison Ave (store_selector, inside);Whole Foods Market Union Square, 4 Union Sq S (store_selector, inside);Whole Foods Market Chelsea, 250 7th Ave (store_selector, 3.0 blocks out)</t>
        </is>
      </c>
      <c r="BS25" t="inlineStr">
        <is>
          <t>Whole Foods; factory store in Somerville</t>
        </is>
      </c>
      <c r="BT25" t="inlineStr">
        <is>
          <t>https://www.wholefoodsmarket.com/api/search?text=taza%20chocolate&amp;store=10162&amp;limit=60&amp;offset=0; https://www.wholefoodsmarket.com/api/search?text=taza%20chocolate&amp;store=10773&amp;limit=60&amp;offset=0; https://www.wholefoodsmarket.com/api/search?text=taza%20chocolate&amp;store=10131&amp;limit=60&amp;offset=0</t>
        </is>
      </c>
      <c r="BU25" t="inlineStr">
        <is>
          <t>listing</t>
        </is>
      </c>
      <c r="BV25" t="n">
        <v>50</v>
      </c>
      <c r="BX25" t="inlineStr">
        <is>
          <t>Alex Whitmore</t>
        </is>
      </c>
      <c r="BY25" t="inlineStr">
        <is>
          <t>About page: "Taza founder and CEO Alex Whitmore". Kara Goldin Show page agrees; it lists no LinkedIn URL.</t>
        </is>
      </c>
      <c r="CA25" t="inlineStr">
        <is>
          <t>Stephanie Larason</t>
        </is>
      </c>
      <c r="CE25" t="inlineStr">
        <is>
          <t>marketing lead</t>
        </is>
      </c>
      <c r="CF25" t="inlineStr">
        <is>
          <t>unverified</t>
        </is>
      </c>
      <c r="CG25" t="inlineStr">
        <is>
          <t>Stage-1 LinkedIn search snippet (one snapshot about 4.5 years old); not opened. Two searches on 2026-10-24 found no current marketing name (a 2018 COO and CMO appointment is stale).</t>
        </is>
      </c>
      <c r="CH25" t="inlineStr">
        <is>
          <t>https://www.linkedin.com/in/slarason/</t>
        </is>
      </c>
      <c r="CI25" t="inlineStr">
        <is>
          <t>search result, not opened</t>
        </is>
      </c>
      <c r="CK25" t="inlineStr">
        <is>
          <t>none</t>
        </is>
      </c>
      <c r="CL25" t="n">
        <v>62</v>
      </c>
      <c r="CM25" t="n">
        <v>25</v>
      </c>
      <c r="CN25" t="n">
        <v>8</v>
      </c>
      <c r="CO25" t="n">
        <v>8</v>
      </c>
      <c r="CP25" t="n">
        <v>5</v>
      </c>
      <c r="CQ25" t="n">
        <v>8</v>
      </c>
      <c r="CR25" t="n">
        <v>8</v>
      </c>
      <c r="CS25">
        <f>IF(R25="Y",10,0)</f>
        <v/>
      </c>
      <c r="CT25" t="n">
        <v>0</v>
      </c>
      <c r="CU25" t="inlineStr">
        <is>
          <t>https://www.instagram.com/tazachocolate/</t>
        </is>
      </c>
      <c r="CV25" t="inlineStr">
        <is>
          <t>BR2</t>
        </is>
      </c>
      <c r="CW25" t="inlineStr">
        <is>
          <t>BR2:44</t>
        </is>
      </c>
      <c r="CX25" t="inlineStr">
        <is>
          <t>Founded 2005, Direct Trade cacao. 'Spiked Eggnog' is a flavor name; confirm it has no alcohol before offering. Why-now from Shopify publish dates.</t>
        </is>
      </c>
      <c r="CY25" t="inlineStr">
        <is>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is>
      </c>
      <c r="CZ25" t="inlineStr">
        <is>
          <t>https://www.linkedin.com/in/slarason/</t>
        </is>
      </c>
      <c r="DA25" t="inlineStr">
        <is>
          <t>stage 2</t>
        </is>
      </c>
      <c r="DC25" t="inlineStr">
        <is>
          <t>search snippet only (not opened)</t>
        </is>
      </c>
      <c r="DY25">
        <f>IF(ISNUMBER(MATCH(U25,{"queued","contacted","replied","call_booked","call_done","yes_in_principle","materials_sent"},0)),"Y","N")</f>
        <v/>
      </c>
      <c r="DZ25">
        <f>IF(COUNTIFS($AN$2:$AN$1000,AN25,$DY$2:$DY$1000,"Y")+COUNTIFS($AN$2:$AN$1000,AN25,$T$2:$T$1000,"Y")&gt;0,"Y","N")</f>
        <v/>
      </c>
      <c r="EA25">
        <f>IF(AND(U25="new",T25="N",AR25="Y",AQ25="",DZ25="N"),"Y","N")</f>
        <v/>
      </c>
      <c r="EB25">
        <f>IF(EA25&lt;&gt;"Y","N",IF(COUNTIFS($AN$2:$AN$1000,AN25,$EA$2:$EA$1000,"Y",$J$2:$J$1000,"&gt;"&amp;J25)+COUNTIFS($AN$2:$AN$1000,AN25,$EA$2:$EA$1000,"Y",$J$2:$J$1000,J25,$ED$2:$ED$1000,"&lt;"&amp;ED25)=0,"Y","N"))</f>
        <v/>
      </c>
      <c r="EC25">
        <f>IF(Y25="","N",IF(Y25&lt;=10,"Y","N"))</f>
        <v/>
      </c>
      <c r="ED25">
        <f>ROW()-1</f>
        <v/>
      </c>
    </row>
    <row r="26">
      <c r="A26" t="inlineStr">
        <is>
          <t>AB-239</t>
        </is>
      </c>
      <c r="B26" t="inlineStr">
        <is>
          <t>Hella Cocktail Co.</t>
        </is>
      </c>
      <c r="C26" t="inlineStr">
        <is>
          <t>Tobin</t>
        </is>
      </c>
      <c r="D26" t="inlineStr">
        <is>
          <t>Ludwig</t>
        </is>
      </c>
      <c r="E26" t="inlineStr">
        <is>
          <t>Co-founder and COO</t>
        </is>
      </c>
      <c r="H26" t="inlineStr">
        <is>
          <t>none</t>
        </is>
      </c>
      <c r="I26" t="inlineStr">
        <is>
          <t>linkedin</t>
        </is>
      </c>
      <c r="J26">
        <f>IF(AU26="pass",CM26+CN26+CO26+CP26+CQ26+CR26+CS26+CT26,0)</f>
        <v/>
      </c>
      <c r="K26" t="inlineStr">
        <is>
          <t>New York City brand (HQ unverified), store page shows Whole Foods Market NoMad inside the cluster, no dated why-now in the last 12 months, revenue unknown, contact named plus a marketing lead; founder review: alcohol-adjacent.</t>
        </is>
      </c>
      <c r="M26" t="inlineStr">
        <is>
          <t>Whole Foods Market NoMad, 63 Madison Ave</t>
        </is>
      </c>
      <c r="N26" t="inlineStr">
        <is>
          <t>store_selector</t>
        </is>
      </c>
      <c r="R26" t="inlineStr">
        <is>
          <t>N</t>
        </is>
      </c>
      <c r="S26" t="inlineStr">
        <is>
          <t>unknown</t>
        </is>
      </c>
      <c r="T26" t="inlineStr">
        <is>
          <t>N</t>
        </is>
      </c>
      <c r="U26" t="inlineStr">
        <is>
          <t>new</t>
        </is>
      </c>
      <c r="V26" t="inlineStr">
        <is>
          <t>https://hellacocktail.co/</t>
        </is>
      </c>
      <c r="W26" t="inlineStr">
        <is>
          <t>2026-10-23</t>
        </is>
      </c>
      <c r="X26" t="inlineStr">
        <is>
          <t>brand</t>
        </is>
      </c>
      <c r="Y26">
        <f>IF(EB26&lt;&gt;"Y","",COUNTIFS($EB$2:$EB$1000,"Y",$J$2:$J$1000,"&gt;"&amp;J26)+COUNTIFS($EB$2:$EB$1000,"Y",$J$2:$J$1000,J26,$ED$2:$ED$1000,"&lt;"&amp;ED26)+1)</f>
        <v/>
      </c>
      <c r="Z26" t="n">
        <v>25</v>
      </c>
      <c r="AA26" t="inlineStr">
        <is>
          <t>Y</t>
        </is>
      </c>
      <c r="AB26" t="inlineStr">
        <is>
          <t>find Tobin Ludwig at Hella Cocktail Co. on LinkedIn and paste the profile URL; before using the retailer line, check Whole Foods Market NoMad still lists it: https://www.wholefoodsmarket.com/search?text=Hella%20Cocktail%20Co. with your store set to NoMad (catalogs change daily); founder review (alcohol-adjacent): read founder_review_reason first</t>
        </is>
      </c>
      <c r="AC26" t="inlineStr">
        <is>
          <t>founder</t>
        </is>
      </c>
      <c r="AD26" t="inlineStr">
        <is>
          <t>verified-page</t>
        </is>
      </c>
      <c r="AE26" t="inlineStr">
        <is>
          <t>employer's own site</t>
        </is>
      </c>
      <c r="AF26" t="inlineStr">
        <is>
          <t>https://hellacocktail.co/pages/meet-the-founders</t>
        </is>
      </c>
      <c r="AG26" t="inlineStr">
        <is>
          <t>2026-10-24</t>
        </is>
      </c>
      <c r="AH26" t="inlineStr">
        <is>
          <t>Dry Bitters &amp; Soda, 12 fl oz can (non-alcoholic sparkling aperitif)</t>
        </is>
      </c>
      <c r="AI26" t="inlineStr">
        <is>
          <t>sparkling-soda</t>
        </is>
      </c>
      <c r="AJ26" t="inlineStr">
        <is>
          <t>unknown (founders split: Jomaree Pinkard, co-founder and chairman, New York, NY; Eddie Simeón, CMO, Los Angeles, CA; Tobin Ludwig, COO, Ann Arbor, MI; BevNET 2023 headline calls it New York-based, page blocked, unverified, founder to confirm)</t>
        </is>
      </c>
      <c r="AK26" t="inlineStr">
        <is>
          <t>https://hellacocktail.co</t>
        </is>
      </c>
      <c r="AL26" t="inlineStr">
        <is>
          <t>Y</t>
        </is>
      </c>
      <c r="AM26" t="inlineStr">
        <is>
          <t>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is>
      </c>
      <c r="AN26" t="inlineStr">
        <is>
          <t>AB-239</t>
        </is>
      </c>
      <c r="AO26" t="inlineStr">
        <is>
          <t>N</t>
        </is>
      </c>
      <c r="AR26">
        <f>IF(AND(AU26="pass",AO26&lt;&gt;"Y",C26&lt;&gt;""),"Y","N")</f>
        <v/>
      </c>
      <c r="AS26">
        <f>_xlfn.TEXTJOIN("; ",TRUE,IF(AU26&lt;&gt;"pass","gated out",""),IF(AO26="Y","on hold: "&amp;AP26,""),IF(C26="","no contact named on an opened page",""))</f>
        <v/>
      </c>
      <c r="AU26" t="inlineStr">
        <is>
          <t>pass</t>
        </is>
      </c>
      <c r="AW26" t="inlineStr">
        <is>
          <t>passes all hard gates</t>
        </is>
      </c>
      <c r="AX26" t="inlineStr">
        <is>
          <t>alcohol-adjacent</t>
        </is>
      </c>
      <c r="AY26" t="inlineStr">
        <is>
          <t>https://hellacocktail.co</t>
        </is>
      </c>
      <c r="AZ26" t="inlineStr">
        <is>
          <t>unknown</t>
        </is>
      </c>
      <c r="BA26" t="inlineStr">
        <is>
          <t>nyc (unverified)</t>
        </is>
      </c>
      <c r="BB26" t="inlineStr">
        <is>
          <t>unknown</t>
        </is>
      </c>
      <c r="BD26" t="inlineStr">
        <is>
          <t>Y</t>
        </is>
      </c>
      <c r="BE26" t="inlineStr">
        <is>
          <t>Canned sparkling drink sold ambient; no shelf-life figure published, founder to confirm</t>
        </is>
      </c>
      <c r="BF26" t="inlineStr">
        <is>
          <t>Y</t>
        </is>
      </c>
      <c r="BG26" t="inlineStr">
        <is>
          <t>Y</t>
        </is>
      </c>
      <c r="BH26" t="inlineStr">
        <is>
          <t>unknown</t>
        </is>
      </c>
      <c r="BJ26" t="inlineStr">
        <is>
          <t>unknown</t>
        </is>
      </c>
      <c r="BK26" t="inlineStr">
        <is>
          <t>N</t>
        </is>
      </c>
      <c r="BL26" t="inlineStr">
        <is>
          <t>N</t>
        </is>
      </c>
      <c r="BN26" t="n">
        <v>0</v>
      </c>
      <c r="BO26" t="inlineStr">
        <is>
          <t>Y</t>
        </is>
      </c>
      <c r="BP26" t="n">
        <v>3</v>
      </c>
      <c r="BQ26" t="inlineStr">
        <is>
          <t>Whole Foods Market NoMad, 63 Madison Ave (store_selector, inside);Whole Foods Market Union Square, 4 Union Sq S (store_selector, inside);Whole Foods Market Chelsea, 250 7th Ave (store_selector, 3.0 blocks out)</t>
        </is>
      </c>
      <c r="BR26" t="inlineStr">
        <is>
          <t>Whole Foods Market Manhattan West (store_selector, 13.8 blocks out)</t>
        </is>
      </c>
      <c r="BS26" t="inlineStr">
        <is>
          <t>Whole Foods Market (WFM catalog); find-it page</t>
        </is>
      </c>
      <c r="BT26" t="inlineStr">
        <is>
          <t>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is>
      </c>
      <c r="BU26" t="inlineStr">
        <is>
          <t>none</t>
        </is>
      </c>
      <c r="BX26" t="inlineStr">
        <is>
          <t>Tobin Ludwig</t>
        </is>
      </c>
      <c r="BY26" t="inlineStr">
        <is>
          <t>Meet the Founders page. Co-founder Jomaree Pinkard is now Chairman (backup row).</t>
        </is>
      </c>
      <c r="CA26" t="inlineStr">
        <is>
          <t>Eddie Simeón</t>
        </is>
      </c>
      <c r="CB26" t="inlineStr">
        <is>
          <t>Eddie</t>
        </is>
      </c>
      <c r="CC26" t="inlineStr">
        <is>
          <t>Simeón</t>
        </is>
      </c>
      <c r="CD26" t="inlineStr">
        <is>
          <t>Co-founder and CMO</t>
        </is>
      </c>
      <c r="CE26" t="inlineStr">
        <is>
          <t>marketing lead</t>
        </is>
      </c>
      <c r="CF26" t="inlineStr">
        <is>
          <t>verified-page</t>
        </is>
      </c>
      <c r="CG26" t="inlineStr">
        <is>
          <t>Meet the Founders page: "Eddie Simeón, Co-Founder &amp; CMO".</t>
        </is>
      </c>
      <c r="CK26" t="inlineStr">
        <is>
          <t>none</t>
        </is>
      </c>
      <c r="CL26" t="n">
        <v>62</v>
      </c>
      <c r="CM26" t="n">
        <v>25</v>
      </c>
      <c r="CN26" t="n">
        <v>17</v>
      </c>
      <c r="CO26" t="n">
        <v>0</v>
      </c>
      <c r="CP26" t="n">
        <v>5</v>
      </c>
      <c r="CQ26" t="n">
        <v>10</v>
      </c>
      <c r="CR26" t="n">
        <v>10</v>
      </c>
      <c r="CS26">
        <f>IF(R26="Y",10,0)</f>
        <v/>
      </c>
      <c r="CT26" t="n">
        <v>-5</v>
      </c>
      <c r="CU26" t="inlineStr">
        <is>
          <t>https://www.instagram.com/hellacocktailco</t>
        </is>
      </c>
      <c r="CV26" t="inlineStr">
        <is>
          <t>BR4</t>
        </is>
      </c>
      <c r="CW26" t="inlineStr">
        <is>
          <t>BR4:34</t>
        </is>
      </c>
      <c r="CX26" t="inlineStr">
        <is>
          <t>Homepage: 'line of non-alcoholic, sparkling aperitifs'. Co-founder worked nearly a decade in NYC before co-founding Hella (Meet the Founders). WFM lists Bitters &amp; Soda at all four cluster stores (2026-10-23).</t>
        </is>
      </c>
      <c r="CY26" t="inlineStr">
        <is>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t>
        </is>
      </c>
      <c r="CZ26" t="inlineStr">
        <is>
          <t>https://hellacocktail.co/pages/meet-the-founders</t>
        </is>
      </c>
      <c r="DA26" t="inlineStr">
        <is>
          <t>stage 2</t>
        </is>
      </c>
      <c r="DC26" t="inlineStr">
        <is>
          <t>employer's own site</t>
        </is>
      </c>
      <c r="DY26">
        <f>IF(ISNUMBER(MATCH(U26,{"queued","contacted","replied","call_booked","call_done","yes_in_principle","materials_sent"},0)),"Y","N")</f>
        <v/>
      </c>
      <c r="DZ26">
        <f>IF(COUNTIFS($AN$2:$AN$1000,AN26,$DY$2:$DY$1000,"Y")+COUNTIFS($AN$2:$AN$1000,AN26,$T$2:$T$1000,"Y")&gt;0,"Y","N")</f>
        <v/>
      </c>
      <c r="EA26">
        <f>IF(AND(U26="new",T26="N",AR26="Y",AQ26="",DZ26="N"),"Y","N")</f>
        <v/>
      </c>
      <c r="EB26">
        <f>IF(EA26&lt;&gt;"Y","N",IF(COUNTIFS($AN$2:$AN$1000,AN26,$EA$2:$EA$1000,"Y",$J$2:$J$1000,"&gt;"&amp;J26)+COUNTIFS($AN$2:$AN$1000,AN26,$EA$2:$EA$1000,"Y",$J$2:$J$1000,J26,$ED$2:$ED$1000,"&lt;"&amp;ED26)=0,"Y","N"))</f>
        <v/>
      </c>
      <c r="EC26">
        <f>IF(Y26="","N",IF(Y26&lt;=10,"Y","N"))</f>
        <v/>
      </c>
      <c r="ED26">
        <f>ROW()-1</f>
        <v/>
      </c>
    </row>
    <row r="27">
      <c r="A27" t="inlineStr">
        <is>
          <t>AB-270</t>
        </is>
      </c>
      <c r="B27" t="inlineStr">
        <is>
          <t>Figa Foods</t>
        </is>
      </c>
      <c r="C27" t="inlineStr">
        <is>
          <t>Ariel</t>
        </is>
      </c>
      <c r="D27" t="inlineStr">
        <is>
          <t>Altman</t>
        </is>
      </c>
      <c r="E27" t="inlineStr">
        <is>
          <t>Co-founder</t>
        </is>
      </c>
      <c r="F27" t="inlineStr">
        <is>
          <t>https://www.linkedin.com/in/ariel-altman-396b922b/</t>
        </is>
      </c>
      <c r="H27" t="inlineStr">
        <is>
          <t>none</t>
        </is>
      </c>
      <c r="I27" t="inlineStr">
        <is>
          <t>linkedin</t>
        </is>
      </c>
      <c r="J27">
        <f>IF(AU27="pass",CM27+CN27+CO27+CP27+CQ27+CR27+CS27+CT27,0)</f>
        <v/>
      </c>
      <c r="K27" t="inlineStr">
        <is>
          <t>New York City brand, no graded store within ten blocks, online store only, news 144 days ago, revenue unknown, contact named.</t>
        </is>
      </c>
      <c r="M27" t="inlineStr">
        <is>
          <t>none found within ten blocks</t>
        </is>
      </c>
      <c r="N27" t="inlineStr">
        <is>
          <t>unverified</t>
        </is>
      </c>
      <c r="O27" t="inlineStr">
        <is>
          <t>Won the Audience Choice Award at Naturally New York's 2026 Naturally Rising pitch (May 28, 2026); launched Minis and Passion Fruit at SFFS 2026</t>
        </is>
      </c>
      <c r="P27" t="inlineStr">
        <is>
          <t>https://www.snackandbakery.com/articles/115817-naturally-new-york-announces-pitch-competition-winner</t>
        </is>
      </c>
      <c r="Q27" t="inlineStr">
        <is>
          <t>2026-06-02</t>
        </is>
      </c>
      <c r="R27" t="inlineStr">
        <is>
          <t>N</t>
        </is>
      </c>
      <c r="S27" t="inlineStr">
        <is>
          <t>Y</t>
        </is>
      </c>
      <c r="T27" t="inlineStr">
        <is>
          <t>N</t>
        </is>
      </c>
      <c r="U27" t="inlineStr">
        <is>
          <t>new</t>
        </is>
      </c>
      <c r="V27" t="inlineStr">
        <is>
          <t>https://events.specialtyfood.com/event/2026-summer-fancy-food-show/exhibitor/RXhoaWJpdG9yXzI0Mzk0MjM=</t>
        </is>
      </c>
      <c r="W27" t="inlineStr">
        <is>
          <t>2026-10-24</t>
        </is>
      </c>
      <c r="X27" t="inlineStr">
        <is>
          <t>brand</t>
        </is>
      </c>
      <c r="Y27">
        <f>IF(EB27&lt;&gt;"Y","",COUNTIFS($EB$2:$EB$1000,"Y",$J$2:$J$1000,"&gt;"&amp;J27)+COUNTIFS($EB$2:$EB$1000,"Y",$J$2:$J$1000,J27,$ED$2:$ED$1000,"&lt;"&amp;ED27)+1)</f>
        <v/>
      </c>
      <c r="Z27" t="n">
        <v>26</v>
      </c>
      <c r="AA27" t="inlineStr">
        <is>
          <t>Y</t>
        </is>
      </c>
      <c r="AC27" t="inlineStr">
        <is>
          <t>founder</t>
        </is>
      </c>
      <c r="AD27" t="inlineStr">
        <is>
          <t>verified-page</t>
        </is>
      </c>
      <c r="AE27" t="inlineStr">
        <is>
          <t>press, event or podcast page</t>
        </is>
      </c>
      <c r="AF27" t="inlineStr">
        <is>
          <t>https://startupcpg.com/founder-feature-ariel-altman-and-ronny-berger-of-figa-foods/</t>
        </is>
      </c>
      <c r="AG27" t="inlineStr">
        <is>
          <t>2026-10-24</t>
        </is>
      </c>
      <c r="AH27" t="inlineStr">
        <is>
          <t>Figa Minis 6-pack snack pouch (63% cupuaçu bar); Passion Fruit 60 g bar</t>
        </is>
      </c>
      <c r="AI27" t="inlineStr">
        <is>
          <t>chocolate-candy</t>
        </is>
      </c>
      <c r="AJ27" t="inlineStr">
        <is>
          <t>New York City</t>
        </is>
      </c>
      <c r="AK27" t="inlineStr">
        <is>
          <t>https://figafoods.com</t>
        </is>
      </c>
      <c r="AL27" t="inlineStr">
        <is>
          <t>N</t>
        </is>
      </c>
      <c r="AN27" t="inlineStr">
        <is>
          <t>AB-270</t>
        </is>
      </c>
      <c r="AO27" t="inlineStr">
        <is>
          <t>N</t>
        </is>
      </c>
      <c r="AR27">
        <f>IF(AND(AU27="pass",AO27&lt;&gt;"Y",C27&lt;&gt;""),"Y","N")</f>
        <v/>
      </c>
      <c r="AS27">
        <f>_xlfn.TEXTJOIN("; ",TRUE,IF(AU27&lt;&gt;"pass","gated out",""),IF(AO27="Y","on hold: "&amp;AP27,""),IF(C27="","no contact named on an opened page",""))</f>
        <v/>
      </c>
      <c r="AU27" t="inlineStr">
        <is>
          <t>pass</t>
        </is>
      </c>
      <c r="AW27" t="inlineStr">
        <is>
          <t>passes all hard gates</t>
        </is>
      </c>
      <c r="AY27" t="inlineStr">
        <is>
          <t>https://figafoods.com</t>
        </is>
      </c>
      <c r="AZ27" t="inlineStr">
        <is>
          <t>NY</t>
        </is>
      </c>
      <c r="BA27" t="inlineStr">
        <is>
          <t>nyc</t>
        </is>
      </c>
      <c r="BB27" t="inlineStr">
        <is>
          <t>unknown</t>
        </is>
      </c>
      <c r="BD27" t="inlineStr">
        <is>
          <t>Y</t>
        </is>
      </c>
      <c r="BE27" t="inlineStr">
        <is>
          <t>Cupuaçu 'chocolate-style' bars sold ambient online and in groceries; shelf life not stated</t>
        </is>
      </c>
      <c r="BF27" t="inlineStr">
        <is>
          <t>Y</t>
        </is>
      </c>
      <c r="BG27" t="inlineStr">
        <is>
          <t>Y</t>
        </is>
      </c>
      <c r="BH27" t="inlineStr">
        <is>
          <t>unknown</t>
        </is>
      </c>
      <c r="BJ27" t="inlineStr">
        <is>
          <t>No sourced sales figure found</t>
        </is>
      </c>
      <c r="BK27" t="inlineStr">
        <is>
          <t>N</t>
        </is>
      </c>
      <c r="BL27" t="inlineStr">
        <is>
          <t>N</t>
        </is>
      </c>
      <c r="BO27" t="inlineStr">
        <is>
          <t>N</t>
        </is>
      </c>
      <c r="BP27" t="n">
        <v>0</v>
      </c>
      <c r="BR27" t="inlineStr">
        <is>
          <t>Chelsea Market Baskets (unverified, 11.5 blocks out)</t>
        </is>
      </c>
      <c r="BS27" t="inlineStr">
        <is>
          <t>Chelsea Market Baskets; Fonty's; East Village Organics; TAP; Zabar's; Upstate Stock; others (brand Stockist locator)</t>
        </is>
      </c>
      <c r="BT27" t="inlineStr">
        <is>
          <t>https://stockist.co/api/v1/map_9q962p43/locations/search?latitude=40.7411&amp;longitude=-73.9897&amp;distance=5 (widget on https://figafoods.com/pages/store-locator)</t>
        </is>
      </c>
      <c r="BU27" t="inlineStr">
        <is>
          <t>press</t>
        </is>
      </c>
      <c r="BV27" t="n">
        <v>144</v>
      </c>
      <c r="BW27" t="inlineStr">
        <is>
          <t>https://startupcpg.com/startup-cpg-pavilion-at-summer-fancy-food-2026/</t>
        </is>
      </c>
      <c r="BX27" t="inlineStr">
        <is>
          <t>Ariel Altman</t>
        </is>
      </c>
      <c r="BY27" t="inlineStr">
        <is>
          <t>Startup CPG founder feature. LinkedIn URL from the episode links of the matching Startup CPG podcast episode (2025-08-01, public feed); LinkedIn not opened.</t>
        </is>
      </c>
      <c r="BZ27" t="inlineStr">
        <is>
          <t>listed on an opened page or in search results; LinkedIn itself not opened</t>
        </is>
      </c>
      <c r="CA27" t="inlineStr">
        <is>
          <t>Ronny Berger</t>
        </is>
      </c>
      <c r="CB27" t="inlineStr">
        <is>
          <t>Ronny</t>
        </is>
      </c>
      <c r="CC27" t="inlineStr">
        <is>
          <t>Berger</t>
        </is>
      </c>
      <c r="CD27" t="inlineStr">
        <is>
          <t>Co-founder</t>
        </is>
      </c>
      <c r="CE27" t="inlineStr">
        <is>
          <t>co-founder or executive</t>
        </is>
      </c>
      <c r="CF27" t="inlineStr">
        <is>
          <t>verified-page</t>
        </is>
      </c>
      <c r="CG27" t="inlineStr">
        <is>
          <t>Same feature and episode links.</t>
        </is>
      </c>
      <c r="CH27" t="inlineStr">
        <is>
          <t>https://www.linkedin.com/in/ronnyberger/</t>
        </is>
      </c>
      <c r="CK27" t="inlineStr">
        <is>
          <t>none</t>
        </is>
      </c>
      <c r="CL27" t="n">
        <v>62</v>
      </c>
      <c r="CM27" t="n">
        <v>6</v>
      </c>
      <c r="CN27" t="n">
        <v>20</v>
      </c>
      <c r="CO27" t="n">
        <v>15</v>
      </c>
      <c r="CP27" t="n">
        <v>5</v>
      </c>
      <c r="CQ27" t="n">
        <v>10</v>
      </c>
      <c r="CR27" t="n">
        <v>6</v>
      </c>
      <c r="CS27">
        <f>IF(R27="Y",10,0)</f>
        <v/>
      </c>
      <c r="CT27" t="n">
        <v>0</v>
      </c>
      <c r="CU27" t="inlineStr">
        <is>
          <t>http://instagram.com/figafoods</t>
        </is>
      </c>
      <c r="CV27" t="inlineStr">
        <is>
          <t>BR5</t>
        </is>
      </c>
      <c r="CW27" t="inlineStr">
        <is>
          <t>BR5:6</t>
        </is>
      </c>
      <c r="CX27" t="inlineStr">
        <is>
          <t>Footer: 'OldMtnMan LLC, a New York limited liability company'. Minis published 2026-05-17 (products.json). Caffeine-free and vegan per meta description. Chelsea Market sits at 15th St and 9th Ave, about three avenues west of the cluster edge.</t>
        </is>
      </c>
      <c r="CZ27" t="inlineStr">
        <is>
          <t>https://startupcpg.com/founder-feature-ariel-altman-and-ronny-berger-of-figa-foods/</t>
        </is>
      </c>
      <c r="DA27" t="inlineStr">
        <is>
          <t>stage 2</t>
        </is>
      </c>
      <c r="DC27" t="inlineStr">
        <is>
          <t>press, event or podcast page</t>
        </is>
      </c>
      <c r="DY27">
        <f>IF(ISNUMBER(MATCH(U27,{"queued","contacted","replied","call_booked","call_done","yes_in_principle","materials_sent"},0)),"Y","N")</f>
        <v/>
      </c>
      <c r="DZ27">
        <f>IF(COUNTIFS($AN$2:$AN$1000,AN27,$DY$2:$DY$1000,"Y")+COUNTIFS($AN$2:$AN$1000,AN27,$T$2:$T$1000,"Y")&gt;0,"Y","N")</f>
        <v/>
      </c>
      <c r="EA27">
        <f>IF(AND(U27="new",T27="N",AR27="Y",AQ27="",DZ27="N"),"Y","N")</f>
        <v/>
      </c>
      <c r="EB27">
        <f>IF(EA27&lt;&gt;"Y","N",IF(COUNTIFS($AN$2:$AN$1000,AN27,$EA$2:$EA$1000,"Y",$J$2:$J$1000,"&gt;"&amp;J27)+COUNTIFS($AN$2:$AN$1000,AN27,$EA$2:$EA$1000,"Y",$J$2:$J$1000,J27,$ED$2:$ED$1000,"&lt;"&amp;ED27)=0,"Y","N"))</f>
        <v/>
      </c>
      <c r="EC27">
        <f>IF(Y27="","N",IF(Y27&lt;=10,"Y","N"))</f>
        <v/>
      </c>
      <c r="ED27">
        <f>ROW()-1</f>
        <v/>
      </c>
    </row>
    <row r="28">
      <c r="A28" t="inlineStr">
        <is>
          <t>AB-032</t>
        </is>
      </c>
      <c r="B28" t="inlineStr">
        <is>
          <t>Firehook</t>
        </is>
      </c>
      <c r="C28" t="inlineStr">
        <is>
          <t>Maura</t>
        </is>
      </c>
      <c r="D28" t="inlineStr">
        <is>
          <t>Mottolese</t>
        </is>
      </c>
      <c r="E28" t="inlineStr">
        <is>
          <t>CEO</t>
        </is>
      </c>
      <c r="H28" t="inlineStr">
        <is>
          <t>none</t>
        </is>
      </c>
      <c r="I28" t="inlineStr">
        <is>
          <t>linkedin</t>
        </is>
      </c>
      <c r="J28">
        <f>IF(AU28="pass",CM28+CN28+CO28+CP28+CQ28+CR28+CS28+CT28,0)</f>
        <v/>
      </c>
      <c r="K28" t="inlineStr">
        <is>
          <t>Brand based outside the Northeast, store page shows Whole Foods Market NoMad inside the cluster, news 106 days ago, revenue unknown, contact named plus a marketing lead; founder review: other.</t>
        </is>
      </c>
      <c r="M28" t="inlineStr">
        <is>
          <t>Whole Foods Market NoMad, 63 Madison Ave</t>
        </is>
      </c>
      <c r="N28" t="inlineStr">
        <is>
          <t>store_selector</t>
        </is>
      </c>
      <c r="O28" t="inlineStr">
        <is>
          <t>Launched limited-time Firehook x Grillo's Dill Pickle Crackers (follows Avocado Oil, Sea Salt &amp; Chive cracker in April 2026 and an Ithaca Hummus LTO in March 2026)</t>
        </is>
      </c>
      <c r="P28" t="inlineStr">
        <is>
          <t>https://www.snackandbakery.com/articles/116020-firehook-crackers-grillos-strive-for-pickle-perfection</t>
        </is>
      </c>
      <c r="Q28" t="inlineStr">
        <is>
          <t>2026-07-10</t>
        </is>
      </c>
      <c r="R28" t="inlineStr">
        <is>
          <t>N</t>
        </is>
      </c>
      <c r="S28" t="inlineStr">
        <is>
          <t>unknown</t>
        </is>
      </c>
      <c r="T28" t="inlineStr">
        <is>
          <t>N</t>
        </is>
      </c>
      <c r="U28" t="inlineStr">
        <is>
          <t>new</t>
        </is>
      </c>
      <c r="V28" t="inlineStr">
        <is>
          <t>https://www.wholefoodsmarket.com/search?text=firehook</t>
        </is>
      </c>
      <c r="W28" t="inlineStr">
        <is>
          <t>2026-10-23</t>
        </is>
      </c>
      <c r="X28" t="inlineStr">
        <is>
          <t>brand</t>
        </is>
      </c>
      <c r="Y28">
        <f>IF(EB28&lt;&gt;"Y","",COUNTIFS($EB$2:$EB$1000,"Y",$J$2:$J$1000,"&gt;"&amp;J28)+COUNTIFS($EB$2:$EB$1000,"Y",$J$2:$J$1000,J28,$ED$2:$ED$1000,"&lt;"&amp;ED28)+1)</f>
        <v/>
      </c>
      <c r="Z28" t="n">
        <v>27</v>
      </c>
      <c r="AA28" t="inlineStr">
        <is>
          <t>Y</t>
        </is>
      </c>
      <c r="AB28" t="inlineStr">
        <is>
          <t>find Maura Mottolese at Firehook on LinkedIn and paste the profile URL; before using the retailer line, check Whole Foods Market NoMad still lists it: https://www.wholefoodsmarket.com/search?text=Firehook with your store set to NoMad (catalogs change daily); founder review (other): read founder_review_reason first</t>
        </is>
      </c>
      <c r="AC28" t="inlineStr">
        <is>
          <t>CEO or owner (not shown as a founder)</t>
        </is>
      </c>
      <c r="AD28" t="inlineStr">
        <is>
          <t>verified-page</t>
        </is>
      </c>
      <c r="AE28" t="inlineStr">
        <is>
          <t>press, event or podcast page</t>
        </is>
      </c>
      <c r="AF28" t="inlineStr">
        <is>
          <t>https://www.snackandbakery.com/articles/116020-firehook-crackers-grillos-strive-for-pickle-perfection</t>
        </is>
      </c>
      <c r="AG28" t="inlineStr">
        <is>
          <t>2026-10-24</t>
        </is>
      </c>
      <c r="AH28" t="inlineStr">
        <is>
          <t>Firehook Sea Salt Mediterranean Crackers, 5.5 oz</t>
        </is>
      </c>
      <c r="AI28" t="inlineStr">
        <is>
          <t>crackers-pretzels</t>
        </is>
      </c>
      <c r="AJ28" t="inlineStr">
        <is>
          <t>Chantilly</t>
        </is>
      </c>
      <c r="AL28" t="inlineStr">
        <is>
          <t>Y</t>
        </is>
      </c>
      <c r="AM28" t="inlineStr">
        <is>
          <t>Brand site unreachable through proxy on 2026-10-23, so HQ, owner and online store are unconfirmed; no online store: buy path is the store only</t>
        </is>
      </c>
      <c r="AN28" t="inlineStr">
        <is>
          <t>AB-032</t>
        </is>
      </c>
      <c r="AO28" t="inlineStr">
        <is>
          <t>N</t>
        </is>
      </c>
      <c r="AR28">
        <f>IF(AND(AU28="pass",AO28&lt;&gt;"Y",C28&lt;&gt;""),"Y","N")</f>
        <v/>
      </c>
      <c r="AS28">
        <f>_xlfn.TEXTJOIN("; ",TRUE,IF(AU28&lt;&gt;"pass","gated out",""),IF(AO28="Y","on hold: "&amp;AP28,""),IF(C28="","no contact named on an opened page",""))</f>
        <v/>
      </c>
      <c r="AU28" t="inlineStr">
        <is>
          <t>pass</t>
        </is>
      </c>
      <c r="AW28" t="inlineStr">
        <is>
          <t>passes all hard gates</t>
        </is>
      </c>
      <c r="AX28" t="inlineStr">
        <is>
          <t>other</t>
        </is>
      </c>
      <c r="AY28" t="inlineStr">
        <is>
          <t>https://firehook.com</t>
        </is>
      </c>
      <c r="AZ28" t="inlineStr">
        <is>
          <t>VA</t>
        </is>
      </c>
      <c r="BA28" t="inlineStr">
        <is>
          <t>elsewhere</t>
        </is>
      </c>
      <c r="BB28" t="inlineStr">
        <is>
          <t>unknown</t>
        </is>
      </c>
      <c r="BD28" t="inlineStr">
        <is>
          <t>Y</t>
        </is>
      </c>
      <c r="BE28" t="inlineStr">
        <is>
          <t>Brand FAQ: 'Our signature line of crackers has a six-month shelf life.'</t>
        </is>
      </c>
      <c r="BF28" t="inlineStr">
        <is>
          <t>N</t>
        </is>
      </c>
      <c r="BG28" t="inlineStr">
        <is>
          <t>unknown</t>
        </is>
      </c>
      <c r="BH28" t="inlineStr">
        <is>
          <t>unknown</t>
        </is>
      </c>
      <c r="BJ28" t="inlineStr">
        <is>
          <t>unknown</t>
        </is>
      </c>
      <c r="BK28" t="inlineStr">
        <is>
          <t>N</t>
        </is>
      </c>
      <c r="BL28" t="inlineStr">
        <is>
          <t>N</t>
        </is>
      </c>
      <c r="BN28" t="n">
        <v>0</v>
      </c>
      <c r="BO28" t="inlineStr">
        <is>
          <t>Y</t>
        </is>
      </c>
      <c r="BP28" t="n">
        <v>3</v>
      </c>
      <c r="BQ28" t="inlineStr">
        <is>
          <t>Whole Foods Market NoMad, 63 Madison Ave (store_selector, inside);Whole Foods Market Union Square, 4 Union Sq S (store_selector, inside);Whole Foods Market Chelsea, 250 7th Ave (store_selector, 3.0 blocks out)</t>
        </is>
      </c>
      <c r="BS28" t="inlineStr">
        <is>
          <t>Whole Foods Market</t>
        </is>
      </c>
      <c r="BT28" t="inlineStr">
        <is>
          <t>https://www.wholefoodsmarket.com/search?text=firehook (7 items IN_STOCK in each of Union Square, NoMad, Chelsea contexts, 2026-10-23)</t>
        </is>
      </c>
      <c r="BU28" t="inlineStr">
        <is>
          <t>press</t>
        </is>
      </c>
      <c r="BV28" t="n">
        <v>106</v>
      </c>
      <c r="BX28" t="inlineStr">
        <is>
          <t>Maura Mottolese</t>
        </is>
      </c>
      <c r="BY28" t="inlineStr">
        <is>
          <t>Snack and Bakery 2026: "Maura Mottolese, CEO of Firehook Crackers". Not a founder (Firehook is an older bakery now private-equity owned); CEO is the budget owner.</t>
        </is>
      </c>
      <c r="CA28" t="inlineStr">
        <is>
          <t>Ellen Howse</t>
        </is>
      </c>
      <c r="CB28" t="inlineStr">
        <is>
          <t>Ellen</t>
        </is>
      </c>
      <c r="CC28" t="inlineStr">
        <is>
          <t>Howse</t>
        </is>
      </c>
      <c r="CD28" t="inlineStr">
        <is>
          <t>Chief Marketing Officer</t>
        </is>
      </c>
      <c r="CE28" t="inlineStr">
        <is>
          <t>marketing lead</t>
        </is>
      </c>
      <c r="CF28" t="inlineStr">
        <is>
          <t>verified-page</t>
        </is>
      </c>
      <c r="CG28" t="inlineStr">
        <is>
          <t>FoodNavigator 2025-05-13: "Ellen Howse, CMO at Firehook". The Org agrees (updated 2024-10-31).</t>
        </is>
      </c>
      <c r="CK28" t="inlineStr">
        <is>
          <t>none</t>
        </is>
      </c>
      <c r="CL28" t="n">
        <v>61</v>
      </c>
      <c r="CM28" t="n">
        <v>25</v>
      </c>
      <c r="CN28" t="n">
        <v>3</v>
      </c>
      <c r="CO28" t="n">
        <v>15</v>
      </c>
      <c r="CP28" t="n">
        <v>5</v>
      </c>
      <c r="CQ28" t="n">
        <v>5</v>
      </c>
      <c r="CR28" t="n">
        <v>10</v>
      </c>
      <c r="CS28">
        <f>IF(R28="Y",10,0)</f>
        <v/>
      </c>
      <c r="CT28" t="n">
        <v>-2</v>
      </c>
      <c r="CU28" t="inlineStr">
        <is>
          <t>unknown</t>
        </is>
      </c>
      <c r="CV28" t="inlineStr">
        <is>
          <t>BR1</t>
        </is>
      </c>
      <c r="CW28" t="inlineStr">
        <is>
          <t>BR1:33</t>
        </is>
      </c>
      <c r="CX28" t="inlineStr">
        <is>
          <t>Strong NYC shelf presence; everything else needs a second pass when the site is reachable.</t>
        </is>
      </c>
      <c r="CY28" t="inlineStr">
        <is>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t>
        </is>
      </c>
      <c r="CZ28" t="inlineStr">
        <is>
          <t>https://www.foodnavigator.com/Article/2025/05/13/natural-cracker-brand-collaborates-with-standout-cross-category-companies/</t>
        </is>
      </c>
      <c r="DA28" t="inlineStr">
        <is>
          <t>stage 2</t>
        </is>
      </c>
      <c r="DB28" t="inlineStr">
        <is>
          <t>2026</t>
        </is>
      </c>
      <c r="DC28" t="inlineStr">
        <is>
          <t>press, event or podcast page</t>
        </is>
      </c>
      <c r="DD28" t="inlineStr">
        <is>
          <t>2024-10-31</t>
        </is>
      </c>
      <c r="DY28">
        <f>IF(ISNUMBER(MATCH(U28,{"queued","contacted","replied","call_booked","call_done","yes_in_principle","materials_sent"},0)),"Y","N")</f>
        <v/>
      </c>
      <c r="DZ28">
        <f>IF(COUNTIFS($AN$2:$AN$1000,AN28,$DY$2:$DY$1000,"Y")+COUNTIFS($AN$2:$AN$1000,AN28,$T$2:$T$1000,"Y")&gt;0,"Y","N")</f>
        <v/>
      </c>
      <c r="EA28">
        <f>IF(AND(U28="new",T28="N",AR28="Y",AQ28="",DZ28="N"),"Y","N")</f>
        <v/>
      </c>
      <c r="EB28">
        <f>IF(EA28&lt;&gt;"Y","N",IF(COUNTIFS($AN$2:$AN$1000,AN28,$EA$2:$EA$1000,"Y",$J$2:$J$1000,"&gt;"&amp;J28)+COUNTIFS($AN$2:$AN$1000,AN28,$EA$2:$EA$1000,"Y",$J$2:$J$1000,J28,$ED$2:$ED$1000,"&lt;"&amp;ED28)=0,"Y","N"))</f>
        <v/>
      </c>
      <c r="EC28">
        <f>IF(Y28="","N",IF(Y28&lt;=10,"Y","N"))</f>
        <v/>
      </c>
      <c r="ED28">
        <f>ROW()-1</f>
        <v/>
      </c>
    </row>
    <row r="29">
      <c r="A29" t="inlineStr">
        <is>
          <t>AB-048</t>
        </is>
      </c>
      <c r="B29" t="inlineStr">
        <is>
          <t>FitJoy Foods</t>
        </is>
      </c>
      <c r="C29" t="inlineStr">
        <is>
          <t>Norman</t>
        </is>
      </c>
      <c r="D29" t="inlineStr">
        <is>
          <t>Taliaferro</t>
        </is>
      </c>
      <c r="E29" t="inlineStr">
        <is>
          <t>CEO and Founding Partner</t>
        </is>
      </c>
      <c r="H29" t="inlineStr">
        <is>
          <t>none</t>
        </is>
      </c>
      <c r="I29" t="inlineStr">
        <is>
          <t>linkedin</t>
        </is>
      </c>
      <c r="J29">
        <f>IF(AU29="pass",CM29+CN29+CO29+CP29+CQ29+CR29+CS29+CT29,0)</f>
        <v/>
      </c>
      <c r="K29" t="inlineStr">
        <is>
          <t>Brand based outside the Northeast, store page shows Whole Foods Market Union Square inside the cluster, a new store listing 176 days ago, revenue unknown, contact named plus a marketing lead.</t>
        </is>
      </c>
      <c r="M29" t="inlineStr">
        <is>
          <t>Whole Foods Market Union Square, 4 Union Sq S</t>
        </is>
      </c>
      <c r="N29" t="inlineStr">
        <is>
          <t>store_selector</t>
        </is>
      </c>
      <c r="O29" t="inlineStr">
        <is>
          <t>Launched Classic Cracker Squares and Chocolate Peanut Butter Filled Pretzel Nuggets on brand store</t>
        </is>
      </c>
      <c r="P29" t="inlineStr">
        <is>
          <t>https://fitjoyfoods.com/products/classic-club-crackers</t>
        </is>
      </c>
      <c r="Q29" t="inlineStr">
        <is>
          <t>2026-05-01</t>
        </is>
      </c>
      <c r="R29" t="inlineStr">
        <is>
          <t>N</t>
        </is>
      </c>
      <c r="S29" t="inlineStr">
        <is>
          <t>unknown</t>
        </is>
      </c>
      <c r="T29" t="inlineStr">
        <is>
          <t>N</t>
        </is>
      </c>
      <c r="U29" t="inlineStr">
        <is>
          <t>new</t>
        </is>
      </c>
      <c r="V29" t="inlineStr">
        <is>
          <t>https://fitjoyfoods.com/pages/our-people</t>
        </is>
      </c>
      <c r="W29" t="inlineStr">
        <is>
          <t>2026-10-23</t>
        </is>
      </c>
      <c r="X29" t="inlineStr">
        <is>
          <t>brand</t>
        </is>
      </c>
      <c r="Y29">
        <f>IF(EB29&lt;&gt;"Y","",COUNTIFS($EB$2:$EB$1000,"Y",$J$2:$J$1000,"&gt;"&amp;J29)+COUNTIFS($EB$2:$EB$1000,"Y",$J$2:$J$1000,J29,$ED$2:$ED$1000,"&lt;"&amp;ED29)+1)</f>
        <v/>
      </c>
      <c r="Z29" t="n">
        <v>28</v>
      </c>
      <c r="AA29" t="inlineStr">
        <is>
          <t>Y</t>
        </is>
      </c>
      <c r="AB29" t="inlineStr">
        <is>
          <t>find Norman Taliaferro at FitJoy Foods on LinkedIn and paste the profile URL; before using the retailer line, check Whole Foods Market Union Square still lists it: https://www.wholefoodsmarket.com/search?text=FitJoy%20Foods with your store set to Union Square (catalogs change daily)</t>
        </is>
      </c>
      <c r="AC29" t="inlineStr">
        <is>
          <t>founder</t>
        </is>
      </c>
      <c r="AD29" t="inlineStr">
        <is>
          <t>verified-page</t>
        </is>
      </c>
      <c r="AE29" t="inlineStr">
        <is>
          <t>employer's own site</t>
        </is>
      </c>
      <c r="AF29" t="inlineStr">
        <is>
          <t>https://fitjoyfoods.com/pages/our-people</t>
        </is>
      </c>
      <c r="AG29" t="inlineStr">
        <is>
          <t>2026-10-24</t>
        </is>
      </c>
      <c r="AH29" t="inlineStr">
        <is>
          <t>FitJoy Pretzel Twists Single-Serve Variety Pack; Grain-Free Salt Pretzel Twists 5 oz</t>
        </is>
      </c>
      <c r="AI29" t="inlineStr">
        <is>
          <t>crackers-pretzels</t>
        </is>
      </c>
      <c r="AJ29" t="inlineStr">
        <is>
          <t>Austin</t>
        </is>
      </c>
      <c r="AK29" t="inlineStr">
        <is>
          <t>https://fitjoyfoods.com</t>
        </is>
      </c>
      <c r="AL29" t="inlineStr">
        <is>
          <t>N</t>
        </is>
      </c>
      <c r="AN29" t="inlineStr">
        <is>
          <t>AB-048</t>
        </is>
      </c>
      <c r="AO29" t="inlineStr">
        <is>
          <t>N</t>
        </is>
      </c>
      <c r="AR29">
        <f>IF(AND(AU29="pass",AO29&lt;&gt;"Y",C29&lt;&gt;""),"Y","N")</f>
        <v/>
      </c>
      <c r="AS29">
        <f>_xlfn.TEXTJOIN("; ",TRUE,IF(AU29&lt;&gt;"pass","gated out",""),IF(AO29="Y","on hold: "&amp;AP29,""),IF(C29="","no contact named on an opened page",""))</f>
        <v/>
      </c>
      <c r="AU29" t="inlineStr">
        <is>
          <t>pass</t>
        </is>
      </c>
      <c r="AW29" t="inlineStr">
        <is>
          <t>passes all hard gates</t>
        </is>
      </c>
      <c r="AY29" t="inlineStr">
        <is>
          <t>https://fitjoyfoods.com</t>
        </is>
      </c>
      <c r="AZ29" t="inlineStr">
        <is>
          <t>TX</t>
        </is>
      </c>
      <c r="BA29" t="inlineStr">
        <is>
          <t>elsewhere</t>
        </is>
      </c>
      <c r="BB29" t="inlineStr">
        <is>
          <t>unknown</t>
        </is>
      </c>
      <c r="BD29" t="inlineStr">
        <is>
          <t>Y</t>
        </is>
      </c>
      <c r="BE29" t="inlineStr">
        <is>
          <t>Grain-free pretzels and crackers in sealed bags, ambient</t>
        </is>
      </c>
      <c r="BF29" t="inlineStr">
        <is>
          <t>Y</t>
        </is>
      </c>
      <c r="BG29" t="inlineStr">
        <is>
          <t>Y</t>
        </is>
      </c>
      <c r="BH29" t="inlineStr">
        <is>
          <t>unknown</t>
        </is>
      </c>
      <c r="BJ29" t="inlineStr">
        <is>
          <t>unknown</t>
        </is>
      </c>
      <c r="BK29" t="inlineStr">
        <is>
          <t>N</t>
        </is>
      </c>
      <c r="BL29" t="inlineStr">
        <is>
          <t>N</t>
        </is>
      </c>
      <c r="BN29" t="n">
        <v>0</v>
      </c>
      <c r="BO29" t="inlineStr">
        <is>
          <t>Y</t>
        </is>
      </c>
      <c r="BP29" t="n">
        <v>1</v>
      </c>
      <c r="BQ29" t="inlineStr">
        <is>
          <t>Whole Foods Market Union Square, 4 Union Sq S (store_selector, inside)</t>
        </is>
      </c>
      <c r="BS29" t="inlineStr">
        <is>
          <t>Whole Foods Market; Target; Amazon (customer quotes on homepage)</t>
        </is>
      </c>
      <c r="BT29" t="inlineStr">
        <is>
          <t>https://www.wholefoodsmarket.com/search?text=pretzels (Union Square context: FitJoy Grain Free Salt Pretzel Twists 5 oz, Tangy Dijon Mustard 4.5 oz, PB Filled Nuggets IN_STOCK, category search 2026-10-23)</t>
        </is>
      </c>
      <c r="BU29" t="inlineStr">
        <is>
          <t>listing</t>
        </is>
      </c>
      <c r="BV29" t="n">
        <v>176</v>
      </c>
      <c r="BX29" t="inlineStr">
        <is>
          <t>Norman Taliaferro</t>
        </is>
      </c>
      <c r="BY29" t="inlineStr">
        <is>
          <t>Brand Our People page. The Org (fitjoy) agrees and also lists Doss Cunningham as Co-Founder and Chairman.</t>
        </is>
      </c>
      <c r="CA29" t="inlineStr">
        <is>
          <t>Micah Mills</t>
        </is>
      </c>
      <c r="CB29" t="inlineStr">
        <is>
          <t>Micah</t>
        </is>
      </c>
      <c r="CC29" t="inlineStr">
        <is>
          <t>Mills</t>
        </is>
      </c>
      <c r="CD29" t="inlineStr">
        <is>
          <t>Director of Marketing</t>
        </is>
      </c>
      <c r="CE29" t="inlineStr">
        <is>
          <t>marketing lead</t>
        </is>
      </c>
      <c r="CF29" t="inlineStr">
        <is>
          <t>verified-page</t>
        </is>
      </c>
      <c r="CG29" t="inlineStr">
        <is>
          <t>Brand Our People page; The Org (updated 2024-11-17) agrees, Director of Marketing since 2023.</t>
        </is>
      </c>
      <c r="CK29" t="inlineStr">
        <is>
          <t>none</t>
        </is>
      </c>
      <c r="CL29" t="n">
        <v>61</v>
      </c>
      <c r="CM29" t="n">
        <v>25</v>
      </c>
      <c r="CN29" t="n">
        <v>3</v>
      </c>
      <c r="CO29" t="n">
        <v>8</v>
      </c>
      <c r="CP29" t="n">
        <v>5</v>
      </c>
      <c r="CQ29" t="n">
        <v>10</v>
      </c>
      <c r="CR29" t="n">
        <v>10</v>
      </c>
      <c r="CS29">
        <f>IF(R29="Y",10,0)</f>
        <v/>
      </c>
      <c r="CT29" t="n">
        <v>0</v>
      </c>
      <c r="CU29" t="inlineStr">
        <is>
          <t>unknown</t>
        </is>
      </c>
      <c r="CV29" t="inlineStr">
        <is>
          <t>BR1</t>
        </is>
      </c>
      <c r="CW29" t="inlineStr">
        <is>
          <t>BR1:49</t>
        </is>
      </c>
      <c r="CX29" t="inlineStr">
        <is>
          <t>Team page also lists Angela Leonardo, VP Sales. Single-serve variety pack exists (published 2025-06). HQ not stated on pages opened.</t>
        </is>
      </c>
      <c r="CY29" t="inlineStr">
        <is>
          <t xml:space="preserve">hq_city &lt;- https://theorg.com/org/fitjoy (2026-10-24, opened); hq_state &lt;- https://theorg.com/org/fitjoy (2026-10-24, opened); </t>
        </is>
      </c>
      <c r="CZ29" t="inlineStr">
        <is>
          <t>https://fitjoyfoods.com/pages/our-people</t>
        </is>
      </c>
      <c r="DA29" t="inlineStr">
        <is>
          <t>stage 2</t>
        </is>
      </c>
      <c r="DC29" t="inlineStr">
        <is>
          <t>employer's own site</t>
        </is>
      </c>
      <c r="DD29" t="inlineStr">
        <is>
          <t>2024-11-17</t>
        </is>
      </c>
      <c r="DY29">
        <f>IF(ISNUMBER(MATCH(U29,{"queued","contacted","replied","call_booked","call_done","yes_in_principle","materials_sent"},0)),"Y","N")</f>
        <v/>
      </c>
      <c r="DZ29">
        <f>IF(COUNTIFS($AN$2:$AN$1000,AN29,$DY$2:$DY$1000,"Y")+COUNTIFS($AN$2:$AN$1000,AN29,$T$2:$T$1000,"Y")&gt;0,"Y","N")</f>
        <v/>
      </c>
      <c r="EA29">
        <f>IF(AND(U29="new",T29="N",AR29="Y",AQ29="",DZ29="N"),"Y","N")</f>
        <v/>
      </c>
      <c r="EB29">
        <f>IF(EA29&lt;&gt;"Y","N",IF(COUNTIFS($AN$2:$AN$1000,AN29,$EA$2:$EA$1000,"Y",$J$2:$J$1000,"&gt;"&amp;J29)+COUNTIFS($AN$2:$AN$1000,AN29,$EA$2:$EA$1000,"Y",$J$2:$J$1000,J29,$ED$2:$ED$1000,"&lt;"&amp;ED29)=0,"Y","N"))</f>
        <v/>
      </c>
      <c r="EC29">
        <f>IF(Y29="","N",IF(Y29&lt;=10,"Y","N"))</f>
        <v/>
      </c>
      <c r="ED29">
        <f>ROW()-1</f>
        <v/>
      </c>
    </row>
    <row r="30">
      <c r="A30" t="inlineStr">
        <is>
          <t>AB-004</t>
        </is>
      </c>
      <c r="B30" t="inlineStr">
        <is>
          <t>Daily Crunch</t>
        </is>
      </c>
      <c r="C30" t="inlineStr">
        <is>
          <t>Laurel</t>
        </is>
      </c>
      <c r="D30" t="inlineStr">
        <is>
          <t>Orley</t>
        </is>
      </c>
      <c r="E30" t="inlineStr">
        <is>
          <t>Co-founder and CEO</t>
        </is>
      </c>
      <c r="F30" t="inlineStr">
        <is>
          <t>https://www.linkedin.com/in/laurel-orley/</t>
        </is>
      </c>
      <c r="H30" t="inlineStr">
        <is>
          <t>none</t>
        </is>
      </c>
      <c r="I30" t="inlineStr">
        <is>
          <t>linkedin</t>
        </is>
      </c>
      <c r="J30">
        <f>IF(AU30="pass",CM30+CN30+CO30+CP30+CQ30+CR30+CS30+CT30,0)</f>
        <v/>
      </c>
      <c r="K30" t="inlineStr">
        <is>
          <t>Brand based outside the Northeast, store page shows Whole Foods Market NoMad inside the cluster, news 5 days ago, revenue unknown, contact named; founder review: claim-borderline.</t>
        </is>
      </c>
      <c r="M30" t="inlineStr">
        <is>
          <t>Whole Foods Market NoMad, 63 Madison Ave</t>
        </is>
      </c>
      <c r="N30" t="inlineStr">
        <is>
          <t>store_selector</t>
        </is>
      </c>
      <c r="O30" t="inlineStr">
        <is>
          <t>"Ditch the Chip" savory lineup (Sea Salt + Vinegar, BBQ and more) launching at Whole Foods Market nationwide, Sprouts nationwide and Meijer</t>
        </is>
      </c>
      <c r="P30" t="inlineStr">
        <is>
          <t>https://www.snackandbakery.com/articles/116489-daily-crunch-invites-consumers-to-ditch-the-chip</t>
        </is>
      </c>
      <c r="Q30" t="inlineStr">
        <is>
          <t>2026-10-19</t>
        </is>
      </c>
      <c r="R30" t="inlineStr">
        <is>
          <t>N</t>
        </is>
      </c>
      <c r="S30" t="inlineStr">
        <is>
          <t>Y</t>
        </is>
      </c>
      <c r="T30" t="inlineStr">
        <is>
          <t>N</t>
        </is>
      </c>
      <c r="U30" t="inlineStr">
        <is>
          <t>new</t>
        </is>
      </c>
      <c r="V30" t="inlineStr">
        <is>
          <t>https://dailycrunchsnacks.com</t>
        </is>
      </c>
      <c r="W30" t="inlineStr">
        <is>
          <t>2026-10-23</t>
        </is>
      </c>
      <c r="X30" t="inlineStr">
        <is>
          <t>brand</t>
        </is>
      </c>
      <c r="Y30">
        <f>IF(EB30&lt;&gt;"Y","",COUNTIFS($EB$2:$EB$1000,"Y",$J$2:$J$1000,"&gt;"&amp;J30)+COUNTIFS($EB$2:$EB$1000,"Y",$J$2:$J$1000,J30,$ED$2:$ED$1000,"&lt;"&amp;ED30)+1)</f>
        <v/>
      </c>
      <c r="Z30" t="n">
        <v>29</v>
      </c>
      <c r="AA30" t="inlineStr">
        <is>
          <t>Y</t>
        </is>
      </c>
      <c r="AB30" t="inlineStr">
        <is>
          <t>before using the retailer line, check Whole Foods Market NoMad still lists it: https://www.wholefoodsmarket.com/search?text=Daily%20Crunch with your store set to NoMad (catalogs change daily); founder review (claim-borderline): read founder_review_reason first</t>
        </is>
      </c>
      <c r="AC30" t="inlineStr">
        <is>
          <t>founder</t>
        </is>
      </c>
      <c r="AD30" t="inlineStr">
        <is>
          <t>verified-page</t>
        </is>
      </c>
      <c r="AE30" t="inlineStr">
        <is>
          <t>The Org (crowd-edited org chart)</t>
        </is>
      </c>
      <c r="AF30" t="inlineStr">
        <is>
          <t>https://theorg.com/org/daily-crunch/person/laurel-orley</t>
        </is>
      </c>
      <c r="AG30" t="inlineStr">
        <is>
          <t>2026-10-24</t>
        </is>
      </c>
      <c r="AH30" t="inlineStr">
        <is>
          <t>Daily Crunch Sprouted Almonds &amp; Pepitas, Dill Pickle, 4 oz; Snack Packs</t>
        </is>
      </c>
      <c r="AI30" t="inlineStr">
        <is>
          <t>nuts-seeds-trail</t>
        </is>
      </c>
      <c r="AJ30" t="inlineStr">
        <is>
          <t>Nashville</t>
        </is>
      </c>
      <c r="AK30" t="inlineStr">
        <is>
          <t>https://dailycrunchsnacks.com</t>
        </is>
      </c>
      <c r="AL30" t="inlineStr">
        <is>
          <t>Y</t>
        </is>
      </c>
      <c r="AM30" t="inlineStr">
        <is>
          <t>Homepage leads with nutrient-content claim '5g of Protein per serving'</t>
        </is>
      </c>
      <c r="AN30" t="inlineStr">
        <is>
          <t>AB-004</t>
        </is>
      </c>
      <c r="AO30" t="inlineStr">
        <is>
          <t>N</t>
        </is>
      </c>
      <c r="AR30">
        <f>IF(AND(AU30="pass",AO30&lt;&gt;"Y",C30&lt;&gt;""),"Y","N")</f>
        <v/>
      </c>
      <c r="AS30">
        <f>_xlfn.TEXTJOIN("; ",TRUE,IF(AU30&lt;&gt;"pass","gated out",""),IF(AO30="Y","on hold: "&amp;AP30,""),IF(C30="","no contact named on an opened page",""))</f>
        <v/>
      </c>
      <c r="AU30" t="inlineStr">
        <is>
          <t>pass</t>
        </is>
      </c>
      <c r="AW30" t="inlineStr">
        <is>
          <t>passes all hard gates</t>
        </is>
      </c>
      <c r="AX30" t="inlineStr">
        <is>
          <t>claim-borderline</t>
        </is>
      </c>
      <c r="AY30" t="inlineStr">
        <is>
          <t>https://dailycrunchsnacks.com</t>
        </is>
      </c>
      <c r="AZ30" t="inlineStr">
        <is>
          <t>TN</t>
        </is>
      </c>
      <c r="BA30" t="inlineStr">
        <is>
          <t>elsewhere</t>
        </is>
      </c>
      <c r="BB30" t="inlineStr">
        <is>
          <t>unknown</t>
        </is>
      </c>
      <c r="BD30" t="inlineStr">
        <is>
          <t>Y</t>
        </is>
      </c>
      <c r="BE30" t="inlineStr">
        <is>
          <t>Bagged sprouted, dehydrated nuts sold ambient; snack packs on brand store</t>
        </is>
      </c>
      <c r="BF30" t="inlineStr">
        <is>
          <t>Y</t>
        </is>
      </c>
      <c r="BG30" t="inlineStr">
        <is>
          <t>Y</t>
        </is>
      </c>
      <c r="BH30" t="inlineStr">
        <is>
          <t>unknown</t>
        </is>
      </c>
      <c r="BJ30" t="inlineStr">
        <is>
          <t>unknown</t>
        </is>
      </c>
      <c r="BK30" t="inlineStr">
        <is>
          <t>N</t>
        </is>
      </c>
      <c r="BL30" t="inlineStr">
        <is>
          <t>N</t>
        </is>
      </c>
      <c r="BN30" t="n">
        <v>0</v>
      </c>
      <c r="BO30" t="inlineStr">
        <is>
          <t>Y</t>
        </is>
      </c>
      <c r="BP30" t="n">
        <v>2</v>
      </c>
      <c r="BQ30" t="inlineStr">
        <is>
          <t>Whole Foods Market NoMad, 63 Madison Ave (store_selector, inside);Whole Foods Market Union Square, 4 Union Sq S (store_selector, inside)</t>
        </is>
      </c>
      <c r="BS30" t="inlineStr">
        <is>
          <t>Whole Foods Market</t>
        </is>
      </c>
      <c r="BT30" t="inlineStr">
        <is>
          <t>https://www.wholefoodsmarket.com/search?text=daily%20crunch (store context Union Square 10162 and NoMad 10773; IN_STOCK 2026-10-23)</t>
        </is>
      </c>
      <c r="BU30" t="inlineStr">
        <is>
          <t>press</t>
        </is>
      </c>
      <c r="BV30" t="n">
        <v>5</v>
      </c>
      <c r="BW30" t="inlineStr">
        <is>
          <t>https://startupcpg.com/startup-cpg-newswire-daily-crunch/</t>
        </is>
      </c>
      <c r="BX30" t="inlineStr">
        <is>
          <t>Laurel Orley</t>
        </is>
      </c>
      <c r="BY30" t="inlineStr">
        <is>
          <t>The Org (updated 2026-09-13): Co-Founder and CEO since 2018. LinkedIn URL from Startup CPG podcast #213 episode links (2025-09-09, public feed); LinkedIn not opened.</t>
        </is>
      </c>
      <c r="BZ30" t="inlineStr">
        <is>
          <t>listed on an opened page or in search results; LinkedIn itself not opened</t>
        </is>
      </c>
      <c r="CA30" t="inlineStr">
        <is>
          <t>Diane</t>
        </is>
      </c>
      <c r="CB30" t="inlineStr">
        <is>
          <t>Diane</t>
        </is>
      </c>
      <c r="CC30" t="inlineStr">
        <is>
          <t>unknown</t>
        </is>
      </c>
      <c r="CD30" t="inlineStr">
        <is>
          <t>Co-founder</t>
        </is>
      </c>
      <c r="CE30" t="inlineStr">
        <is>
          <t>co-founder or executive</t>
        </is>
      </c>
      <c r="CF30" t="inlineStr">
        <is>
          <t>first-name-only</t>
        </is>
      </c>
      <c r="CG30" t="inlineStr">
        <is>
          <t>About page: "Diane, Laurel's aunt &amp; co-founder". Surname not given.</t>
        </is>
      </c>
      <c r="CK30" t="inlineStr">
        <is>
          <t>none</t>
        </is>
      </c>
      <c r="CL30" t="n">
        <v>60</v>
      </c>
      <c r="CM30" t="n">
        <v>25</v>
      </c>
      <c r="CN30" t="n">
        <v>3</v>
      </c>
      <c r="CO30" t="n">
        <v>15</v>
      </c>
      <c r="CP30" t="n">
        <v>5</v>
      </c>
      <c r="CQ30" t="n">
        <v>10</v>
      </c>
      <c r="CR30" t="n">
        <v>6</v>
      </c>
      <c r="CS30">
        <f>IF(R30="Y",10,0)</f>
        <v/>
      </c>
      <c r="CT30" t="n">
        <v>-4</v>
      </c>
      <c r="CU30" t="inlineStr">
        <is>
          <t>unknown</t>
        </is>
      </c>
      <c r="CV30" t="inlineStr">
        <is>
          <t>BR1</t>
        </is>
      </c>
      <c r="CW30" t="inlineStr">
        <is>
          <t>BR1:5</t>
        </is>
      </c>
      <c r="CX30" t="inlineStr">
        <is>
          <t>Nov 2025 trade press: expanding into 2,000 Albertsons stores and over 10,000 doors nationwide; won the 3rd Albertsons Innovation Launchpad ($198,000 prize). Scale signal for the $10M ceiling check.</t>
        </is>
      </c>
      <c r="CY30" t="inlineStr">
        <is>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t>
        </is>
      </c>
      <c r="CZ30" t="inlineStr">
        <is>
          <t>https://dailycrunchsnacks.com/pages/about-us</t>
        </is>
      </c>
      <c r="DA30" t="inlineStr">
        <is>
          <t>stage 2</t>
        </is>
      </c>
      <c r="DB30" t="inlineStr">
        <is>
          <t>2026-09-13</t>
        </is>
      </c>
      <c r="DC30" t="inlineStr">
        <is>
          <t>employer's own site</t>
        </is>
      </c>
      <c r="DY30">
        <f>IF(ISNUMBER(MATCH(U30,{"queued","contacted","replied","call_booked","call_done","yes_in_principle","materials_sent"},0)),"Y","N")</f>
        <v/>
      </c>
      <c r="DZ30">
        <f>IF(COUNTIFS($AN$2:$AN$1000,AN30,$DY$2:$DY$1000,"Y")+COUNTIFS($AN$2:$AN$1000,AN30,$T$2:$T$1000,"Y")&gt;0,"Y","N")</f>
        <v/>
      </c>
      <c r="EA30">
        <f>IF(AND(U30="new",T30="N",AR30="Y",AQ30="",DZ30="N"),"Y","N")</f>
        <v/>
      </c>
      <c r="EB30">
        <f>IF(EA30&lt;&gt;"Y","N",IF(COUNTIFS($AN$2:$AN$1000,AN30,$EA$2:$EA$1000,"Y",$J$2:$J$1000,"&gt;"&amp;J30)+COUNTIFS($AN$2:$AN$1000,AN30,$EA$2:$EA$1000,"Y",$J$2:$J$1000,J30,$ED$2:$ED$1000,"&lt;"&amp;ED30)=0,"Y","N"))</f>
        <v/>
      </c>
      <c r="EC30">
        <f>IF(Y30="","N",IF(Y30&lt;=10,"Y","N"))</f>
        <v/>
      </c>
      <c r="ED30">
        <f>ROW()-1</f>
        <v/>
      </c>
    </row>
    <row r="31">
      <c r="A31" t="inlineStr">
        <is>
          <t>AB-072</t>
        </is>
      </c>
      <c r="B31" t="inlineStr">
        <is>
          <t>Blue Stripes</t>
        </is>
      </c>
      <c r="C31" t="inlineStr">
        <is>
          <t>Oded</t>
        </is>
      </c>
      <c r="D31" t="inlineStr">
        <is>
          <t>Brenner</t>
        </is>
      </c>
      <c r="E31" t="inlineStr">
        <is>
          <t>Founder and CEO</t>
        </is>
      </c>
      <c r="H31" t="inlineStr">
        <is>
          <t>none</t>
        </is>
      </c>
      <c r="I31" t="inlineStr">
        <is>
          <t>linkedin</t>
        </is>
      </c>
      <c r="J31">
        <f>IF(AU31="pass",CM31+CN31+CO31+CP31+CQ31+CR31+CS31+CT31,0)</f>
        <v/>
      </c>
      <c r="K31" t="inlineStr">
        <is>
          <t>New York City brand, store page shows Whole Foods Market NoMad inside the cluster, news 288 days ago, revenue unknown, contact named; founder review: scale, claim-borderline.</t>
        </is>
      </c>
      <c r="M31" t="inlineStr">
        <is>
          <t>Whole Foods Market NoMad, 63 Madison Ave</t>
        </is>
      </c>
      <c r="N31" t="inlineStr">
        <is>
          <t>store_selector</t>
        </is>
      </c>
      <c r="O31" t="inlineStr">
        <is>
          <t>Superfruit Gummies launched at select Costco Southeast warehouses for a limited time, with the Northwest region to follow in February 2026</t>
        </is>
      </c>
      <c r="P31" t="inlineStr">
        <is>
          <t>https://www.snackandbakery.com/articles/114975-blue-stripes-superfruit-gummies-expand-to-costco</t>
        </is>
      </c>
      <c r="Q31" t="inlineStr">
        <is>
          <t>2026-01-09</t>
        </is>
      </c>
      <c r="R31" t="inlineStr">
        <is>
          <t>N</t>
        </is>
      </c>
      <c r="S31" t="inlineStr">
        <is>
          <t>unknown</t>
        </is>
      </c>
      <c r="T31" t="inlineStr">
        <is>
          <t>N</t>
        </is>
      </c>
      <c r="U31" t="inlineStr">
        <is>
          <t>new</t>
        </is>
      </c>
      <c r="V31" t="inlineStr">
        <is>
          <t>https://www.bluestripes.com/pages/about-us</t>
        </is>
      </c>
      <c r="W31" t="inlineStr">
        <is>
          <t>2026-10-23</t>
        </is>
      </c>
      <c r="X31" t="inlineStr">
        <is>
          <t>brand</t>
        </is>
      </c>
      <c r="Y31">
        <f>IF(EB31&lt;&gt;"Y","",COUNTIFS($EB$2:$EB$1000,"Y",$J$2:$J$1000,"&gt;"&amp;J31)+COUNTIFS($EB$2:$EB$1000,"Y",$J$2:$J$1000,J31,$ED$2:$ED$1000,"&lt;"&amp;ED31)+1)</f>
        <v/>
      </c>
      <c r="Z31" t="n">
        <v>30</v>
      </c>
      <c r="AA31" t="inlineStr">
        <is>
          <t>Y</t>
        </is>
      </c>
      <c r="AB31" t="inlineStr">
        <is>
          <t>find Oded Brenner at Blue Stripes on LinkedIn and paste the profile URL; before using the retailer line, check Whole Foods Market NoMad still lists it: https://www.wholefoodsmarket.com/search?text=Blue%20Stripes with your store set to NoMad (catalogs change daily); founder review (scale, claim-borderline): read founder_review_reason first</t>
        </is>
      </c>
      <c r="AC31" t="inlineStr">
        <is>
          <t>founder</t>
        </is>
      </c>
      <c r="AD31" t="inlineStr">
        <is>
          <t>verified-page</t>
        </is>
      </c>
      <c r="AE31" t="inlineStr">
        <is>
          <t>employer's own site</t>
        </is>
      </c>
      <c r="AF31" t="inlineStr">
        <is>
          <t>https://www.bluestripes.com/pages/about-us</t>
        </is>
      </c>
      <c r="AG31" t="inlineStr">
        <is>
          <t>2026-10-24</t>
        </is>
      </c>
      <c r="AH31" t="inlineStr">
        <is>
          <t>Whole Cacao Truffle Bar (Peanut Butter Crunch); Pure Dark Chocolate Bar 2.1 oz; Chocolate Covered Whole Cacao Beans 3.5 oz</t>
        </is>
      </c>
      <c r="AI31" t="inlineStr">
        <is>
          <t>chocolate-candy</t>
        </is>
      </c>
      <c r="AJ31" t="inlineStr">
        <is>
          <t>New York</t>
        </is>
      </c>
      <c r="AK31" t="inlineStr">
        <is>
          <t>https://www.bluestripes.com</t>
        </is>
      </c>
      <c r="AL31" t="inlineStr">
        <is>
          <t>Y</t>
        </is>
      </c>
      <c r="AM31" t="inlineStr">
        <is>
          <t>'Superfood'/'nutritional benefits of cacao' positioning; Series B and Hershey backing may put it above the size band; check labels for claims; 60-day shelf life not stated</t>
        </is>
      </c>
      <c r="AN31" t="inlineStr">
        <is>
          <t>AB-072</t>
        </is>
      </c>
      <c r="AO31" t="inlineStr">
        <is>
          <t>N</t>
        </is>
      </c>
      <c r="AR31">
        <f>IF(AND(AU31="pass",AO31&lt;&gt;"Y",C31&lt;&gt;""),"Y","N")</f>
        <v/>
      </c>
      <c r="AS31">
        <f>_xlfn.TEXTJOIN("; ",TRUE,IF(AU31&lt;&gt;"pass","gated out",""),IF(AO31="Y","on hold: "&amp;AP31,""),IF(C31="","no contact named on an opened page",""))</f>
        <v/>
      </c>
      <c r="AU31" t="inlineStr">
        <is>
          <t>pass</t>
        </is>
      </c>
      <c r="AW31" t="inlineStr">
        <is>
          <t>passes all hard gates</t>
        </is>
      </c>
      <c r="AX31" t="inlineStr">
        <is>
          <t>scale;claim-borderline</t>
        </is>
      </c>
      <c r="AY31" t="inlineStr">
        <is>
          <t>https://www.bluestripes.com</t>
        </is>
      </c>
      <c r="AZ31" t="inlineStr">
        <is>
          <t>NY</t>
        </is>
      </c>
      <c r="BA31" t="inlineStr">
        <is>
          <t>nyc</t>
        </is>
      </c>
      <c r="BB31" t="inlineStr">
        <is>
          <t>Series B ($20M, led by Zintinus, Oct 2024; Hershey's among backers)</t>
        </is>
      </c>
      <c r="BC31" t="inlineStr">
        <is>
          <t>https://www.greenqueen.com.hk/blue-stripes-cacao-20m-hersheys-nick-digiovanni-chocolate-climate-change/</t>
        </is>
      </c>
      <c r="BD31" t="inlineStr">
        <is>
          <t>likely</t>
        </is>
      </c>
      <c r="BE31" t="inlineStr">
        <is>
          <t>Packaged chocolate bars and cacao snacks sold ambient at Whole Foods; shelf-life figure not published</t>
        </is>
      </c>
      <c r="BF31" t="inlineStr">
        <is>
          <t>Y</t>
        </is>
      </c>
      <c r="BG31" t="inlineStr">
        <is>
          <t>Y</t>
        </is>
      </c>
      <c r="BH31" t="inlineStr">
        <is>
          <t>unknown</t>
        </is>
      </c>
      <c r="BJ31" t="inlineStr">
        <is>
          <t>unknown</t>
        </is>
      </c>
      <c r="BK31" t="inlineStr">
        <is>
          <t>N</t>
        </is>
      </c>
      <c r="BL31" t="inlineStr">
        <is>
          <t>N</t>
        </is>
      </c>
      <c r="BN31" t="n">
        <v>0</v>
      </c>
      <c r="BO31" t="inlineStr">
        <is>
          <t>Y</t>
        </is>
      </c>
      <c r="BP31" t="n">
        <v>3</v>
      </c>
      <c r="BQ31" t="inlineStr">
        <is>
          <t>Whole Foods Market NoMad, 63 Madison Ave (store_selector, inside);Whole Foods Market Union Square, 4 Union Sq S (store_selector, inside);Whole Foods Market Chelsea, 250 7th Ave (store_selector, 3.0 blocks out)</t>
        </is>
      </c>
      <c r="BS31" t="inlineStr">
        <is>
          <t>Whole Foods; Brooklyn Fare and Westside Market (search snippet, unverified)</t>
        </is>
      </c>
      <c r="BT31" t="inlineStr">
        <is>
          <t>https://www.wholefoodsmarket.com/api/search?text=blue%20stripes&amp;store=10162&amp;limit=60&amp;offset=0; https://www.wholefoodsmarket.com/api/search?text=blue%20stripes&amp;store=10773&amp;limit=60&amp;offset=0; https://www.wholefoodsmarket.com/api/search?text=blue%20stripes&amp;store=10131&amp;limit=60&amp;offset=0</t>
        </is>
      </c>
      <c r="BU31" t="inlineStr">
        <is>
          <t>press</t>
        </is>
      </c>
      <c r="BV31" t="n">
        <v>288</v>
      </c>
      <c r="BX31" t="inlineStr">
        <is>
          <t>Oded Brenner</t>
        </is>
      </c>
      <c r="BY31" t="inlineStr">
        <is>
          <t>About page: the founder, Oded Brenner. The Org lists him as Chief Executive Officer.</t>
        </is>
      </c>
      <c r="CA31" t="inlineStr">
        <is>
          <t>Aviv Schwietzer</t>
        </is>
      </c>
      <c r="CB31" t="inlineStr">
        <is>
          <t>Aviv</t>
        </is>
      </c>
      <c r="CC31" t="inlineStr">
        <is>
          <t>Schwietzer</t>
        </is>
      </c>
      <c r="CD31" t="inlineStr">
        <is>
          <t>Co-founder and COO</t>
        </is>
      </c>
      <c r="CE31" t="inlineStr">
        <is>
          <t>co-founder or executive</t>
        </is>
      </c>
      <c r="CF31" t="inlineStr">
        <is>
          <t>verified-page</t>
        </is>
      </c>
      <c r="CG31" t="inlineStr">
        <is>
          <t>The Org (updated 2024-11-04): Co-founder &amp; Chief Operating Officer since 2019.</t>
        </is>
      </c>
      <c r="CK31" t="inlineStr">
        <is>
          <t>none</t>
        </is>
      </c>
      <c r="CL31" t="n">
        <v>60</v>
      </c>
      <c r="CM31" t="n">
        <v>25</v>
      </c>
      <c r="CN31" t="n">
        <v>20</v>
      </c>
      <c r="CO31" t="n">
        <v>8</v>
      </c>
      <c r="CP31" t="n">
        <v>5</v>
      </c>
      <c r="CQ31" t="n">
        <v>8</v>
      </c>
      <c r="CR31" t="n">
        <v>6</v>
      </c>
      <c r="CS31">
        <f>IF(R31="Y",10,0)</f>
        <v/>
      </c>
      <c r="CT31" t="n">
        <v>-12</v>
      </c>
      <c r="CU31" t="inlineStr">
        <is>
          <t>https://www.instagram.com/bluestripescacao/</t>
        </is>
      </c>
      <c r="CV31" t="inlineStr">
        <is>
          <t>BR2</t>
        </is>
      </c>
      <c r="CW31" t="inlineStr">
        <is>
          <t>BR2:9</t>
        </is>
      </c>
      <c r="CX31" t="inlineStr">
        <is>
          <t>Terms of service list Blue Stripes LLC at a Cedar Falls IA address. HQ left as New York; founder to confirm which is the operating office.</t>
        </is>
      </c>
      <c r="CY31" t="inlineStr">
        <is>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t>
        </is>
      </c>
      <c r="CZ31" t="inlineStr">
        <is>
          <t>https://theorg.com/org/blue-stripes/person/aviv-schwietzer</t>
        </is>
      </c>
      <c r="DA31" t="inlineStr">
        <is>
          <t>stage 2</t>
        </is>
      </c>
      <c r="DC31" t="inlineStr">
        <is>
          <t>The Org (crowd-edited org chart)</t>
        </is>
      </c>
      <c r="DD31" t="inlineStr">
        <is>
          <t>2024-11-04</t>
        </is>
      </c>
      <c r="DY31">
        <f>IF(ISNUMBER(MATCH(U31,{"queued","contacted","replied","call_booked","call_done","yes_in_principle","materials_sent"},0)),"Y","N")</f>
        <v/>
      </c>
      <c r="DZ31">
        <f>IF(COUNTIFS($AN$2:$AN$1000,AN31,$DY$2:$DY$1000,"Y")+COUNTIFS($AN$2:$AN$1000,AN31,$T$2:$T$1000,"Y")&gt;0,"Y","N")</f>
        <v/>
      </c>
      <c r="EA31">
        <f>IF(AND(U31="new",T31="N",AR31="Y",AQ31="",DZ31="N"),"Y","N")</f>
        <v/>
      </c>
      <c r="EB31">
        <f>IF(EA31&lt;&gt;"Y","N",IF(COUNTIFS($AN$2:$AN$1000,AN31,$EA$2:$EA$1000,"Y",$J$2:$J$1000,"&gt;"&amp;J31)+COUNTIFS($AN$2:$AN$1000,AN31,$EA$2:$EA$1000,"Y",$J$2:$J$1000,J31,$ED$2:$ED$1000,"&lt;"&amp;ED31)=0,"Y","N"))</f>
        <v/>
      </c>
      <c r="EC31">
        <f>IF(Y31="","N",IF(Y31&lt;=10,"Y","N"))</f>
        <v/>
      </c>
      <c r="ED31">
        <f>ROW()-1</f>
        <v/>
      </c>
    </row>
    <row r="32">
      <c r="A32" t="inlineStr">
        <is>
          <t>AB-096</t>
        </is>
      </c>
      <c r="B32" t="inlineStr">
        <is>
          <t>Magic Spoon</t>
        </is>
      </c>
      <c r="C32" t="inlineStr">
        <is>
          <t>Gabi</t>
        </is>
      </c>
      <c r="D32" t="inlineStr">
        <is>
          <t>Lewis</t>
        </is>
      </c>
      <c r="E32" t="inlineStr">
        <is>
          <t>Co-founder</t>
        </is>
      </c>
      <c r="F32" t="inlineStr">
        <is>
          <t>https://www.linkedin.com/in/gabi-lewis-88483447/</t>
        </is>
      </c>
      <c r="H32" t="inlineStr">
        <is>
          <t>none</t>
        </is>
      </c>
      <c r="I32" t="inlineStr">
        <is>
          <t>linkedin</t>
        </is>
      </c>
      <c r="J32">
        <f>IF(AU32="pass",CM32+CN32+CO32+CP32+CQ32+CR32+CS32+CT32,0)</f>
        <v/>
      </c>
      <c r="K32" t="inlineStr">
        <is>
          <t>New York City brand, store page shows Whole Foods Market NoMad inside the cluster, a new store listing 59 days ago, revenue unknown, contact named; founder review: scale, claim-borderline.</t>
        </is>
      </c>
      <c r="M32" t="inlineStr">
        <is>
          <t>Whole Foods Market NoMad, 63 Madison Ave</t>
        </is>
      </c>
      <c r="N32" t="inlineStr">
        <is>
          <t>store_selector</t>
        </is>
      </c>
      <c r="O32" t="inlineStr">
        <is>
          <t>New Cereal Treats flavors (Cookies &amp; Cream, Chocolate Chip Cookie Dough) and limited-edition cereals launched Aug to Sept 2026</t>
        </is>
      </c>
      <c r="P32" t="inlineStr">
        <is>
          <t>https://magicspoon.com/</t>
        </is>
      </c>
      <c r="Q32" t="inlineStr">
        <is>
          <t>2026-08-26</t>
        </is>
      </c>
      <c r="R32" t="inlineStr">
        <is>
          <t>N</t>
        </is>
      </c>
      <c r="S32" t="inlineStr">
        <is>
          <t>unknown</t>
        </is>
      </c>
      <c r="T32" t="inlineStr">
        <is>
          <t>N</t>
        </is>
      </c>
      <c r="U32" t="inlineStr">
        <is>
          <t>new</t>
        </is>
      </c>
      <c r="V32" t="inlineStr">
        <is>
          <t>https://magicspoon.com/pages/our-story</t>
        </is>
      </c>
      <c r="W32" t="inlineStr">
        <is>
          <t>2026-10-23</t>
        </is>
      </c>
      <c r="X32" t="inlineStr">
        <is>
          <t>brand</t>
        </is>
      </c>
      <c r="Y32">
        <f>IF(EB32&lt;&gt;"Y","",COUNTIFS($EB$2:$EB$1000,"Y",$J$2:$J$1000,"&gt;"&amp;J32)+COUNTIFS($EB$2:$EB$1000,"Y",$J$2:$J$1000,J32,$ED$2:$ED$1000,"&lt;"&amp;ED32)+1)</f>
        <v/>
      </c>
      <c r="Z32" t="n">
        <v>31</v>
      </c>
      <c r="AA32" t="inlineStr">
        <is>
          <t>Y</t>
        </is>
      </c>
      <c r="AB32" t="inlineStr">
        <is>
          <t>before using the retailer line, check Whole Foods Market NoMad still lists it: https://www.wholefoodsmarket.com/search?text=Magic%20Spoon with your store set to NoMad (catalogs change daily); founder review (scale, claim-borderline): read founder_review_reason first</t>
        </is>
      </c>
      <c r="AC32" t="inlineStr">
        <is>
          <t>founder</t>
        </is>
      </c>
      <c r="AD32" t="inlineStr">
        <is>
          <t>verified-page</t>
        </is>
      </c>
      <c r="AE32" t="inlineStr">
        <is>
          <t>The Org (crowd-edited org chart)</t>
        </is>
      </c>
      <c r="AF32" t="inlineStr">
        <is>
          <t>https://theorg.com/org/magic-spoon/person/gabi-lewis</t>
        </is>
      </c>
      <c r="AG32" t="inlineStr">
        <is>
          <t>2026-10-24</t>
        </is>
      </c>
      <c r="AH32" t="inlineStr">
        <is>
          <t>Magic Spoon Cereal Treats (Cookies &amp; Cream, Chocolate Chip Cookie Dough), 4-count boxes</t>
        </is>
      </c>
      <c r="AI32" t="inlineStr">
        <is>
          <t>bars</t>
        </is>
      </c>
      <c r="AJ32" t="inlineStr">
        <is>
          <t>New York</t>
        </is>
      </c>
      <c r="AK32" t="inlineStr">
        <is>
          <t>https://magicspoon.com</t>
        </is>
      </c>
      <c r="AL32" t="inlineStr">
        <is>
          <t>Y</t>
        </is>
      </c>
      <c r="AM32" t="inlineStr">
        <is>
          <t>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60-day shelf life not stated</t>
        </is>
      </c>
      <c r="AN32" t="inlineStr">
        <is>
          <t>AB-096</t>
        </is>
      </c>
      <c r="AO32" t="inlineStr">
        <is>
          <t>N</t>
        </is>
      </c>
      <c r="AR32">
        <f>IF(AND(AU32="pass",AO32&lt;&gt;"Y",C32&lt;&gt;""),"Y","N")</f>
        <v/>
      </c>
      <c r="AS32">
        <f>_xlfn.TEXTJOIN("; ",TRUE,IF(AU32&lt;&gt;"pass","gated out",""),IF(AO32="Y","on hold: "&amp;AP32,""),IF(C32="","no contact named on an opened page",""))</f>
        <v/>
      </c>
      <c r="AU32" t="inlineStr">
        <is>
          <t>pass</t>
        </is>
      </c>
      <c r="AW32" t="inlineStr">
        <is>
          <t>passes all hard gates</t>
        </is>
      </c>
      <c r="AX32" t="inlineStr">
        <is>
          <t>scale;claim-borderline</t>
        </is>
      </c>
      <c r="AY32" t="inlineStr">
        <is>
          <t>https://magicspoon.com</t>
        </is>
      </c>
      <c r="AZ32" t="inlineStr">
        <is>
          <t>NY</t>
        </is>
      </c>
      <c r="BA32" t="inlineStr">
        <is>
          <t>nyc</t>
        </is>
      </c>
      <c r="BB32" t="inlineStr">
        <is>
          <t>unknown</t>
        </is>
      </c>
      <c r="BD32" t="inlineStr">
        <is>
          <t>likely</t>
        </is>
      </c>
      <c r="BE32" t="inlineStr">
        <is>
          <t>Shelf-stable cereal and wrapped protein treats sold ambient online and in grocery; shelf-life figure not found</t>
        </is>
      </c>
      <c r="BF32" t="inlineStr">
        <is>
          <t>unknown</t>
        </is>
      </c>
      <c r="BG32" t="inlineStr">
        <is>
          <t>Y</t>
        </is>
      </c>
      <c r="BH32" t="inlineStr">
        <is>
          <t>unknown</t>
        </is>
      </c>
      <c r="BJ32" t="inlineStr">
        <is>
          <t>unknown</t>
        </is>
      </c>
      <c r="BK32" t="inlineStr">
        <is>
          <t>N</t>
        </is>
      </c>
      <c r="BL32" t="inlineStr">
        <is>
          <t>N</t>
        </is>
      </c>
      <c r="BN32" t="n">
        <v>0</v>
      </c>
      <c r="BO32" t="inlineStr">
        <is>
          <t>Y</t>
        </is>
      </c>
      <c r="BP32" t="n">
        <v>3</v>
      </c>
      <c r="BQ32" t="inlineStr">
        <is>
          <t>Whole Foods Market NoMad, 63 Madison Ave (store_selector, inside);Whole Foods Market Union Square, 4 Union Sq S (store_selector, inside);Whole Foods Market Chelsea, 250 7th Ave (store_selector, 3.0 blocks out)</t>
        </is>
      </c>
      <c r="BS32" t="inlineStr">
        <is>
          <t>Whole Foods (cereal)</t>
        </is>
      </c>
      <c r="BT32" t="inlineStr">
        <is>
          <t>https://www.wholefoodsmarket.com/api/search?text=magic%20spoon&amp;store=10162&amp;limit=60&amp;offset=0; https://www.wholefoodsmarket.com/api/search?text=magic%20spoon&amp;store=10773&amp;limit=60&amp;offset=0; https://www.wholefoodsmarket.com/api/search?text=magic%20spoon&amp;store=10131&amp;limit=60&amp;offset=0</t>
        </is>
      </c>
      <c r="BU32" t="inlineStr">
        <is>
          <t>listing</t>
        </is>
      </c>
      <c r="BV32" t="n">
        <v>59</v>
      </c>
      <c r="BX32" t="inlineStr">
        <is>
          <t>Gabi Lewis</t>
        </is>
      </c>
      <c r="BY32" t="inlineStr">
        <is>
          <t>The Org (updated 2026-08-12): Co-Founder (formerly co-CEO). Brand Our Story page: "we're Greg and Gabi, co-founders". LinkedIn URL linked from https://karagoldin.com/podcasts/gabi-lewis/; LinkedIn not opened. Co-founder Greg Sewitz also on The Org.</t>
        </is>
      </c>
      <c r="BZ32" t="inlineStr">
        <is>
          <t>listed on an opened page or in search results; LinkedIn itself not opened</t>
        </is>
      </c>
      <c r="CA32" t="inlineStr">
        <is>
          <t>Sarah Barnes</t>
        </is>
      </c>
      <c r="CE32" t="inlineStr">
        <is>
          <t>marketing lead</t>
        </is>
      </c>
      <c r="CF32" t="inlineStr">
        <is>
          <t>unverified</t>
        </is>
      </c>
      <c r="CG32" t="inlineStr">
        <is>
          <t>Stage-1 LinkedIn search result title "Chief Marketing Officer at Magic Spoon"; not opened. A 2026-10-24 search found no press naming a CMO and a Senior Director of Brand Marketing role advertised.</t>
        </is>
      </c>
      <c r="CH32" t="inlineStr">
        <is>
          <t>https://www.linkedin.com/in/sarah-barnes-30a301b/</t>
        </is>
      </c>
      <c r="CI32" t="inlineStr">
        <is>
          <t>search result, not opened</t>
        </is>
      </c>
      <c r="CK32" t="inlineStr">
        <is>
          <t>none</t>
        </is>
      </c>
      <c r="CL32" t="n">
        <v>60</v>
      </c>
      <c r="CM32" t="n">
        <v>25</v>
      </c>
      <c r="CN32" t="n">
        <v>20</v>
      </c>
      <c r="CO32" t="n">
        <v>8</v>
      </c>
      <c r="CP32" t="n">
        <v>5</v>
      </c>
      <c r="CQ32" t="n">
        <v>6</v>
      </c>
      <c r="CR32" t="n">
        <v>8</v>
      </c>
      <c r="CS32">
        <f>IF(R32="Y",10,0)</f>
        <v/>
      </c>
      <c r="CT32" t="n">
        <v>-12</v>
      </c>
      <c r="CU32" t="inlineStr">
        <is>
          <t>https://www.instagram.com/magicspooncereal/</t>
        </is>
      </c>
      <c r="CV32" t="inlineStr">
        <is>
          <t>BR2</t>
        </is>
      </c>
      <c r="CW32" t="inlineStr">
        <is>
          <t>BR2:34</t>
        </is>
      </c>
      <c r="CX32" t="inlineStr">
        <is>
          <t>HQ not stated on pages opened. Why-now dates from Shopify publish dates. Spot check 2026-10-23: Treats product description empty, so individual wrapping is not confirmed (downgraded from Y to unknown); WFM NoMad lists only Cocoa and Cinnamon Crunch cereal.</t>
        </is>
      </c>
      <c r="CY32" t="inlineStr">
        <is>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t>
        </is>
      </c>
      <c r="CZ32" t="inlineStr">
        <is>
          <t>https://www.linkedin.com/in/sarah-barnes-30a301b/</t>
        </is>
      </c>
      <c r="DA32" t="inlineStr">
        <is>
          <t>stage 2</t>
        </is>
      </c>
      <c r="DB32" t="inlineStr">
        <is>
          <t>2026-08-12</t>
        </is>
      </c>
      <c r="DC32" t="inlineStr">
        <is>
          <t>search snippet only (not opened)</t>
        </is>
      </c>
      <c r="DY32">
        <f>IF(ISNUMBER(MATCH(U32,{"queued","contacted","replied","call_booked","call_done","yes_in_principle","materials_sent"},0)),"Y","N")</f>
        <v/>
      </c>
      <c r="DZ32">
        <f>IF(COUNTIFS($AN$2:$AN$1000,AN32,$DY$2:$DY$1000,"Y")+COUNTIFS($AN$2:$AN$1000,AN32,$T$2:$T$1000,"Y")&gt;0,"Y","N")</f>
        <v/>
      </c>
      <c r="EA32">
        <f>IF(AND(U32="new",T32="N",AR32="Y",AQ32="",DZ32="N"),"Y","N")</f>
        <v/>
      </c>
      <c r="EB32">
        <f>IF(EA32&lt;&gt;"Y","N",IF(COUNTIFS($AN$2:$AN$1000,AN32,$EA$2:$EA$1000,"Y",$J$2:$J$1000,"&gt;"&amp;J32)+COUNTIFS($AN$2:$AN$1000,AN32,$EA$2:$EA$1000,"Y",$J$2:$J$1000,J32,$ED$2:$ED$1000,"&lt;"&amp;ED32)=0,"Y","N"))</f>
        <v/>
      </c>
      <c r="EC32">
        <f>IF(Y32="","N",IF(Y32&lt;=10,"Y","N"))</f>
        <v/>
      </c>
      <c r="ED32">
        <f>ROW()-1</f>
        <v/>
      </c>
    </row>
    <row r="33">
      <c r="A33" t="inlineStr">
        <is>
          <t>AB-058</t>
        </is>
      </c>
      <c r="B33" t="inlineStr">
        <is>
          <t>Jack &amp; Friends</t>
        </is>
      </c>
      <c r="C33" t="inlineStr">
        <is>
          <t>Jessica</t>
        </is>
      </c>
      <c r="D33" t="inlineStr">
        <is>
          <t>Kwong</t>
        </is>
      </c>
      <c r="E33" t="inlineStr">
        <is>
          <t>Founder and CEO</t>
        </is>
      </c>
      <c r="H33" t="inlineStr">
        <is>
          <t>none</t>
        </is>
      </c>
      <c r="I33" t="inlineStr">
        <is>
          <t>linkedin</t>
        </is>
      </c>
      <c r="J33">
        <f>IF(AU33="pass",CM33+CN33+CO33+CP33+CQ33+CR33+CS33+CT33,0)</f>
        <v/>
      </c>
      <c r="K33" t="inlineStr">
        <is>
          <t>New York City brand, store page shows Whole Foods Market NoMad inside the cluster, no dated why-now in the last 12 months, revenue unknown, contact named; founder review: claim-borderline.</t>
        </is>
      </c>
      <c r="M33" t="inlineStr">
        <is>
          <t>Whole Foods Market NoMad, 63 Madison Ave</t>
        </is>
      </c>
      <c r="N33" t="inlineStr">
        <is>
          <t>store_selector</t>
        </is>
      </c>
      <c r="R33" t="inlineStr">
        <is>
          <t>N</t>
        </is>
      </c>
      <c r="S33" t="inlineStr">
        <is>
          <t>unknown</t>
        </is>
      </c>
      <c r="T33" t="inlineStr">
        <is>
          <t>N</t>
        </is>
      </c>
      <c r="U33" t="inlineStr">
        <is>
          <t>new</t>
        </is>
      </c>
      <c r="V33" t="inlineStr">
        <is>
          <t>https://www.wholefoodsmarket.com/search?text=jack%20%26%20friends%20jackfruit</t>
        </is>
      </c>
      <c r="W33" t="inlineStr">
        <is>
          <t>2026-10-23</t>
        </is>
      </c>
      <c r="X33" t="inlineStr">
        <is>
          <t>brand</t>
        </is>
      </c>
      <c r="Y33">
        <f>IF(EB33&lt;&gt;"Y","",COUNTIFS($EB$2:$EB$1000,"Y",$J$2:$J$1000,"&gt;"&amp;J33)+COUNTIFS($EB$2:$EB$1000,"Y",$J$2:$J$1000,J33,$ED$2:$ED$1000,"&lt;"&amp;ED33)+1)</f>
        <v/>
      </c>
      <c r="Z33" t="n">
        <v>32</v>
      </c>
      <c r="AA33" t="inlineStr">
        <is>
          <t>Y</t>
        </is>
      </c>
      <c r="AB33" t="inlineStr">
        <is>
          <t>find Jessica Kwong at Jack &amp; Friends on LinkedIn and paste the profile URL; before using the retailer line, check Whole Foods Market NoMad still lists it: https://www.wholefoodsmarket.com/search?text=Jack%20%26%20Friends with your store set to NoMad (catalogs change daily); founder review (claim-borderline): read founder_review_reason first</t>
        </is>
      </c>
      <c r="AC33" t="inlineStr">
        <is>
          <t>founder</t>
        </is>
      </c>
      <c r="AD33" t="inlineStr">
        <is>
          <t>verified-page</t>
        </is>
      </c>
      <c r="AE33" t="inlineStr">
        <is>
          <t>employer's own site</t>
        </is>
      </c>
      <c r="AF33" t="inlineStr">
        <is>
          <t>https://jackandfriendsjerky.com/pages/about</t>
        </is>
      </c>
      <c r="AG33" t="inlineStr">
        <is>
          <t>2026-10-24</t>
        </is>
      </c>
      <c r="AH33" t="inlineStr">
        <is>
          <t>Jack &amp; Friends Jackfruit Jerky, Sweet BBQ, 2.2 oz (plant-based)</t>
        </is>
      </c>
      <c r="AI33" t="inlineStr">
        <is>
          <t>meat-snacks</t>
        </is>
      </c>
      <c r="AJ33" t="inlineStr">
        <is>
          <t>New York</t>
        </is>
      </c>
      <c r="AL33" t="inlineStr">
        <is>
          <t>Y</t>
        </is>
      </c>
      <c r="AM33" t="inlineStr">
        <is>
          <t>Plant-based jerky (category meat-snacks is a stretch); WFM title leads with protein and fiber grams; brand site not found; no online store: buy path is the store only</t>
        </is>
      </c>
      <c r="AN33" t="inlineStr">
        <is>
          <t>AB-058</t>
        </is>
      </c>
      <c r="AO33" t="inlineStr">
        <is>
          <t>N</t>
        </is>
      </c>
      <c r="AR33">
        <f>IF(AND(AU33="pass",AO33&lt;&gt;"Y",C33&lt;&gt;""),"Y","N")</f>
        <v/>
      </c>
      <c r="AS33">
        <f>_xlfn.TEXTJOIN("; ",TRUE,IF(AU33&lt;&gt;"pass","gated out",""),IF(AO33="Y","on hold: "&amp;AP33,""),IF(C33="","no contact named on an opened page",""))</f>
        <v/>
      </c>
      <c r="AU33" t="inlineStr">
        <is>
          <t>pass</t>
        </is>
      </c>
      <c r="AW33" t="inlineStr">
        <is>
          <t>passes all hard gates</t>
        </is>
      </c>
      <c r="AX33" t="inlineStr">
        <is>
          <t>claim-borderline</t>
        </is>
      </c>
      <c r="AY33" t="inlineStr">
        <is>
          <t>https://jackandfriendsjerky.com</t>
        </is>
      </c>
      <c r="AZ33" t="inlineStr">
        <is>
          <t>NY</t>
        </is>
      </c>
      <c r="BA33" t="inlineStr">
        <is>
          <t>nyc</t>
        </is>
      </c>
      <c r="BB33" t="inlineStr">
        <is>
          <t>unknown</t>
        </is>
      </c>
      <c r="BD33" t="inlineStr">
        <is>
          <t>Y</t>
        </is>
      </c>
      <c r="BE33" t="inlineStr">
        <is>
          <t>Packaged plant-based jerky sold in WFM grocery aisle</t>
        </is>
      </c>
      <c r="BF33" t="inlineStr">
        <is>
          <t>Y</t>
        </is>
      </c>
      <c r="BG33" t="inlineStr">
        <is>
          <t>unknown</t>
        </is>
      </c>
      <c r="BH33" t="inlineStr">
        <is>
          <t>unknown</t>
        </is>
      </c>
      <c r="BJ33" t="inlineStr">
        <is>
          <t>unknown</t>
        </is>
      </c>
      <c r="BK33" t="inlineStr">
        <is>
          <t>N</t>
        </is>
      </c>
      <c r="BL33" t="inlineStr">
        <is>
          <t>N</t>
        </is>
      </c>
      <c r="BN33" t="n">
        <v>0</v>
      </c>
      <c r="BO33" t="inlineStr">
        <is>
          <t>Y</t>
        </is>
      </c>
      <c r="BP33" t="n">
        <v>2</v>
      </c>
      <c r="BQ33" t="inlineStr">
        <is>
          <t>Whole Foods Market NoMad, 63 Madison Ave (store_selector, inside);Whole Foods Market Union Square, 4 Union Sq S (store_selector, inside)</t>
        </is>
      </c>
      <c r="BS33" t="inlineStr">
        <is>
          <t>Whole Foods Market</t>
        </is>
      </c>
      <c r="BT33" t="inlineStr">
        <is>
          <t>https://www.wholefoodsmarket.com/search?text=jack%20%26%20friends%20jackfruit (Union Square and NoMad contexts: three jackfruit jerky flavors IN_STOCK 2026-10-23)</t>
        </is>
      </c>
      <c r="BU33" t="inlineStr">
        <is>
          <t>none</t>
        </is>
      </c>
      <c r="BX33" t="inlineStr">
        <is>
          <t>Jessica Kwong</t>
        </is>
      </c>
      <c r="BY33" t="inlineStr">
        <is>
          <t>About page: "our founder, Jessica Kwong". The Org (updated 2026-06-12): Founder &amp; CEO since 2018.</t>
        </is>
      </c>
      <c r="CF33" t="inlineStr">
        <is>
          <t>none</t>
        </is>
      </c>
      <c r="CK33" t="inlineStr">
        <is>
          <t>none</t>
        </is>
      </c>
      <c r="CL33" t="n">
        <v>60</v>
      </c>
      <c r="CM33" t="n">
        <v>25</v>
      </c>
      <c r="CN33" t="n">
        <v>20</v>
      </c>
      <c r="CO33" t="n">
        <v>0</v>
      </c>
      <c r="CP33" t="n">
        <v>5</v>
      </c>
      <c r="CQ33" t="n">
        <v>8</v>
      </c>
      <c r="CR33" t="n">
        <v>6</v>
      </c>
      <c r="CS33">
        <f>IF(R33="Y",10,0)</f>
        <v/>
      </c>
      <c r="CT33" t="n">
        <v>-4</v>
      </c>
      <c r="CU33" t="inlineStr">
        <is>
          <t>unknown</t>
        </is>
      </c>
      <c r="CV33" t="inlineStr">
        <is>
          <t>BR1</t>
        </is>
      </c>
      <c r="CW33" t="inlineStr">
        <is>
          <t>BR1:59</t>
        </is>
      </c>
      <c r="CX33" t="inlineStr">
        <is>
          <t>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is>
      </c>
      <c r="CY33" t="inlineStr">
        <is>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is>
      </c>
      <c r="DA33" t="inlineStr">
        <is>
          <t>stage 2</t>
        </is>
      </c>
      <c r="DB33" t="inlineStr">
        <is>
          <t>2026-06-12</t>
        </is>
      </c>
      <c r="DY33">
        <f>IF(ISNUMBER(MATCH(U33,{"queued","contacted","replied","call_booked","call_done","yes_in_principle","materials_sent"},0)),"Y","N")</f>
        <v/>
      </c>
      <c r="DZ33">
        <f>IF(COUNTIFS($AN$2:$AN$1000,AN33,$DY$2:$DY$1000,"Y")+COUNTIFS($AN$2:$AN$1000,AN33,$T$2:$T$1000,"Y")&gt;0,"Y","N")</f>
        <v/>
      </c>
      <c r="EA33">
        <f>IF(AND(U33="new",T33="N",AR33="Y",AQ33="",DZ33="N"),"Y","N")</f>
        <v/>
      </c>
      <c r="EB33">
        <f>IF(EA33&lt;&gt;"Y","N",IF(COUNTIFS($AN$2:$AN$1000,AN33,$EA$2:$EA$1000,"Y",$J$2:$J$1000,"&gt;"&amp;J33)+COUNTIFS($AN$2:$AN$1000,AN33,$EA$2:$EA$1000,"Y",$J$2:$J$1000,J33,$ED$2:$ED$1000,"&lt;"&amp;ED33)=0,"Y","N"))</f>
        <v/>
      </c>
      <c r="EC33">
        <f>IF(Y33="","N",IF(Y33&lt;=10,"Y","N"))</f>
        <v/>
      </c>
      <c r="ED33">
        <f>ROW()-1</f>
        <v/>
      </c>
    </row>
    <row r="34">
      <c r="A34" t="inlineStr">
        <is>
          <t>AB-047</t>
        </is>
      </c>
      <c r="B34" t="inlineStr">
        <is>
          <t>Go Raw</t>
        </is>
      </c>
      <c r="C34" t="inlineStr">
        <is>
          <t>Robert</t>
        </is>
      </c>
      <c r="D34" t="inlineStr">
        <is>
          <t>Freeland</t>
        </is>
      </c>
      <c r="E34" t="inlineStr">
        <is>
          <t>Owner, Founder and CEO</t>
        </is>
      </c>
      <c r="H34" t="inlineStr">
        <is>
          <t>none</t>
        </is>
      </c>
      <c r="I34" t="inlineStr">
        <is>
          <t>linkedin</t>
        </is>
      </c>
      <c r="J34">
        <f>IF(AU34="pass",CM34+CN34+CO34+CP34+CQ34+CR34+CS34+CT34,0)</f>
        <v/>
      </c>
      <c r="K34" t="inlineStr">
        <is>
          <t>Brand based outside the Northeast, store page shows Whole Foods Market NoMad inside the cluster, news 171 days ago, revenue unknown, contact named plus a marketing lead; founder review: claim-borderline.</t>
        </is>
      </c>
      <c r="M34" t="inlineStr">
        <is>
          <t>Whole Foods Market NoMad, 63 Madison Ave</t>
        </is>
      </c>
      <c r="N34" t="inlineStr">
        <is>
          <t>store_selector</t>
        </is>
      </c>
      <c r="O34" t="inlineStr">
        <is>
          <t>Launched Snacking Crisps, the brand's first cracker (four flavors)</t>
        </is>
      </c>
      <c r="P34" t="inlineStr">
        <is>
          <t>https://www.snackandbakery.com/articles/115681-go-raw-expands-lineup-with-its-first-cracker</t>
        </is>
      </c>
      <c r="Q34" t="inlineStr">
        <is>
          <t>2026-05-06</t>
        </is>
      </c>
      <c r="R34" t="inlineStr">
        <is>
          <t>N</t>
        </is>
      </c>
      <c r="S34" t="inlineStr">
        <is>
          <t>unknown</t>
        </is>
      </c>
      <c r="T34" t="inlineStr">
        <is>
          <t>N</t>
        </is>
      </c>
      <c r="U34" t="inlineStr">
        <is>
          <t>new</t>
        </is>
      </c>
      <c r="V34" t="inlineStr">
        <is>
          <t>https://www.wholefoodsmarket.com/search?text=go%20raw%20sprouted</t>
        </is>
      </c>
      <c r="W34" t="inlineStr">
        <is>
          <t>2026-10-23</t>
        </is>
      </c>
      <c r="X34" t="inlineStr">
        <is>
          <t>brand</t>
        </is>
      </c>
      <c r="Y34">
        <f>IF(EB34&lt;&gt;"Y","",COUNTIFS($EB$2:$EB$1000,"Y",$J$2:$J$1000,"&gt;"&amp;J34)+COUNTIFS($EB$2:$EB$1000,"Y",$J$2:$J$1000,J34,$ED$2:$ED$1000,"&lt;"&amp;ED34)+1)</f>
        <v/>
      </c>
      <c r="Z34" t="n">
        <v>33</v>
      </c>
      <c r="AA34" t="inlineStr">
        <is>
          <t>Y</t>
        </is>
      </c>
      <c r="AB34" t="inlineStr">
        <is>
          <t>find Robert Freeland at Go Raw on LinkedIn and paste the profile URL (this also confirms the name: The Org is crowd-edited); the source is dated 2023-07-24: check Robert still holds the role; before using the retailer line, check Whole Foods Market NoMad still lists it: https://www.wholefoodsmarket.com/search?text=Go%20Raw with your store set to NoMad (catalogs change daily); founder review (claim-borderline): read founder_review_reason first</t>
        </is>
      </c>
      <c r="AC34" t="inlineStr">
        <is>
          <t>founder</t>
        </is>
      </c>
      <c r="AD34" t="inlineStr">
        <is>
          <t>verified-page</t>
        </is>
      </c>
      <c r="AE34" t="inlineStr">
        <is>
          <t>The Org (crowd-edited org chart)</t>
        </is>
      </c>
      <c r="AF34" t="inlineStr">
        <is>
          <t>https://theorg.com/org/go-raw/person/robert-freeland</t>
        </is>
      </c>
      <c r="AG34" t="inlineStr">
        <is>
          <t>2026-10-24</t>
        </is>
      </c>
      <c r="AH34" t="inlineStr">
        <is>
          <t>Go Raw Organic Sprouted Pumpkin Seeds, Sea Salted</t>
        </is>
      </c>
      <c r="AI34" t="inlineStr">
        <is>
          <t>nuts-seeds-trail</t>
        </is>
      </c>
      <c r="AJ34" t="inlineStr">
        <is>
          <t>Northbrook</t>
        </is>
      </c>
      <c r="AL34" t="inlineStr">
        <is>
          <t>Y</t>
        </is>
      </c>
      <c r="AM34" t="inlineStr">
        <is>
          <t>Brand site unreachable on 2026-10-23 (domain guessed, may be wrong); owner and HQ unconfirmed; WFM title uses 'Keto' positioning; no online store: buy path is the store only</t>
        </is>
      </c>
      <c r="AN34" t="inlineStr">
        <is>
          <t>AB-047</t>
        </is>
      </c>
      <c r="AO34" t="inlineStr">
        <is>
          <t>N</t>
        </is>
      </c>
      <c r="AR34">
        <f>IF(AND(AU34="pass",AO34&lt;&gt;"Y",C34&lt;&gt;""),"Y","N")</f>
        <v/>
      </c>
      <c r="AS34">
        <f>_xlfn.TEXTJOIN("; ",TRUE,IF(AU34&lt;&gt;"pass","gated out",""),IF(AO34="Y","on hold: "&amp;AP34,""),IF(C34="","no contact named on an opened page",""))</f>
        <v/>
      </c>
      <c r="AU34" t="inlineStr">
        <is>
          <t>pass</t>
        </is>
      </c>
      <c r="AW34" t="inlineStr">
        <is>
          <t>passes all hard gates</t>
        </is>
      </c>
      <c r="AX34" t="inlineStr">
        <is>
          <t>claim-borderline</t>
        </is>
      </c>
      <c r="AY34" t="inlineStr">
        <is>
          <t>https://goraw.com</t>
        </is>
      </c>
      <c r="AZ34" t="inlineStr">
        <is>
          <t>IL</t>
        </is>
      </c>
      <c r="BA34" t="inlineStr">
        <is>
          <t>elsewhere</t>
        </is>
      </c>
      <c r="BB34" t="inlineStr">
        <is>
          <t>unknown</t>
        </is>
      </c>
      <c r="BD34" t="inlineStr">
        <is>
          <t>Y</t>
        </is>
      </c>
      <c r="BE34" t="inlineStr">
        <is>
          <t>Sprouted, dried seeds in sealed bags, ambient</t>
        </is>
      </c>
      <c r="BF34" t="inlineStr">
        <is>
          <t>N</t>
        </is>
      </c>
      <c r="BG34" t="inlineStr">
        <is>
          <t>unknown</t>
        </is>
      </c>
      <c r="BH34" t="inlineStr">
        <is>
          <t>unknown</t>
        </is>
      </c>
      <c r="BJ34" t="inlineStr">
        <is>
          <t>unknown</t>
        </is>
      </c>
      <c r="BK34" t="inlineStr">
        <is>
          <t>N</t>
        </is>
      </c>
      <c r="BL34" t="inlineStr">
        <is>
          <t>N</t>
        </is>
      </c>
      <c r="BN34" t="n">
        <v>0</v>
      </c>
      <c r="BO34" t="inlineStr">
        <is>
          <t>Y</t>
        </is>
      </c>
      <c r="BP34" t="n">
        <v>3</v>
      </c>
      <c r="BQ34" t="inlineStr">
        <is>
          <t>Whole Foods Market NoMad, 63 Madison Ave (store_selector, inside);Whole Foods Market Union Square, 4 Union Sq S (store_selector, inside);Whole Foods Market Chelsea, 250 7th Ave (store_selector, 3.0 blocks out)</t>
        </is>
      </c>
      <c r="BS34" t="inlineStr">
        <is>
          <t>Whole Foods Market</t>
        </is>
      </c>
      <c r="BT34" t="inlineStr">
        <is>
          <t>https://www.wholefoodsmarket.com/search?text=go%20raw%20sprouted (pumpkin and sunflower seed SKUs IN_STOCK in cluster store contexts, 2026-10-23)</t>
        </is>
      </c>
      <c r="BU34" t="inlineStr">
        <is>
          <t>press</t>
        </is>
      </c>
      <c r="BV34" t="n">
        <v>171</v>
      </c>
      <c r="BX34" t="inlineStr">
        <is>
          <t>Robert Freeland</t>
        </is>
      </c>
      <c r="BY34" t="inlineStr">
        <is>
          <t>The Org (updated 2023-07-24): "Owner - Founder - CEO" since 2002. The same chart lists Peter Grumhaus as CEO since 2023 (backup row); who holds the budget now is unconfirmed. Stage 1 had the brand manager in this slot.</t>
        </is>
      </c>
      <c r="CA34" t="inlineStr">
        <is>
          <t>Kimberly Waldron</t>
        </is>
      </c>
      <c r="CB34" t="inlineStr">
        <is>
          <t>Kimberly</t>
        </is>
      </c>
      <c r="CC34" t="inlineStr">
        <is>
          <t>Waldron</t>
        </is>
      </c>
      <c r="CD34" t="inlineStr">
        <is>
          <t>Vice President of Marketing</t>
        </is>
      </c>
      <c r="CE34" t="inlineStr">
        <is>
          <t>marketing lead</t>
        </is>
      </c>
      <c r="CF34" t="inlineStr">
        <is>
          <t>verified-page</t>
        </is>
      </c>
      <c r="CG34" t="inlineStr">
        <is>
          <t>The Org (updated 2026-01-29): VP of Marketing since 2024.</t>
        </is>
      </c>
      <c r="CK34" t="inlineStr">
        <is>
          <t>none</t>
        </is>
      </c>
      <c r="CL34" t="n">
        <v>59</v>
      </c>
      <c r="CM34" t="n">
        <v>25</v>
      </c>
      <c r="CN34" t="n">
        <v>3</v>
      </c>
      <c r="CO34" t="n">
        <v>15</v>
      </c>
      <c r="CP34" t="n">
        <v>5</v>
      </c>
      <c r="CQ34" t="n">
        <v>5</v>
      </c>
      <c r="CR34" t="n">
        <v>10</v>
      </c>
      <c r="CS34">
        <f>IF(R34="Y",10,0)</f>
        <v/>
      </c>
      <c r="CT34" t="n">
        <v>-4</v>
      </c>
      <c r="CU34" t="inlineStr">
        <is>
          <t>unknown</t>
        </is>
      </c>
      <c r="CV34" t="inlineStr">
        <is>
          <t>BR1</t>
        </is>
      </c>
      <c r="CW34" t="inlineStr">
        <is>
          <t>BR1:48</t>
        </is>
      </c>
      <c r="CX34" t="inlineStr">
        <is>
          <t>Website field is a guessed domain that did not respond; founder to confirm the correct site.</t>
        </is>
      </c>
      <c r="CY34" t="inlineStr">
        <is>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t>
        </is>
      </c>
      <c r="CZ34" t="inlineStr">
        <is>
          <t>https://theorg.com/org/go-raw/person/kimberly-waldron</t>
        </is>
      </c>
      <c r="DA34" t="inlineStr">
        <is>
          <t>stage 2</t>
        </is>
      </c>
      <c r="DB34" t="inlineStr">
        <is>
          <t>2023-07-24</t>
        </is>
      </c>
      <c r="DC34" t="inlineStr">
        <is>
          <t>The Org (crowd-edited org chart)</t>
        </is>
      </c>
      <c r="DD34" t="inlineStr">
        <is>
          <t>2026-01-29</t>
        </is>
      </c>
      <c r="DY34">
        <f>IF(ISNUMBER(MATCH(U34,{"queued","contacted","replied","call_booked","call_done","yes_in_principle","materials_sent"},0)),"Y","N")</f>
        <v/>
      </c>
      <c r="DZ34">
        <f>IF(COUNTIFS($AN$2:$AN$1000,AN34,$DY$2:$DY$1000,"Y")+COUNTIFS($AN$2:$AN$1000,AN34,$T$2:$T$1000,"Y")&gt;0,"Y","N")</f>
        <v/>
      </c>
      <c r="EA34">
        <f>IF(AND(U34="new",T34="N",AR34="Y",AQ34="",DZ34="N"),"Y","N")</f>
        <v/>
      </c>
      <c r="EB34">
        <f>IF(EA34&lt;&gt;"Y","N",IF(COUNTIFS($AN$2:$AN$1000,AN34,$EA$2:$EA$1000,"Y",$J$2:$J$1000,"&gt;"&amp;J34)+COUNTIFS($AN$2:$AN$1000,AN34,$EA$2:$EA$1000,"Y",$J$2:$J$1000,J34,$ED$2:$ED$1000,"&lt;"&amp;ED34)=0,"Y","N"))</f>
        <v/>
      </c>
      <c r="EC34">
        <f>IF(Y34="","N",IF(Y34&lt;=10,"Y","N"))</f>
        <v/>
      </c>
      <c r="ED34">
        <f>ROW()-1</f>
        <v/>
      </c>
    </row>
    <row r="35">
      <c r="A35" t="inlineStr">
        <is>
          <t>AB-073</t>
        </is>
      </c>
      <c r="B35" t="inlineStr">
        <is>
          <t>Seed + Mill</t>
        </is>
      </c>
      <c r="C35" t="inlineStr">
        <is>
          <t>Rachel</t>
        </is>
      </c>
      <c r="D35" t="inlineStr">
        <is>
          <t>Simons</t>
        </is>
      </c>
      <c r="E35" t="inlineStr">
        <is>
          <t>CEO and Co-founder</t>
        </is>
      </c>
      <c r="H35" t="inlineStr">
        <is>
          <t>none</t>
        </is>
      </c>
      <c r="I35" t="inlineStr">
        <is>
          <t>linkedin</t>
        </is>
      </c>
      <c r="J35">
        <f>IF(AU35="pass",CM35+CN35+CO35+CP35+CQ35+CR35+CS35+CT35,0)</f>
        <v/>
      </c>
      <c r="K35" t="inlineStr">
        <is>
          <t>New York City brand, store page shows Whole Foods Market NoMad inside the cluster, no dated why-now in the last 12 months, revenue unknown, contact named; founder review: format, claim-borderline.</t>
        </is>
      </c>
      <c r="M35" t="inlineStr">
        <is>
          <t>Whole Foods Market NoMad, 63 Madison Ave</t>
        </is>
      </c>
      <c r="N35" t="inlineStr">
        <is>
          <t>store_selector</t>
        </is>
      </c>
      <c r="R35" t="inlineStr">
        <is>
          <t>N</t>
        </is>
      </c>
      <c r="S35" t="inlineStr">
        <is>
          <t>unknown</t>
        </is>
      </c>
      <c r="T35" t="inlineStr">
        <is>
          <t>N</t>
        </is>
      </c>
      <c r="U35" t="inlineStr">
        <is>
          <t>new</t>
        </is>
      </c>
      <c r="V35" t="inlineStr">
        <is>
          <t>https://www.seedandmill.com/pages/where-to-buy</t>
        </is>
      </c>
      <c r="W35" t="inlineStr">
        <is>
          <t>2026-10-23</t>
        </is>
      </c>
      <c r="X35" t="inlineStr">
        <is>
          <t>brand</t>
        </is>
      </c>
      <c r="Y35">
        <f>IF(EB35&lt;&gt;"Y","",COUNTIFS($EB$2:$EB$1000,"Y",$J$2:$J$1000,"&gt;"&amp;J35)+COUNTIFS($EB$2:$EB$1000,"Y",$J$2:$J$1000,J35,$ED$2:$ED$1000,"&lt;"&amp;ED35)+1)</f>
        <v/>
      </c>
      <c r="Z35" t="n">
        <v>34</v>
      </c>
      <c r="AA35" t="inlineStr">
        <is>
          <t>Y</t>
        </is>
      </c>
      <c r="AB35" t="inlineStr">
        <is>
          <t>find Rachel Simons at Seed + Mill on LinkedIn and paste the profile URL; before using the retailer line, check Whole Foods Market NoMad still lists it: https://www.wholefoodsmarket.com/search?text=Seed%20%2B%20Mill with your store set to NoMad (catalogs change daily); founder review (format, claim-borderline): read founder_review_reason first</t>
        </is>
      </c>
      <c r="AC35" t="inlineStr">
        <is>
          <t>founder</t>
        </is>
      </c>
      <c r="AD35" t="inlineStr">
        <is>
          <t>verified-page</t>
        </is>
      </c>
      <c r="AE35" t="inlineStr">
        <is>
          <t>employer's own site</t>
        </is>
      </c>
      <c r="AF35" t="inlineStr">
        <is>
          <t>https://www.seedandmill.com/a/press-kit</t>
        </is>
      </c>
      <c r="AG35" t="inlineStr">
        <is>
          <t>2026-10-24</t>
        </is>
      </c>
      <c r="AH35" t="inlineStr">
        <is>
          <t>Pistachio Halva 8 oz</t>
        </is>
      </c>
      <c r="AI35" t="inlineStr">
        <is>
          <t>chocolate-candy</t>
        </is>
      </c>
      <c r="AJ35" t="inlineStr">
        <is>
          <t>New York (Chelsea Market store)</t>
        </is>
      </c>
      <c r="AK35" t="inlineStr">
        <is>
          <t>https://www.seedandmill.com</t>
        </is>
      </c>
      <c r="AL35" t="inlineStr">
        <is>
          <t>Y</t>
        </is>
      </c>
      <c r="AM35" t="inlineStr">
        <is>
          <t>No single-serve SKU found (8 oz halva); brand 'About Sesame' page says phytosterols are 'known to help reduce cholesterol' (check labels for claims)</t>
        </is>
      </c>
      <c r="AN35" t="inlineStr">
        <is>
          <t>AB-073</t>
        </is>
      </c>
      <c r="AO35" t="inlineStr">
        <is>
          <t>N</t>
        </is>
      </c>
      <c r="AR35">
        <f>IF(AND(AU35="pass",AO35&lt;&gt;"Y",C35&lt;&gt;""),"Y","N")</f>
        <v/>
      </c>
      <c r="AS35">
        <f>_xlfn.TEXTJOIN("; ",TRUE,IF(AU35&lt;&gt;"pass","gated out",""),IF(AO35="Y","on hold: "&amp;AP35,""),IF(C35="","no contact named on an opened page",""))</f>
        <v/>
      </c>
      <c r="AU35" t="inlineStr">
        <is>
          <t>pass</t>
        </is>
      </c>
      <c r="AW35" t="inlineStr">
        <is>
          <t>passes all hard gates</t>
        </is>
      </c>
      <c r="AX35" t="inlineStr">
        <is>
          <t>format;claim-borderline</t>
        </is>
      </c>
      <c r="AY35" t="inlineStr">
        <is>
          <t>https://www.seedandmill.com</t>
        </is>
      </c>
      <c r="AZ35" t="inlineStr">
        <is>
          <t>NY</t>
        </is>
      </c>
      <c r="BA35" t="inlineStr">
        <is>
          <t>nyc</t>
        </is>
      </c>
      <c r="BB35" t="inlineStr">
        <is>
          <t>unknown</t>
        </is>
      </c>
      <c r="BD35" t="inlineStr">
        <is>
          <t>Y</t>
        </is>
      </c>
      <c r="BE35" t="inlineStr">
        <is>
          <t>Brand FAQ: 'Halva lasts for 4-6 months when stored in a cool, dry place' and 'Halva does not require refrigeration.'</t>
        </is>
      </c>
      <c r="BF35" t="inlineStr">
        <is>
          <t>N</t>
        </is>
      </c>
      <c r="BG35" t="inlineStr">
        <is>
          <t>Y</t>
        </is>
      </c>
      <c r="BH35" t="inlineStr">
        <is>
          <t>unknown</t>
        </is>
      </c>
      <c r="BJ35" t="inlineStr">
        <is>
          <t>unknown</t>
        </is>
      </c>
      <c r="BK35" t="inlineStr">
        <is>
          <t>Y</t>
        </is>
      </c>
      <c r="BL35" t="inlineStr">
        <is>
          <t>N</t>
        </is>
      </c>
      <c r="BN35" t="n">
        <v>0</v>
      </c>
      <c r="BO35" t="inlineStr">
        <is>
          <t>Y</t>
        </is>
      </c>
      <c r="BP35" t="n">
        <v>6</v>
      </c>
      <c r="BQ35" t="inlineStr">
        <is>
          <t>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is>
      </c>
      <c r="BR35" t="inlineStr">
        <is>
          <t>Seed + Mill shop (brand_claim, 11.4 blocks out);Chelsea Market Baskets (brand_claim, 11.4 blocks out)</t>
        </is>
      </c>
      <c r="BS35" t="inlineStr">
        <is>
          <t>500+ retailers (brand where-to-buy page); Whole Foods</t>
        </is>
      </c>
      <c r="BT35" t="inlineStr">
        <is>
          <t>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is>
      </c>
      <c r="BU35" t="inlineStr">
        <is>
          <t>none</t>
        </is>
      </c>
      <c r="BX35" t="inlineStr">
        <is>
          <t>Rachel Simons</t>
        </is>
      </c>
      <c r="BY35" t="inlineStr">
        <is>
          <t>Brand press kit quotes a 2022 article: "Rachel Simons, the Australian-born CEO and Co-Founder of Seed + Mill". About page names three founders, Lisa, Rachel and Monica. Stage 1 source (Goldbelly) returned 403 today.</t>
        </is>
      </c>
      <c r="CA35" t="inlineStr">
        <is>
          <t>Lisa Mendelson</t>
        </is>
      </c>
      <c r="CB35" t="inlineStr">
        <is>
          <t>Lisa</t>
        </is>
      </c>
      <c r="CC35" t="inlineStr">
        <is>
          <t>Mendelson</t>
        </is>
      </c>
      <c r="CD35" t="inlineStr">
        <is>
          <t>Co-founder</t>
        </is>
      </c>
      <c r="CE35" t="inlineStr">
        <is>
          <t>co-founder or executive</t>
        </is>
      </c>
      <c r="CF35" t="inlineStr">
        <is>
          <t>verified-page</t>
        </is>
      </c>
      <c r="CG35" t="inlineStr">
        <is>
          <t>Press kit quotes Kitchn: "the three co-founders of Seed + Mill (Rachel Simons, Lisa Mendelson, and Monica Molenaar)".</t>
        </is>
      </c>
      <c r="CK35" t="inlineStr">
        <is>
          <t>none</t>
        </is>
      </c>
      <c r="CL35" t="n">
        <v>59</v>
      </c>
      <c r="CM35" t="n">
        <v>25</v>
      </c>
      <c r="CN35" t="n">
        <v>20</v>
      </c>
      <c r="CO35" t="n">
        <v>0</v>
      </c>
      <c r="CP35" t="n">
        <v>5</v>
      </c>
      <c r="CQ35" t="n">
        <v>7</v>
      </c>
      <c r="CR35" t="n">
        <v>6</v>
      </c>
      <c r="CS35">
        <f>IF(R35="Y",10,0)</f>
        <v/>
      </c>
      <c r="CT35" t="n">
        <v>-4</v>
      </c>
      <c r="CU35" t="inlineStr">
        <is>
          <t>https://www.instagram.com/seedandmill/</t>
        </is>
      </c>
      <c r="CV35" t="inlineStr">
        <is>
          <t>BR2</t>
        </is>
      </c>
      <c r="CW35" t="inlineStr">
        <is>
          <t>BR2:10</t>
        </is>
      </c>
      <c r="CX35" t="inlineStr">
        <is>
          <t>Opened in Chelsea Market January 2016 per brand about page. Health_claim_flag set from a brand education page, not from a product label; founder to judge. Halva is a sesame confection, filed under chocolate-candy.</t>
        </is>
      </c>
      <c r="CY35" t="inlineStr">
        <is>
          <t xml:space="preserve">shelf_stable_basis &lt;- https://www.seedandmill.com/pages/faq (2026-10-24, opened); founder_name &lt;- https://www.goldbelly.com/restaurants/seed-mill/best-seller-halva-trio (2026-10-24, opened); </t>
        </is>
      </c>
      <c r="CZ35" t="inlineStr">
        <is>
          <t>https://www.seedandmill.com/a/press-kit</t>
        </is>
      </c>
      <c r="DA35" t="inlineStr">
        <is>
          <t>stage 2</t>
        </is>
      </c>
      <c r="DC35" t="inlineStr">
        <is>
          <t>employer's own site</t>
        </is>
      </c>
      <c r="DY35">
        <f>IF(ISNUMBER(MATCH(U35,{"queued","contacted","replied","call_booked","call_done","yes_in_principle","materials_sent"},0)),"Y","N")</f>
        <v/>
      </c>
      <c r="DZ35">
        <f>IF(COUNTIFS($AN$2:$AN$1000,AN35,$DY$2:$DY$1000,"Y")+COUNTIFS($AN$2:$AN$1000,AN35,$T$2:$T$1000,"Y")&gt;0,"Y","N")</f>
        <v/>
      </c>
      <c r="EA35">
        <f>IF(AND(U35="new",T35="N",AR35="Y",AQ35="",DZ35="N"),"Y","N")</f>
        <v/>
      </c>
      <c r="EB35">
        <f>IF(EA35&lt;&gt;"Y","N",IF(COUNTIFS($AN$2:$AN$1000,AN35,$EA$2:$EA$1000,"Y",$J$2:$J$1000,"&gt;"&amp;J35)+COUNTIFS($AN$2:$AN$1000,AN35,$EA$2:$EA$1000,"Y",$J$2:$J$1000,J35,$ED$2:$ED$1000,"&lt;"&amp;ED35)=0,"Y","N"))</f>
        <v/>
      </c>
      <c r="EC35">
        <f>IF(Y35="","N",IF(Y35&lt;=10,"Y","N"))</f>
        <v/>
      </c>
      <c r="ED35">
        <f>ROW()-1</f>
        <v/>
      </c>
    </row>
    <row r="36">
      <c r="A36" t="inlineStr">
        <is>
          <t>AB-130</t>
        </is>
      </c>
      <c r="B36" t="inlineStr">
        <is>
          <t>Moshi</t>
        </is>
      </c>
      <c r="C36" t="inlineStr">
        <is>
          <t>Alton</t>
        </is>
      </c>
      <c r="D36" t="inlineStr">
        <is>
          <t>But</t>
        </is>
      </c>
      <c r="E36" t="inlineStr">
        <is>
          <t>Founder</t>
        </is>
      </c>
      <c r="H36" t="inlineStr">
        <is>
          <t>none</t>
        </is>
      </c>
      <c r="I36" t="inlineStr">
        <is>
          <t>linkedin</t>
        </is>
      </c>
      <c r="J36">
        <f>IF(AU36="pass",CM36+CN36+CO36+CP36+CQ36+CR36+CS36+CT36,0)</f>
        <v/>
      </c>
      <c r="K36" t="inlineStr">
        <is>
          <t>New York City brand, brand locator shows Dainobu 0.9 blocks outside it, a new store listing 43 days ago, revenue unknown, contact named plus a marketing lead; founder review: claim-borderline.</t>
        </is>
      </c>
      <c r="M36" t="inlineStr">
        <is>
          <t>Dainobu, 498 6th Ave</t>
        </is>
      </c>
      <c r="N36" t="inlineStr">
        <is>
          <t>brand_claim</t>
        </is>
      </c>
      <c r="O36" t="inlineStr">
        <is>
          <t>Launched limited-edition DAN DA DAN x Moshi Sparkling Yuzu Hojicha (anime collab) on its store; also exhibited at Natural Products Expo West 2026 (booth N1934)</t>
        </is>
      </c>
      <c r="P36" t="inlineStr">
        <is>
          <t>https://tastemoshi.com/products/dandadan-x-moshi-yuzu-hojicha-sparkling-drink</t>
        </is>
      </c>
      <c r="Q36" t="inlineStr">
        <is>
          <t>2026-09-11</t>
        </is>
      </c>
      <c r="R36" t="inlineStr">
        <is>
          <t>N</t>
        </is>
      </c>
      <c r="S36" t="inlineStr">
        <is>
          <t>unknown</t>
        </is>
      </c>
      <c r="T36" t="inlineStr">
        <is>
          <t>N</t>
        </is>
      </c>
      <c r="U36" t="inlineStr">
        <is>
          <t>new</t>
        </is>
      </c>
      <c r="V36" t="inlineStr">
        <is>
          <t>https://tastemoshi.com/pages/moshi</t>
        </is>
      </c>
      <c r="W36" t="inlineStr">
        <is>
          <t>2026-10-23</t>
        </is>
      </c>
      <c r="X36" t="inlineStr">
        <is>
          <t>brand</t>
        </is>
      </c>
      <c r="Y36">
        <f>IF(EB36&lt;&gt;"Y","",COUNTIFS($EB$2:$EB$1000,"Y",$J$2:$J$1000,"&gt;"&amp;J36)+COUNTIFS($EB$2:$EB$1000,"Y",$J$2:$J$1000,J36,$ED$2:$ED$1000,"&lt;"&amp;ED36)+1)</f>
        <v/>
      </c>
      <c r="Z36" t="n">
        <v>35</v>
      </c>
      <c r="AA36" t="inlineStr">
        <is>
          <t>Y</t>
        </is>
      </c>
      <c r="AB36" t="inlineStr">
        <is>
          <t>find Alton But at Moshi on LinkedIn and paste the profile URL; the retailer line rests on the brand's own store locator: say 'your store locator lists ...'; founder review (claim-borderline): read founder_review_reason first</t>
        </is>
      </c>
      <c r="AC36" t="inlineStr">
        <is>
          <t>founder</t>
        </is>
      </c>
      <c r="AD36" t="inlineStr">
        <is>
          <t>verified-page</t>
        </is>
      </c>
      <c r="AE36" t="inlineStr">
        <is>
          <t>press, event or podcast page</t>
        </is>
      </c>
      <c r="AF36" t="inlineStr">
        <is>
          <t>https://attend.expowest.com/event/natural-products-expo-west-2026/exhibitor/RXhoaWJpdG9yXzIzNTgyMzE=</t>
        </is>
      </c>
      <c r="AG36" t="inlineStr">
        <is>
          <t>2026-10-24</t>
        </is>
      </c>
      <c r="AH36" t="inlineStr">
        <is>
          <t>Moshi Sparkling Yuzu Original, can; also Sparkling Uji Matcha and Sparkling Oolong Tea</t>
        </is>
      </c>
      <c r="AI36" t="inlineStr">
        <is>
          <t>sparkling-soda</t>
        </is>
      </c>
      <c r="AJ36" t="inlineStr">
        <is>
          <t>New York</t>
        </is>
      </c>
      <c r="AK36" t="inlineStr">
        <is>
          <t>https://tastemoshi.com</t>
        </is>
      </c>
      <c r="AL36" t="inlineStr">
        <is>
          <t>Y</t>
        </is>
      </c>
      <c r="AM36" t="inlineStr">
        <is>
          <t>Shelf stability not stated by the brand; matcha and oolong SKUs contain caffeine (no claim seen). Same parent company (Brooklyn Food &amp; Beverage) as Bruce Cost Ginger Ale and Brooklyn Crafted: contact once; 60-day shelf life not stated</t>
        </is>
      </c>
      <c r="AN36" t="inlineStr">
        <is>
          <t>grp-130-131-132</t>
        </is>
      </c>
      <c r="AO36" t="inlineStr">
        <is>
          <t>N</t>
        </is>
      </c>
      <c r="AR36">
        <f>IF(AND(AU36="pass",AO36&lt;&gt;"Y",C36&lt;&gt;""),"Y","N")</f>
        <v/>
      </c>
      <c r="AS36">
        <f>_xlfn.TEXTJOIN("; ",TRUE,IF(AU36&lt;&gt;"pass","gated out",""),IF(AO36="Y","on hold: "&amp;AP36,""),IF(C36="","no contact named on an opened page",""))</f>
        <v/>
      </c>
      <c r="AU36" t="inlineStr">
        <is>
          <t>pass</t>
        </is>
      </c>
      <c r="AW36" t="inlineStr">
        <is>
          <t>passes all hard gates</t>
        </is>
      </c>
      <c r="AX36" t="inlineStr">
        <is>
          <t>claim-borderline</t>
        </is>
      </c>
      <c r="AY36" t="inlineStr">
        <is>
          <t>https://tastemoshi.com</t>
        </is>
      </c>
      <c r="AZ36" t="inlineStr">
        <is>
          <t>NY</t>
        </is>
      </c>
      <c r="BA36" t="inlineStr">
        <is>
          <t>nyc</t>
        </is>
      </c>
      <c r="BB36" t="inlineStr">
        <is>
          <t>unknown</t>
        </is>
      </c>
      <c r="BD36" t="inlineStr">
        <is>
          <t>unknown</t>
        </is>
      </c>
      <c r="BE36" t="inlineStr">
        <is>
          <t>Canned sparkling drink sold in ambient grocery per brand locator, but no shelf-stability statement found on site or product pages; founder to confirm</t>
        </is>
      </c>
      <c r="BF36" t="inlineStr">
        <is>
          <t>Y</t>
        </is>
      </c>
      <c r="BG36" t="inlineStr">
        <is>
          <t>Y</t>
        </is>
      </c>
      <c r="BH36" t="inlineStr">
        <is>
          <t>unknown</t>
        </is>
      </c>
      <c r="BJ36" t="inlineStr">
        <is>
          <t>No public sales figure found</t>
        </is>
      </c>
      <c r="BK36" t="inlineStr">
        <is>
          <t>N</t>
        </is>
      </c>
      <c r="BL36" t="inlineStr">
        <is>
          <t>N</t>
        </is>
      </c>
      <c r="BN36" t="n">
        <v>0.9</v>
      </c>
      <c r="BO36" t="inlineStr">
        <is>
          <t>N</t>
        </is>
      </c>
      <c r="BP36" t="n">
        <v>6</v>
      </c>
      <c r="BQ36" t="inlineStr">
        <is>
          <t>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is>
      </c>
      <c r="BR36" t="inlineStr">
        <is>
          <t>Pearl River Mart (brand_claim, 11.4 blocks out)</t>
        </is>
      </c>
      <c r="BS36" t="inlineStr">
        <is>
          <t>H Mart; Westside Market; Pearl River Mart; Sunrise Mart; Katagiri; Dainobu; Merci Market; TESO Life (brand Storepoint locator)</t>
        </is>
      </c>
      <c r="BT36" t="inlineStr">
        <is>
          <t>https://tastemoshi.com/pages/store-locator; https://api.storepoint.co/v1/16047a894dc65b/locations?lat=40.7400&amp;long=-73.9900&amp;radius=3</t>
        </is>
      </c>
      <c r="BU36" t="inlineStr">
        <is>
          <t>listing</t>
        </is>
      </c>
      <c r="BV36" t="n">
        <v>43</v>
      </c>
      <c r="BX36" t="inlineStr">
        <is>
          <t>Alton But</t>
        </is>
      </c>
      <c r="BY36" t="inlineStr">
        <is>
          <t>Expo West 2026 listing for Brooklyn Food &amp; Beverage: "Founder Alton But ... launched Moshi" in 2020. The Org (brooklyn-food-and-beverage) lists him as Sales &amp; Operations. Same parent as Bruce Cost Ginger Ale (rank 57): treat as one company, one contact in flight.</t>
        </is>
      </c>
      <c r="CA36" t="inlineStr">
        <is>
          <t>Horin Yip</t>
        </is>
      </c>
      <c r="CB36" t="inlineStr">
        <is>
          <t>Horin</t>
        </is>
      </c>
      <c r="CC36" t="inlineStr">
        <is>
          <t>Yip</t>
        </is>
      </c>
      <c r="CD36" t="inlineStr">
        <is>
          <t>Brand Marketing Manager, Brooklyn Food &amp; Beverage</t>
        </is>
      </c>
      <c r="CE36" t="inlineStr">
        <is>
          <t>marketing lead</t>
        </is>
      </c>
      <c r="CF36" t="inlineStr">
        <is>
          <t>verified-page</t>
        </is>
      </c>
      <c r="CG36" t="inlineStr">
        <is>
          <t>Expo West 2026 exhibitor team list: "Horin Yip, Brand Marketing Manager, Brooklyn Crafted". Covers the parent's brands.</t>
        </is>
      </c>
      <c r="CK36" t="inlineStr">
        <is>
          <t>none</t>
        </is>
      </c>
      <c r="CL36" t="n">
        <v>59</v>
      </c>
      <c r="CM36" t="n">
        <v>13</v>
      </c>
      <c r="CN36" t="n">
        <v>20</v>
      </c>
      <c r="CO36" t="n">
        <v>8</v>
      </c>
      <c r="CP36" t="n">
        <v>5</v>
      </c>
      <c r="CQ36" t="n">
        <v>7</v>
      </c>
      <c r="CR36" t="n">
        <v>10</v>
      </c>
      <c r="CS36">
        <f>IF(R36="Y",10,0)</f>
        <v/>
      </c>
      <c r="CT36" t="n">
        <v>-4</v>
      </c>
      <c r="CU36" t="inlineStr">
        <is>
          <t>https://www.instagram.com/drinkmoshi</t>
        </is>
      </c>
      <c r="CV36" t="inlineStr">
        <is>
          <t>BR3</t>
        </is>
      </c>
      <c r="CW36" t="inlineStr">
        <is>
          <t>BR3:4</t>
        </is>
      </c>
      <c r="CX36" t="inlineStr">
        <is>
          <t>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is>
      </c>
      <c r="CY36"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CZ36" t="inlineStr">
        <is>
          <t>https://attend.expowest.com/event/natural-products-expo-west-2026/exhibitor/RXhoaWJpdG9yXzIzNTgyMzE=</t>
        </is>
      </c>
      <c r="DA36" t="inlineStr">
        <is>
          <t>stage 2</t>
        </is>
      </c>
      <c r="DC36" t="inlineStr">
        <is>
          <t>press, event or podcast page</t>
        </is>
      </c>
      <c r="DF36" t="inlineStr">
        <is>
          <t>parent 'brooklyn food &amp; beverage' shared with AB-131; person 'horin yip' shared with AB-131, AB-132</t>
        </is>
      </c>
      <c r="DY36">
        <f>IF(ISNUMBER(MATCH(U36,{"queued","contacted","replied","call_booked","call_done","yes_in_principle","materials_sent"},0)),"Y","N")</f>
        <v/>
      </c>
      <c r="DZ36">
        <f>IF(COUNTIFS($AN$2:$AN$1000,AN36,$DY$2:$DY$1000,"Y")+COUNTIFS($AN$2:$AN$1000,AN36,$T$2:$T$1000,"Y")&gt;0,"Y","N")</f>
        <v/>
      </c>
      <c r="EA36">
        <f>IF(AND(U36="new",T36="N",AR36="Y",AQ36="",DZ36="N"),"Y","N")</f>
        <v/>
      </c>
      <c r="EB36">
        <f>IF(EA36&lt;&gt;"Y","N",IF(COUNTIFS($AN$2:$AN$1000,AN36,$EA$2:$EA$1000,"Y",$J$2:$J$1000,"&gt;"&amp;J36)+COUNTIFS($AN$2:$AN$1000,AN36,$EA$2:$EA$1000,"Y",$J$2:$J$1000,J36,$ED$2:$ED$1000,"&lt;"&amp;ED36)=0,"Y","N"))</f>
        <v/>
      </c>
      <c r="EC36">
        <f>IF(Y36="","N",IF(Y36&lt;=10,"Y","N"))</f>
        <v/>
      </c>
      <c r="ED36">
        <f>ROW()-1</f>
        <v/>
      </c>
    </row>
    <row r="37">
      <c r="A37" t="inlineStr">
        <is>
          <t>AB-084</t>
        </is>
      </c>
      <c r="B37" t="inlineStr">
        <is>
          <t>Elements Truffles</t>
        </is>
      </c>
      <c r="C37" t="inlineStr">
        <is>
          <t>Alak</t>
        </is>
      </c>
      <c r="D37" t="inlineStr">
        <is>
          <t>Vasa</t>
        </is>
      </c>
      <c r="E37" t="inlineStr">
        <is>
          <t>Co-founder</t>
        </is>
      </c>
      <c r="H37" t="inlineStr">
        <is>
          <t>none</t>
        </is>
      </c>
      <c r="I37" t="inlineStr">
        <is>
          <t>linkedin</t>
        </is>
      </c>
      <c r="J37">
        <f>IF(AU37="pass",CM37+CN37+CO37+CP37+CQ37+CR37+CS37+CT37,0)</f>
        <v/>
      </c>
      <c r="K37" t="inlineStr">
        <is>
          <t>Northeast brand, store page shows Whole Foods Market NoMad inside the cluster, a new store listing 15 days ago, revenue unknown, contact named; founder review: claim-borderline.</t>
        </is>
      </c>
      <c r="M37" t="inlineStr">
        <is>
          <t>Whole Foods Market NoMad, 63 Madison Ave</t>
        </is>
      </c>
      <c r="N37" t="inlineStr">
        <is>
          <t>store_selector</t>
        </is>
      </c>
      <c r="O37" t="inlineStr">
        <is>
          <t>Diwali Gift Box limited edition and VegNews Daily Cacao bundles launched Oct 2026 on brand store</t>
        </is>
      </c>
      <c r="P37" t="inlineStr">
        <is>
          <t>https://www.elementstruffles.com/</t>
        </is>
      </c>
      <c r="Q37" t="inlineStr">
        <is>
          <t>2026-10-09</t>
        </is>
      </c>
      <c r="R37" t="inlineStr">
        <is>
          <t>N</t>
        </is>
      </c>
      <c r="S37" t="inlineStr">
        <is>
          <t>unknown</t>
        </is>
      </c>
      <c r="T37" t="inlineStr">
        <is>
          <t>N</t>
        </is>
      </c>
      <c r="U37" t="inlineStr">
        <is>
          <t>new</t>
        </is>
      </c>
      <c r="V37" t="inlineStr">
        <is>
          <t>https://www.elementstruffles.com/pages/about-us</t>
        </is>
      </c>
      <c r="W37" t="inlineStr">
        <is>
          <t>2026-10-23</t>
        </is>
      </c>
      <c r="X37" t="inlineStr">
        <is>
          <t>brand</t>
        </is>
      </c>
      <c r="Y37">
        <f>IF(EB37&lt;&gt;"Y","",COUNTIFS($EB$2:$EB$1000,"Y",$J$2:$J$1000,"&gt;"&amp;J37)+COUNTIFS($EB$2:$EB$1000,"Y",$J$2:$J$1000,J37,$ED$2:$ED$1000,"&lt;"&amp;ED37)+1)</f>
        <v/>
      </c>
      <c r="Z37" t="n">
        <v>36</v>
      </c>
      <c r="AA37" t="inlineStr">
        <is>
          <t>Y</t>
        </is>
      </c>
      <c r="AB37" t="inlineStr">
        <is>
          <t>find Alak Vasa at Elements Truffles on LinkedIn and paste the profile URL; before using the retailer line, check Whole Foods Market NoMad still lists it: https://www.wholefoodsmarket.com/search?text=Elements%20Truffles with your store set to NoMad (catalogs change daily); founder review (claim-borderline): read founder_review_reason first</t>
        </is>
      </c>
      <c r="AC37" t="inlineStr">
        <is>
          <t>founder</t>
        </is>
      </c>
      <c r="AD37" t="inlineStr">
        <is>
          <t>verified-page</t>
        </is>
      </c>
      <c r="AE37" t="inlineStr">
        <is>
          <t>employer's own site</t>
        </is>
      </c>
      <c r="AF37" t="inlineStr">
        <is>
          <t>https://www.elementstruffles.com/pages/about-us</t>
        </is>
      </c>
      <c r="AG37" t="inlineStr">
        <is>
          <t>2026-10-24</t>
        </is>
      </c>
      <c r="AH37" t="inlineStr">
        <is>
          <t>Orange Crunch Dark Chocolate Bar 1.8 oz; Filter Coffee Chocolate Bar</t>
        </is>
      </c>
      <c r="AI37" t="inlineStr">
        <is>
          <t>chocolate-candy</t>
        </is>
      </c>
      <c r="AJ37" t="inlineStr">
        <is>
          <t>Jersey City</t>
        </is>
      </c>
      <c r="AK37" t="inlineStr">
        <is>
          <t>https://www.elementstruffles.com</t>
        </is>
      </c>
      <c r="AL37" t="inlineStr">
        <is>
          <t>Y</t>
        </is>
      </c>
      <c r="AM37" t="inlineStr">
        <is>
          <t>Ayurveda-based wellness positioning ('ingredients are the healthiest around'); brand also sells protein powders; check bar labels for claims</t>
        </is>
      </c>
      <c r="AN37" t="inlineStr">
        <is>
          <t>AB-084</t>
        </is>
      </c>
      <c r="AO37" t="inlineStr">
        <is>
          <t>N</t>
        </is>
      </c>
      <c r="AR37">
        <f>IF(AND(AU37="pass",AO37&lt;&gt;"Y",C37&lt;&gt;""),"Y","N")</f>
        <v/>
      </c>
      <c r="AS37">
        <f>_xlfn.TEXTJOIN("; ",TRUE,IF(AU37&lt;&gt;"pass","gated out",""),IF(AO37="Y","on hold: "&amp;AP37,""),IF(C37="","no contact named on an opened page",""))</f>
        <v/>
      </c>
      <c r="AU37" t="inlineStr">
        <is>
          <t>pass</t>
        </is>
      </c>
      <c r="AW37" t="inlineStr">
        <is>
          <t>passes all hard gates</t>
        </is>
      </c>
      <c r="AX37" t="inlineStr">
        <is>
          <t>claim-borderline</t>
        </is>
      </c>
      <c r="AY37" t="inlineStr">
        <is>
          <t>https://www.elementstruffles.com</t>
        </is>
      </c>
      <c r="AZ37" t="inlineStr">
        <is>
          <t>NJ</t>
        </is>
      </c>
      <c r="BA37" t="inlineStr">
        <is>
          <t>northeast</t>
        </is>
      </c>
      <c r="BB37" t="inlineStr">
        <is>
          <t>unknown</t>
        </is>
      </c>
      <c r="BD37" t="inlineStr">
        <is>
          <t>Y</t>
        </is>
      </c>
      <c r="BE37" t="inlineStr">
        <is>
          <t>Brand FAQ: chocolate bars 8 months, snack bars 9 months, drinking chocolate 18 months, truffle boxes 2 months; no refrigeration required.</t>
        </is>
      </c>
      <c r="BF37" t="inlineStr">
        <is>
          <t>Y</t>
        </is>
      </c>
      <c r="BG37" t="inlineStr">
        <is>
          <t>Y</t>
        </is>
      </c>
      <c r="BH37" t="inlineStr">
        <is>
          <t>unknown</t>
        </is>
      </c>
      <c r="BJ37" t="inlineStr">
        <is>
          <t>unknown</t>
        </is>
      </c>
      <c r="BK37" t="inlineStr">
        <is>
          <t>N</t>
        </is>
      </c>
      <c r="BL37" t="inlineStr">
        <is>
          <t>N</t>
        </is>
      </c>
      <c r="BN37" t="n">
        <v>0</v>
      </c>
      <c r="BO37" t="inlineStr">
        <is>
          <t>Y</t>
        </is>
      </c>
      <c r="BP37" t="n">
        <v>3</v>
      </c>
      <c r="BQ37" t="inlineStr">
        <is>
          <t>Whole Foods Market NoMad, 63 Madison Ave (store_selector, inside);Whole Foods Market Union Square, 4 Union Sq S (store_selector, inside);Whole Foods Market Chelsea, 250 7th Ave (store_selector, 3.0 blocks out)</t>
        </is>
      </c>
      <c r="BS37" t="inlineStr">
        <is>
          <t>Whole Foods</t>
        </is>
      </c>
      <c r="BT37" t="inlineStr">
        <is>
          <t>https://www.wholefoodsmarket.com/api/search?text=elements%20truffles&amp;store=10162&amp;limit=60&amp;offset=0; https://www.wholefoodsmarket.com/api/search?text=elements%20truffles&amp;store=10773&amp;limit=60&amp;offset=0; https://www.wholefoodsmarket.com/api/search?text=elements%20truffles&amp;store=10131&amp;limit=60&amp;offset=0</t>
        </is>
      </c>
      <c r="BU37" t="inlineStr">
        <is>
          <t>listing</t>
        </is>
      </c>
      <c r="BV37" t="n">
        <v>15</v>
      </c>
      <c r="BX37" t="inlineStr">
        <is>
          <t>Alak Vasa</t>
        </is>
      </c>
      <c r="BY37" t="inlineStr">
        <is>
          <t>About page, "meet our founders".</t>
        </is>
      </c>
      <c r="CA37" t="inlineStr">
        <is>
          <t>Kushal Choksi</t>
        </is>
      </c>
      <c r="CB37" t="inlineStr">
        <is>
          <t>Kushal</t>
        </is>
      </c>
      <c r="CC37" t="inlineStr">
        <is>
          <t>Choksi</t>
        </is>
      </c>
      <c r="CD37" t="inlineStr">
        <is>
          <t>Co-founder</t>
        </is>
      </c>
      <c r="CE37" t="inlineStr">
        <is>
          <t>co-founder or executive</t>
        </is>
      </c>
      <c r="CF37" t="inlineStr">
        <is>
          <t>verified-page</t>
        </is>
      </c>
      <c r="CG37" t="inlineStr">
        <is>
          <t>About page: "Kushal M. Choksi", co-founder with Alak.</t>
        </is>
      </c>
      <c r="CK37" t="inlineStr">
        <is>
          <t>none</t>
        </is>
      </c>
      <c r="CL37" t="n">
        <v>58</v>
      </c>
      <c r="CM37" t="n">
        <v>25</v>
      </c>
      <c r="CN37" t="n">
        <v>8</v>
      </c>
      <c r="CO37" t="n">
        <v>8</v>
      </c>
      <c r="CP37" t="n">
        <v>5</v>
      </c>
      <c r="CQ37" t="n">
        <v>10</v>
      </c>
      <c r="CR37" t="n">
        <v>6</v>
      </c>
      <c r="CS37">
        <f>IF(R37="Y",10,0)</f>
        <v/>
      </c>
      <c r="CT37" t="n">
        <v>-4</v>
      </c>
      <c r="CU37" t="inlineStr">
        <is>
          <t>https://www.instagram.com/elementstruffles/</t>
        </is>
      </c>
      <c r="CV37" t="inlineStr">
        <is>
          <t>BR2</t>
        </is>
      </c>
      <c r="CW37" t="inlineStr">
        <is>
          <t>BR2:21</t>
        </is>
      </c>
      <c r="CX37" t="inlineStr">
        <is>
          <t>Founders are ex-Wall Street traders per brand story; HQ not stated on pages opened. Why-now date from Shopify publish dates.</t>
        </is>
      </c>
      <c r="CY37" t="inlineStr">
        <is>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t>
        </is>
      </c>
      <c r="CZ37" t="inlineStr">
        <is>
          <t>https://www.elementstruffles.com/pages/about-us</t>
        </is>
      </c>
      <c r="DA37" t="inlineStr">
        <is>
          <t>stage 2</t>
        </is>
      </c>
      <c r="DC37" t="inlineStr">
        <is>
          <t>employer's own site</t>
        </is>
      </c>
      <c r="DY37">
        <f>IF(ISNUMBER(MATCH(U37,{"queued","contacted","replied","call_booked","call_done","yes_in_principle","materials_sent"},0)),"Y","N")</f>
        <v/>
      </c>
      <c r="DZ37">
        <f>IF(COUNTIFS($AN$2:$AN$1000,AN37,$DY$2:$DY$1000,"Y")+COUNTIFS($AN$2:$AN$1000,AN37,$T$2:$T$1000,"Y")&gt;0,"Y","N")</f>
        <v/>
      </c>
      <c r="EA37">
        <f>IF(AND(U37="new",T37="N",AR37="Y",AQ37="",DZ37="N"),"Y","N")</f>
        <v/>
      </c>
      <c r="EB37">
        <f>IF(EA37&lt;&gt;"Y","N",IF(COUNTIFS($AN$2:$AN$1000,AN37,$EA$2:$EA$1000,"Y",$J$2:$J$1000,"&gt;"&amp;J37)+COUNTIFS($AN$2:$AN$1000,AN37,$EA$2:$EA$1000,"Y",$J$2:$J$1000,J37,$ED$2:$ED$1000,"&lt;"&amp;ED37)=0,"Y","N"))</f>
        <v/>
      </c>
      <c r="EC37">
        <f>IF(Y37="","N",IF(Y37&lt;=10,"Y","N"))</f>
        <v/>
      </c>
      <c r="ED37">
        <f>ROW()-1</f>
        <v/>
      </c>
    </row>
    <row r="38">
      <c r="A38" t="inlineStr">
        <is>
          <t>AB-285</t>
        </is>
      </c>
      <c r="B38" t="inlineStr">
        <is>
          <t>Effie's Homemade</t>
        </is>
      </c>
      <c r="C38" t="inlineStr">
        <is>
          <t>Joan</t>
        </is>
      </c>
      <c r="D38" t="inlineStr">
        <is>
          <t>MacIsaac</t>
        </is>
      </c>
      <c r="E38" t="inlineStr">
        <is>
          <t>Co-founder</t>
        </is>
      </c>
      <c r="H38" t="inlineStr">
        <is>
          <t>none</t>
        </is>
      </c>
      <c r="I38" t="inlineStr">
        <is>
          <t>linkedin</t>
        </is>
      </c>
      <c r="J38">
        <f>IF(AU38="pass",CM38+CN38+CO38+CP38+CQ38+CR38+CS38+CT38,0)</f>
        <v/>
      </c>
      <c r="K38" t="inlineStr">
        <is>
          <t>Northeast brand, store page shows Whole Foods Market NoMad inside the cluster, news 5 days ago, revenue unknown, contact named; founder review: scale.</t>
        </is>
      </c>
      <c r="M38" t="inlineStr">
        <is>
          <t>Whole Foods Market NoMad, 63 Madison Ave</t>
        </is>
      </c>
      <c r="N38" t="inlineStr">
        <is>
          <t>store_selector</t>
        </is>
      </c>
      <c r="O38" t="inlineStr">
        <is>
          <t>Gruyere Biscuits named a 2027 sofi Award finalist (Bakery, Bread &amp; Crackers); new Walnut Biscuits launched</t>
        </is>
      </c>
      <c r="P38" t="inlineStr">
        <is>
          <t>https://www.specialtyfood.com/news-media/news-features/association-press-releases/2027-sofi-awards-finalists/</t>
        </is>
      </c>
      <c r="Q38" t="inlineStr">
        <is>
          <t>2026-10-19</t>
        </is>
      </c>
      <c r="R38" t="inlineStr">
        <is>
          <t>N</t>
        </is>
      </c>
      <c r="S38" t="inlineStr">
        <is>
          <t>unknown</t>
        </is>
      </c>
      <c r="T38" t="inlineStr">
        <is>
          <t>N</t>
        </is>
      </c>
      <c r="U38" t="inlineStr">
        <is>
          <t>new</t>
        </is>
      </c>
      <c r="V38" t="inlineStr">
        <is>
          <t>https://www.specialtyfood.com/news-media/news-features/association-press-releases/2027-sofi-awards-finalists/</t>
        </is>
      </c>
      <c r="W38" t="inlineStr">
        <is>
          <t>2026-10-24</t>
        </is>
      </c>
      <c r="X38" t="inlineStr">
        <is>
          <t>brand</t>
        </is>
      </c>
      <c r="Y38">
        <f>IF(EB38&lt;&gt;"Y","",COUNTIFS($EB$2:$EB$1000,"Y",$J$2:$J$1000,"&gt;"&amp;J38)+COUNTIFS($EB$2:$EB$1000,"Y",$J$2:$J$1000,J38,$ED$2:$ED$1000,"&lt;"&amp;ED38)+1)</f>
        <v/>
      </c>
      <c r="Z38" t="n">
        <v>37</v>
      </c>
      <c r="AA38" t="inlineStr">
        <is>
          <t>Y</t>
        </is>
      </c>
      <c r="AB38" t="inlineStr">
        <is>
          <t>find Joan MacIsaac at Effie's Homemade on LinkedIn and paste the profile URL; before using the retailer line, check Whole Foods Market NoMad still lists it: https://www.wholefoodsmarket.com/search?text=Effie%27s%20Homemade with your store set to NoMad (catalogs change daily); founder review (scale): read founder_review_reason first</t>
        </is>
      </c>
      <c r="AC38" t="inlineStr">
        <is>
          <t>founder</t>
        </is>
      </c>
      <c r="AD38" t="inlineStr">
        <is>
          <t>verified-page</t>
        </is>
      </c>
      <c r="AE38" t="inlineStr">
        <is>
          <t>press, event or podcast page</t>
        </is>
      </c>
      <c r="AF38" t="inlineStr">
        <is>
          <t>https://blog.harryanddavid.com/articles/profiles/effies-homemade-oatcake</t>
        </is>
      </c>
      <c r="AG38" t="inlineStr">
        <is>
          <t>2026-10-24</t>
        </is>
      </c>
      <c r="AH38" t="inlineStr">
        <is>
          <t>Oatcakes Single Serve pack; Cocoa Biscuits Single Serve</t>
        </is>
      </c>
      <c r="AI38" t="inlineStr">
        <is>
          <t>crackers-pretzels</t>
        </is>
      </c>
      <c r="AJ38" t="inlineStr">
        <is>
          <t>Hyde Park (Boston)</t>
        </is>
      </c>
      <c r="AK38" t="inlineStr">
        <is>
          <t>https://effieshomemade.com/products/oatcakes-single-serve</t>
        </is>
      </c>
      <c r="AL38" t="inlineStr">
        <is>
          <t>Y</t>
        </is>
      </c>
      <c r="AM38" t="inlineStr">
        <is>
          <t>May be above the $10M revenue ceiling given 4,000+ doors. WFM lists the 7.2 oz boxes; the single-serve packs were seen only on the brand site</t>
        </is>
      </c>
      <c r="AN38" t="inlineStr">
        <is>
          <t>AB-285</t>
        </is>
      </c>
      <c r="AO38" t="inlineStr">
        <is>
          <t>N</t>
        </is>
      </c>
      <c r="AR38">
        <f>IF(AND(AU38="pass",AO38&lt;&gt;"Y",C38&lt;&gt;""),"Y","N")</f>
        <v/>
      </c>
      <c r="AS38">
        <f>_xlfn.TEXTJOIN("; ",TRUE,IF(AU38&lt;&gt;"pass","gated out",""),IF(AO38="Y","on hold: "&amp;AP38,""),IF(C38="","no contact named on an opened page",""))</f>
        <v/>
      </c>
      <c r="AU38" t="inlineStr">
        <is>
          <t>pass</t>
        </is>
      </c>
      <c r="AW38" t="inlineStr">
        <is>
          <t>passes all hard gates</t>
        </is>
      </c>
      <c r="AX38" t="inlineStr">
        <is>
          <t>scale</t>
        </is>
      </c>
      <c r="AY38" t="inlineStr">
        <is>
          <t>https://effieshomemade.com</t>
        </is>
      </c>
      <c r="AZ38" t="inlineStr">
        <is>
          <t>MA</t>
        </is>
      </c>
      <c r="BA38" t="inlineStr">
        <is>
          <t>northeast</t>
        </is>
      </c>
      <c r="BB38" t="inlineStr">
        <is>
          <t>unknown</t>
        </is>
      </c>
      <c r="BD38" t="inlineStr">
        <is>
          <t>Y</t>
        </is>
      </c>
      <c r="BE38" t="inlineStr">
        <is>
          <t>Shelf-stable biscuits sold in the specialty cheese aisle; Walnut Biscuits page states a 6-month shelf life</t>
        </is>
      </c>
      <c r="BF38" t="inlineStr">
        <is>
          <t>Y</t>
        </is>
      </c>
      <c r="BG38" t="inlineStr">
        <is>
          <t>Y</t>
        </is>
      </c>
      <c r="BH38" t="inlineStr">
        <is>
          <t>unknown</t>
        </is>
      </c>
      <c r="BJ38" t="inlineStr">
        <is>
          <t>No sales figure. Homepage: 'more than 4,000 specialty retail shops nationwide' (store count only; may sit above the $10M ceiling)</t>
        </is>
      </c>
      <c r="BK38" t="inlineStr">
        <is>
          <t>N</t>
        </is>
      </c>
      <c r="BL38" t="inlineStr">
        <is>
          <t>N</t>
        </is>
      </c>
      <c r="BN38" t="n">
        <v>0</v>
      </c>
      <c r="BO38" t="inlineStr">
        <is>
          <t>Y</t>
        </is>
      </c>
      <c r="BP38" t="n">
        <v>3</v>
      </c>
      <c r="BQ38" t="inlineStr">
        <is>
          <t>Whole Foods Market NoMad, 63 Madison Ave (store_selector, inside);Whole Foods Market Union Square, 4 Union Sq S (store_selector, inside);Whole Foods Market Chelsea, 250 7th Ave (store_selector, 3.0 blocks out)</t>
        </is>
      </c>
      <c r="BS38" t="inlineStr">
        <is>
          <t>More than 4,000 specialty retail shops nationwide; Whole Foods Market</t>
        </is>
      </c>
      <c r="BT38" t="inlineStr">
        <is>
          <t>https://www.wholefoodsmarket.com/api/search?text=effie's&amp;store=10162 / 10773 / 10131 / 10713 (store-scoped catalog search; Union Square 10162, NoMad 10773, Chelsea 10131, Manhattan West 10713; opened 2026-10-24)</t>
        </is>
      </c>
      <c r="BU38" t="inlineStr">
        <is>
          <t>press</t>
        </is>
      </c>
      <c r="BV38" t="n">
        <v>5</v>
      </c>
      <c r="BX38" t="inlineStr">
        <is>
          <t>Joan MacIsaac</t>
        </is>
      </c>
      <c r="BY38" t="inlineStr">
        <is>
          <t>Harry &amp; David profile (2023-02-17, modified 2025-06-23): "Effie's Homemade founders and friends, Joan MacIsaac and Irene Costello". Brand about page names Joan (Effie's daughter). Fills the stage-1 surname gap.</t>
        </is>
      </c>
      <c r="CA38" t="inlineStr">
        <is>
          <t>Irene Costello</t>
        </is>
      </c>
      <c r="CB38" t="inlineStr">
        <is>
          <t>Irene</t>
        </is>
      </c>
      <c r="CC38" t="inlineStr">
        <is>
          <t>Costello</t>
        </is>
      </c>
      <c r="CD38" t="inlineStr">
        <is>
          <t>Co-founder</t>
        </is>
      </c>
      <c r="CE38" t="inlineStr">
        <is>
          <t>co-founder or executive</t>
        </is>
      </c>
      <c r="CF38" t="inlineStr">
        <is>
          <t>verified-page</t>
        </is>
      </c>
      <c r="CG38" t="inlineStr">
        <is>
          <t>Same page.</t>
        </is>
      </c>
      <c r="CK38" t="inlineStr">
        <is>
          <t>none</t>
        </is>
      </c>
      <c r="CL38" t="n">
        <v>57</v>
      </c>
      <c r="CM38" t="n">
        <v>25</v>
      </c>
      <c r="CN38" t="n">
        <v>8</v>
      </c>
      <c r="CO38" t="n">
        <v>15</v>
      </c>
      <c r="CP38" t="n">
        <v>5</v>
      </c>
      <c r="CQ38" t="n">
        <v>10</v>
      </c>
      <c r="CR38" t="n">
        <v>6</v>
      </c>
      <c r="CS38">
        <f>IF(R38="Y",10,0)</f>
        <v/>
      </c>
      <c r="CT38" t="n">
        <v>-12</v>
      </c>
      <c r="CU38" t="inlineStr">
        <is>
          <t>https://www.instagram.com/effieshomemade</t>
        </is>
      </c>
      <c r="CV38" t="inlineStr">
        <is>
          <t>BR5</t>
        </is>
      </c>
      <c r="CW38" t="inlineStr">
        <is>
          <t>BR5:21</t>
        </is>
      </c>
      <c r="CX38" t="inlineStr">
        <is>
          <t>Also a 2026 sofi finalist (Gruyere Biscuit). Single-serve oatcake packs published 2025-10-30 (products.json). WFM catalog shows Oatcakes, Cocoa, Pecan, Corn and Almond biscuits 7.2 oz at all four Manhattan stores checked. A catalog listing is not proof the product is on the shelf today.</t>
        </is>
      </c>
      <c r="CZ38" t="inlineStr">
        <is>
          <t>https://blog.harryanddavid.com/articles/profiles/effies-homemade-oatcake</t>
        </is>
      </c>
      <c r="DA38" t="inlineStr">
        <is>
          <t>stage 2</t>
        </is>
      </c>
      <c r="DC38" t="inlineStr">
        <is>
          <t>press, event or podcast page</t>
        </is>
      </c>
      <c r="DY38">
        <f>IF(ISNUMBER(MATCH(U38,{"queued","contacted","replied","call_booked","call_done","yes_in_principle","materials_sent"},0)),"Y","N")</f>
        <v/>
      </c>
      <c r="DZ38">
        <f>IF(COUNTIFS($AN$2:$AN$1000,AN38,$DY$2:$DY$1000,"Y")+COUNTIFS($AN$2:$AN$1000,AN38,$T$2:$T$1000,"Y")&gt;0,"Y","N")</f>
        <v/>
      </c>
      <c r="EA38">
        <f>IF(AND(U38="new",T38="N",AR38="Y",AQ38="",DZ38="N"),"Y","N")</f>
        <v/>
      </c>
      <c r="EB38">
        <f>IF(EA38&lt;&gt;"Y","N",IF(COUNTIFS($AN$2:$AN$1000,AN38,$EA$2:$EA$1000,"Y",$J$2:$J$1000,"&gt;"&amp;J38)+COUNTIFS($AN$2:$AN$1000,AN38,$EA$2:$EA$1000,"Y",$J$2:$J$1000,J38,$ED$2:$ED$1000,"&lt;"&amp;ED38)=0,"Y","N"))</f>
        <v/>
      </c>
      <c r="EC38">
        <f>IF(Y38="","N",IF(Y38&lt;=10,"Y","N"))</f>
        <v/>
      </c>
      <c r="ED38">
        <f>ROW()-1</f>
        <v/>
      </c>
    </row>
    <row r="39">
      <c r="A39" t="inlineStr">
        <is>
          <t>AB-237</t>
        </is>
      </c>
      <c r="B39" t="inlineStr">
        <is>
          <t>Z Crackers</t>
        </is>
      </c>
      <c r="C39" t="inlineStr">
        <is>
          <t>Keith</t>
        </is>
      </c>
      <c r="D39" t="inlineStr">
        <is>
          <t>Pollack</t>
        </is>
      </c>
      <c r="E39" t="inlineStr">
        <is>
          <t>Co-founder and President</t>
        </is>
      </c>
      <c r="H39" t="inlineStr">
        <is>
          <t>none</t>
        </is>
      </c>
      <c r="I39" t="inlineStr">
        <is>
          <t>linkedin</t>
        </is>
      </c>
      <c r="J39">
        <f>IF(AU39="pass",CM39+CN39+CO39+CP39+CQ39+CR39+CS39+CT39,0)</f>
        <v/>
      </c>
      <c r="K39" t="inlineStr">
        <is>
          <t>New York City brand, store page shows Whole Foods Market NoMad inside the cluster, no dated why-now in the last 12 months, revenue unknown, contact named; founder review: format.</t>
        </is>
      </c>
      <c r="M39" t="inlineStr">
        <is>
          <t>Whole Foods Market NoMad, 63 Madison Ave</t>
        </is>
      </c>
      <c r="N39" t="inlineStr">
        <is>
          <t>store_selector</t>
        </is>
      </c>
      <c r="R39" t="inlineStr">
        <is>
          <t>N</t>
        </is>
      </c>
      <c r="S39" t="inlineStr">
        <is>
          <t>unknown</t>
        </is>
      </c>
      <c r="T39" t="inlineStr">
        <is>
          <t>N</t>
        </is>
      </c>
      <c r="U39" t="inlineStr">
        <is>
          <t>new</t>
        </is>
      </c>
      <c r="V39" t="inlineStr">
        <is>
          <t>https://www.zcrackers.com/</t>
        </is>
      </c>
      <c r="W39" t="inlineStr">
        <is>
          <t>2026-10-23</t>
        </is>
      </c>
      <c r="X39" t="inlineStr">
        <is>
          <t>brand</t>
        </is>
      </c>
      <c r="Y39">
        <f>IF(EB39&lt;&gt;"Y","",COUNTIFS($EB$2:$EB$1000,"Y",$J$2:$J$1000,"&gt;"&amp;J39)+COUNTIFS($EB$2:$EB$1000,"Y",$J$2:$J$1000,J39,$ED$2:$ED$1000,"&lt;"&amp;ED39)+1)</f>
        <v/>
      </c>
      <c r="Z39" t="n">
        <v>38</v>
      </c>
      <c r="AA39" t="inlineStr">
        <is>
          <t>Y</t>
        </is>
      </c>
      <c r="AB39" t="inlineStr">
        <is>
          <t>find Keith Pollack at Z Crackers on LinkedIn and paste the profile URL; before using the retailer line, check Whole Foods Market NoMad still lists it: https://www.wholefoodsmarket.com/search?text=Z%20Crackers with your store set to NoMad (catalogs change daily); founder review (format): read founder_review_reason first</t>
        </is>
      </c>
      <c r="AC39" t="inlineStr">
        <is>
          <t>founder</t>
        </is>
      </c>
      <c r="AD39" t="inlineStr">
        <is>
          <t>verified-page</t>
        </is>
      </c>
      <c r="AE39" t="inlineStr">
        <is>
          <t>employer's own site</t>
        </is>
      </c>
      <c r="AF39" t="inlineStr">
        <is>
          <t>https://www.zcrackers.com/</t>
        </is>
      </c>
      <c r="AG39" t="inlineStr">
        <is>
          <t>2026-10-24</t>
        </is>
      </c>
      <c r="AH39" t="inlineStr">
        <is>
          <t>Everything Crackers 7.5 oz box; Garlic &amp; Basil Crackers 8 oz; breadsticks</t>
        </is>
      </c>
      <c r="AI39" t="inlineStr">
        <is>
          <t>crackers-pretzels</t>
        </is>
      </c>
      <c r="AJ39" t="inlineStr">
        <is>
          <t>Brooklyn (Savory Pie Company, 215 Stratford Road, Brooklyn, NY 11218, per homepage contact block)</t>
        </is>
      </c>
      <c r="AL39" t="inlineStr">
        <is>
          <t>Y</t>
        </is>
      </c>
      <c r="AM39" t="inlineStr">
        <is>
          <t>7.5-8 oz boxes are share packs, not individually packaged; office use would need opened boxes or a smaller format; no online store: buy path is the store only</t>
        </is>
      </c>
      <c r="AN39" t="inlineStr">
        <is>
          <t>AB-237</t>
        </is>
      </c>
      <c r="AO39" t="inlineStr">
        <is>
          <t>N</t>
        </is>
      </c>
      <c r="AR39">
        <f>IF(AND(AU39="pass",AO39&lt;&gt;"Y",C39&lt;&gt;""),"Y","N")</f>
        <v/>
      </c>
      <c r="AS39">
        <f>_xlfn.TEXTJOIN("; ",TRUE,IF(AU39&lt;&gt;"pass","gated out",""),IF(AO39="Y","on hold: "&amp;AP39,""),IF(C39="","no contact named on an opened page",""))</f>
        <v/>
      </c>
      <c r="AU39" t="inlineStr">
        <is>
          <t>pass</t>
        </is>
      </c>
      <c r="AW39" t="inlineStr">
        <is>
          <t>passes all hard gates</t>
        </is>
      </c>
      <c r="AX39" t="inlineStr">
        <is>
          <t>format</t>
        </is>
      </c>
      <c r="AY39" t="inlineStr">
        <is>
          <t>https://www.zcrackers.com</t>
        </is>
      </c>
      <c r="AZ39" t="inlineStr">
        <is>
          <t>NY</t>
        </is>
      </c>
      <c r="BA39" t="inlineStr">
        <is>
          <t>nyc</t>
        </is>
      </c>
      <c r="BB39" t="inlineStr">
        <is>
          <t>unknown</t>
        </is>
      </c>
      <c r="BD39" t="inlineStr">
        <is>
          <t>Y</t>
        </is>
      </c>
      <c r="BE39" t="inlineStr">
        <is>
          <t>Boxed crackers sold ambient; no shelf-life figure published, founder to confirm</t>
        </is>
      </c>
      <c r="BF39" t="inlineStr">
        <is>
          <t>N</t>
        </is>
      </c>
      <c r="BG39" t="inlineStr">
        <is>
          <t>unknown</t>
        </is>
      </c>
      <c r="BH39" t="inlineStr">
        <is>
          <t>unknown</t>
        </is>
      </c>
      <c r="BJ39" t="inlineStr">
        <is>
          <t>unknown</t>
        </is>
      </c>
      <c r="BK39" t="inlineStr">
        <is>
          <t>N</t>
        </is>
      </c>
      <c r="BL39" t="inlineStr">
        <is>
          <t>N</t>
        </is>
      </c>
      <c r="BN39" t="n">
        <v>0</v>
      </c>
      <c r="BO39" t="inlineStr">
        <is>
          <t>Y</t>
        </is>
      </c>
      <c r="BP39" t="n">
        <v>2</v>
      </c>
      <c r="BQ39" t="inlineStr">
        <is>
          <t>Whole Foods Market NoMad, 63 Madison Ave (store_selector, inside);Whole Foods Market Union Square, 4 Union Sq S (store_selector, inside)</t>
        </is>
      </c>
      <c r="BR39" t="inlineStr">
        <is>
          <t>Whole Foods Market Manhattan West (store_selector, 13.8 blocks out)</t>
        </is>
      </c>
      <c r="BS39" t="inlineStr">
        <is>
          <t>Whole Foods Market (WFM catalog); store locator on site</t>
        </is>
      </c>
      <c r="BT39" t="inlineStr">
        <is>
          <t>https://www.wholefoodsmarket.com/api/search?text=z%20crackers&amp;store=10773&amp;limit=60&amp;offset=0; https://www.wholefoodsmarket.com/api/search?text=z%20crackers&amp;store=10162&amp;limit=60&amp;offset=0; https://www.wholefoodsmarket.com/api/search?text=z%20crackers&amp;store=10713&amp;limit=60&amp;offset=0</t>
        </is>
      </c>
      <c r="BU39" t="inlineStr">
        <is>
          <t>none</t>
        </is>
      </c>
      <c r="BX39" t="inlineStr">
        <is>
          <t>Keith Pollack</t>
        </is>
      </c>
      <c r="BY39" t="inlineStr">
        <is>
          <t>Homepage: "Pam and Keith Pollack, Founders" and "Keith Pollack, Z President" (Savory Pie Company).</t>
        </is>
      </c>
      <c r="CA39" t="inlineStr">
        <is>
          <t>Pam Pollack</t>
        </is>
      </c>
      <c r="CB39" t="inlineStr">
        <is>
          <t>Pam</t>
        </is>
      </c>
      <c r="CC39" t="inlineStr">
        <is>
          <t>Pollack</t>
        </is>
      </c>
      <c r="CD39" t="inlineStr">
        <is>
          <t>Co-founder</t>
        </is>
      </c>
      <c r="CE39" t="inlineStr">
        <is>
          <t>co-founder or executive</t>
        </is>
      </c>
      <c r="CF39" t="inlineStr">
        <is>
          <t>verified-page</t>
        </is>
      </c>
      <c r="CG39" t="inlineStr">
        <is>
          <t>Same page.</t>
        </is>
      </c>
      <c r="CK39" t="inlineStr">
        <is>
          <t>none</t>
        </is>
      </c>
      <c r="CL39" t="n">
        <v>57</v>
      </c>
      <c r="CM39" t="n">
        <v>25</v>
      </c>
      <c r="CN39" t="n">
        <v>20</v>
      </c>
      <c r="CO39" t="n">
        <v>0</v>
      </c>
      <c r="CP39" t="n">
        <v>5</v>
      </c>
      <c r="CQ39" t="n">
        <v>5</v>
      </c>
      <c r="CR39" t="n">
        <v>6</v>
      </c>
      <c r="CS39">
        <f>IF(R39="Y",10,0)</f>
        <v/>
      </c>
      <c r="CT39" t="n">
        <v>-4</v>
      </c>
      <c r="CV39" t="inlineStr">
        <is>
          <t>BR4</t>
        </is>
      </c>
      <c r="CW39" t="inlineStr">
        <is>
          <t>BR4:32</t>
        </is>
      </c>
      <c r="CX39" t="inlineStr">
        <is>
          <t>Vegan, non-GMO cornmeal crackers. WFM flags Local at Union Square and NoMad (2026-10-23). Trade sell sheets downloadable from homepage.</t>
        </is>
      </c>
      <c r="CY39" t="inlineStr">
        <is>
          <t xml:space="preserve">founder_name &lt;- https://www.zcrackers.com/ (2026-10-24, opened); founder_title &lt;- https://www.zcrackers.com/ (2026-10-24, opened); founder_profile_url &lt;- https://www.zcrackers.com/ (2026-10-24, opened); hq_city &lt;- https://www.zcrackers.com/ (2026-10-24, opened); </t>
        </is>
      </c>
      <c r="CZ39" t="inlineStr">
        <is>
          <t>https://www.zcrackers.com/</t>
        </is>
      </c>
      <c r="DA39" t="inlineStr">
        <is>
          <t>stage 2</t>
        </is>
      </c>
      <c r="DC39" t="inlineStr">
        <is>
          <t>employer's own site</t>
        </is>
      </c>
      <c r="DY39">
        <f>IF(ISNUMBER(MATCH(U39,{"queued","contacted","replied","call_booked","call_done","yes_in_principle","materials_sent"},0)),"Y","N")</f>
        <v/>
      </c>
      <c r="DZ39">
        <f>IF(COUNTIFS($AN$2:$AN$1000,AN39,$DY$2:$DY$1000,"Y")+COUNTIFS($AN$2:$AN$1000,AN39,$T$2:$T$1000,"Y")&gt;0,"Y","N")</f>
        <v/>
      </c>
      <c r="EA39">
        <f>IF(AND(U39="new",T39="N",AR39="Y",AQ39="",DZ39="N"),"Y","N")</f>
        <v/>
      </c>
      <c r="EB39">
        <f>IF(EA39&lt;&gt;"Y","N",IF(COUNTIFS($AN$2:$AN$1000,AN39,$EA$2:$EA$1000,"Y",$J$2:$J$1000,"&gt;"&amp;J39)+COUNTIFS($AN$2:$AN$1000,AN39,$EA$2:$EA$1000,"Y",$J$2:$J$1000,J39,$ED$2:$ED$1000,"&lt;"&amp;ED39)=0,"Y","N"))</f>
        <v/>
      </c>
      <c r="EC39">
        <f>IF(Y39="","N",IF(Y39&lt;=10,"Y","N"))</f>
        <v/>
      </c>
      <c r="ED39">
        <f>ROW()-1</f>
        <v/>
      </c>
    </row>
    <row r="40">
      <c r="A40" t="inlineStr">
        <is>
          <t>AB-107</t>
        </is>
      </c>
      <c r="B40" t="inlineStr">
        <is>
          <t>Solely</t>
        </is>
      </c>
      <c r="C40" t="inlineStr">
        <is>
          <t>Simon</t>
        </is>
      </c>
      <c r="D40" t="inlineStr">
        <is>
          <t>Sacal</t>
        </is>
      </c>
      <c r="E40" t="inlineStr">
        <is>
          <t>Founder and CEO</t>
        </is>
      </c>
      <c r="H40" t="inlineStr">
        <is>
          <t>none</t>
        </is>
      </c>
      <c r="I40" t="inlineStr">
        <is>
          <t>linkedin</t>
        </is>
      </c>
      <c r="J40">
        <f>IF(AU40="pass",CM40+CN40+CO40+CP40+CQ40+CR40+CS40+CT40,0)</f>
        <v/>
      </c>
      <c r="K40" t="inlineStr">
        <is>
          <t>Brand based outside the Northeast, store page shows Whole Foods Market NoMad inside the cluster, news 66 days ago, revenue unknown, contact named plus a marketing lead; founder review: scale.</t>
        </is>
      </c>
      <c r="M40" t="inlineStr">
        <is>
          <t>Whole Foods Market NoMad, 63 Madison Ave</t>
        </is>
      </c>
      <c r="N40" t="inlineStr">
        <is>
          <t>store_selector</t>
        </is>
      </c>
      <c r="O40" t="inlineStr">
        <is>
          <t>Expanded to Walmart stores nationwide (six items: Fruit Jerky 5-packs and Fruit Gummies 10-packs)</t>
        </is>
      </c>
      <c r="P40" t="inlineStr">
        <is>
          <t>https://www.snackandbakery.com/articles/116204-solely-expands-to-walmart-stores-nationwide</t>
        </is>
      </c>
      <c r="Q40" t="inlineStr">
        <is>
          <t>2026-08-19</t>
        </is>
      </c>
      <c r="R40" t="inlineStr">
        <is>
          <t>N</t>
        </is>
      </c>
      <c r="S40" t="inlineStr">
        <is>
          <t>unknown</t>
        </is>
      </c>
      <c r="T40" t="inlineStr">
        <is>
          <t>N</t>
        </is>
      </c>
      <c r="U40" t="inlineStr">
        <is>
          <t>new</t>
        </is>
      </c>
      <c r="V40" t="inlineStr">
        <is>
          <t>https://solely.com/pages/about</t>
        </is>
      </c>
      <c r="W40" t="inlineStr">
        <is>
          <t>2026-10-23</t>
        </is>
      </c>
      <c r="X40" t="inlineStr">
        <is>
          <t>brand</t>
        </is>
      </c>
      <c r="Y40">
        <f>IF(EB40&lt;&gt;"Y","",COUNTIFS($EB$2:$EB$1000,"Y",$J$2:$J$1000,"&gt;"&amp;J40)+COUNTIFS($EB$2:$EB$1000,"Y",$J$2:$J$1000,J40,$ED$2:$ED$1000,"&lt;"&amp;ED40)+1)</f>
        <v/>
      </c>
      <c r="Z40" t="n">
        <v>39</v>
      </c>
      <c r="AA40" t="inlineStr">
        <is>
          <t>Y</t>
        </is>
      </c>
      <c r="AB40" t="inlineStr">
        <is>
          <t>find Simon Sacal at Solely on LinkedIn and paste the profile URL; before using the retailer line, check Whole Foods Market NoMad still lists it: https://www.wholefoodsmarket.com/search?text=Solely with your store set to NoMad (catalogs change daily); founder review (scale): read founder_review_reason first</t>
        </is>
      </c>
      <c r="AC40" t="inlineStr">
        <is>
          <t>founder</t>
        </is>
      </c>
      <c r="AD40" t="inlineStr">
        <is>
          <t>verified-page</t>
        </is>
      </c>
      <c r="AE40" t="inlineStr">
        <is>
          <t>press, event or podcast page</t>
        </is>
      </c>
      <c r="AF40" t="inlineStr">
        <is>
          <t>https://karagoldin.com/podcasts/simon-sacal/</t>
        </is>
      </c>
      <c r="AG40" t="inlineStr">
        <is>
          <t>2026-10-24</t>
        </is>
      </c>
      <c r="AH40" t="inlineStr">
        <is>
          <t>Organic Pineapple Fruit Jerky 0.8 oz; Organic Mango and Blueberry Gummies 3.5 oz</t>
        </is>
      </c>
      <c r="AI40" t="inlineStr">
        <is>
          <t>fruit-snacks</t>
        </is>
      </c>
      <c r="AJ40" t="inlineStr">
        <is>
          <t>La Jolla</t>
        </is>
      </c>
      <c r="AK40" t="inlineStr">
        <is>
          <t>https://solely.com</t>
        </is>
      </c>
      <c r="AL40" t="inlineStr">
        <is>
          <t>Y</t>
        </is>
      </c>
      <c r="AM40" t="inlineStr">
        <is>
          <t>Kids-focused mission; Costco distribution and own farm network may put it above the size band</t>
        </is>
      </c>
      <c r="AN40" t="inlineStr">
        <is>
          <t>AB-107</t>
        </is>
      </c>
      <c r="AO40" t="inlineStr">
        <is>
          <t>N</t>
        </is>
      </c>
      <c r="AR40">
        <f>IF(AND(AU40="pass",AO40&lt;&gt;"Y",C40&lt;&gt;""),"Y","N")</f>
        <v/>
      </c>
      <c r="AS40">
        <f>_xlfn.TEXTJOIN("; ",TRUE,IF(AU40&lt;&gt;"pass","gated out",""),IF(AO40="Y","on hold: "&amp;AP40,""),IF(C40="","no contact named on an opened page",""))</f>
        <v/>
      </c>
      <c r="AU40" t="inlineStr">
        <is>
          <t>pass</t>
        </is>
      </c>
      <c r="AW40" t="inlineStr">
        <is>
          <t>passes all hard gates</t>
        </is>
      </c>
      <c r="AX40" t="inlineStr">
        <is>
          <t>scale</t>
        </is>
      </c>
      <c r="AY40" t="inlineStr">
        <is>
          <t>https://solely.com</t>
        </is>
      </c>
      <c r="AZ40" t="inlineStr">
        <is>
          <t>CA</t>
        </is>
      </c>
      <c r="BA40" t="inlineStr">
        <is>
          <t>elsewhere</t>
        </is>
      </c>
      <c r="BB40" t="inlineStr">
        <is>
          <t>unknown</t>
        </is>
      </c>
      <c r="BD40" t="inlineStr">
        <is>
          <t>Y</t>
        </is>
      </c>
      <c r="BE40" t="inlineStr">
        <is>
          <t>Brand FAQ: 'Most Solely products have a one-year shelf life from manufactured date'; online orders ship with a best-by at least 90 days out.</t>
        </is>
      </c>
      <c r="BF40" t="inlineStr">
        <is>
          <t>Y</t>
        </is>
      </c>
      <c r="BG40" t="inlineStr">
        <is>
          <t>Y</t>
        </is>
      </c>
      <c r="BH40" t="inlineStr">
        <is>
          <t>unknown</t>
        </is>
      </c>
      <c r="BJ40" t="inlineStr">
        <is>
          <t>unknown</t>
        </is>
      </c>
      <c r="BK40" t="inlineStr">
        <is>
          <t>N</t>
        </is>
      </c>
      <c r="BL40" t="inlineStr">
        <is>
          <t>N</t>
        </is>
      </c>
      <c r="BN40" t="n">
        <v>0</v>
      </c>
      <c r="BO40" t="inlineStr">
        <is>
          <t>Y</t>
        </is>
      </c>
      <c r="BP40" t="n">
        <v>3</v>
      </c>
      <c r="BQ40" t="inlineStr">
        <is>
          <t>Whole Foods Market NoMad, 63 Madison Ave (store_selector, inside);Whole Foods Market Union Square, 4 Union Sq S (store_selector, inside);Whole Foods Market Chelsea, 250 7th Ave (store_selector, 3.0 blocks out)</t>
        </is>
      </c>
      <c r="BS40" t="inlineStr">
        <is>
          <t>Whole Foods; Costco (linked press)</t>
        </is>
      </c>
      <c r="BT40" t="inlineStr">
        <is>
          <t>https://www.wholefoodsmarket.com/api/search?text=solely&amp;store=10162&amp;limit=60&amp;offset=0; https://www.wholefoodsmarket.com/api/search?text=solely&amp;store=10773&amp;limit=60&amp;offset=0; https://www.wholefoodsmarket.com/api/search?text=solely&amp;store=10131&amp;limit=60&amp;offset=0</t>
        </is>
      </c>
      <c r="BU40" t="inlineStr">
        <is>
          <t>press</t>
        </is>
      </c>
      <c r="BV40" t="n">
        <v>66</v>
      </c>
      <c r="BX40" t="inlineStr">
        <is>
          <t>Simon Sacal</t>
        </is>
      </c>
      <c r="BY40" t="inlineStr">
        <is>
          <t>Kara Goldin Show page title "Simon Sacal: Founder &amp; CEO of Solely" (no LinkedIn link). Snack and Bakery 2026 calls him CEO.</t>
        </is>
      </c>
      <c r="CA40" t="inlineStr">
        <is>
          <t>Manish Amin</t>
        </is>
      </c>
      <c r="CB40" t="inlineStr">
        <is>
          <t>Manish</t>
        </is>
      </c>
      <c r="CC40" t="inlineStr">
        <is>
          <t>Amin</t>
        </is>
      </c>
      <c r="CD40" t="inlineStr">
        <is>
          <t>Head of Marketing</t>
        </is>
      </c>
      <c r="CE40" t="inlineStr">
        <is>
          <t>marketing lead</t>
        </is>
      </c>
      <c r="CF40" t="inlineStr">
        <is>
          <t>verified-page</t>
        </is>
      </c>
      <c r="CG40" t="inlineStr">
        <is>
          <t>The Org (updated 2024-11-04): since 2022. Two years since update. The Org also lists a CRO and EVP Sales and Marketing.</t>
        </is>
      </c>
      <c r="CK40" t="inlineStr">
        <is>
          <t>none</t>
        </is>
      </c>
      <c r="CL40" t="n">
        <v>56</v>
      </c>
      <c r="CM40" t="n">
        <v>25</v>
      </c>
      <c r="CN40" t="n">
        <v>3</v>
      </c>
      <c r="CO40" t="n">
        <v>15</v>
      </c>
      <c r="CP40" t="n">
        <v>5</v>
      </c>
      <c r="CQ40" t="n">
        <v>10</v>
      </c>
      <c r="CR40" t="n">
        <v>10</v>
      </c>
      <c r="CS40">
        <f>IF(R40="Y",10,0)</f>
        <v/>
      </c>
      <c r="CT40" t="n">
        <v>-12</v>
      </c>
      <c r="CU40" t="inlineStr">
        <is>
          <t>https://www.instagram.com/solelyfruit/</t>
        </is>
      </c>
      <c r="CV40" t="inlineStr">
        <is>
          <t>BR2</t>
        </is>
      </c>
      <c r="CW40" t="inlineStr">
        <is>
          <t>BR2:45</t>
        </is>
      </c>
      <c r="CX40" t="inlineStr">
        <is>
          <t>USDA Organic, sourced from own certified farms (FAQ). Why-now from Shopify publish date.</t>
        </is>
      </c>
      <c r="CY40" t="inlineStr">
        <is>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is>
      </c>
      <c r="CZ40" t="inlineStr">
        <is>
          <t>https://theorg.com/org/solely-inc/person/manish-amin</t>
        </is>
      </c>
      <c r="DA40" t="inlineStr">
        <is>
          <t>stage 2</t>
        </is>
      </c>
      <c r="DB40" t="inlineStr">
        <is>
          <t>2026</t>
        </is>
      </c>
      <c r="DC40" t="inlineStr">
        <is>
          <t>The Org (crowd-edited org chart)</t>
        </is>
      </c>
      <c r="DD40" t="inlineStr">
        <is>
          <t>2024-11-04</t>
        </is>
      </c>
      <c r="DY40">
        <f>IF(ISNUMBER(MATCH(U40,{"queued","contacted","replied","call_booked","call_done","yes_in_principle","materials_sent"},0)),"Y","N")</f>
        <v/>
      </c>
      <c r="DZ40">
        <f>IF(COUNTIFS($AN$2:$AN$1000,AN40,$DY$2:$DY$1000,"Y")+COUNTIFS($AN$2:$AN$1000,AN40,$T$2:$T$1000,"Y")&gt;0,"Y","N")</f>
        <v/>
      </c>
      <c r="EA40">
        <f>IF(AND(U40="new",T40="N",AR40="Y",AQ40="",DZ40="N"),"Y","N")</f>
        <v/>
      </c>
      <c r="EB40">
        <f>IF(EA40&lt;&gt;"Y","N",IF(COUNTIFS($AN$2:$AN$1000,AN40,$EA$2:$EA$1000,"Y",$J$2:$J$1000,"&gt;"&amp;J40)+COUNTIFS($AN$2:$AN$1000,AN40,$EA$2:$EA$1000,"Y",$J$2:$J$1000,J40,$ED$2:$ED$1000,"&lt;"&amp;ED40)=0,"Y","N"))</f>
        <v/>
      </c>
      <c r="EC40">
        <f>IF(Y40="","N",IF(Y40&lt;=10,"Y","N"))</f>
        <v/>
      </c>
      <c r="ED40">
        <f>ROW()-1</f>
        <v/>
      </c>
    </row>
    <row r="41">
      <c r="A41" t="inlineStr">
        <is>
          <t>AB-091</t>
        </is>
      </c>
      <c r="B41" t="inlineStr">
        <is>
          <t>Mavericks Snacks</t>
        </is>
      </c>
      <c r="C41" t="inlineStr">
        <is>
          <t>Livio</t>
        </is>
      </c>
      <c r="D41" t="inlineStr">
        <is>
          <t>Bisterzo</t>
        </is>
      </c>
      <c r="E41" t="inlineStr">
        <is>
          <t>Founder</t>
        </is>
      </c>
      <c r="H41" t="inlineStr">
        <is>
          <t>none</t>
        </is>
      </c>
      <c r="I41" t="inlineStr">
        <is>
          <t>linkedin</t>
        </is>
      </c>
      <c r="J41">
        <f>IF(AU41="pass",CM41+CN41+CO41+CP41+CQ41+CR41+CS41+CT41,0)</f>
        <v/>
      </c>
      <c r="K41" t="inlineStr">
        <is>
          <t>Brand based outside the Northeast, store page shows Whole Foods Market NoMad inside the cluster, news 211 days ago, revenue unknown, contact named; founder review: other.</t>
        </is>
      </c>
      <c r="M41" t="inlineStr">
        <is>
          <t>Whole Foods Market NoMad, 63 Madison Ave</t>
        </is>
      </c>
      <c r="N41" t="inlineStr">
        <is>
          <t>store_selector</t>
        </is>
      </c>
      <c r="O41" t="inlineStr">
        <is>
          <t>Launched limited-time Lemon Creme Sandwich Cookies at select Whole Foods Market stores nationwide</t>
        </is>
      </c>
      <c r="P41" t="inlineStr">
        <is>
          <t>https://www.snackandbakery.com/articles/115453-mavericks-snacks-introduces-seasonal-lemon-cookies</t>
        </is>
      </c>
      <c r="Q41" t="inlineStr">
        <is>
          <t>2026-03-27</t>
        </is>
      </c>
      <c r="R41" t="inlineStr">
        <is>
          <t>N</t>
        </is>
      </c>
      <c r="S41" t="inlineStr">
        <is>
          <t>Y</t>
        </is>
      </c>
      <c r="T41" t="inlineStr">
        <is>
          <t>N</t>
        </is>
      </c>
      <c r="U41" t="inlineStr">
        <is>
          <t>new</t>
        </is>
      </c>
      <c r="V41" t="inlineStr">
        <is>
          <t>https://mavericksnacks.com/pages/about-page</t>
        </is>
      </c>
      <c r="W41" t="inlineStr">
        <is>
          <t>2026-10-23</t>
        </is>
      </c>
      <c r="X41" t="inlineStr">
        <is>
          <t>brand</t>
        </is>
      </c>
      <c r="Y41">
        <f>IF(EB41&lt;&gt;"Y","",COUNTIFS($EB$2:$EB$1000,"Y",$J$2:$J$1000,"&gt;"&amp;J41)+COUNTIFS($EB$2:$EB$1000,"Y",$J$2:$J$1000,J41,$ED$2:$ED$1000,"&lt;"&amp;ED41)+1)</f>
        <v/>
      </c>
      <c r="Z41" t="n">
        <v>40</v>
      </c>
      <c r="AA41" t="inlineStr">
        <is>
          <t>Y</t>
        </is>
      </c>
      <c r="AB41" t="inlineStr">
        <is>
          <t>find Livio Bisterzo at Mavericks Snacks on LinkedIn and paste the profile URL; the source is dated 2024-10-11: check Livio still holds the role; before using the retailer line, check Whole Foods Market NoMad still lists it: https://www.wholefoodsmarket.com/search?text=Mavericks%20Snacks with your store set to NoMad (catalogs change daily); founder review (other): read founder_review_reason first</t>
        </is>
      </c>
      <c r="AC41" t="inlineStr">
        <is>
          <t>founder</t>
        </is>
      </c>
      <c r="AD41" t="inlineStr">
        <is>
          <t>verified-page</t>
        </is>
      </c>
      <c r="AE41" t="inlineStr">
        <is>
          <t>press, event or podcast page</t>
        </is>
      </c>
      <c r="AF41" t="inlineStr">
        <is>
          <t>https://startupcpg.com/startup-cpg-newswire-mavericks-snacks-partners-with-paramount-pictures-for-transformers-one-film-release/</t>
        </is>
      </c>
      <c r="AG41" t="inlineStr">
        <is>
          <t>2026-10-24</t>
        </is>
      </c>
      <c r="AH41" t="inlineStr">
        <is>
          <t>Chocolate Chip Bolt Cookies, Snack Packs; Kids Birthday Cake Cookies 7.05 oz</t>
        </is>
      </c>
      <c r="AI41" t="inlineStr">
        <is>
          <t>cookies-baked</t>
        </is>
      </c>
      <c r="AJ41" t="inlineStr">
        <is>
          <t>Santa Monica</t>
        </is>
      </c>
      <c r="AK41" t="inlineStr">
        <is>
          <t>https://mavericksnacks.com</t>
        </is>
      </c>
      <c r="AL41" t="inlineStr">
        <is>
          <t>Y</t>
        </is>
      </c>
      <c r="AM41" t="inlineStr">
        <is>
          <t>Kids' product positioning ('Kids' cookies, families); 60-day shelf life not stated</t>
        </is>
      </c>
      <c r="AN41" t="inlineStr">
        <is>
          <t>AB-091</t>
        </is>
      </c>
      <c r="AO41" t="inlineStr">
        <is>
          <t>N</t>
        </is>
      </c>
      <c r="AR41">
        <f>IF(AND(AU41="pass",AO41&lt;&gt;"Y",C41&lt;&gt;""),"Y","N")</f>
        <v/>
      </c>
      <c r="AS41">
        <f>_xlfn.TEXTJOIN("; ",TRUE,IF(AU41&lt;&gt;"pass","gated out",""),IF(AO41="Y","on hold: "&amp;AP41,""),IF(C41="","no contact named on an opened page",""))</f>
        <v/>
      </c>
      <c r="AU41" t="inlineStr">
        <is>
          <t>pass</t>
        </is>
      </c>
      <c r="AW41" t="inlineStr">
        <is>
          <t>passes all hard gates</t>
        </is>
      </c>
      <c r="AX41" t="inlineStr">
        <is>
          <t>other</t>
        </is>
      </c>
      <c r="AY41" t="inlineStr">
        <is>
          <t>https://mavericksnacks.com</t>
        </is>
      </c>
      <c r="AZ41" t="inlineStr">
        <is>
          <t>CA</t>
        </is>
      </c>
      <c r="BA41" t="inlineStr">
        <is>
          <t>elsewhere</t>
        </is>
      </c>
      <c r="BB41" t="inlineStr">
        <is>
          <t>unknown</t>
        </is>
      </c>
      <c r="BD41" t="inlineStr">
        <is>
          <t>likely</t>
        </is>
      </c>
      <c r="BE41" t="inlineStr">
        <is>
          <t>Packaged cookies and snack packs sold ambient at Whole Foods; shelf-life figure not found</t>
        </is>
      </c>
      <c r="BF41" t="inlineStr">
        <is>
          <t>Y</t>
        </is>
      </c>
      <c r="BG41" t="inlineStr">
        <is>
          <t>Y</t>
        </is>
      </c>
      <c r="BH41" t="inlineStr">
        <is>
          <t>unknown</t>
        </is>
      </c>
      <c r="BJ41" t="inlineStr">
        <is>
          <t>unknown</t>
        </is>
      </c>
      <c r="BK41" t="inlineStr">
        <is>
          <t>N</t>
        </is>
      </c>
      <c r="BL41" t="inlineStr">
        <is>
          <t>N</t>
        </is>
      </c>
      <c r="BN41" t="n">
        <v>0</v>
      </c>
      <c r="BO41" t="inlineStr">
        <is>
          <t>Y</t>
        </is>
      </c>
      <c r="BP41" t="n">
        <v>3</v>
      </c>
      <c r="BQ41" t="inlineStr">
        <is>
          <t>Whole Foods Market NoMad, 63 Madison Ave (store_selector, inside);Whole Foods Market Union Square, 4 Union Sq S (store_selector, inside);Whole Foods Market Chelsea, 250 7th Ave (store_selector, 3.0 blocks out)</t>
        </is>
      </c>
      <c r="BS41" t="inlineStr">
        <is>
          <t>Whole Foods; Amazon</t>
        </is>
      </c>
      <c r="BT41" t="inlineStr">
        <is>
          <t>https://www.wholefoodsmarket.com/api/search?text=mavericks%20cookies&amp;store=10162&amp;limit=60&amp;offset=0; https://www.wholefoodsmarket.com/api/search?text=mavericks%20cookies&amp;store=10773&amp;limit=60&amp;offset=0; https://www.wholefoodsmarket.com/api/search?text=mavericks%20cookies&amp;store=10131&amp;limit=60&amp;offset=0</t>
        </is>
      </c>
      <c r="BU41" t="inlineStr">
        <is>
          <t>press</t>
        </is>
      </c>
      <c r="BV41" t="n">
        <v>211</v>
      </c>
      <c r="BW41" t="inlineStr">
        <is>
          <t>https://startupcpg.com/startup-cpg-newswire-mavericks-snacks-partners-with-paramount-pictures-for-transformers-one-film-release/</t>
        </is>
      </c>
      <c r="BX41" t="inlineStr">
        <is>
          <t>Livio Bisterzo</t>
        </is>
      </c>
      <c r="BY41" t="inlineStr">
        <is>
          <t>Release: "Livio Bisterzo, CEO of Green Park Brands, founded Mavericks Snacks". The Org (green-park-brands, updated 2024-10-11): CEO &amp; Founder of the parent.</t>
        </is>
      </c>
      <c r="CA41" t="inlineStr">
        <is>
          <t>Tina Pate</t>
        </is>
      </c>
      <c r="CE41" t="inlineStr">
        <is>
          <t>marketing lead</t>
        </is>
      </c>
      <c r="CF41" t="inlineStr">
        <is>
          <t>unverified</t>
        </is>
      </c>
      <c r="CG41" t="inlineStr">
        <is>
          <t>Seen only in a search summary of a 2022 Nosh article (not opened). Four years old; likely stale.</t>
        </is>
      </c>
      <c r="CK41" t="inlineStr">
        <is>
          <t>none</t>
        </is>
      </c>
      <c r="CL41" t="n">
        <v>55</v>
      </c>
      <c r="CM41" t="n">
        <v>25</v>
      </c>
      <c r="CN41" t="n">
        <v>3</v>
      </c>
      <c r="CO41" t="n">
        <v>8</v>
      </c>
      <c r="CP41" t="n">
        <v>5</v>
      </c>
      <c r="CQ41" t="n">
        <v>8</v>
      </c>
      <c r="CR41" t="n">
        <v>8</v>
      </c>
      <c r="CS41">
        <f>IF(R41="Y",10,0)</f>
        <v/>
      </c>
      <c r="CT41" t="n">
        <v>-2</v>
      </c>
      <c r="CU41" t="inlineStr">
        <is>
          <t>https://www.instagram.com/mavericksnacks/</t>
        </is>
      </c>
      <c r="CV41" t="inlineStr">
        <is>
          <t>BR2</t>
        </is>
      </c>
      <c r="CW41" t="inlineStr">
        <is>
          <t>BR2:28</t>
        </is>
      </c>
      <c r="CX41" t="inlineStr">
        <is>
          <t>Garrison Jones is CEO of Mavericks Snacks as of 2026-03-27 (President in 2024). Likely the better first contact than founder Livio Bisterzo, who runs parent Green Park Brands.</t>
        </is>
      </c>
      <c r="CY41" t="inlineStr">
        <is>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is>
      </c>
      <c r="CZ41" t="inlineStr">
        <is>
          <t>https://www.nosh.com/news/2022/mavericks-cookies-focuses-on-branding-to-land-target-store-partnership</t>
        </is>
      </c>
      <c r="DA41" t="inlineStr">
        <is>
          <t>stage 2</t>
        </is>
      </c>
      <c r="DB41" t="inlineStr">
        <is>
          <t>2024-10-11</t>
        </is>
      </c>
      <c r="DC41" t="inlineStr">
        <is>
          <t>search snippet only (not opened)</t>
        </is>
      </c>
      <c r="DY41">
        <f>IF(ISNUMBER(MATCH(U41,{"queued","contacted","replied","call_booked","call_done","yes_in_principle","materials_sent"},0)),"Y","N")</f>
        <v/>
      </c>
      <c r="DZ41">
        <f>IF(COUNTIFS($AN$2:$AN$1000,AN41,$DY$2:$DY$1000,"Y")+COUNTIFS($AN$2:$AN$1000,AN41,$T$2:$T$1000,"Y")&gt;0,"Y","N")</f>
        <v/>
      </c>
      <c r="EA41">
        <f>IF(AND(U41="new",T41="N",AR41="Y",AQ41="",DZ41="N"),"Y","N")</f>
        <v/>
      </c>
      <c r="EB41">
        <f>IF(EA41&lt;&gt;"Y","N",IF(COUNTIFS($AN$2:$AN$1000,AN41,$EA$2:$EA$1000,"Y",$J$2:$J$1000,"&gt;"&amp;J41)+COUNTIFS($AN$2:$AN$1000,AN41,$EA$2:$EA$1000,"Y",$J$2:$J$1000,J41,$ED$2:$ED$1000,"&lt;"&amp;ED41)=0,"Y","N"))</f>
        <v/>
      </c>
      <c r="EC41">
        <f>IF(Y41="","N",IF(Y41&lt;=10,"Y","N"))</f>
        <v/>
      </c>
      <c r="ED41">
        <f>ROW()-1</f>
        <v/>
      </c>
    </row>
    <row r="42">
      <c r="A42" t="inlineStr">
        <is>
          <t>AB-087</t>
        </is>
      </c>
      <c r="B42" t="inlineStr">
        <is>
          <t>Mayana Chocolate</t>
        </is>
      </c>
      <c r="C42" t="inlineStr">
        <is>
          <t>Daniel</t>
        </is>
      </c>
      <c r="D42" t="inlineStr">
        <is>
          <t>Herskovic</t>
        </is>
      </c>
      <c r="E42" t="inlineStr">
        <is>
          <t>Owner</t>
        </is>
      </c>
      <c r="H42" t="inlineStr">
        <is>
          <t>none</t>
        </is>
      </c>
      <c r="I42" t="inlineStr">
        <is>
          <t>linkedin</t>
        </is>
      </c>
      <c r="J42">
        <f>IF(AU42="pass",CM42+CN42+CO42+CP42+CQ42+CR42+CS42+CT42,0)</f>
        <v/>
      </c>
      <c r="K42" t="inlineStr">
        <is>
          <t>Brand based outside the Northeast, store page shows Whole Foods Market NoMad inside the cluster, a new store listing 172 days ago, revenue unknown, contact named; founder review: shelf life not stated.</t>
        </is>
      </c>
      <c r="M42" t="inlineStr">
        <is>
          <t>Whole Foods Market NoMad, 63 Madison Ave</t>
        </is>
      </c>
      <c r="N42" t="inlineStr">
        <is>
          <t>store_selector</t>
        </is>
      </c>
      <c r="O42" t="inlineStr">
        <is>
          <t>New Mayan Spice and Mother Fluffer candy bars added to brand store (Apr to May 2026)</t>
        </is>
      </c>
      <c r="P42" t="inlineStr">
        <is>
          <t>https://www.mayanachocolate.com/</t>
        </is>
      </c>
      <c r="Q42" t="inlineStr">
        <is>
          <t>2026-05-05</t>
        </is>
      </c>
      <c r="R42" t="inlineStr">
        <is>
          <t>N</t>
        </is>
      </c>
      <c r="S42" t="inlineStr">
        <is>
          <t>unknown</t>
        </is>
      </c>
      <c r="T42" t="inlineStr">
        <is>
          <t>N</t>
        </is>
      </c>
      <c r="U42" t="inlineStr">
        <is>
          <t>new</t>
        </is>
      </c>
      <c r="V42" t="inlineStr">
        <is>
          <t>https://www.mayanachocolate.com/pages/about-mayana-chocolate</t>
        </is>
      </c>
      <c r="W42" t="inlineStr">
        <is>
          <t>2026-10-23</t>
        </is>
      </c>
      <c r="X42" t="inlineStr">
        <is>
          <t>brand</t>
        </is>
      </c>
      <c r="Y42">
        <f>IF(EB42&lt;&gt;"Y","",COUNTIFS($EB$2:$EB$1000,"Y",$J$2:$J$1000,"&gt;"&amp;J42)+COUNTIFS($EB$2:$EB$1000,"Y",$J$2:$J$1000,J42,$ED$2:$ED$1000,"&lt;"&amp;ED42)+1)</f>
        <v/>
      </c>
      <c r="Z42" t="n">
        <v>41</v>
      </c>
      <c r="AA42" t="inlineStr">
        <is>
          <t>Y</t>
        </is>
      </c>
      <c r="AB42" t="inlineStr">
        <is>
          <t>find Daniel Herskovic at Mayana Chocolate on LinkedIn and paste the profile URL; before using the retailer line, check Whole Foods Market NoMad still lists it: https://www.wholefoodsmarket.com/search?text=Mayana%20Chocolate with your store set to NoMad (catalogs change daily); founder review (shelf life or online store): read founder_review_reason first</t>
        </is>
      </c>
      <c r="AC42" t="inlineStr">
        <is>
          <t>founder</t>
        </is>
      </c>
      <c r="AD42" t="inlineStr">
        <is>
          <t>verified-page</t>
        </is>
      </c>
      <c r="AE42" t="inlineStr">
        <is>
          <t>employer's own site</t>
        </is>
      </c>
      <c r="AF42" t="inlineStr">
        <is>
          <t>https://www.mayanachocolate.com/pages/about-mayana-chocolate</t>
        </is>
      </c>
      <c r="AG42" t="inlineStr">
        <is>
          <t>2026-10-24</t>
        </is>
      </c>
      <c r="AH42" t="inlineStr">
        <is>
          <t>Mini Cloud 9 Bar 1.4 oz; Strawberry Rose Mini Chocolate Bar</t>
        </is>
      </c>
      <c r="AI42" t="inlineStr">
        <is>
          <t>chocolate-candy</t>
        </is>
      </c>
      <c r="AJ42" t="inlineStr">
        <is>
          <t>Spooner (brand about page calls Spooner 'Mayana's future home')</t>
        </is>
      </c>
      <c r="AK42" t="inlineStr">
        <is>
          <t>https://www.mayanachocolate.com</t>
        </is>
      </c>
      <c r="AL42" t="inlineStr">
        <is>
          <t>Y</t>
        </is>
      </c>
      <c r="AM42" t="inlineStr">
        <is>
          <t>60-day shelf life not stated</t>
        </is>
      </c>
      <c r="AN42" t="inlineStr">
        <is>
          <t>AB-087</t>
        </is>
      </c>
      <c r="AO42" t="inlineStr">
        <is>
          <t>N</t>
        </is>
      </c>
      <c r="AR42">
        <f>IF(AND(AU42="pass",AO42&lt;&gt;"Y",C42&lt;&gt;""),"Y","N")</f>
        <v/>
      </c>
      <c r="AS42">
        <f>_xlfn.TEXTJOIN("; ",TRUE,IF(AU42&lt;&gt;"pass","gated out",""),IF(AO42="Y","on hold: "&amp;AP42,""),IF(C42="","no contact named on an opened page",""))</f>
        <v/>
      </c>
      <c r="AU42" t="inlineStr">
        <is>
          <t>pass</t>
        </is>
      </c>
      <c r="AW42" t="inlineStr">
        <is>
          <t>passes all hard gates</t>
        </is>
      </c>
      <c r="AY42" t="inlineStr">
        <is>
          <t>https://www.mayanachocolate.com</t>
        </is>
      </c>
      <c r="AZ42" t="inlineStr">
        <is>
          <t>WI</t>
        </is>
      </c>
      <c r="BA42" t="inlineStr">
        <is>
          <t>elsewhere</t>
        </is>
      </c>
      <c r="BB42" t="inlineStr">
        <is>
          <t>unknown</t>
        </is>
      </c>
      <c r="BD42" t="inlineStr">
        <is>
          <t>likely</t>
        </is>
      </c>
      <c r="BE42" t="inlineStr">
        <is>
          <t>Wrapped candy bars sold ambient at Whole Foods; shelf-life figure not published</t>
        </is>
      </c>
      <c r="BF42" t="inlineStr">
        <is>
          <t>Y</t>
        </is>
      </c>
      <c r="BG42" t="inlineStr">
        <is>
          <t>Y</t>
        </is>
      </c>
      <c r="BH42" t="inlineStr">
        <is>
          <t>unknown</t>
        </is>
      </c>
      <c r="BJ42" t="inlineStr">
        <is>
          <t>unknown</t>
        </is>
      </c>
      <c r="BK42" t="inlineStr">
        <is>
          <t>N</t>
        </is>
      </c>
      <c r="BL42" t="inlineStr">
        <is>
          <t>N</t>
        </is>
      </c>
      <c r="BN42" t="n">
        <v>0</v>
      </c>
      <c r="BO42" t="inlineStr">
        <is>
          <t>Y</t>
        </is>
      </c>
      <c r="BP42" t="n">
        <v>3</v>
      </c>
      <c r="BQ42" t="inlineStr">
        <is>
          <t>Whole Foods Market NoMad, 63 Madison Ave (store_selector, inside);Whole Foods Market Union Square, 4 Union Sq S (store_selector, inside);Whole Foods Market Chelsea, 250 7th Ave (store_selector, 3.0 blocks out)</t>
        </is>
      </c>
      <c r="BR42" t="inlineStr">
        <is>
          <t>Chelsea Market Baskets (brand_claim, 11.4 blocks out)</t>
        </is>
      </c>
      <c r="BS42" t="inlineStr">
        <is>
          <t>Whole Foods; Chelsea Market Baskets (brand Storepoint locator)</t>
        </is>
      </c>
      <c r="BT42" t="inlineStr">
        <is>
          <t>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is>
      </c>
      <c r="BU42" t="inlineStr">
        <is>
          <t>listing</t>
        </is>
      </c>
      <c r="BV42" t="n">
        <v>172</v>
      </c>
      <c r="BX42" t="inlineStr">
        <is>
          <t>Daniel Herskovic</t>
        </is>
      </c>
      <c r="BY42" t="inlineStr">
        <is>
          <t>About page: run by husband and wife Daniel and Tamara Herskovic. The Org (updated 2026-09-28) lists him as CEO since 2008.</t>
        </is>
      </c>
      <c r="CA42" t="inlineStr">
        <is>
          <t>Tamara Herskovic</t>
        </is>
      </c>
      <c r="CB42" t="inlineStr">
        <is>
          <t>Tamara</t>
        </is>
      </c>
      <c r="CC42" t="inlineStr">
        <is>
          <t>Herskovic</t>
        </is>
      </c>
      <c r="CD42" t="inlineStr">
        <is>
          <t>Owner</t>
        </is>
      </c>
      <c r="CE42" t="inlineStr">
        <is>
          <t>co-founder or executive</t>
        </is>
      </c>
      <c r="CF42" t="inlineStr">
        <is>
          <t>verified-page</t>
        </is>
      </c>
      <c r="CG42" t="inlineStr">
        <is>
          <t>Same page.</t>
        </is>
      </c>
      <c r="CK42" t="inlineStr">
        <is>
          <t>none</t>
        </is>
      </c>
      <c r="CL42" t="n">
        <v>55</v>
      </c>
      <c r="CM42" t="n">
        <v>25</v>
      </c>
      <c r="CN42" t="n">
        <v>3</v>
      </c>
      <c r="CO42" t="n">
        <v>8</v>
      </c>
      <c r="CP42" t="n">
        <v>5</v>
      </c>
      <c r="CQ42" t="n">
        <v>8</v>
      </c>
      <c r="CR42" t="n">
        <v>6</v>
      </c>
      <c r="CS42">
        <f>IF(R42="Y",10,0)</f>
        <v/>
      </c>
      <c r="CT42" t="n">
        <v>0</v>
      </c>
      <c r="CU42" t="inlineStr">
        <is>
          <t>https://www.instagram.com/eatmayana/</t>
        </is>
      </c>
      <c r="CV42" t="inlineStr">
        <is>
          <t>BR2</t>
        </is>
      </c>
      <c r="CW42" t="inlineStr">
        <is>
          <t>BR2:24</t>
        </is>
      </c>
      <c r="CX42" t="inlineStr">
        <is>
          <t>Not a New York brand but stocked at all three cluster Whole Foods. Why-now dates from Shopify publish dates.</t>
        </is>
      </c>
      <c r="CZ42" t="inlineStr">
        <is>
          <t>https://www.mayanachocolate.com/pages/about-mayana-chocolate</t>
        </is>
      </c>
      <c r="DA42" t="inlineStr">
        <is>
          <t>stage 2</t>
        </is>
      </c>
      <c r="DB42" t="inlineStr">
        <is>
          <t>2026-09-28</t>
        </is>
      </c>
      <c r="DC42" t="inlineStr">
        <is>
          <t>employer's own site</t>
        </is>
      </c>
      <c r="DY42">
        <f>IF(ISNUMBER(MATCH(U42,{"queued","contacted","replied","call_booked","call_done","yes_in_principle","materials_sent"},0)),"Y","N")</f>
        <v/>
      </c>
      <c r="DZ42">
        <f>IF(COUNTIFS($AN$2:$AN$1000,AN42,$DY$2:$DY$1000,"Y")+COUNTIFS($AN$2:$AN$1000,AN42,$T$2:$T$1000,"Y")&gt;0,"Y","N")</f>
        <v/>
      </c>
      <c r="EA42">
        <f>IF(AND(U42="new",T42="N",AR42="Y",AQ42="",DZ42="N"),"Y","N")</f>
        <v/>
      </c>
      <c r="EB42">
        <f>IF(EA42&lt;&gt;"Y","N",IF(COUNTIFS($AN$2:$AN$1000,AN42,$EA$2:$EA$1000,"Y",$J$2:$J$1000,"&gt;"&amp;J42)+COUNTIFS($AN$2:$AN$1000,AN42,$EA$2:$EA$1000,"Y",$J$2:$J$1000,J42,$ED$2:$ED$1000,"&lt;"&amp;ED42)=0,"Y","N"))</f>
        <v/>
      </c>
      <c r="EC42">
        <f>IF(Y42="","N",IF(Y42&lt;=10,"Y","N"))</f>
        <v/>
      </c>
      <c r="ED42">
        <f>ROW()-1</f>
        <v/>
      </c>
    </row>
    <row r="43">
      <c r="A43" t="inlineStr">
        <is>
          <t>AB-172</t>
        </is>
      </c>
      <c r="B43" t="inlineStr">
        <is>
          <t>Explorer Cold Brew</t>
        </is>
      </c>
      <c r="C43" t="inlineStr">
        <is>
          <t>Cason</t>
        </is>
      </c>
      <c r="D43" t="inlineStr">
        <is>
          <t>Crane</t>
        </is>
      </c>
      <c r="E43" t="inlineStr">
        <is>
          <t>Founder and CEO</t>
        </is>
      </c>
      <c r="F43" t="inlineStr">
        <is>
          <t>https://www.linkedin.com/in/casoncrane/</t>
        </is>
      </c>
      <c r="H43" t="inlineStr">
        <is>
          <t>none</t>
        </is>
      </c>
      <c r="I43" t="inlineStr">
        <is>
          <t>linkedin</t>
        </is>
      </c>
      <c r="J43">
        <f>IF(AU43="pass",CM43+CN43+CO43+CP43+CQ43+CR43+CS43+CT43,0)</f>
        <v/>
      </c>
      <c r="K43" t="inlineStr">
        <is>
          <t>New York City brand, no graded store within ten blocks, online store only, news 79 days ago, revenue unknown, contact named; founder review: format.</t>
        </is>
      </c>
      <c r="M43" t="inlineStr">
        <is>
          <t>none found within ten blocks</t>
        </is>
      </c>
      <c r="N43" t="inlineStr">
        <is>
          <t>unverified</t>
        </is>
      </c>
      <c r="O43" t="inlineStr">
        <is>
          <t>Acquired Savorista, a decaf and half-caff coffee company (Food Business News, 2026-01-20); 2026 Startup CPG Shelfie finalist, Coffee category (2026-08-06); Matcha Oat Latte cans listed 2026-08-27</t>
        </is>
      </c>
      <c r="P43" t="inlineStr">
        <is>
          <t>https://startupcpg.com/startup-cpg-shelfie-finalists-2026/</t>
        </is>
      </c>
      <c r="Q43" t="inlineStr">
        <is>
          <t>2026-08-06</t>
        </is>
      </c>
      <c r="R43" t="inlineStr">
        <is>
          <t>N</t>
        </is>
      </c>
      <c r="S43" t="inlineStr">
        <is>
          <t>Y</t>
        </is>
      </c>
      <c r="T43" t="inlineStr">
        <is>
          <t>N</t>
        </is>
      </c>
      <c r="U43" t="inlineStr">
        <is>
          <t>new</t>
        </is>
      </c>
      <c r="V43" t="inlineStr">
        <is>
          <t>https://explorercoldbrew.com/pages/meet-the-team</t>
        </is>
      </c>
      <c r="W43" t="inlineStr">
        <is>
          <t>2026-10-23</t>
        </is>
      </c>
      <c r="X43" t="inlineStr">
        <is>
          <t>brand</t>
        </is>
      </c>
      <c r="Y43">
        <f>IF(EB43&lt;&gt;"Y","",COUNTIFS($EB$2:$EB$1000,"Y",$J$2:$J$1000,"&gt;"&amp;J43)+COUNTIFS($EB$2:$EB$1000,"Y",$J$2:$J$1000,J43,$ED$2:$ED$1000,"&lt;"&amp;ED43)+1)</f>
        <v/>
      </c>
      <c r="Z43" t="n">
        <v>42</v>
      </c>
      <c r="AA43" t="inlineStr">
        <is>
          <t>Y</t>
        </is>
      </c>
      <c r="AB43" t="inlineStr">
        <is>
          <t>founder review (format): read founder_review_reason first</t>
        </is>
      </c>
      <c r="AC43" t="inlineStr">
        <is>
          <t>founder</t>
        </is>
      </c>
      <c r="AD43" t="inlineStr">
        <is>
          <t>verified-page</t>
        </is>
      </c>
      <c r="AE43" t="inlineStr">
        <is>
          <t>employer's own site</t>
        </is>
      </c>
      <c r="AF43" t="inlineStr">
        <is>
          <t>https://explorercoldbrew.com/pages/meet-the-team</t>
        </is>
      </c>
      <c r="AG43" t="inlineStr">
        <is>
          <t>2026-10-24</t>
        </is>
      </c>
      <c r="AH43" t="inlineStr">
        <is>
          <t>Explorer Cold Brew Oat Latte (choose caffeine level), can 12-pack</t>
        </is>
      </c>
      <c r="AI43" t="inlineStr">
        <is>
          <t>coffee-rtd</t>
        </is>
      </c>
      <c r="AJ43" t="inlineStr">
        <is>
          <t>Brooklyn</t>
        </is>
      </c>
      <c r="AK43" t="inlineStr">
        <is>
          <t>https://explorercoldbrew.com</t>
        </is>
      </c>
      <c r="AL43" t="inlineStr">
        <is>
          <t>Y</t>
        </is>
      </c>
      <c r="AM43" t="inlineStr">
        <is>
          <t>HQ and NYC retail not confirmed; 128 oz box is not a fit, only the cans; 60-day shelf life not stated</t>
        </is>
      </c>
      <c r="AN43" t="inlineStr">
        <is>
          <t>AB-172</t>
        </is>
      </c>
      <c r="AO43" t="inlineStr">
        <is>
          <t>N</t>
        </is>
      </c>
      <c r="AR43">
        <f>IF(AND(AU43="pass",AO43&lt;&gt;"Y",C43&lt;&gt;""),"Y","N")</f>
        <v/>
      </c>
      <c r="AS43">
        <f>_xlfn.TEXTJOIN("; ",TRUE,IF(AU43&lt;&gt;"pass","gated out",""),IF(AO43="Y","on hold: "&amp;AP43,""),IF(C43="","no contact named on an opened page",""))</f>
        <v/>
      </c>
      <c r="AU43" t="inlineStr">
        <is>
          <t>pass</t>
        </is>
      </c>
      <c r="AW43" t="inlineStr">
        <is>
          <t>passes all hard gates</t>
        </is>
      </c>
      <c r="AX43" t="inlineStr">
        <is>
          <t>format</t>
        </is>
      </c>
      <c r="AY43" t="inlineStr">
        <is>
          <t>https://explorercoldbrew.com</t>
        </is>
      </c>
      <c r="AZ43" t="inlineStr">
        <is>
          <t>NY</t>
        </is>
      </c>
      <c r="BA43" t="inlineStr">
        <is>
          <t>nyc</t>
        </is>
      </c>
      <c r="BB43" t="inlineStr">
        <is>
          <t>unknown</t>
        </is>
      </c>
      <c r="BD43" t="inlineStr">
        <is>
          <t>unknown</t>
        </is>
      </c>
      <c r="BE43" t="inlineStr">
        <is>
          <t>No storage statement found in product copy</t>
        </is>
      </c>
      <c r="BF43" t="inlineStr">
        <is>
          <t>Y</t>
        </is>
      </c>
      <c r="BG43" t="inlineStr">
        <is>
          <t>Y</t>
        </is>
      </c>
      <c r="BH43" t="inlineStr">
        <is>
          <t>unknown</t>
        </is>
      </c>
      <c r="BJ43" t="inlineStr">
        <is>
          <t>No public sales figure found</t>
        </is>
      </c>
      <c r="BK43" t="inlineStr">
        <is>
          <t>N</t>
        </is>
      </c>
      <c r="BL43" t="inlineStr">
        <is>
          <t>N</t>
        </is>
      </c>
      <c r="BO43" t="inlineStr">
        <is>
          <t>N</t>
        </is>
      </c>
      <c r="BP43" t="n">
        <v>0</v>
      </c>
      <c r="BS43" t="inlineStr">
        <is>
          <t>unknown (Dathic locator not readable)</t>
        </is>
      </c>
      <c r="BU43" t="inlineStr">
        <is>
          <t>press</t>
        </is>
      </c>
      <c r="BV43" t="n">
        <v>79</v>
      </c>
      <c r="BW43" t="inlineStr">
        <is>
          <t>https://startupcpg.com/startup-cpg-shelfie-finalists-2026/</t>
        </is>
      </c>
      <c r="BX43" t="inlineStr">
        <is>
          <t>Cason Crane</t>
        </is>
      </c>
      <c r="BY43" t="inlineStr">
        <is>
          <t>Meet the Team page. LinkedIn URL from the Startup CPG podcast "Founder Feature: Cason Crane" episode links (2024-11-22, public feed); LinkedIn not opened.</t>
        </is>
      </c>
      <c r="BZ43" t="inlineStr">
        <is>
          <t>listed on an opened page or in search results; LinkedIn itself not opened</t>
        </is>
      </c>
      <c r="CA43" t="inlineStr">
        <is>
          <t>Michael O'Hagan</t>
        </is>
      </c>
      <c r="CB43" t="inlineStr">
        <is>
          <t>Michael</t>
        </is>
      </c>
      <c r="CC43" t="inlineStr">
        <is>
          <t>O'Hagan</t>
        </is>
      </c>
      <c r="CD43" t="inlineStr">
        <is>
          <t>Head of Ecommerce and Growth (consultant)</t>
        </is>
      </c>
      <c r="CE43" t="inlineStr">
        <is>
          <t>co-founder or executive</t>
        </is>
      </c>
      <c r="CF43" t="inlineStr">
        <is>
          <t>verified-page</t>
        </is>
      </c>
      <c r="CG43" t="inlineStr">
        <is>
          <t>The Org (updated 2024-11-01): consultant role since 2022. Not on the brand's Meet the Team page, so he may have left. Growth, not a marketing title.</t>
        </is>
      </c>
      <c r="CK43" t="inlineStr">
        <is>
          <t>none</t>
        </is>
      </c>
      <c r="CL43" t="n">
        <v>55</v>
      </c>
      <c r="CM43" t="n">
        <v>6</v>
      </c>
      <c r="CN43" t="n">
        <v>20</v>
      </c>
      <c r="CO43" t="n">
        <v>15</v>
      </c>
      <c r="CP43" t="n">
        <v>5</v>
      </c>
      <c r="CQ43" t="n">
        <v>7</v>
      </c>
      <c r="CR43" t="n">
        <v>6</v>
      </c>
      <c r="CS43">
        <f>IF(R43="Y",10,0)</f>
        <v/>
      </c>
      <c r="CT43" t="n">
        <v>-4</v>
      </c>
      <c r="CU43" t="inlineStr">
        <is>
          <t>unknown</t>
        </is>
      </c>
      <c r="CV43" t="inlineStr">
        <is>
          <t>BR3</t>
        </is>
      </c>
      <c r="CW43" t="inlineStr">
        <is>
          <t>BR3:46</t>
        </is>
      </c>
      <c r="CX43" t="inlineStr">
        <is>
          <t>Founded 2020 (meet-the-team). Caffeine-level choice (decaf, half-caff) is an office-friendly angle. Matcha date is Shopify publish date.</t>
        </is>
      </c>
      <c r="CY43" t="inlineStr">
        <is>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is>
      </c>
      <c r="CZ43" t="inlineStr">
        <is>
          <t>https://theorg.com/org/explorer-cold-brew/person/michael-ohagan</t>
        </is>
      </c>
      <c r="DA43" t="inlineStr">
        <is>
          <t>stage 2</t>
        </is>
      </c>
      <c r="DC43" t="inlineStr">
        <is>
          <t>The Org (crowd-edited org chart)</t>
        </is>
      </c>
      <c r="DD43" t="inlineStr">
        <is>
          <t>2024-11-01</t>
        </is>
      </c>
      <c r="DY43">
        <f>IF(ISNUMBER(MATCH(U43,{"queued","contacted","replied","call_booked","call_done","yes_in_principle","materials_sent"},0)),"Y","N")</f>
        <v/>
      </c>
      <c r="DZ43">
        <f>IF(COUNTIFS($AN$2:$AN$1000,AN43,$DY$2:$DY$1000,"Y")+COUNTIFS($AN$2:$AN$1000,AN43,$T$2:$T$1000,"Y")&gt;0,"Y","N")</f>
        <v/>
      </c>
      <c r="EA43">
        <f>IF(AND(U43="new",T43="N",AR43="Y",AQ43="",DZ43="N"),"Y","N")</f>
        <v/>
      </c>
      <c r="EB43">
        <f>IF(EA43&lt;&gt;"Y","N",IF(COUNTIFS($AN$2:$AN$1000,AN43,$EA$2:$EA$1000,"Y",$J$2:$J$1000,"&gt;"&amp;J43)+COUNTIFS($AN$2:$AN$1000,AN43,$EA$2:$EA$1000,"Y",$J$2:$J$1000,J43,$ED$2:$ED$1000,"&lt;"&amp;ED43)=0,"Y","N"))</f>
        <v/>
      </c>
      <c r="EC43">
        <f>IF(Y43="","N",IF(Y43&lt;=10,"Y","N"))</f>
        <v/>
      </c>
      <c r="ED43">
        <f>ROW()-1</f>
        <v/>
      </c>
    </row>
    <row r="44">
      <c r="A44" t="inlineStr">
        <is>
          <t>AB-222</t>
        </is>
      </c>
      <c r="B44" t="inlineStr">
        <is>
          <t>Shinzo Matcha</t>
        </is>
      </c>
      <c r="C44" t="inlineStr">
        <is>
          <t>Zach</t>
        </is>
      </c>
      <c r="D44" t="inlineStr">
        <is>
          <t>Hayworth</t>
        </is>
      </c>
      <c r="E44" t="inlineStr">
        <is>
          <t>Co-founder</t>
        </is>
      </c>
      <c r="H44" t="inlineStr">
        <is>
          <t>none</t>
        </is>
      </c>
      <c r="I44" t="inlineStr">
        <is>
          <t>linkedin</t>
        </is>
      </c>
      <c r="J44">
        <f>IF(AU44="pass",CM44+CN44+CO44+CP44+CQ44+CR44+CS44+CT44,0)</f>
        <v/>
      </c>
      <c r="K44" t="inlineStr">
        <is>
          <t>New York City brand, no graded store within ten blocks, online store only, news 176 days ago, revenue unknown, contact named; founder review: claim-borderline.</t>
        </is>
      </c>
      <c r="M44" t="inlineStr">
        <is>
          <t>none found within ten blocks</t>
        </is>
      </c>
      <c r="N44" t="inlineStr">
        <is>
          <t>unverified</t>
        </is>
      </c>
      <c r="O44" t="inlineStr">
        <is>
          <t>Launched sparkling matcha soda in 8.4 oz cans at 30+ NYC specialty grocers; 2026 Shelfie Award finalist (Tea)</t>
        </is>
      </c>
      <c r="P44" t="inlineStr">
        <is>
          <t>https://startupcpg.com/startup-cpg-newswire-shinzo-matcha-launches-sparkling-matcha-soda/</t>
        </is>
      </c>
      <c r="Q44" t="inlineStr">
        <is>
          <t>2026-05-01</t>
        </is>
      </c>
      <c r="R44" t="inlineStr">
        <is>
          <t>N</t>
        </is>
      </c>
      <c r="S44" t="inlineStr">
        <is>
          <t>Y</t>
        </is>
      </c>
      <c r="T44" t="inlineStr">
        <is>
          <t>N</t>
        </is>
      </c>
      <c r="U44" t="inlineStr">
        <is>
          <t>new</t>
        </is>
      </c>
      <c r="V44" t="inlineStr">
        <is>
          <t>https://shinzomatcha.com/pages/for-work</t>
        </is>
      </c>
      <c r="W44" t="inlineStr">
        <is>
          <t>2026-10-23</t>
        </is>
      </c>
      <c r="X44" t="inlineStr">
        <is>
          <t>brand</t>
        </is>
      </c>
      <c r="Y44">
        <f>IF(EB44&lt;&gt;"Y","",COUNTIFS($EB$2:$EB$1000,"Y",$J$2:$J$1000,"&gt;"&amp;J44)+COUNTIFS($EB$2:$EB$1000,"Y",$J$2:$J$1000,J44,$ED$2:$ED$1000,"&lt;"&amp;ED44)+1)</f>
        <v/>
      </c>
      <c r="Z44" t="n">
        <v>43</v>
      </c>
      <c r="AA44" t="inlineStr">
        <is>
          <t>Y</t>
        </is>
      </c>
      <c r="AB44" t="inlineStr">
        <is>
          <t>find Zach Hayworth at Shinzo Matcha on LinkedIn and paste the profile URL; founder review (claim-borderline): read founder_review_reason first</t>
        </is>
      </c>
      <c r="AC44" t="inlineStr">
        <is>
          <t>founder</t>
        </is>
      </c>
      <c r="AD44" t="inlineStr">
        <is>
          <t>verified-page</t>
        </is>
      </c>
      <c r="AE44" t="inlineStr">
        <is>
          <t>press, event or podcast page</t>
        </is>
      </c>
      <c r="AF44" t="inlineStr">
        <is>
          <t>https://startupcpg.com/startup-cpg-newswire-shinzo-matcha-launches-sparkling-matcha-soda/</t>
        </is>
      </c>
      <c r="AG44" t="inlineStr">
        <is>
          <t>2026-10-24</t>
        </is>
      </c>
      <c r="AH44" t="inlineStr">
        <is>
          <t>Yuzu Mint Sparkling Matcha, 8.4 oz can (also Coconut Mango); matcha latte stick packs</t>
        </is>
      </c>
      <c r="AI44" t="inlineStr">
        <is>
          <t>tea-juice</t>
        </is>
      </c>
      <c r="AJ44" t="inlineStr">
        <is>
          <t>New York (privacy policy: 169 Madison Ave, Ste 38135, New York, NY 10016, a mailbox-style suite; release: 'a New York-based beverage brand')</t>
        </is>
      </c>
      <c r="AK44" t="inlineStr">
        <is>
          <t>https://shinzomatcha.com</t>
        </is>
      </c>
      <c r="AL44" t="inlineStr">
        <is>
          <t>Y</t>
        </is>
      </c>
      <c r="AM44" t="inlineStr">
        <is>
          <t>Caffeinated matcha with energy positioning ('smooth, steady energy', 'delicious and healthy'); sparkling RTD launched April 2026, shelf life not stated; 60-day shelf life not stated</t>
        </is>
      </c>
      <c r="AN44" t="inlineStr">
        <is>
          <t>AB-222</t>
        </is>
      </c>
      <c r="AO44" t="inlineStr">
        <is>
          <t>N</t>
        </is>
      </c>
      <c r="AR44">
        <f>IF(AND(AU44="pass",AO44&lt;&gt;"Y",C44&lt;&gt;""),"Y","N")</f>
        <v/>
      </c>
      <c r="AS44">
        <f>_xlfn.TEXTJOIN("; ",TRUE,IF(AU44&lt;&gt;"pass","gated out",""),IF(AO44="Y","on hold: "&amp;AP44,""),IF(C44="","no contact named on an opened page",""))</f>
        <v/>
      </c>
      <c r="AU44" t="inlineStr">
        <is>
          <t>pass</t>
        </is>
      </c>
      <c r="AW44" t="inlineStr">
        <is>
          <t>passes all hard gates</t>
        </is>
      </c>
      <c r="AX44" t="inlineStr">
        <is>
          <t>claim-borderline</t>
        </is>
      </c>
      <c r="AY44" t="inlineStr">
        <is>
          <t>https://shinzomatcha.com</t>
        </is>
      </c>
      <c r="AZ44" t="inlineStr">
        <is>
          <t>NY</t>
        </is>
      </c>
      <c r="BA44" t="inlineStr">
        <is>
          <t>nyc</t>
        </is>
      </c>
      <c r="BB44" t="inlineStr">
        <is>
          <t>unknown</t>
        </is>
      </c>
      <c r="BD44" t="inlineStr">
        <is>
          <t>unknown</t>
        </is>
      </c>
      <c r="BE44" t="inlineStr">
        <is>
          <t>Canned RTD sold in beverage aisle per release; storage and shelf life not stated, founder to confirm</t>
        </is>
      </c>
      <c r="BF44" t="inlineStr">
        <is>
          <t>Y</t>
        </is>
      </c>
      <c r="BG44" t="inlineStr">
        <is>
          <t>Y</t>
        </is>
      </c>
      <c r="BH44" t="inlineStr">
        <is>
          <t>unknown</t>
        </is>
      </c>
      <c r="BJ44" t="inlineStr">
        <is>
          <t>unknown</t>
        </is>
      </c>
      <c r="BK44" t="inlineStr">
        <is>
          <t>N</t>
        </is>
      </c>
      <c r="BL44" t="inlineStr">
        <is>
          <t>N</t>
        </is>
      </c>
      <c r="BO44" t="inlineStr">
        <is>
          <t>N</t>
        </is>
      </c>
      <c r="BP44" t="n">
        <v>0</v>
      </c>
      <c r="BR44" t="inlineStr">
        <is>
          <t>Westside Market (NYC; specific location not stated) (unverified, unplaced)</t>
        </is>
      </c>
      <c r="BS44" t="inlineStr">
        <is>
          <t>30+ NYC specialty grocers incl. Westside Market, Gourmet Fresh, Dumbo Market (release); online</t>
        </is>
      </c>
      <c r="BT44" t="inlineStr">
        <is>
          <t>https://startupcpg.com/startup-cpg-newswire-shinzo-matcha-launches-sparkling-matcha-soda/</t>
        </is>
      </c>
      <c r="BU44" t="inlineStr">
        <is>
          <t>press</t>
        </is>
      </c>
      <c r="BV44" t="n">
        <v>176</v>
      </c>
      <c r="BW44" t="inlineStr">
        <is>
          <t>https://startupcpg.com/startup-cpg-shelfie-finalists-2026/</t>
        </is>
      </c>
      <c r="BX44" t="inlineStr">
        <is>
          <t>Zach Hayworth</t>
        </is>
      </c>
      <c r="BY44" t="inlineStr">
        <is>
          <t>Release quotes "co-founder Zach Hayworth". One web search found no other co-founder.</t>
        </is>
      </c>
      <c r="CF44" t="inlineStr">
        <is>
          <t>none</t>
        </is>
      </c>
      <c r="CK44" t="inlineStr">
        <is>
          <t>none</t>
        </is>
      </c>
      <c r="CL44" t="n">
        <v>55</v>
      </c>
      <c r="CM44" t="n">
        <v>6</v>
      </c>
      <c r="CN44" t="n">
        <v>20</v>
      </c>
      <c r="CO44" t="n">
        <v>15</v>
      </c>
      <c r="CP44" t="n">
        <v>5</v>
      </c>
      <c r="CQ44" t="n">
        <v>7</v>
      </c>
      <c r="CR44" t="n">
        <v>6</v>
      </c>
      <c r="CS44">
        <f>IF(R44="Y",10,0)</f>
        <v/>
      </c>
      <c r="CT44" t="n">
        <v>-4</v>
      </c>
      <c r="CV44" t="inlineStr">
        <is>
          <t>BR4</t>
        </is>
      </c>
      <c r="CW44" t="inlineStr">
        <is>
          <t>BR4:17</t>
        </is>
      </c>
      <c r="CX44" t="inlineStr">
        <is>
          <t>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is>
      </c>
      <c r="CY44" t="inlineStr">
        <is>
          <t xml:space="preserve">hq_city &lt;- https://shinzomatcha.com/policies/privacy-policy (2026-10-24, opened); </t>
        </is>
      </c>
      <c r="DA44" t="inlineStr">
        <is>
          <t>stage 2</t>
        </is>
      </c>
      <c r="DY44">
        <f>IF(ISNUMBER(MATCH(U44,{"queued","contacted","replied","call_booked","call_done","yes_in_principle","materials_sent"},0)),"Y","N")</f>
        <v/>
      </c>
      <c r="DZ44">
        <f>IF(COUNTIFS($AN$2:$AN$1000,AN44,$DY$2:$DY$1000,"Y")+COUNTIFS($AN$2:$AN$1000,AN44,$T$2:$T$1000,"Y")&gt;0,"Y","N")</f>
        <v/>
      </c>
      <c r="EA44">
        <f>IF(AND(U44="new",T44="N",AR44="Y",AQ44="",DZ44="N"),"Y","N")</f>
        <v/>
      </c>
      <c r="EB44">
        <f>IF(EA44&lt;&gt;"Y","N",IF(COUNTIFS($AN$2:$AN$1000,AN44,$EA$2:$EA$1000,"Y",$J$2:$J$1000,"&gt;"&amp;J44)+COUNTIFS($AN$2:$AN$1000,AN44,$EA$2:$EA$1000,"Y",$J$2:$J$1000,J44,$ED$2:$ED$1000,"&lt;"&amp;ED44)=0,"Y","N"))</f>
        <v/>
      </c>
      <c r="EC44">
        <f>IF(Y44="","N",IF(Y44&lt;=10,"Y","N"))</f>
        <v/>
      </c>
      <c r="ED44">
        <f>ROW()-1</f>
        <v/>
      </c>
    </row>
    <row r="45">
      <c r="A45" t="inlineStr">
        <is>
          <t>AB-278</t>
        </is>
      </c>
      <c r="B45" t="inlineStr">
        <is>
          <t>Doosra</t>
        </is>
      </c>
      <c r="C45" t="inlineStr">
        <is>
          <t>Kartik</t>
        </is>
      </c>
      <c r="D45" t="inlineStr">
        <is>
          <t>Das</t>
        </is>
      </c>
      <c r="E45" t="inlineStr">
        <is>
          <t>Founder</t>
        </is>
      </c>
      <c r="F45" t="inlineStr">
        <is>
          <t>https://www.linkedin.com/in/daskartik/</t>
        </is>
      </c>
      <c r="H45" t="inlineStr">
        <is>
          <t>none</t>
        </is>
      </c>
      <c r="I45" t="inlineStr">
        <is>
          <t>linkedin</t>
        </is>
      </c>
      <c r="J45">
        <f>IF(AU45="pass",CM45+CN45+CO45+CP45+CQ45+CR45+CS45+CT45,0)</f>
        <v/>
      </c>
      <c r="K45" t="inlineStr">
        <is>
          <t>New York City brand, no graded store within ten blocks, online store only, a new store listing 8 days ago, revenue unknown, contact named.</t>
        </is>
      </c>
      <c r="M45" t="inlineStr">
        <is>
          <t>none found within ten blocks</t>
        </is>
      </c>
      <c r="N45" t="inlineStr">
        <is>
          <t>unverified</t>
        </is>
      </c>
      <c r="O45" t="inlineStr">
        <is>
          <t>Launched The Gift Box (bowl, spoon and 4 oz bags of each flavor) for the 2026 holidays</t>
        </is>
      </c>
      <c r="P45" t="inlineStr">
        <is>
          <t>https://eatdoosra.com/products.json</t>
        </is>
      </c>
      <c r="Q45" t="inlineStr">
        <is>
          <t>2026-10-16</t>
        </is>
      </c>
      <c r="R45" t="inlineStr">
        <is>
          <t>N</t>
        </is>
      </c>
      <c r="S45" t="inlineStr">
        <is>
          <t>unknown</t>
        </is>
      </c>
      <c r="T45" t="inlineStr">
        <is>
          <t>N</t>
        </is>
      </c>
      <c r="U45" t="inlineStr">
        <is>
          <t>new</t>
        </is>
      </c>
      <c r="V45" t="inlineStr">
        <is>
          <t>https://www.entrepreneurspace.org/clients</t>
        </is>
      </c>
      <c r="W45" t="inlineStr">
        <is>
          <t>2026-10-24</t>
        </is>
      </c>
      <c r="X45" t="inlineStr">
        <is>
          <t>brand</t>
        </is>
      </c>
      <c r="Y45">
        <f>IF(EB45&lt;&gt;"Y","",COUNTIFS($EB$2:$EB$1000,"Y",$J$2:$J$1000,"&gt;"&amp;J45)+COUNTIFS($EB$2:$EB$1000,"Y",$J$2:$J$1000,J45,$ED$2:$ED$1000,"&lt;"&amp;ED45)+1)</f>
        <v/>
      </c>
      <c r="Z45" t="n">
        <v>44</v>
      </c>
      <c r="AA45" t="inlineStr">
        <is>
          <t>Y</t>
        </is>
      </c>
      <c r="AC45" t="inlineStr">
        <is>
          <t>founder</t>
        </is>
      </c>
      <c r="AD45" t="inlineStr">
        <is>
          <t>verified-page</t>
        </is>
      </c>
      <c r="AE45" t="inlineStr">
        <is>
          <t>employer's own site</t>
        </is>
      </c>
      <c r="AF45" t="inlineStr">
        <is>
          <t>https://eatdoosra.com/pages/about</t>
        </is>
      </c>
      <c r="AG45" t="inlineStr">
        <is>
          <t>2026-10-24</t>
        </is>
      </c>
      <c r="AH45" t="inlineStr">
        <is>
          <t>Doosra Peanut &amp; Caramelized White Chocolate Indian snack mix, 4 oz bag</t>
        </is>
      </c>
      <c r="AI45" t="inlineStr">
        <is>
          <t>other-snack</t>
        </is>
      </c>
      <c r="AJ45" t="inlineStr">
        <is>
          <t>Queens</t>
        </is>
      </c>
      <c r="AK45" t="inlineStr">
        <is>
          <t>https://eatdoosra.com</t>
        </is>
      </c>
      <c r="AL45" t="inlineStr">
        <is>
          <t>N</t>
        </is>
      </c>
      <c r="AN45" t="inlineStr">
        <is>
          <t>AB-278</t>
        </is>
      </c>
      <c r="AO45" t="inlineStr">
        <is>
          <t>N</t>
        </is>
      </c>
      <c r="AR45">
        <f>IF(AND(AU45="pass",AO45&lt;&gt;"Y",C45&lt;&gt;""),"Y","N")</f>
        <v/>
      </c>
      <c r="AS45">
        <f>_xlfn.TEXTJOIN("; ",TRUE,IF(AU45&lt;&gt;"pass","gated out",""),IF(AO45="Y","on hold: "&amp;AP45,""),IF(C45="","no contact named on an opened page",""))</f>
        <v/>
      </c>
      <c r="AU45" t="inlineStr">
        <is>
          <t>pass</t>
        </is>
      </c>
      <c r="AW45" t="inlineStr">
        <is>
          <t>passes all hard gates</t>
        </is>
      </c>
      <c r="AY45" t="inlineStr">
        <is>
          <t>https://eatdoosra.com</t>
        </is>
      </c>
      <c r="AZ45" t="inlineStr">
        <is>
          <t>NY</t>
        </is>
      </c>
      <c r="BA45" t="inlineStr">
        <is>
          <t>nyc</t>
        </is>
      </c>
      <c r="BB45" t="inlineStr">
        <is>
          <t>unknown</t>
        </is>
      </c>
      <c r="BD45" t="inlineStr">
        <is>
          <t>Y</t>
        </is>
      </c>
      <c r="BE45" t="inlineStr">
        <is>
          <t>Dry snack mix in sealed bags sold online and in groceries; shelf life not stated</t>
        </is>
      </c>
      <c r="BF45" t="inlineStr">
        <is>
          <t>Y</t>
        </is>
      </c>
      <c r="BG45" t="inlineStr">
        <is>
          <t>Y</t>
        </is>
      </c>
      <c r="BH45" t="inlineStr">
        <is>
          <t>unknown</t>
        </is>
      </c>
      <c r="BJ45" t="inlineStr">
        <is>
          <t>No sourced sales figure found</t>
        </is>
      </c>
      <c r="BK45" t="inlineStr">
        <is>
          <t>N</t>
        </is>
      </c>
      <c r="BL45" t="inlineStr">
        <is>
          <t>N</t>
        </is>
      </c>
      <c r="BO45" t="inlineStr">
        <is>
          <t>N</t>
        </is>
      </c>
      <c r="BP45" t="n">
        <v>0</v>
      </c>
      <c r="BR45" t="inlineStr">
        <is>
          <t>Pearl River Mart Foods (unverified, 13.2 blocks out)</t>
        </is>
      </c>
      <c r="BS45" t="inlineStr">
        <is>
          <t>Pearl River Mart Foods (Chelsea Market); Pearl River Mart (452 Broadway); Fonty's; Desi Galli; Happier Grocery; Jubilee Marketplace; Food Cellar Market; The Goods Mart (brand Stockist locator)</t>
        </is>
      </c>
      <c r="BT45" t="inlineStr">
        <is>
          <t>https://stockist.co/api/v1/u18827/locations/search?latitude=40.7411&amp;longitude=-73.9897&amp;distance=5 (widget on https://eatdoosra.com/pages/store-locator)</t>
        </is>
      </c>
      <c r="BU45" t="inlineStr">
        <is>
          <t>listing</t>
        </is>
      </c>
      <c r="BV45" t="n">
        <v>8</v>
      </c>
      <c r="BX45" t="inlineStr">
        <is>
          <t>Kartik Das</t>
        </is>
      </c>
      <c r="BY45" t="inlineStr">
        <is>
          <t>About page signed Kartik Das. LinkedIn URL from the Startup CPG podcast "Founder Feature: Kartik Das of Doosra" episode links (2026-02-06, public feed); LinkedIn not opened.</t>
        </is>
      </c>
      <c r="BZ45" t="inlineStr">
        <is>
          <t>listed on an opened page or in search results; LinkedIn itself not opened</t>
        </is>
      </c>
      <c r="CF45" t="inlineStr">
        <is>
          <t>none</t>
        </is>
      </c>
      <c r="CK45" t="inlineStr">
        <is>
          <t>none</t>
        </is>
      </c>
      <c r="CL45" t="n">
        <v>55</v>
      </c>
      <c r="CM45" t="n">
        <v>6</v>
      </c>
      <c r="CN45" t="n">
        <v>20</v>
      </c>
      <c r="CO45" t="n">
        <v>8</v>
      </c>
      <c r="CP45" t="n">
        <v>5</v>
      </c>
      <c r="CQ45" t="n">
        <v>10</v>
      </c>
      <c r="CR45" t="n">
        <v>6</v>
      </c>
      <c r="CS45">
        <f>IF(R45="Y",10,0)</f>
        <v/>
      </c>
      <c r="CT45" t="n">
        <v>0</v>
      </c>
      <c r="CU45" t="inlineStr">
        <is>
          <t>https://www.instagram.com/eatdoosra/</t>
        </is>
      </c>
      <c r="CV45" t="inlineStr">
        <is>
          <t>BR5</t>
        </is>
      </c>
      <c r="CW45" t="inlineStr">
        <is>
          <t>BR5:14</t>
        </is>
      </c>
      <c r="CX45" t="inlineStr">
        <is>
          <t>Entrepreneur Space (QEDC, Long Island City) current client: 'Doosra, Indian Snack Mix'. About page: 'proudly made in Queens, New York in small batches'. Startup CPG search returned only a 2024 Shelfie finalist post, which is older than 12 months, so startup_cpg_member stays unknown.</t>
        </is>
      </c>
      <c r="DA45" t="inlineStr">
        <is>
          <t>stage 2</t>
        </is>
      </c>
      <c r="DY45">
        <f>IF(ISNUMBER(MATCH(U45,{"queued","contacted","replied","call_booked","call_done","yes_in_principle","materials_sent"},0)),"Y","N")</f>
        <v/>
      </c>
      <c r="DZ45">
        <f>IF(COUNTIFS($AN$2:$AN$1000,AN45,$DY$2:$DY$1000,"Y")+COUNTIFS($AN$2:$AN$1000,AN45,$T$2:$T$1000,"Y")&gt;0,"Y","N")</f>
        <v/>
      </c>
      <c r="EA45">
        <f>IF(AND(U45="new",T45="N",AR45="Y",AQ45="",DZ45="N"),"Y","N")</f>
        <v/>
      </c>
      <c r="EB45">
        <f>IF(EA45&lt;&gt;"Y","N",IF(COUNTIFS($AN$2:$AN$1000,AN45,$EA$2:$EA$1000,"Y",$J$2:$J$1000,"&gt;"&amp;J45)+COUNTIFS($AN$2:$AN$1000,AN45,$EA$2:$EA$1000,"Y",$J$2:$J$1000,J45,$ED$2:$ED$1000,"&lt;"&amp;ED45)=0,"Y","N"))</f>
        <v/>
      </c>
      <c r="EC45">
        <f>IF(Y45="","N",IF(Y45&lt;=10,"Y","N"))</f>
        <v/>
      </c>
      <c r="ED45">
        <f>ROW()-1</f>
        <v/>
      </c>
    </row>
    <row r="46">
      <c r="A46" t="inlineStr">
        <is>
          <t>AB-174</t>
        </is>
      </c>
      <c r="B46" t="inlineStr">
        <is>
          <t>OOSO Sparkling Tea</t>
        </is>
      </c>
      <c r="C46" t="inlineStr">
        <is>
          <t>Oliver</t>
        </is>
      </c>
      <c r="D46" t="inlineStr">
        <is>
          <t>Spring</t>
        </is>
      </c>
      <c r="E46" t="inlineStr">
        <is>
          <t>CEO and Co-founder</t>
        </is>
      </c>
      <c r="F46" t="inlineStr">
        <is>
          <t>https://www.linkedin.com/in/oliverhspring/</t>
        </is>
      </c>
      <c r="H46" t="inlineStr">
        <is>
          <t>none</t>
        </is>
      </c>
      <c r="I46" t="inlineStr">
        <is>
          <t>linkedin</t>
        </is>
      </c>
      <c r="J46">
        <f>IF(AU46="pass",CM46+CN46+CO46+CP46+CQ46+CR46+CS46+CT46,0)</f>
        <v/>
      </c>
      <c r="K46" t="inlineStr">
        <is>
          <t>New York City brand, no graded store within ten blocks, online store only, a new store listing 37 days ago, revenue unknown, contact named plus a marketing lead; founder review: claim-borderline.</t>
        </is>
      </c>
      <c r="M46" t="inlineStr">
        <is>
          <t>none found within ten blocks</t>
        </is>
      </c>
      <c r="N46" t="inlineStr">
        <is>
          <t>unverified</t>
        </is>
      </c>
      <c r="O46" t="inlineStr">
        <is>
          <t>New flavors added: Chamomile Peach Yuzu (2026-06-01) and Mint Limeade, Hibiscus Raspberry, Earl Grey Lemonade (2026-09-17)</t>
        </is>
      </c>
      <c r="P46" t="inlineStr">
        <is>
          <t>https://drinkooso.com/products.json</t>
        </is>
      </c>
      <c r="Q46" t="inlineStr">
        <is>
          <t>2026-09-17</t>
        </is>
      </c>
      <c r="R46" t="inlineStr">
        <is>
          <t>N</t>
        </is>
      </c>
      <c r="S46" t="inlineStr">
        <is>
          <t>Y</t>
        </is>
      </c>
      <c r="T46" t="inlineStr">
        <is>
          <t>N</t>
        </is>
      </c>
      <c r="U46" t="inlineStr">
        <is>
          <t>new</t>
        </is>
      </c>
      <c r="V46" t="inlineStr">
        <is>
          <t>https://drinkooso.com/pages/faqs</t>
        </is>
      </c>
      <c r="W46" t="inlineStr">
        <is>
          <t>2026-10-23</t>
        </is>
      </c>
      <c r="X46" t="inlineStr">
        <is>
          <t>brand</t>
        </is>
      </c>
      <c r="Y46">
        <f>IF(EB46&lt;&gt;"Y","",COUNTIFS($EB$2:$EB$1000,"Y",$J$2:$J$1000,"&gt;"&amp;J46)+COUNTIFS($EB$2:$EB$1000,"Y",$J$2:$J$1000,J46,$ED$2:$ED$1000,"&lt;"&amp;ED46)+1)</f>
        <v/>
      </c>
      <c r="Z46" t="n">
        <v>45</v>
      </c>
      <c r="AA46" t="inlineStr">
        <is>
          <t>Y</t>
        </is>
      </c>
      <c r="AB46" t="inlineStr">
        <is>
          <t>founder review (claim-borderline): read founder_review_reason first</t>
        </is>
      </c>
      <c r="AC46" t="inlineStr">
        <is>
          <t>founder</t>
        </is>
      </c>
      <c r="AD46" t="inlineStr">
        <is>
          <t>verified-page</t>
        </is>
      </c>
      <c r="AE46" t="inlineStr">
        <is>
          <t>The Org (crowd-edited org chart)</t>
        </is>
      </c>
      <c r="AF46" t="inlineStr">
        <is>
          <t>https://theorg.com/org/ooso-sparkling-tea/person/oliver-spring</t>
        </is>
      </c>
      <c r="AG46" t="inlineStr">
        <is>
          <t>2026-10-24</t>
        </is>
      </c>
      <c r="AH46" t="inlineStr">
        <is>
          <t>OOSO Hibiscus Ginger Currant caffeine-free sparkling tea, can</t>
        </is>
      </c>
      <c r="AI46" t="inlineStr">
        <is>
          <t>tea-juice</t>
        </is>
      </c>
      <c r="AJ46" t="inlineStr">
        <is>
          <t>Brooklyn</t>
        </is>
      </c>
      <c r="AK46" t="inlineStr">
        <is>
          <t>https://drinkooso.com</t>
        </is>
      </c>
      <c r="AL46" t="inlineStr">
        <is>
          <t>Y</t>
        </is>
      </c>
      <c r="AM46" t="inlineStr">
        <is>
          <t>Startup CPG describes 'functional ingredients' (no claim seen on pages read; check label); positioned as a wine alternative. HQ and NYC store not confirmed</t>
        </is>
      </c>
      <c r="AN46" t="inlineStr">
        <is>
          <t>AB-174</t>
        </is>
      </c>
      <c r="AO46" t="inlineStr">
        <is>
          <t>N</t>
        </is>
      </c>
      <c r="AR46">
        <f>IF(AND(AU46="pass",AO46&lt;&gt;"Y",C46&lt;&gt;""),"Y","N")</f>
        <v/>
      </c>
      <c r="AS46">
        <f>_xlfn.TEXTJOIN("; ",TRUE,IF(AU46&lt;&gt;"pass","gated out",""),IF(AO46="Y","on hold: "&amp;AP46,""),IF(C46="","no contact named on an opened page",""))</f>
        <v/>
      </c>
      <c r="AU46" t="inlineStr">
        <is>
          <t>pass</t>
        </is>
      </c>
      <c r="AW46" t="inlineStr">
        <is>
          <t>passes all hard gates</t>
        </is>
      </c>
      <c r="AX46" t="inlineStr">
        <is>
          <t>claim-borderline</t>
        </is>
      </c>
      <c r="AY46" t="inlineStr">
        <is>
          <t>https://drinkooso.com</t>
        </is>
      </c>
      <c r="AZ46" t="inlineStr">
        <is>
          <t>NY</t>
        </is>
      </c>
      <c r="BA46" t="inlineStr">
        <is>
          <t>nyc</t>
        </is>
      </c>
      <c r="BB46" t="inlineStr">
        <is>
          <t>unknown</t>
        </is>
      </c>
      <c r="BD46" t="inlineStr">
        <is>
          <t>Y</t>
        </is>
      </c>
      <c r="BE46" t="inlineStr">
        <is>
          <t>FAQ: 'OOSO is shelf stable and lasts 18 months after production when stored in a cool, dry environment' (drinkooso.com/pages/faqs, opened 2026-10-23)</t>
        </is>
      </c>
      <c r="BF46" t="inlineStr">
        <is>
          <t>Y</t>
        </is>
      </c>
      <c r="BG46" t="inlineStr">
        <is>
          <t>Y</t>
        </is>
      </c>
      <c r="BH46" t="inlineStr">
        <is>
          <t>unknown</t>
        </is>
      </c>
      <c r="BJ46" t="inlineStr">
        <is>
          <t>No public sales figure found</t>
        </is>
      </c>
      <c r="BK46" t="inlineStr">
        <is>
          <t>N</t>
        </is>
      </c>
      <c r="BL46" t="inlineStr">
        <is>
          <t>N</t>
        </is>
      </c>
      <c r="BO46" t="inlineStr">
        <is>
          <t>N</t>
        </is>
      </c>
      <c r="BP46" t="n">
        <v>0</v>
      </c>
      <c r="BS46" t="inlineStr">
        <is>
          <t>Pop Up Grocer (directory); 'bars, restaurants, and retailers all across the country' (FAQ); stockist page not readable</t>
        </is>
      </c>
      <c r="BT46" t="inlineStr">
        <is>
          <t>https://drinkooso.com/pages/ooso-irl</t>
        </is>
      </c>
      <c r="BU46" t="inlineStr">
        <is>
          <t>listing</t>
        </is>
      </c>
      <c r="BV46" t="n">
        <v>37</v>
      </c>
      <c r="BW46" t="inlineStr">
        <is>
          <t>https://startupcpg.com/shelfie-awards-2025-meet-the-winners/</t>
        </is>
      </c>
      <c r="BX46" t="inlineStr">
        <is>
          <t>Oliver Spring</t>
        </is>
      </c>
      <c r="BY46" t="inlineStr">
        <is>
          <t>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is>
      </c>
      <c r="BZ46" t="inlineStr">
        <is>
          <t>listed on an opened page or in search results; LinkedIn itself not opened</t>
        </is>
      </c>
      <c r="CA46" t="inlineStr">
        <is>
          <t>Sophia Racciatti</t>
        </is>
      </c>
      <c r="CB46" t="inlineStr">
        <is>
          <t>Sophia</t>
        </is>
      </c>
      <c r="CC46" t="inlineStr">
        <is>
          <t>Racciatti</t>
        </is>
      </c>
      <c r="CD46" t="inlineStr">
        <is>
          <t>Co-founder (leads marketing)</t>
        </is>
      </c>
      <c r="CE46" t="inlineStr">
        <is>
          <t>marketing lead</t>
        </is>
      </c>
      <c r="CF46" t="inlineStr">
        <is>
          <t>verified-page</t>
        </is>
      </c>
      <c r="CG46" t="inlineStr">
        <is>
          <t>Team page: co-founder who has "masterminded everything from how to market OOSO". The podcast episode title calls her Sophie Spring; she may use either surname. LinkedIn URL from the same episode links; not opened.</t>
        </is>
      </c>
      <c r="CH46" t="inlineStr">
        <is>
          <t>https://www.linkedin.com/in/sophiaracciatti/</t>
        </is>
      </c>
      <c r="CK46" t="inlineStr">
        <is>
          <t>none</t>
        </is>
      </c>
      <c r="CL46" t="n">
        <v>55</v>
      </c>
      <c r="CM46" t="n">
        <v>6</v>
      </c>
      <c r="CN46" t="n">
        <v>20</v>
      </c>
      <c r="CO46" t="n">
        <v>8</v>
      </c>
      <c r="CP46" t="n">
        <v>5</v>
      </c>
      <c r="CQ46" t="n">
        <v>10</v>
      </c>
      <c r="CR46" t="n">
        <v>10</v>
      </c>
      <c r="CS46">
        <f>IF(R46="Y",10,0)</f>
        <v/>
      </c>
      <c r="CT46" t="n">
        <v>-4</v>
      </c>
      <c r="CU46" t="inlineStr">
        <is>
          <t>https://www.instagram.com/drinkooso</t>
        </is>
      </c>
      <c r="CV46" t="inlineStr">
        <is>
          <t>BR3</t>
        </is>
      </c>
      <c r="CW46" t="inlineStr">
        <is>
          <t>BR3:48</t>
        </is>
      </c>
      <c r="CX46" t="inlineStr">
        <is>
          <t>2025 Startup CPG Shelfie winner, Non-Alcoholic (page dated 2025-09-03). Caffeine-free and sweetened only with organic honey (FAQ). Dates are Shopify publish dates.</t>
        </is>
      </c>
      <c r="CY46" t="inlineStr">
        <is>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t>
        </is>
      </c>
      <c r="CZ46" t="inlineStr">
        <is>
          <t>https://drinkooso.com/pages/the-team</t>
        </is>
      </c>
      <c r="DA46" t="inlineStr">
        <is>
          <t>stage 2</t>
        </is>
      </c>
      <c r="DB46" t="inlineStr">
        <is>
          <t>2026-10-14</t>
        </is>
      </c>
      <c r="DC46" t="inlineStr">
        <is>
          <t>employer's own site</t>
        </is>
      </c>
      <c r="DY46">
        <f>IF(ISNUMBER(MATCH(U46,{"queued","contacted","replied","call_booked","call_done","yes_in_principle","materials_sent"},0)),"Y","N")</f>
        <v/>
      </c>
      <c r="DZ46">
        <f>IF(COUNTIFS($AN$2:$AN$1000,AN46,$DY$2:$DY$1000,"Y")+COUNTIFS($AN$2:$AN$1000,AN46,$T$2:$T$1000,"Y")&gt;0,"Y","N")</f>
        <v/>
      </c>
      <c r="EA46">
        <f>IF(AND(U46="new",T46="N",AR46="Y",AQ46="",DZ46="N"),"Y","N")</f>
        <v/>
      </c>
      <c r="EB46">
        <f>IF(EA46&lt;&gt;"Y","N",IF(COUNTIFS($AN$2:$AN$1000,AN46,$EA$2:$EA$1000,"Y",$J$2:$J$1000,"&gt;"&amp;J46)+COUNTIFS($AN$2:$AN$1000,AN46,$EA$2:$EA$1000,"Y",$J$2:$J$1000,J46,$ED$2:$ED$1000,"&lt;"&amp;ED46)=0,"Y","N"))</f>
        <v/>
      </c>
      <c r="EC46">
        <f>IF(Y46="","N",IF(Y46&lt;=10,"Y","N"))</f>
        <v/>
      </c>
      <c r="ED46">
        <f>ROW()-1</f>
        <v/>
      </c>
    </row>
    <row r="47">
      <c r="A47" t="inlineStr">
        <is>
          <t>AB-117</t>
        </is>
      </c>
      <c r="B47" t="inlineStr">
        <is>
          <t>GoMacro</t>
        </is>
      </c>
      <c r="C47" t="inlineStr">
        <is>
          <t>Jola</t>
        </is>
      </c>
      <c r="D47" t="inlineStr">
        <is>
          <t>Sonkin</t>
        </is>
      </c>
      <c r="E47" t="inlineStr">
        <is>
          <t>CEO and Co-founder</t>
        </is>
      </c>
      <c r="H47" t="inlineStr">
        <is>
          <t>none</t>
        </is>
      </c>
      <c r="I47" t="inlineStr">
        <is>
          <t>linkedin</t>
        </is>
      </c>
      <c r="J47">
        <f>IF(AU47="pass",CM47+CN47+CO47+CP47+CQ47+CR47+CS47+CT47,0)</f>
        <v/>
      </c>
      <c r="K47" t="inlineStr">
        <is>
          <t>Brand based outside the Northeast, store page shows Whole Foods Market NoMad inside the cluster, news 137 days ago, revenue unknown, contact named plus a marketing lead; founder review: scale, claim-borderline.</t>
        </is>
      </c>
      <c r="M47" t="inlineStr">
        <is>
          <t>Whole Foods Market NoMad, 63 Madison Ave</t>
        </is>
      </c>
      <c r="N47" t="inlineStr">
        <is>
          <t>store_selector</t>
        </is>
      </c>
      <c r="O47" t="inlineStr">
        <is>
          <t>Launched MacroSquare, its first new product format in six years, exclusively at Whole Foods Market nationwide</t>
        </is>
      </c>
      <c r="P47" t="inlineStr">
        <is>
          <t>https://www.snackandbakery.com/articles/115859-gomacro-launches-its-first-new-product-format-in-six-years</t>
        </is>
      </c>
      <c r="Q47" t="inlineStr">
        <is>
          <t>2026-06-09</t>
        </is>
      </c>
      <c r="R47" t="inlineStr">
        <is>
          <t>N</t>
        </is>
      </c>
      <c r="S47" t="inlineStr">
        <is>
          <t>unknown</t>
        </is>
      </c>
      <c r="T47" t="inlineStr">
        <is>
          <t>N</t>
        </is>
      </c>
      <c r="U47" t="inlineStr">
        <is>
          <t>new</t>
        </is>
      </c>
      <c r="V47" t="inlineStr">
        <is>
          <t>https://gomacro.com/pages/our-story</t>
        </is>
      </c>
      <c r="W47" t="inlineStr">
        <is>
          <t>2026-10-23</t>
        </is>
      </c>
      <c r="X47" t="inlineStr">
        <is>
          <t>brand</t>
        </is>
      </c>
      <c r="Y47">
        <f>IF(EB47&lt;&gt;"Y","",COUNTIFS($EB$2:$EB$1000,"Y",$J$2:$J$1000,"&gt;"&amp;J47)+COUNTIFS($EB$2:$EB$1000,"Y",$J$2:$J$1000,J47,$ED$2:$ED$1000,"&lt;"&amp;ED47)+1)</f>
        <v/>
      </c>
      <c r="Z47" t="n">
        <v>46</v>
      </c>
      <c r="AA47" t="inlineStr">
        <is>
          <t>Y</t>
        </is>
      </c>
      <c r="AB47" t="inlineStr">
        <is>
          <t>find Jola Sonkin at GoMacro on LinkedIn and paste the profile URL (this also confirms the name: The Org is crowd-edited); before using the retailer line, check Whole Foods Market NoMad still lists it: https://www.wholefoodsmarket.com/search?text=GoMacro with your store set to NoMad (catalogs change daily); founder review (scale, claim-borderline): read founder_review_reason first</t>
        </is>
      </c>
      <c r="AC47" t="inlineStr">
        <is>
          <t>founder</t>
        </is>
      </c>
      <c r="AD47" t="inlineStr">
        <is>
          <t>verified-page</t>
        </is>
      </c>
      <c r="AE47" t="inlineStr">
        <is>
          <t>The Org (crowd-edited org chart)</t>
        </is>
      </c>
      <c r="AF47" t="inlineStr">
        <is>
          <t>https://theorg.com/org/gomacro/person/jola-sonkin</t>
        </is>
      </c>
      <c r="AG47" t="inlineStr">
        <is>
          <t>2026-10-24</t>
        </is>
      </c>
      <c r="AH47" t="inlineStr">
        <is>
          <t>MacroBar Organic Vegan Protein Bar; MacroSquare (Dark Chocolate Nuts + Sea Salt)</t>
        </is>
      </c>
      <c r="AI47" t="inlineStr">
        <is>
          <t>bars</t>
        </is>
      </c>
      <c r="AJ47" t="inlineStr">
        <is>
          <t>Viola</t>
        </is>
      </c>
      <c r="AK47" t="inlineStr">
        <is>
          <t>https://gomacro.com</t>
        </is>
      </c>
      <c r="AL47" t="inlineStr">
        <is>
          <t>Y</t>
        </is>
      </c>
      <c r="AM47" t="inlineStr">
        <is>
          <t>33 to 39 SKUs at each cluster WFM suggests scale above the band; protein positioning; kids MacroBar line; 60-day shelf life not stated</t>
        </is>
      </c>
      <c r="AN47" t="inlineStr">
        <is>
          <t>AB-117</t>
        </is>
      </c>
      <c r="AO47" t="inlineStr">
        <is>
          <t>N</t>
        </is>
      </c>
      <c r="AR47">
        <f>IF(AND(AU47="pass",AO47&lt;&gt;"Y",C47&lt;&gt;""),"Y","N")</f>
        <v/>
      </c>
      <c r="AS47">
        <f>_xlfn.TEXTJOIN("; ",TRUE,IF(AU47&lt;&gt;"pass","gated out",""),IF(AO47="Y","on hold: "&amp;AP47,""),IF(C47="","no contact named on an opened page",""))</f>
        <v/>
      </c>
      <c r="AU47" t="inlineStr">
        <is>
          <t>pass</t>
        </is>
      </c>
      <c r="AW47" t="inlineStr">
        <is>
          <t>passes all hard gates</t>
        </is>
      </c>
      <c r="AX47" t="inlineStr">
        <is>
          <t>scale;claim-borderline</t>
        </is>
      </c>
      <c r="AY47" t="inlineStr">
        <is>
          <t>https://gomacro.com</t>
        </is>
      </c>
      <c r="AZ47" t="inlineStr">
        <is>
          <t>WI</t>
        </is>
      </c>
      <c r="BA47" t="inlineStr">
        <is>
          <t>elsewhere</t>
        </is>
      </c>
      <c r="BB47" t="inlineStr">
        <is>
          <t>unknown</t>
        </is>
      </c>
      <c r="BD47" t="inlineStr">
        <is>
          <t>likely</t>
        </is>
      </c>
      <c r="BE47" t="inlineStr">
        <is>
          <t>Wrapped bars sold ambient at Whole Foods; shelf-life figure not found</t>
        </is>
      </c>
      <c r="BF47" t="inlineStr">
        <is>
          <t>Y</t>
        </is>
      </c>
      <c r="BG47" t="inlineStr">
        <is>
          <t>Y</t>
        </is>
      </c>
      <c r="BH47" t="inlineStr">
        <is>
          <t>unknown</t>
        </is>
      </c>
      <c r="BJ47" t="inlineStr">
        <is>
          <t>unknown</t>
        </is>
      </c>
      <c r="BK47" t="inlineStr">
        <is>
          <t>N</t>
        </is>
      </c>
      <c r="BL47" t="inlineStr">
        <is>
          <t>N</t>
        </is>
      </c>
      <c r="BN47" t="n">
        <v>0</v>
      </c>
      <c r="BO47" t="inlineStr">
        <is>
          <t>Y</t>
        </is>
      </c>
      <c r="BP47" t="n">
        <v>3</v>
      </c>
      <c r="BQ47" t="inlineStr">
        <is>
          <t>Whole Foods Market NoMad, 63 Madison Ave (store_selector, inside);Whole Foods Market Union Square, 4 Union Sq S (store_selector, inside);Whole Foods Market Chelsea, 250 7th Ave (store_selector, 3.0 blocks out)</t>
        </is>
      </c>
      <c r="BS47" t="inlineStr">
        <is>
          <t>Whole Foods; store locator</t>
        </is>
      </c>
      <c r="BT47" t="inlineStr">
        <is>
          <t>https://www.wholefoodsmarket.com/api/search?text=gomacro&amp;store=10162&amp;limit=60&amp;offset=0; https://www.wholefoodsmarket.com/api/search?text=gomacro&amp;store=10773&amp;limit=60&amp;offset=0; https://www.wholefoodsmarket.com/api/search?text=gomacro&amp;store=10131&amp;limit=60&amp;offset=0</t>
        </is>
      </c>
      <c r="BU47" t="inlineStr">
        <is>
          <t>press</t>
        </is>
      </c>
      <c r="BV47" t="n">
        <v>137</v>
      </c>
      <c r="BX47" t="inlineStr">
        <is>
          <t>Jola Sonkin</t>
        </is>
      </c>
      <c r="BY47" t="inlineStr">
        <is>
          <t>The Org (updated 2026-08-30): "CEO | Co-Founder". Brand story page: Amelia Kirchoff began GoMacro with her daughter, Jola. Fills the stage-1 surname gap.</t>
        </is>
      </c>
      <c r="CA47" t="inlineStr">
        <is>
          <t>Dan Hickle</t>
        </is>
      </c>
      <c r="CB47" t="inlineStr">
        <is>
          <t>Dan</t>
        </is>
      </c>
      <c r="CC47" t="inlineStr">
        <is>
          <t>Hickle</t>
        </is>
      </c>
      <c r="CD47" t="inlineStr">
        <is>
          <t>SVP, Head of Marketing</t>
        </is>
      </c>
      <c r="CE47" t="inlineStr">
        <is>
          <t>marketing lead</t>
        </is>
      </c>
      <c r="CF47" t="inlineStr">
        <is>
          <t>verified-page</t>
        </is>
      </c>
      <c r="CG47" t="inlineStr">
        <is>
          <t>The Org (updated 2026-01-18): since 2025.</t>
        </is>
      </c>
      <c r="CK47" t="inlineStr">
        <is>
          <t>none</t>
        </is>
      </c>
      <c r="CL47" t="n">
        <v>54</v>
      </c>
      <c r="CM47" t="n">
        <v>25</v>
      </c>
      <c r="CN47" t="n">
        <v>3</v>
      </c>
      <c r="CO47" t="n">
        <v>15</v>
      </c>
      <c r="CP47" t="n">
        <v>5</v>
      </c>
      <c r="CQ47" t="n">
        <v>8</v>
      </c>
      <c r="CR47" t="n">
        <v>10</v>
      </c>
      <c r="CS47">
        <f>IF(R47="Y",10,0)</f>
        <v/>
      </c>
      <c r="CT47" t="n">
        <v>-12</v>
      </c>
      <c r="CU47" t="inlineStr">
        <is>
          <t>https://www.instagram.com/gomacro/</t>
        </is>
      </c>
      <c r="CV47" t="inlineStr">
        <is>
          <t>BR2</t>
        </is>
      </c>
      <c r="CW47" t="inlineStr">
        <is>
          <t>BR2:55</t>
        </is>
      </c>
      <c r="CX47" t="inlineStr">
        <is>
          <t>Founded 2004. Why-now from Shopify publish dates.</t>
        </is>
      </c>
      <c r="CY47" t="inlineStr">
        <is>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t>
        </is>
      </c>
      <c r="CZ47" t="inlineStr">
        <is>
          <t>https://theorg.com/org/gomacro/person/dan-hickle</t>
        </is>
      </c>
      <c r="DA47" t="inlineStr">
        <is>
          <t>stage 2</t>
        </is>
      </c>
      <c r="DB47" t="inlineStr">
        <is>
          <t>2026-08-30</t>
        </is>
      </c>
      <c r="DC47" t="inlineStr">
        <is>
          <t>The Org (crowd-edited org chart)</t>
        </is>
      </c>
      <c r="DD47" t="inlineStr">
        <is>
          <t>2026-01-18</t>
        </is>
      </c>
      <c r="DY47">
        <f>IF(ISNUMBER(MATCH(U47,{"queued","contacted","replied","call_booked","call_done","yes_in_principle","materials_sent"},0)),"Y","N")</f>
        <v/>
      </c>
      <c r="DZ47">
        <f>IF(COUNTIFS($AN$2:$AN$1000,AN47,$DY$2:$DY$1000,"Y")+COUNTIFS($AN$2:$AN$1000,AN47,$T$2:$T$1000,"Y")&gt;0,"Y","N")</f>
        <v/>
      </c>
      <c r="EA47">
        <f>IF(AND(U47="new",T47="N",AR47="Y",AQ47="",DZ47="N"),"Y","N")</f>
        <v/>
      </c>
      <c r="EB47">
        <f>IF(EA47&lt;&gt;"Y","N",IF(COUNTIFS($AN$2:$AN$1000,AN47,$EA$2:$EA$1000,"Y",$J$2:$J$1000,"&gt;"&amp;J47)+COUNTIFS($AN$2:$AN$1000,AN47,$EA$2:$EA$1000,"Y",$J$2:$J$1000,J47,$ED$2:$ED$1000,"&lt;"&amp;ED47)=0,"Y","N"))</f>
        <v/>
      </c>
      <c r="EC47">
        <f>IF(Y47="","N",IF(Y47&lt;=10,"Y","N"))</f>
        <v/>
      </c>
      <c r="ED47">
        <f>ROW()-1</f>
        <v/>
      </c>
    </row>
    <row r="48">
      <c r="A48" t="inlineStr">
        <is>
          <t>AB-034</t>
        </is>
      </c>
      <c r="B48" t="inlineStr">
        <is>
          <t>Reelie (formerly Artisan Tropic)</t>
        </is>
      </c>
      <c r="C48" t="inlineStr">
        <is>
          <t>Juan</t>
        </is>
      </c>
      <c r="D48" t="inlineStr">
        <is>
          <t>Nino</t>
        </is>
      </c>
      <c r="E48" t="inlineStr">
        <is>
          <t>Director of Marketing</t>
        </is>
      </c>
      <c r="H48" t="inlineStr">
        <is>
          <t>none</t>
        </is>
      </c>
      <c r="I48" t="inlineStr">
        <is>
          <t>linkedin</t>
        </is>
      </c>
      <c r="J48">
        <f>IF(AU48="pass",CM48+CN48+CO48+CP48+CQ48+CR48+CS48+CT48,0)</f>
        <v/>
      </c>
      <c r="K48" t="inlineStr">
        <is>
          <t>Brand based outside the Northeast, store page shows Whole Foods Market NoMad inside the cluster, a new store listing 213 days ago, revenue unknown, marketing lead named (founder not confirmed).</t>
        </is>
      </c>
      <c r="M48" t="inlineStr">
        <is>
          <t>Whole Foods Market NoMad, 63 Madison Ave</t>
        </is>
      </c>
      <c r="N48" t="inlineStr">
        <is>
          <t>store_selector</t>
        </is>
      </c>
      <c r="O48" t="inlineStr">
        <is>
          <t>Rebranded from Artisan Tropic to Reelie and relaunched brand store (new Serrano Lime Cassava Chips)</t>
        </is>
      </c>
      <c r="P48" t="inlineStr">
        <is>
          <t>https://www.reelie.com/products/serrano-lime-cassava-chips</t>
        </is>
      </c>
      <c r="Q48" t="inlineStr">
        <is>
          <t>2026-03-25</t>
        </is>
      </c>
      <c r="R48" t="inlineStr">
        <is>
          <t>N</t>
        </is>
      </c>
      <c r="S48" t="inlineStr">
        <is>
          <t>unknown</t>
        </is>
      </c>
      <c r="T48" t="inlineStr">
        <is>
          <t>N</t>
        </is>
      </c>
      <c r="U48" t="inlineStr">
        <is>
          <t>new</t>
        </is>
      </c>
      <c r="V48" t="inlineStr">
        <is>
          <t>https://www.reelie.com/pages/reelie-about-us</t>
        </is>
      </c>
      <c r="W48" t="inlineStr">
        <is>
          <t>2026-10-23</t>
        </is>
      </c>
      <c r="X48" t="inlineStr">
        <is>
          <t>brand</t>
        </is>
      </c>
      <c r="Y48">
        <f>IF(EB48&lt;&gt;"Y","",COUNTIFS($EB$2:$EB$1000,"Y",$J$2:$J$1000,"&gt;"&amp;J48)+COUNTIFS($EB$2:$EB$1000,"Y",$J$2:$J$1000,J48,$ED$2:$ED$1000,"&lt;"&amp;ED48)+1)</f>
        <v/>
      </c>
      <c r="Z48" t="n">
        <v>47</v>
      </c>
      <c r="AA48" t="inlineStr">
        <is>
          <t>Y</t>
        </is>
      </c>
      <c r="AB48" t="inlineStr">
        <is>
          <t>find Juan Nino at Reelie (formerly Artisan Tropic) on LinkedIn and paste the profile URL; the source is dated 2021: check Juan still holds the role; before using the retailer line, check Whole Foods Market NoMad still lists it: https://www.wholefoodsmarket.com/search?text=Reelie with your store set to NoMad (catalogs change daily)</t>
        </is>
      </c>
      <c r="AC48" t="inlineStr">
        <is>
          <t>marketing lead</t>
        </is>
      </c>
      <c r="AD48" t="inlineStr">
        <is>
          <t>verified-page</t>
        </is>
      </c>
      <c r="AE48" t="inlineStr">
        <is>
          <t>press, event or podcast page</t>
        </is>
      </c>
      <c r="AF48" t="inlineStr">
        <is>
          <t>https://accelerators.target.com/alumni-stories/meet-artisan-tropic-of-target-takeoff-food-beverage-2021/</t>
        </is>
      </c>
      <c r="AG48" t="inlineStr">
        <is>
          <t>2026-10-24</t>
        </is>
      </c>
      <c r="AH48" t="inlineStr">
        <is>
          <t>Reelie Sea Salt Plantain Chips; single-serve 1 oz 6-pack at WFM</t>
        </is>
      </c>
      <c r="AI48" t="inlineStr">
        <is>
          <t>chips-crisps</t>
        </is>
      </c>
      <c r="AJ48" t="inlineStr">
        <is>
          <t>Charlotte</t>
        </is>
      </c>
      <c r="AK48" t="inlineStr">
        <is>
          <t>https://www.reelie.com</t>
        </is>
      </c>
      <c r="AL48" t="inlineStr">
        <is>
          <t>N</t>
        </is>
      </c>
      <c r="AN48" t="inlineStr">
        <is>
          <t>AB-034</t>
        </is>
      </c>
      <c r="AO48" t="inlineStr">
        <is>
          <t>N</t>
        </is>
      </c>
      <c r="AR48">
        <f>IF(AND(AU48="pass",AO48&lt;&gt;"Y",C48&lt;&gt;""),"Y","N")</f>
        <v/>
      </c>
      <c r="AS48">
        <f>_xlfn.TEXTJOIN("; ",TRUE,IF(AU48&lt;&gt;"pass","gated out",""),IF(AO48="Y","on hold: "&amp;AP48,""),IF(C48="","no contact named on an opened page",""))</f>
        <v/>
      </c>
      <c r="AU48" t="inlineStr">
        <is>
          <t>pass</t>
        </is>
      </c>
      <c r="AW48" t="inlineStr">
        <is>
          <t>passes all hard gates</t>
        </is>
      </c>
      <c r="AY48" t="inlineStr">
        <is>
          <t>https://www.reelie.com</t>
        </is>
      </c>
      <c r="AZ48" t="inlineStr">
        <is>
          <t>NC</t>
        </is>
      </c>
      <c r="BA48" t="inlineStr">
        <is>
          <t>elsewhere</t>
        </is>
      </c>
      <c r="BB48" t="inlineStr">
        <is>
          <t>unknown</t>
        </is>
      </c>
      <c r="BD48" t="inlineStr">
        <is>
          <t>Y</t>
        </is>
      </c>
      <c r="BE48" t="inlineStr">
        <is>
          <t>Bagged plantain and cassava chips and grain-free crackers, ambient</t>
        </is>
      </c>
      <c r="BF48" t="inlineStr">
        <is>
          <t>Y</t>
        </is>
      </c>
      <c r="BG48" t="inlineStr">
        <is>
          <t>Y</t>
        </is>
      </c>
      <c r="BH48" t="inlineStr">
        <is>
          <t>unknown</t>
        </is>
      </c>
      <c r="BJ48" t="inlineStr">
        <is>
          <t>unknown</t>
        </is>
      </c>
      <c r="BK48" t="inlineStr">
        <is>
          <t>N</t>
        </is>
      </c>
      <c r="BL48" t="inlineStr">
        <is>
          <t>N</t>
        </is>
      </c>
      <c r="BN48" t="n">
        <v>0</v>
      </c>
      <c r="BO48" t="inlineStr">
        <is>
          <t>Y</t>
        </is>
      </c>
      <c r="BP48" t="n">
        <v>3</v>
      </c>
      <c r="BQ48" t="inlineStr">
        <is>
          <t>Whole Foods Market NoMad, 63 Madison Ave (store_selector, inside);Whole Foods Market Union Square, 4 Union Sq S (store_selector, inside);Whole Foods Market Chelsea, 250 7th Ave (store_selector, 3.0 blocks out)</t>
        </is>
      </c>
      <c r="BS48" t="inlineStr">
        <is>
          <t>Whole Foods Market</t>
        </is>
      </c>
      <c r="BT48" t="inlineStr">
        <is>
          <t>https://www.wholefoodsmarket.com/search?text=artisan%20tropic (Union Square, NoMad, Chelsea contexts: plantain chips, cassava chips, crackers IN_STOCK 2026-10-23)</t>
        </is>
      </c>
      <c r="BU48" t="inlineStr">
        <is>
          <t>listing</t>
        </is>
      </c>
      <c r="BV48" t="n">
        <v>213</v>
      </c>
      <c r="BX48" t="inlineStr">
        <is>
          <t>Juan Nino</t>
        </is>
      </c>
      <c r="BY48" t="inlineStr">
        <is>
          <t>Target Takeoff interview (2021): "Juan Nino, Director of Marketing". Five years old, before the rename to Reelie. Stage 1 had him in the founder slot.</t>
        </is>
      </c>
      <c r="CA48" t="inlineStr">
        <is>
          <t>Jose Nino</t>
        </is>
      </c>
      <c r="CB48" t="inlineStr">
        <is>
          <t>Jose</t>
        </is>
      </c>
      <c r="CC48" t="inlineStr">
        <is>
          <t>Nino</t>
        </is>
      </c>
      <c r="CD48" t="inlineStr">
        <is>
          <t>Director of Sales</t>
        </is>
      </c>
      <c r="CE48" t="inlineStr">
        <is>
          <t>co-founder or executive</t>
        </is>
      </c>
      <c r="CF48" t="inlineStr">
        <is>
          <t>verified-page</t>
        </is>
      </c>
      <c r="CG48" t="inlineStr">
        <is>
          <t>Same 2021 interview.</t>
        </is>
      </c>
      <c r="CK48" t="inlineStr">
        <is>
          <t>none</t>
        </is>
      </c>
      <c r="CL48" t="n">
        <v>54</v>
      </c>
      <c r="CM48" t="n">
        <v>25</v>
      </c>
      <c r="CN48" t="n">
        <v>3</v>
      </c>
      <c r="CO48" t="n">
        <v>4</v>
      </c>
      <c r="CP48" t="n">
        <v>5</v>
      </c>
      <c r="CQ48" t="n">
        <v>10</v>
      </c>
      <c r="CR48" t="n">
        <v>7</v>
      </c>
      <c r="CS48">
        <f>IF(R48="Y",10,0)</f>
        <v/>
      </c>
      <c r="CT48" t="n">
        <v>0</v>
      </c>
      <c r="CU48" t="inlineStr">
        <is>
          <t>unknown</t>
        </is>
      </c>
      <c r="CV48" t="inlineStr">
        <is>
          <t>BR1</t>
        </is>
      </c>
      <c r="CW48" t="inlineStr">
        <is>
          <t>BR1:35</t>
        </is>
      </c>
      <c r="CX48" t="inlineStr">
        <is>
          <t>Entity Artisan Tropic LLC, office in Charlotte NC (contact page). artisantropic.com redirects to reelie.com. Seed-oil-free positioning.</t>
        </is>
      </c>
      <c r="CY48" t="inlineStr">
        <is>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t>
        </is>
      </c>
      <c r="CZ48" t="inlineStr">
        <is>
          <t>https://accelerators.target.com/alumni-stories/meet-artisan-tropic-of-target-takeoff-food-beverage-2021/</t>
        </is>
      </c>
      <c r="DA48" t="inlineStr">
        <is>
          <t>stage 2</t>
        </is>
      </c>
      <c r="DB48" t="inlineStr">
        <is>
          <t>2021</t>
        </is>
      </c>
      <c r="DC48" t="inlineStr">
        <is>
          <t>press, event or podcast page</t>
        </is>
      </c>
      <c r="DY48">
        <f>IF(ISNUMBER(MATCH(U48,{"queued","contacted","replied","call_booked","call_done","yes_in_principle","materials_sent"},0)),"Y","N")</f>
        <v/>
      </c>
      <c r="DZ48">
        <f>IF(COUNTIFS($AN$2:$AN$1000,AN48,$DY$2:$DY$1000,"Y")+COUNTIFS($AN$2:$AN$1000,AN48,$T$2:$T$1000,"Y")&gt;0,"Y","N")</f>
        <v/>
      </c>
      <c r="EA48">
        <f>IF(AND(U48="new",T48="N",AR48="Y",AQ48="",DZ48="N"),"Y","N")</f>
        <v/>
      </c>
      <c r="EB48">
        <f>IF(EA48&lt;&gt;"Y","N",IF(COUNTIFS($AN$2:$AN$1000,AN48,$EA$2:$EA$1000,"Y",$J$2:$J$1000,"&gt;"&amp;J48)+COUNTIFS($AN$2:$AN$1000,AN48,$EA$2:$EA$1000,"Y",$J$2:$J$1000,J48,$ED$2:$ED$1000,"&lt;"&amp;ED48)=0,"Y","N"))</f>
        <v/>
      </c>
      <c r="EC48">
        <f>IF(Y48="","N",IF(Y48&lt;=10,"Y","N"))</f>
        <v/>
      </c>
      <c r="ED48">
        <f>ROW()-1</f>
        <v/>
      </c>
    </row>
    <row r="49">
      <c r="A49" t="inlineStr">
        <is>
          <t>AB-104</t>
        </is>
      </c>
      <c r="B49" t="inlineStr">
        <is>
          <t>88 Acres</t>
        </is>
      </c>
      <c r="C49" t="inlineStr">
        <is>
          <t>Nicole</t>
        </is>
      </c>
      <c r="D49" t="inlineStr">
        <is>
          <t>Ledoux</t>
        </is>
      </c>
      <c r="E49" t="inlineStr">
        <is>
          <t>Co-founder and CEO</t>
        </is>
      </c>
      <c r="H49" t="inlineStr">
        <is>
          <t>none</t>
        </is>
      </c>
      <c r="I49" t="inlineStr">
        <is>
          <t>linkedin</t>
        </is>
      </c>
      <c r="J49">
        <f>IF(AU49="pass",CM49+CN49+CO49+CP49+CQ49+CR49+CS49+CT49,0)</f>
        <v/>
      </c>
      <c r="K49" t="inlineStr">
        <is>
          <t>Northeast brand, store page shows Whole Foods Market NoMad inside the cluster, no dated why-now in the last 12 months, revenue unknown, contact named plus a marketing lead; founder review: claim-borderline.</t>
        </is>
      </c>
      <c r="M49" t="inlineStr">
        <is>
          <t>Whole Foods Market NoMad, 63 Madison Ave</t>
        </is>
      </c>
      <c r="N49" t="inlineStr">
        <is>
          <t>store_selector</t>
        </is>
      </c>
      <c r="R49" t="inlineStr">
        <is>
          <t>N</t>
        </is>
      </c>
      <c r="S49" t="inlineStr">
        <is>
          <t>unknown</t>
        </is>
      </c>
      <c r="T49" t="inlineStr">
        <is>
          <t>N</t>
        </is>
      </c>
      <c r="U49" t="inlineStr">
        <is>
          <t>new</t>
        </is>
      </c>
      <c r="V49" t="inlineStr">
        <is>
          <t>https://88acres.com/pages/our-story</t>
        </is>
      </c>
      <c r="W49" t="inlineStr">
        <is>
          <t>2026-10-23</t>
        </is>
      </c>
      <c r="X49" t="inlineStr">
        <is>
          <t>brand</t>
        </is>
      </c>
      <c r="Y49">
        <f>IF(EB49&lt;&gt;"Y","",COUNTIFS($EB$2:$EB$1000,"Y",$J$2:$J$1000,"&gt;"&amp;J49)+COUNTIFS($EB$2:$EB$1000,"Y",$J$2:$J$1000,J49,$ED$2:$ED$1000,"&lt;"&amp;ED49)+1)</f>
        <v/>
      </c>
      <c r="Z49" t="n">
        <v>48</v>
      </c>
      <c r="AA49" t="inlineStr">
        <is>
          <t>Y</t>
        </is>
      </c>
      <c r="AB49" t="inlineStr">
        <is>
          <t>find Nicole Ledoux at 88 Acres on LinkedIn and paste the profile URL; the source is dated 2023-03-06: check Nicole still holds the role; before using the retailer line, check Whole Foods Market NoMad still lists it: https://www.wholefoodsmarket.com/search?text=88%20Acres with your store set to NoMad (catalogs change daily); founder review (claim-borderline): read founder_review_reason first</t>
        </is>
      </c>
      <c r="AC49" t="inlineStr">
        <is>
          <t>founder</t>
        </is>
      </c>
      <c r="AD49" t="inlineStr">
        <is>
          <t>verified-page</t>
        </is>
      </c>
      <c r="AE49" t="inlineStr">
        <is>
          <t>employer's own site</t>
        </is>
      </c>
      <c r="AF49" t="inlineStr">
        <is>
          <t>https://88acres.com/pages/our-story</t>
        </is>
      </c>
      <c r="AG49" t="inlineStr">
        <is>
          <t>2026-10-24</t>
        </is>
      </c>
      <c r="AH49" t="inlineStr">
        <is>
          <t>Cookies and Cream Seed + Oat Bar; Dark Chocolate Brownie Seed Protein Bar 1.9 oz</t>
        </is>
      </c>
      <c r="AI49" t="inlineStr">
        <is>
          <t>bars</t>
        </is>
      </c>
      <c r="AJ49" t="inlineStr">
        <is>
          <t>Canton</t>
        </is>
      </c>
      <c r="AK49" t="inlineStr">
        <is>
          <t>https://88acres.com</t>
        </is>
      </c>
      <c r="AL49" t="inlineStr">
        <is>
          <t>Y</t>
        </is>
      </c>
      <c r="AM49" t="inlineStr">
        <is>
          <t>Protein bar line (nutrient-content positioning); allergen-friendly</t>
        </is>
      </c>
      <c r="AN49" t="inlineStr">
        <is>
          <t>AB-104</t>
        </is>
      </c>
      <c r="AO49" t="inlineStr">
        <is>
          <t>N</t>
        </is>
      </c>
      <c r="AR49">
        <f>IF(AND(AU49="pass",AO49&lt;&gt;"Y",C49&lt;&gt;""),"Y","N")</f>
        <v/>
      </c>
      <c r="AS49">
        <f>_xlfn.TEXTJOIN("; ",TRUE,IF(AU49&lt;&gt;"pass","gated out",""),IF(AO49="Y","on hold: "&amp;AP49,""),IF(C49="","no contact named on an opened page",""))</f>
        <v/>
      </c>
      <c r="AU49" t="inlineStr">
        <is>
          <t>pass</t>
        </is>
      </c>
      <c r="AW49" t="inlineStr">
        <is>
          <t>passes all hard gates</t>
        </is>
      </c>
      <c r="AX49" t="inlineStr">
        <is>
          <t>claim-borderline</t>
        </is>
      </c>
      <c r="AY49" t="inlineStr">
        <is>
          <t>https://88acres.com</t>
        </is>
      </c>
      <c r="AZ49" t="inlineStr">
        <is>
          <t>MA</t>
        </is>
      </c>
      <c r="BA49" t="inlineStr">
        <is>
          <t>northeast</t>
        </is>
      </c>
      <c r="BB49" t="inlineStr">
        <is>
          <t>unknown</t>
        </is>
      </c>
      <c r="BD49" t="inlineStr">
        <is>
          <t>Y</t>
        </is>
      </c>
      <c r="BE49" t="inlineStr">
        <is>
          <t>Brand FAQ: 'Seed Bars have a 12-month shelf life.'</t>
        </is>
      </c>
      <c r="BF49" t="inlineStr">
        <is>
          <t>Y</t>
        </is>
      </c>
      <c r="BG49" t="inlineStr">
        <is>
          <t>Y</t>
        </is>
      </c>
      <c r="BH49" t="inlineStr">
        <is>
          <t>unknown</t>
        </is>
      </c>
      <c r="BJ49" t="inlineStr">
        <is>
          <t>unknown</t>
        </is>
      </c>
      <c r="BK49" t="inlineStr">
        <is>
          <t>N</t>
        </is>
      </c>
      <c r="BL49" t="inlineStr">
        <is>
          <t>N</t>
        </is>
      </c>
      <c r="BN49" t="n">
        <v>0</v>
      </c>
      <c r="BO49" t="inlineStr">
        <is>
          <t>Y</t>
        </is>
      </c>
      <c r="BP49" t="n">
        <v>3</v>
      </c>
      <c r="BQ49" t="inlineStr">
        <is>
          <t>Whole Foods Market NoMad, 63 Madison Ave (store_selector, inside);Whole Foods Market Union Square, 4 Union Sq S (store_selector, inside);Whole Foods Market Chelsea, 250 7th Ave (store_selector, 3.0 blocks out)</t>
        </is>
      </c>
      <c r="BS49" t="inlineStr">
        <is>
          <t>4,000+ stores (brand store locator page); Whole Foods</t>
        </is>
      </c>
      <c r="BT49" t="inlineStr">
        <is>
          <t>https://www.wholefoodsmarket.com/api/search?text=88%20acres&amp;store=10162&amp;limit=60&amp;offset=0; https://www.wholefoodsmarket.com/api/search?text=88%20acres&amp;store=10773&amp;limit=60&amp;offset=0; https://www.wholefoodsmarket.com/api/search?text=88%20acres&amp;store=10131&amp;limit=60&amp;offset=0</t>
        </is>
      </c>
      <c r="BU49" t="inlineStr">
        <is>
          <t>none</t>
        </is>
      </c>
      <c r="BX49" t="inlineStr">
        <is>
          <t>Nicole Ledoux</t>
        </is>
      </c>
      <c r="BY49" t="inlineStr">
        <is>
          <t>Stage 3 (entered the top 60). The brand's Our Story page (opened 2026-10-24): 'Co-founder Nicole Ledoux grew up on an 88-acre farm'. The Org (https://theorg.com/org/88-acres, opened 2026-10-24, updated 2023-03-06) lists her as Co-founder &amp; CEO.</t>
        </is>
      </c>
      <c r="CA49" t="inlineStr">
        <is>
          <t>Luke Jarvis</t>
        </is>
      </c>
      <c r="CB49" t="inlineStr">
        <is>
          <t>Luke</t>
        </is>
      </c>
      <c r="CC49" t="inlineStr">
        <is>
          <t>Jarvis</t>
        </is>
      </c>
      <c r="CD49" t="inlineStr">
        <is>
          <t>Director of Performance Marketing</t>
        </is>
      </c>
      <c r="CE49" t="inlineStr">
        <is>
          <t>marketing lead</t>
        </is>
      </c>
      <c r="CF49" t="inlineStr">
        <is>
          <t>verified-page</t>
        </is>
      </c>
      <c r="CG49" t="inlineStr">
        <is>
          <t>The Org org chart (opened 2026-10-24); his position was last updated 2023-03-06, so it may be stale. Founder to confirm on LinkedIn before using.</t>
        </is>
      </c>
      <c r="CK49" t="inlineStr">
        <is>
          <t>none</t>
        </is>
      </c>
      <c r="CL49" t="n">
        <v>54</v>
      </c>
      <c r="CM49" t="n">
        <v>25</v>
      </c>
      <c r="CN49" t="n">
        <v>8</v>
      </c>
      <c r="CO49" t="n">
        <v>0</v>
      </c>
      <c r="CP49" t="n">
        <v>5</v>
      </c>
      <c r="CQ49" t="n">
        <v>10</v>
      </c>
      <c r="CR49" t="n">
        <v>10</v>
      </c>
      <c r="CS49">
        <f>IF(R49="Y",10,0)</f>
        <v/>
      </c>
      <c r="CT49" t="n">
        <v>-4</v>
      </c>
      <c r="CU49" t="inlineStr">
        <is>
          <t>https://www.instagram.com/88acres/</t>
        </is>
      </c>
      <c r="CV49" t="inlineStr">
        <is>
          <t>BR2</t>
        </is>
      </c>
      <c r="CW49" t="inlineStr">
        <is>
          <t>BR2:42</t>
        </is>
      </c>
      <c r="CX49" t="inlineStr">
        <is>
          <t>Northeast brand (Boston). Last new SKU on brand store dated 2025-10-02, outside the 12-month window.</t>
        </is>
      </c>
      <c r="CY49" t="inlineStr">
        <is>
          <t xml:space="preserve">shelf_stable &lt;- https://88acres.com/pages/faq (2026-10-24, opened); shelf_stable_basis &lt;- https://88acres.com/pages/faq (2026-10-24, opened); hq_city &lt;- https://88acres.com/pages/contact-us (2026-10-24, opened); </t>
        </is>
      </c>
      <c r="CZ49" t="inlineStr">
        <is>
          <t>https://theorg.com/org/88-acres</t>
        </is>
      </c>
      <c r="DA49" t="inlineStr">
        <is>
          <t>stage 3</t>
        </is>
      </c>
      <c r="DB49" t="inlineStr">
        <is>
          <t>2023-03-06</t>
        </is>
      </c>
      <c r="DC49" t="inlineStr">
        <is>
          <t>The Org (crowd-edited org chart)</t>
        </is>
      </c>
      <c r="DD49" t="inlineStr">
        <is>
          <t>2023-03-06</t>
        </is>
      </c>
      <c r="DY49">
        <f>IF(ISNUMBER(MATCH(U49,{"queued","contacted","replied","call_booked","call_done","yes_in_principle","materials_sent"},0)),"Y","N")</f>
        <v/>
      </c>
      <c r="DZ49">
        <f>IF(COUNTIFS($AN$2:$AN$1000,AN49,$DY$2:$DY$1000,"Y")+COUNTIFS($AN$2:$AN$1000,AN49,$T$2:$T$1000,"Y")&gt;0,"Y","N")</f>
        <v/>
      </c>
      <c r="EA49">
        <f>IF(AND(U49="new",T49="N",AR49="Y",AQ49="",DZ49="N"),"Y","N")</f>
        <v/>
      </c>
      <c r="EB49">
        <f>IF(EA49&lt;&gt;"Y","N",IF(COUNTIFS($AN$2:$AN$1000,AN49,$EA$2:$EA$1000,"Y",$J$2:$J$1000,"&gt;"&amp;J49)+COUNTIFS($AN$2:$AN$1000,AN49,$EA$2:$EA$1000,"Y",$J$2:$J$1000,J49,$ED$2:$ED$1000,"&lt;"&amp;ED49)=0,"Y","N"))</f>
        <v/>
      </c>
      <c r="EC49">
        <f>IF(Y49="","N",IF(Y49&lt;=10,"Y","N"))</f>
        <v/>
      </c>
      <c r="ED49">
        <f>ROW()-1</f>
        <v/>
      </c>
    </row>
    <row r="50">
      <c r="A50" t="inlineStr">
        <is>
          <t>AB-173</t>
        </is>
      </c>
      <c r="B50" t="inlineStr">
        <is>
          <t>JONI</t>
        </is>
      </c>
      <c r="C50" t="inlineStr">
        <is>
          <t>Claire</t>
        </is>
      </c>
      <c r="D50" t="inlineStr">
        <is>
          <t>Matern</t>
        </is>
      </c>
      <c r="E50" t="inlineStr">
        <is>
          <t>Founder</t>
        </is>
      </c>
      <c r="H50" t="inlineStr">
        <is>
          <t>none</t>
        </is>
      </c>
      <c r="I50" t="inlineStr">
        <is>
          <t>linkedin</t>
        </is>
      </c>
      <c r="J50">
        <f>IF(AU50="pass",CM50+CN50+CO50+CP50+CQ50+CR50+CS50+CT50,0)</f>
        <v/>
      </c>
      <c r="K50" t="inlineStr">
        <is>
          <t>New York City brand, no graded store within ten blocks, online store only, news 79 days ago, revenue unknown, contact named; founder review: alcohol-adjacent.</t>
        </is>
      </c>
      <c r="M50" t="inlineStr">
        <is>
          <t>none found within ten blocks</t>
        </is>
      </c>
      <c r="N50" t="inlineStr">
        <is>
          <t>unverified</t>
        </is>
      </c>
      <c r="O50" t="inlineStr">
        <is>
          <t>2026 Startup CPG Shelfie Award finalist, Non-Alcoholic category; new Discovery Pack listed 2026-05-05</t>
        </is>
      </c>
      <c r="P50" t="inlineStr">
        <is>
          <t>https://startupcpg.com/startup-cpg-shelfie-finalists-2026/</t>
        </is>
      </c>
      <c r="Q50" t="inlineStr">
        <is>
          <t>2026-08-06</t>
        </is>
      </c>
      <c r="R50" t="inlineStr">
        <is>
          <t>N</t>
        </is>
      </c>
      <c r="S50" t="inlineStr">
        <is>
          <t>Y</t>
        </is>
      </c>
      <c r="T50" t="inlineStr">
        <is>
          <t>N</t>
        </is>
      </c>
      <c r="U50" t="inlineStr">
        <is>
          <t>new</t>
        </is>
      </c>
      <c r="V50" t="inlineStr">
        <is>
          <t>https://drinkjoni.com/pages/our-story</t>
        </is>
      </c>
      <c r="W50" t="inlineStr">
        <is>
          <t>2026-10-23</t>
        </is>
      </c>
      <c r="X50" t="inlineStr">
        <is>
          <t>brand</t>
        </is>
      </c>
      <c r="Y50">
        <f>IF(EB50&lt;&gt;"Y","",COUNTIFS($EB$2:$EB$1000,"Y",$J$2:$J$1000,"&gt;"&amp;J50)+COUNTIFS($EB$2:$EB$1000,"Y",$J$2:$J$1000,J50,$ED$2:$ED$1000,"&lt;"&amp;ED50)+1)</f>
        <v/>
      </c>
      <c r="Z50" t="n">
        <v>49</v>
      </c>
      <c r="AA50" t="inlineStr">
        <is>
          <t>Y</t>
        </is>
      </c>
      <c r="AB50" t="inlineStr">
        <is>
          <t>find Claire Matern at JONI on LinkedIn and paste the profile URL; founder review (alcohol-adjacent): read founder_review_reason first</t>
        </is>
      </c>
      <c r="AC50" t="inlineStr">
        <is>
          <t>founder</t>
        </is>
      </c>
      <c r="AD50" t="inlineStr">
        <is>
          <t>verified-page</t>
        </is>
      </c>
      <c r="AE50" t="inlineStr">
        <is>
          <t>press, event or podcast page</t>
        </is>
      </c>
      <c r="AF50" t="inlineStr">
        <is>
          <t>https://andreastrong.substack.com/p/please-meet-joni</t>
        </is>
      </c>
      <c r="AG50" t="inlineStr">
        <is>
          <t>2026-10-24</t>
        </is>
      </c>
      <c r="AH50" t="inlineStr">
        <is>
          <t>JONI Blanc verjus drink (non-alcoholic), can</t>
        </is>
      </c>
      <c r="AI50" t="inlineStr">
        <is>
          <t>other-drink</t>
        </is>
      </c>
      <c r="AJ50" t="inlineStr">
        <is>
          <t>Brooklyn</t>
        </is>
      </c>
      <c r="AK50" t="inlineStr">
        <is>
          <t>https://drinkjoni.com</t>
        </is>
      </c>
      <c r="AL50" t="inlineStr">
        <is>
          <t>Y</t>
        </is>
      </c>
      <c r="AM50" t="inlineStr">
        <is>
          <t>Wine-adjacent product (verjus from pre-harvest wine grapes) sold mostly in wine and bottle shops; confirm 0.0% ABV and label. HQ not found; 60-day shelf life not stated</t>
        </is>
      </c>
      <c r="AN50" t="inlineStr">
        <is>
          <t>AB-173</t>
        </is>
      </c>
      <c r="AO50" t="inlineStr">
        <is>
          <t>N</t>
        </is>
      </c>
      <c r="AR50">
        <f>IF(AND(AU50="pass",AO50&lt;&gt;"Y",C50&lt;&gt;""),"Y","N")</f>
        <v/>
      </c>
      <c r="AS50">
        <f>_xlfn.TEXTJOIN("; ",TRUE,IF(AU50&lt;&gt;"pass","gated out",""),IF(AO50="Y","on hold: "&amp;AP50,""),IF(C50="","no contact named on an opened page",""))</f>
        <v/>
      </c>
      <c r="AU50" t="inlineStr">
        <is>
          <t>pass</t>
        </is>
      </c>
      <c r="AW50" t="inlineStr">
        <is>
          <t>passes all hard gates</t>
        </is>
      </c>
      <c r="AX50" t="inlineStr">
        <is>
          <t>alcohol-adjacent</t>
        </is>
      </c>
      <c r="AY50" t="inlineStr">
        <is>
          <t>https://drinkjoni.com</t>
        </is>
      </c>
      <c r="AZ50" t="inlineStr">
        <is>
          <t>NY</t>
        </is>
      </c>
      <c r="BA50" t="inlineStr">
        <is>
          <t>nyc</t>
        </is>
      </c>
      <c r="BB50" t="inlineStr">
        <is>
          <t>unknown</t>
        </is>
      </c>
      <c r="BD50" t="inlineStr">
        <is>
          <t>unknown</t>
        </is>
      </c>
      <c r="BE50" t="inlineStr">
        <is>
          <t>No storage statement found</t>
        </is>
      </c>
      <c r="BF50" t="inlineStr">
        <is>
          <t>Y</t>
        </is>
      </c>
      <c r="BG50" t="inlineStr">
        <is>
          <t>Y</t>
        </is>
      </c>
      <c r="BH50" t="inlineStr">
        <is>
          <t>unknown</t>
        </is>
      </c>
      <c r="BJ50" t="inlineStr">
        <is>
          <t>No public sales figure found</t>
        </is>
      </c>
      <c r="BK50" t="inlineStr">
        <is>
          <t>N</t>
        </is>
      </c>
      <c r="BL50" t="inlineStr">
        <is>
          <t>N</t>
        </is>
      </c>
      <c r="BO50" t="inlineStr">
        <is>
          <t>N</t>
        </is>
      </c>
      <c r="BP50" t="n">
        <v>0</v>
      </c>
      <c r="BR50" t="inlineStr">
        <is>
          <t>Big Night West Village (brand_claim, 13.1 blocks out)</t>
        </is>
      </c>
      <c r="BS50" t="inlineStr">
        <is>
          <t>Big Night (Greenpoint, West Village); Beer Table Grand Central; Willoughby General; Minus Moonshine; Vinal General Store (brand closeBy locator)</t>
        </is>
      </c>
      <c r="BT50" t="inlineStr">
        <is>
          <t>https://drinkjoni.com/pages/find-joni</t>
        </is>
      </c>
      <c r="BU50" t="inlineStr">
        <is>
          <t>press</t>
        </is>
      </c>
      <c r="BV50" t="n">
        <v>79</v>
      </c>
      <c r="BW50" t="inlineStr">
        <is>
          <t>https://startupcpg.com/startup-cpg-shelfie-finalists-2026/</t>
        </is>
      </c>
      <c r="BX50" t="inlineStr">
        <is>
          <t>Claire Matern</t>
        </is>
      </c>
      <c r="BY50" t="inlineStr">
        <is>
          <t>The Strong Buzz newsletter: "Joni was launched in January by Claire Matern".</t>
        </is>
      </c>
      <c r="CF50" t="inlineStr">
        <is>
          <t>none</t>
        </is>
      </c>
      <c r="CK50" t="inlineStr">
        <is>
          <t>none</t>
        </is>
      </c>
      <c r="CL50" t="n">
        <v>54</v>
      </c>
      <c r="CM50" t="n">
        <v>6</v>
      </c>
      <c r="CN50" t="n">
        <v>20</v>
      </c>
      <c r="CO50" t="n">
        <v>15</v>
      </c>
      <c r="CP50" t="n">
        <v>5</v>
      </c>
      <c r="CQ50" t="n">
        <v>7</v>
      </c>
      <c r="CR50" t="n">
        <v>6</v>
      </c>
      <c r="CS50">
        <f>IF(R50="Y",10,0)</f>
        <v/>
      </c>
      <c r="CT50" t="n">
        <v>-5</v>
      </c>
      <c r="CU50" t="inlineStr">
        <is>
          <t>unknown</t>
        </is>
      </c>
      <c r="CV50" t="inlineStr">
        <is>
          <t>BR3</t>
        </is>
      </c>
      <c r="CW50" t="inlineStr">
        <is>
          <t>BR3:47</t>
        </is>
      </c>
      <c r="CX50" t="inlineStr">
        <is>
          <t>Locator text read 2026-10-23; only one Manhattan point between 4th and 40th St (Beer Table is at Grand Central, 42nd St, outside the band).</t>
        </is>
      </c>
      <c r="CY50" t="inlineStr">
        <is>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is>
      </c>
      <c r="DA50" t="inlineStr">
        <is>
          <t>stage 2</t>
        </is>
      </c>
      <c r="DY50">
        <f>IF(ISNUMBER(MATCH(U50,{"queued","contacted","replied","call_booked","call_done","yes_in_principle","materials_sent"},0)),"Y","N")</f>
        <v/>
      </c>
      <c r="DZ50">
        <f>IF(COUNTIFS($AN$2:$AN$1000,AN50,$DY$2:$DY$1000,"Y")+COUNTIFS($AN$2:$AN$1000,AN50,$T$2:$T$1000,"Y")&gt;0,"Y","N")</f>
        <v/>
      </c>
      <c r="EA50">
        <f>IF(AND(U50="new",T50="N",AR50="Y",AQ50="",DZ50="N"),"Y","N")</f>
        <v/>
      </c>
      <c r="EB50">
        <f>IF(EA50&lt;&gt;"Y","N",IF(COUNTIFS($AN$2:$AN$1000,AN50,$EA$2:$EA$1000,"Y",$J$2:$J$1000,"&gt;"&amp;J50)+COUNTIFS($AN$2:$AN$1000,AN50,$EA$2:$EA$1000,"Y",$J$2:$J$1000,J50,$ED$2:$ED$1000,"&lt;"&amp;ED50)=0,"Y","N"))</f>
        <v/>
      </c>
      <c r="EC50">
        <f>IF(Y50="","N",IF(Y50&lt;=10,"Y","N"))</f>
        <v/>
      </c>
      <c r="ED50">
        <f>ROW()-1</f>
        <v/>
      </c>
    </row>
    <row r="51">
      <c r="A51" t="inlineStr">
        <is>
          <t>AB-217</t>
        </is>
      </c>
      <c r="B51" t="inlineStr">
        <is>
          <t>UMAMI GRANOLA</t>
        </is>
      </c>
      <c r="C51" t="inlineStr">
        <is>
          <t>Cindy</t>
        </is>
      </c>
      <c r="D51" t="inlineStr">
        <is>
          <t>Lam</t>
        </is>
      </c>
      <c r="E51" t="inlineStr">
        <is>
          <t>Founder</t>
        </is>
      </c>
      <c r="H51" t="inlineStr">
        <is>
          <t>none</t>
        </is>
      </c>
      <c r="I51" t="inlineStr">
        <is>
          <t>linkedin</t>
        </is>
      </c>
      <c r="J51">
        <f>IF(AU51="pass",CM51+CN51+CO51+CP51+CQ51+CR51+CS51+CT51,0)</f>
        <v/>
      </c>
      <c r="K51" t="inlineStr">
        <is>
          <t>New York City brand, no graded store within ten blocks, online store only, news 65 days ago, revenue unknown, contact named; founder review: under-floor, format.</t>
        </is>
      </c>
      <c r="M51" t="inlineStr">
        <is>
          <t>none found within ten blocks</t>
        </is>
      </c>
      <c r="N51" t="inlineStr">
        <is>
          <t>unverified</t>
        </is>
      </c>
      <c r="O51" t="inlineStr">
        <is>
          <t>Retail debut at Pearl River Mart Foods in Chelsea Market, NYC</t>
        </is>
      </c>
      <c r="P51" t="inlineStr">
        <is>
          <t>https://startupcpg.com/startup-cpg-newswire-umami-granola-makes-its-retail-debut/</t>
        </is>
      </c>
      <c r="Q51" t="inlineStr">
        <is>
          <t>2026-08-20</t>
        </is>
      </c>
      <c r="R51" t="inlineStr">
        <is>
          <t>N</t>
        </is>
      </c>
      <c r="S51" t="inlineStr">
        <is>
          <t>Y</t>
        </is>
      </c>
      <c r="T51" t="inlineStr">
        <is>
          <t>N</t>
        </is>
      </c>
      <c r="U51" t="inlineStr">
        <is>
          <t>new</t>
        </is>
      </c>
      <c r="V51" t="inlineStr">
        <is>
          <t>https://startupcpg.com/startup-cpg-newswire-umami-granola-makes-its-retail-debut/</t>
        </is>
      </c>
      <c r="W51" t="inlineStr">
        <is>
          <t>2026-10-23</t>
        </is>
      </c>
      <c r="X51" t="inlineStr">
        <is>
          <t>brand</t>
        </is>
      </c>
      <c r="Y51">
        <f>IF(EB51&lt;&gt;"Y","",COUNTIFS($EB$2:$EB$1000,"Y",$J$2:$J$1000,"&gt;"&amp;J51)+COUNTIFS($EB$2:$EB$1000,"Y",$J$2:$J$1000,J51,$ED$2:$ED$1000,"&lt;"&amp;ED51)+1)</f>
        <v/>
      </c>
      <c r="Z51" t="n">
        <v>50</v>
      </c>
      <c r="AA51" t="inlineStr">
        <is>
          <t>Y</t>
        </is>
      </c>
      <c r="AB51" t="inlineStr">
        <is>
          <t>find Cindy Lam at UMAMI GRANOLA on LinkedIn and paste the profile URL; founder review (under-floor, format): read founder_review_reason first</t>
        </is>
      </c>
      <c r="AC51" t="inlineStr">
        <is>
          <t>founder</t>
        </is>
      </c>
      <c r="AD51" t="inlineStr">
        <is>
          <t>verified-page</t>
        </is>
      </c>
      <c r="AE51" t="inlineStr">
        <is>
          <t>press, event or podcast page</t>
        </is>
      </c>
      <c r="AF51" t="inlineStr">
        <is>
          <t>https://startupcpg.com/startup-cpg-newswire-umami-granola-makes-its-retail-debut/</t>
        </is>
      </c>
      <c r="AG51" t="inlineStr">
        <is>
          <t>2026-10-24</t>
        </is>
      </c>
      <c r="AH51" t="inlineStr">
        <is>
          <t>Dau-Si-Do dim sum granola, 8 oz pouch</t>
        </is>
      </c>
      <c r="AI51" t="inlineStr">
        <is>
          <t>other-snack</t>
        </is>
      </c>
      <c r="AJ51" t="inlineStr">
        <is>
          <t>Brooklyn (privacy policy: 999 Atlantic Avenue, Brooklyn NY 11238)</t>
        </is>
      </c>
      <c r="AK51" t="inlineStr">
        <is>
          <t>https://umamigranola.com</t>
        </is>
      </c>
      <c r="AL51" t="inlineStr">
        <is>
          <t>Y</t>
        </is>
      </c>
      <c r="AM51" t="inlineStr">
        <is>
          <t>8 oz pouches, not single-serve; first-year brand may be below the $500k floor (no sales figure); granola is snack-adjacent</t>
        </is>
      </c>
      <c r="AN51" t="inlineStr">
        <is>
          <t>AB-217</t>
        </is>
      </c>
      <c r="AO51" t="inlineStr">
        <is>
          <t>N</t>
        </is>
      </c>
      <c r="AR51">
        <f>IF(AND(AU51="pass",AO51&lt;&gt;"Y",C51&lt;&gt;""),"Y","N")</f>
        <v/>
      </c>
      <c r="AS51">
        <f>_xlfn.TEXTJOIN("; ",TRUE,IF(AU51&lt;&gt;"pass","gated out",""),IF(AO51="Y","on hold: "&amp;AP51,""),IF(C51="","no contact named on an opened page",""))</f>
        <v/>
      </c>
      <c r="AU51" t="inlineStr">
        <is>
          <t>pass</t>
        </is>
      </c>
      <c r="AW51" t="inlineStr">
        <is>
          <t>passes all hard gates</t>
        </is>
      </c>
      <c r="AX51" t="inlineStr">
        <is>
          <t>under-floor;format</t>
        </is>
      </c>
      <c r="AY51" t="inlineStr">
        <is>
          <t>https://umamigranola.com</t>
        </is>
      </c>
      <c r="AZ51" t="inlineStr">
        <is>
          <t>NY</t>
        </is>
      </c>
      <c r="BA51" t="inlineStr">
        <is>
          <t>nyc</t>
        </is>
      </c>
      <c r="BB51" t="inlineStr">
        <is>
          <t>unknown</t>
        </is>
      </c>
      <c r="BD51" t="inlineStr">
        <is>
          <t>Y</t>
        </is>
      </c>
      <c r="BE51" t="inlineStr">
        <is>
          <t>Granola in pouches sold ambient; no shelf-life figure published, founder to confirm</t>
        </is>
      </c>
      <c r="BF51" t="inlineStr">
        <is>
          <t>N</t>
        </is>
      </c>
      <c r="BG51" t="inlineStr">
        <is>
          <t>Y</t>
        </is>
      </c>
      <c r="BH51" t="inlineStr">
        <is>
          <t>unknown</t>
        </is>
      </c>
      <c r="BJ51" t="inlineStr">
        <is>
          <t>No sales figure published. Launched DTC May 2026, first retail Aug 2026 (Startup CPG 2026-08-20): early stage, band founder to confirm</t>
        </is>
      </c>
      <c r="BK51" t="inlineStr">
        <is>
          <t>N</t>
        </is>
      </c>
      <c r="BL51" t="inlineStr">
        <is>
          <t>N</t>
        </is>
      </c>
      <c r="BO51" t="inlineStr">
        <is>
          <t>N</t>
        </is>
      </c>
      <c r="BP51" t="n">
        <v>0</v>
      </c>
      <c r="BR51" t="inlineStr">
        <is>
          <t>Pearl River Mart Foods (brand_claim, 11.4 blocks out)</t>
        </is>
      </c>
      <c r="BS51" t="inlineStr">
        <is>
          <t>Pearl River Mart Foods (Chelsea Market); Here Here Market; online</t>
        </is>
      </c>
      <c r="BT51" t="inlineStr">
        <is>
          <t>https://startupcpg.com/startup-cpg-newswire-umami-granola-makes-its-retail-debut/</t>
        </is>
      </c>
      <c r="BU51" t="inlineStr">
        <is>
          <t>press</t>
        </is>
      </c>
      <c r="BV51" t="n">
        <v>65</v>
      </c>
      <c r="BW51" t="inlineStr">
        <is>
          <t>https://startupcpg.com/startup-cpg-newswire-umami-granola-makes-its-retail-debut/</t>
        </is>
      </c>
      <c r="BX51" t="inlineStr">
        <is>
          <t>Cindy Lam</t>
        </is>
      </c>
      <c r="BY51" t="inlineStr">
        <is>
          <t>Release (2026-08-20): "Cindy Lam, Founder of UMAMI GRANOLA".</t>
        </is>
      </c>
      <c r="CF51" t="inlineStr">
        <is>
          <t>none</t>
        </is>
      </c>
      <c r="CK51" t="inlineStr">
        <is>
          <t>none</t>
        </is>
      </c>
      <c r="CL51" t="n">
        <v>54</v>
      </c>
      <c r="CM51" t="n">
        <v>6</v>
      </c>
      <c r="CN51" t="n">
        <v>20</v>
      </c>
      <c r="CO51" t="n">
        <v>15</v>
      </c>
      <c r="CP51" t="n">
        <v>5</v>
      </c>
      <c r="CQ51" t="n">
        <v>7</v>
      </c>
      <c r="CR51" t="n">
        <v>6</v>
      </c>
      <c r="CS51">
        <f>IF(R51="Y",10,0)</f>
        <v/>
      </c>
      <c r="CT51" t="n">
        <v>-5</v>
      </c>
      <c r="CV51" t="inlineStr">
        <is>
          <t>BR4</t>
        </is>
      </c>
      <c r="CW51" t="inlineStr">
        <is>
          <t>BR4:12</t>
        </is>
      </c>
      <c r="CX51" t="inlineStr">
        <is>
          <t>AAPI-founded, woman-owned, Brooklyn-made (release). revenue_band 'under-500k' rests on launch timing only (DTC May 2026); treat as founder to confirm. Chelsea Market is at 15th St and 9th Ave, inside the 4th-40th St band.</t>
        </is>
      </c>
      <c r="CY51" t="inlineStr">
        <is>
          <t xml:space="preserve">hq_city &lt;- https://umamigranola.com/policies/privacy-policy (2026-10-24, opened); </t>
        </is>
      </c>
      <c r="DA51" t="inlineStr">
        <is>
          <t>stage 2</t>
        </is>
      </c>
      <c r="DY51">
        <f>IF(ISNUMBER(MATCH(U51,{"queued","contacted","replied","call_booked","call_done","yes_in_principle","materials_sent"},0)),"Y","N")</f>
        <v/>
      </c>
      <c r="DZ51">
        <f>IF(COUNTIFS($AN$2:$AN$1000,AN51,$DY$2:$DY$1000,"Y")+COUNTIFS($AN$2:$AN$1000,AN51,$T$2:$T$1000,"Y")&gt;0,"Y","N")</f>
        <v/>
      </c>
      <c r="EA51">
        <f>IF(AND(U51="new",T51="N",AR51="Y",AQ51="",DZ51="N"),"Y","N")</f>
        <v/>
      </c>
      <c r="EB51">
        <f>IF(EA51&lt;&gt;"Y","N",IF(COUNTIFS($AN$2:$AN$1000,AN51,$EA$2:$EA$1000,"Y",$J$2:$J$1000,"&gt;"&amp;J51)+COUNTIFS($AN$2:$AN$1000,AN51,$EA$2:$EA$1000,"Y",$J$2:$J$1000,J51,$ED$2:$ED$1000,"&lt;"&amp;ED51)=0,"Y","N"))</f>
        <v/>
      </c>
      <c r="EC51">
        <f>IF(Y51="","N",IF(Y51&lt;=10,"Y","N"))</f>
        <v/>
      </c>
      <c r="ED51">
        <f>ROW()-1</f>
        <v/>
      </c>
    </row>
    <row r="52">
      <c r="A52" t="inlineStr">
        <is>
          <t>AB-129</t>
        </is>
      </c>
      <c r="B52" t="inlineStr">
        <is>
          <t>Wandering Bear Coffee</t>
        </is>
      </c>
      <c r="C52" t="inlineStr">
        <is>
          <t>Matt</t>
        </is>
      </c>
      <c r="D52" t="inlineStr">
        <is>
          <t>Bachmann</t>
        </is>
      </c>
      <c r="E52" t="inlineStr">
        <is>
          <t>CEO and Co-founder</t>
        </is>
      </c>
      <c r="H52" t="inlineStr">
        <is>
          <t>none</t>
        </is>
      </c>
      <c r="I52" t="inlineStr">
        <is>
          <t>linkedin</t>
        </is>
      </c>
      <c r="J52">
        <f>IF(AU52="pass",CM52+CN52+CO52+CP52+CQ52+CR52+CS52+CT52,0)</f>
        <v/>
      </c>
      <c r="K52" t="inlineStr">
        <is>
          <t>New York City brand, no graded store within ten blocks, online store only, news 74 days ago, revenue unknown, contact named plus a marketing lead; founder review: scale, not-emerging, claim-borderline.</t>
        </is>
      </c>
      <c r="M52" t="inlineStr">
        <is>
          <t>none found within ten blocks</t>
        </is>
      </c>
      <c r="N52" t="inlineStr">
        <is>
          <t>unverified</t>
        </is>
      </c>
      <c r="O52" t="inlineStr">
        <is>
          <t>Went national at Target with four 8 oz canned single-serves, a couple of months after a first three-SKU placement</t>
        </is>
      </c>
      <c r="P52" t="inlineStr">
        <is>
          <t>https://beerinsights.com/archive-article/60627</t>
        </is>
      </c>
      <c r="Q52" t="inlineStr">
        <is>
          <t>2026-08-11</t>
        </is>
      </c>
      <c r="R52" t="inlineStr">
        <is>
          <t>N</t>
        </is>
      </c>
      <c r="S52" t="inlineStr">
        <is>
          <t>unknown</t>
        </is>
      </c>
      <c r="T52" t="inlineStr">
        <is>
          <t>N</t>
        </is>
      </c>
      <c r="U52" t="inlineStr">
        <is>
          <t>new</t>
        </is>
      </c>
      <c r="V52" t="inlineStr">
        <is>
          <t>https://wanderingbearcoffee.com/pages/about</t>
        </is>
      </c>
      <c r="W52" t="inlineStr">
        <is>
          <t>2026-10-23</t>
        </is>
      </c>
      <c r="X52" t="inlineStr">
        <is>
          <t>brand</t>
        </is>
      </c>
      <c r="Y52">
        <f>IF(EB52&lt;&gt;"Y","",COUNTIFS($EB$2:$EB$1000,"Y",$J$2:$J$1000,"&gt;"&amp;J52)+COUNTIFS($EB$2:$EB$1000,"Y",$J$2:$J$1000,J52,$ED$2:$ED$1000,"&lt;"&amp;ED52)+1)</f>
        <v/>
      </c>
      <c r="Z52" t="n">
        <v>51</v>
      </c>
      <c r="AA52" t="inlineStr">
        <is>
          <t>Y</t>
        </is>
      </c>
      <c r="AB52" t="inlineStr">
        <is>
          <t>find Matt Bachmann at Wandering Bear Coffee on LinkedIn and paste the profile URL; founder review (scale, not-emerging, claim-borderline): read founder_review_reason first</t>
        </is>
      </c>
      <c r="AC52" t="inlineStr">
        <is>
          <t>founder</t>
        </is>
      </c>
      <c r="AD52" t="inlineStr">
        <is>
          <t>verified-page</t>
        </is>
      </c>
      <c r="AE52" t="inlineStr">
        <is>
          <t>press, event or podcast page</t>
        </is>
      </c>
      <c r="AF52" t="inlineStr">
        <is>
          <t>https://thechangeup.buzzsprout.com/1789177/15420044</t>
        </is>
      </c>
      <c r="AG52" t="inlineStr">
        <is>
          <t>2026-10-24</t>
        </is>
      </c>
      <c r="AH52" t="inlineStr">
        <is>
          <t>Original Black Cold Brew, 8 fl oz can; Cold Brew Latte 8 oz cans (Vanilla, Mocha, Double)</t>
        </is>
      </c>
      <c r="AI52" t="inlineStr">
        <is>
          <t>coffee-rtd</t>
        </is>
      </c>
      <c r="AJ52" t="inlineStr">
        <is>
          <t>New York</t>
        </is>
      </c>
      <c r="AK52" t="inlineStr">
        <is>
          <t>https://wanderingbearcoffee.com/collections/single-serve</t>
        </is>
      </c>
      <c r="AL52" t="inlineStr">
        <is>
          <t>Y</t>
        </is>
      </c>
      <c r="AM52" t="inlineStr">
        <is>
          <t>Cold Brew Latte marketed on '11g of complete protein per can' (nutrient-content claim). Brand is 12 years old with national Target and Whole Foods; may be above $10M (no sourced figure). Target store-level stock near cluster not checkable</t>
        </is>
      </c>
      <c r="AN52" t="inlineStr">
        <is>
          <t>AB-129</t>
        </is>
      </c>
      <c r="AO52" t="inlineStr">
        <is>
          <t>N</t>
        </is>
      </c>
      <c r="AR52">
        <f>IF(AND(AU52="pass",AO52&lt;&gt;"Y",C52&lt;&gt;""),"Y","N")</f>
        <v/>
      </c>
      <c r="AS52">
        <f>_xlfn.TEXTJOIN("; ",TRUE,IF(AU52&lt;&gt;"pass","gated out",""),IF(AO52="Y","on hold: "&amp;AP52,""),IF(C52="","no contact named on an opened page",""))</f>
        <v/>
      </c>
      <c r="AU52" t="inlineStr">
        <is>
          <t>pass</t>
        </is>
      </c>
      <c r="AW52" t="inlineStr">
        <is>
          <t>passes all hard gates</t>
        </is>
      </c>
      <c r="AX52" t="inlineStr">
        <is>
          <t>scale;not-emerging;claim-borderline</t>
        </is>
      </c>
      <c r="AY52" t="inlineStr">
        <is>
          <t>https://wanderingbearcoffee.com</t>
        </is>
      </c>
      <c r="AZ52" t="inlineStr">
        <is>
          <t>NY</t>
        </is>
      </c>
      <c r="BA52" t="inlineStr">
        <is>
          <t>nyc</t>
        </is>
      </c>
      <c r="BB52" t="inlineStr">
        <is>
          <t>Series A ($8M, 2018)</t>
        </is>
      </c>
      <c r="BC52" t="inlineStr">
        <is>
          <t>https://www.foodnavigator.com/Article/2018/02/08/Wandering-Bear-aims-to-push-cold-brew-category-in-positive-direction-with-8M-in-series-A-funds/</t>
        </is>
      </c>
      <c r="BD52" t="inlineStr">
        <is>
          <t>Y</t>
        </is>
      </c>
      <c r="BE52" t="inlineStr">
        <is>
          <t>Target product page for 8 fl oz can: 'Shelf-stable before opening' (opened 2026-10-23). Note the boxes and cartons are positioned for the fridge; only the 8 oz cans and 11 oz single-serve cartons fit</t>
        </is>
      </c>
      <c r="BF52" t="inlineStr">
        <is>
          <t>Y</t>
        </is>
      </c>
      <c r="BG52" t="inlineStr">
        <is>
          <t>Y</t>
        </is>
      </c>
      <c r="BH52" t="inlineStr">
        <is>
          <t>unknown</t>
        </is>
      </c>
      <c r="BJ52" t="inlineStr">
        <is>
          <t>No press revenue figure found. Data aggregator Prospeo lists about 19M annual revenue (estimate, not company-reported; unverified, founder to confirm). BevNET 2020 snippet: the office channel had been roughly 50-60% of revenue before the pandemic</t>
        </is>
      </c>
      <c r="BK52" t="inlineStr">
        <is>
          <t>N</t>
        </is>
      </c>
      <c r="BL52" t="inlineStr">
        <is>
          <t>N</t>
        </is>
      </c>
      <c r="BO52" t="inlineStr">
        <is>
          <t>N</t>
        </is>
      </c>
      <c r="BP52" t="n">
        <v>0</v>
      </c>
      <c r="BS52" t="inlineStr">
        <is>
          <t>Target (national, 8 oz cans, 2026); Whole Foods (Cold Brew Latte launched as Whole Foods exclusive 2025); Costco; Kings (2018 press)</t>
        </is>
      </c>
      <c r="BT52" t="inlineStr">
        <is>
          <t>https://beerinsights.com/archive-article/60627; https://www.target.com/p/wandering-bear-coffee-original-black-cold-brew-8-fl-oz/-/A-95095911</t>
        </is>
      </c>
      <c r="BU52" t="inlineStr">
        <is>
          <t>press</t>
        </is>
      </c>
      <c r="BV52" t="n">
        <v>74</v>
      </c>
      <c r="BX52" t="inlineStr">
        <is>
          <t>Matt Bachmann</t>
        </is>
      </c>
      <c r="BY52" t="inlineStr">
        <is>
          <t>Stage 3 (entered the top 60). The Changeup podcast episode page (opened 2026-10-24): 'Matt Bachmann, CEO &amp; Co-Founder of Wandering Bear Coffee'. The brand's About page (opened) names the founders only as 'Matt and Ben'. The Org (https://theorg.com/org/wandering-bear-coffee, opened) lists him too.</t>
        </is>
      </c>
      <c r="CA52" t="inlineStr">
        <is>
          <t>Ana Madriz</t>
        </is>
      </c>
      <c r="CB52" t="inlineStr">
        <is>
          <t>Ana</t>
        </is>
      </c>
      <c r="CC52" t="inlineStr">
        <is>
          <t>Madriz</t>
        </is>
      </c>
      <c r="CD52" t="inlineStr">
        <is>
          <t>VP, Brand Marketing</t>
        </is>
      </c>
      <c r="CE52" t="inlineStr">
        <is>
          <t>marketing lead</t>
        </is>
      </c>
      <c r="CF52" t="inlineStr">
        <is>
          <t>verified-page</t>
        </is>
      </c>
      <c r="CG52" t="inlineStr">
        <is>
          <t>The Org org chart (opened 2026-10-24): Brand Marketing team; position updated 2026-06-26.</t>
        </is>
      </c>
      <c r="CK52" t="inlineStr">
        <is>
          <t>none</t>
        </is>
      </c>
      <c r="CL52" t="n">
        <v>54</v>
      </c>
      <c r="CM52" t="n">
        <v>6</v>
      </c>
      <c r="CN52" t="n">
        <v>20</v>
      </c>
      <c r="CO52" t="n">
        <v>15</v>
      </c>
      <c r="CP52" t="n">
        <v>5</v>
      </c>
      <c r="CQ52" t="n">
        <v>10</v>
      </c>
      <c r="CR52" t="n">
        <v>10</v>
      </c>
      <c r="CS52">
        <f>IF(R52="Y",10,0)</f>
        <v/>
      </c>
      <c r="CT52" t="n">
        <v>-12</v>
      </c>
      <c r="CU52" t="inlineStr">
        <is>
          <t>unknown</t>
        </is>
      </c>
      <c r="CV52" t="inlineStr">
        <is>
          <t>BR3</t>
        </is>
      </c>
      <c r="CW52" t="inlineStr">
        <is>
          <t>BR3:3</t>
        </is>
      </c>
      <c r="CX52" t="inlineStr">
        <is>
          <t>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is>
      </c>
      <c r="CY52" t="inlineStr">
        <is>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is>
      </c>
      <c r="CZ52" t="inlineStr">
        <is>
          <t>https://theorg.com/org/wandering-bear-coffee</t>
        </is>
      </c>
      <c r="DA52" t="inlineStr">
        <is>
          <t>stage 3</t>
        </is>
      </c>
      <c r="DC52" t="inlineStr">
        <is>
          <t>The Org (crowd-edited org chart)</t>
        </is>
      </c>
      <c r="DD52" t="inlineStr">
        <is>
          <t>2026-06-26</t>
        </is>
      </c>
      <c r="DY52">
        <f>IF(ISNUMBER(MATCH(U52,{"queued","contacted","replied","call_booked","call_done","yes_in_principle","materials_sent"},0)),"Y","N")</f>
        <v/>
      </c>
      <c r="DZ52">
        <f>IF(COUNTIFS($AN$2:$AN$1000,AN52,$DY$2:$DY$1000,"Y")+COUNTIFS($AN$2:$AN$1000,AN52,$T$2:$T$1000,"Y")&gt;0,"Y","N")</f>
        <v/>
      </c>
      <c r="EA52">
        <f>IF(AND(U52="new",T52="N",AR52="Y",AQ52="",DZ52="N"),"Y","N")</f>
        <v/>
      </c>
      <c r="EB52">
        <f>IF(EA52&lt;&gt;"Y","N",IF(COUNTIFS($AN$2:$AN$1000,AN52,$EA$2:$EA$1000,"Y",$J$2:$J$1000,"&gt;"&amp;J52)+COUNTIFS($AN$2:$AN$1000,AN52,$EA$2:$EA$1000,"Y",$J$2:$J$1000,J52,$ED$2:$ED$1000,"&lt;"&amp;ED52)=0,"Y","N"))</f>
        <v/>
      </c>
      <c r="EC52">
        <f>IF(Y52="","N",IF(Y52&lt;=10,"Y","N"))</f>
        <v/>
      </c>
      <c r="ED52">
        <f>ROW()-1</f>
        <v/>
      </c>
    </row>
    <row r="53">
      <c r="A53" t="inlineStr">
        <is>
          <t>AB-086</t>
        </is>
      </c>
      <c r="B53" t="inlineStr">
        <is>
          <t>Joyride</t>
        </is>
      </c>
      <c r="C53" t="inlineStr">
        <is>
          <t>Tyler</t>
        </is>
      </c>
      <c r="D53" t="inlineStr">
        <is>
          <t>Merrick</t>
        </is>
      </c>
      <c r="E53" t="inlineStr">
        <is>
          <t>Founder</t>
        </is>
      </c>
      <c r="H53" t="inlineStr">
        <is>
          <t>none</t>
        </is>
      </c>
      <c r="I53" t="inlineStr">
        <is>
          <t>linkedin</t>
        </is>
      </c>
      <c r="J53">
        <f>IF(AU53="pass",CM53+CN53+CO53+CP53+CQ53+CR53+CS53+CT53,0)</f>
        <v/>
      </c>
      <c r="K53" t="inlineStr">
        <is>
          <t>Brand based outside the Northeast, store page shows Whole Foods Market NoMad inside the cluster, news 36 days ago, revenue unknown, contact named plus a marketing lead; founder review: scale, claim-borderline.</t>
        </is>
      </c>
      <c r="M53" t="inlineStr">
        <is>
          <t>Whole Foods Market NoMad, 63 Madison Ave</t>
        </is>
      </c>
      <c r="N53" t="inlineStr">
        <is>
          <t>store_selector</t>
        </is>
      </c>
      <c r="O53" t="inlineStr">
        <is>
          <t>Limited-edition Halloween flavors and two 30-count trick-or-treat variety packs (individually wrapped) available at Target</t>
        </is>
      </c>
      <c r="P53" t="inlineStr">
        <is>
          <t>https://www.snackandbakery.com/articles/116352-joyride-gives-halloween-a-bfy-glow-up</t>
        </is>
      </c>
      <c r="Q53" t="inlineStr">
        <is>
          <t>2026-09-18</t>
        </is>
      </c>
      <c r="R53" t="inlineStr">
        <is>
          <t>N</t>
        </is>
      </c>
      <c r="S53" t="inlineStr">
        <is>
          <t>unknown</t>
        </is>
      </c>
      <c r="T53" t="inlineStr">
        <is>
          <t>N</t>
        </is>
      </c>
      <c r="U53" t="inlineStr">
        <is>
          <t>new</t>
        </is>
      </c>
      <c r="V53" t="inlineStr">
        <is>
          <t>https://www.joyridesweets.com/pages/joyride-story</t>
        </is>
      </c>
      <c r="W53" t="inlineStr">
        <is>
          <t>2026-10-23</t>
        </is>
      </c>
      <c r="X53" t="inlineStr">
        <is>
          <t>brand</t>
        </is>
      </c>
      <c r="Y53">
        <f>IF(EB53&lt;&gt;"Y","",COUNTIFS($EB$2:$EB$1000,"Y",$J$2:$J$1000,"&gt;"&amp;J53)+COUNTIFS($EB$2:$EB$1000,"Y",$J$2:$J$1000,J53,$ED$2:$ED$1000,"&lt;"&amp;ED53)+1)</f>
        <v/>
      </c>
      <c r="Z53" t="n">
        <v>52</v>
      </c>
      <c r="AA53" t="inlineStr">
        <is>
          <t>Y</t>
        </is>
      </c>
      <c r="AB53" t="inlineStr">
        <is>
          <t>find Tyler Merrick at Joyride on LinkedIn and paste the profile URL; before using the retailer line, check Whole Foods Market NoMad still lists it: https://www.wholefoodsmarket.com/search?text=Joyride with your store set to NoMad (catalogs change daily); founder review (scale, claim-borderline): read founder_review_reason first</t>
        </is>
      </c>
      <c r="AC53" t="inlineStr">
        <is>
          <t>founder</t>
        </is>
      </c>
      <c r="AD53" t="inlineStr">
        <is>
          <t>verified-page</t>
        </is>
      </c>
      <c r="AE53" t="inlineStr">
        <is>
          <t>employer's own site</t>
        </is>
      </c>
      <c r="AF53" t="inlineStr">
        <is>
          <t>https://www.joyridesweets.com/pages/joyride-story</t>
        </is>
      </c>
      <c r="AG53" t="inlineStr">
        <is>
          <t>2026-10-24</t>
        </is>
      </c>
      <c r="AH53" t="inlineStr">
        <is>
          <t>Sour Strawberries Gummies 3.5 oz; Fruit Zips Chewy Candy 3.5 oz</t>
        </is>
      </c>
      <c r="AI53" t="inlineStr">
        <is>
          <t>chocolate-candy</t>
        </is>
      </c>
      <c r="AJ53" t="inlineStr">
        <is>
          <t>Austin</t>
        </is>
      </c>
      <c r="AK53" t="inlineStr">
        <is>
          <t>https://www.joyridesweets.com</t>
        </is>
      </c>
      <c r="AL53" t="inlineStr">
        <is>
          <t>Y</t>
        </is>
      </c>
      <c r="AM53" t="inlineStr">
        <is>
          <t>'Less sugar' allulose-sweetened 'better-for-you' candy (nutrient-content positioning); creator-backed brand (YouTuber co-founder) may be above size band; 60-day shelf life not stated</t>
        </is>
      </c>
      <c r="AN53" t="inlineStr">
        <is>
          <t>AB-086</t>
        </is>
      </c>
      <c r="AO53" t="inlineStr">
        <is>
          <t>N</t>
        </is>
      </c>
      <c r="AR53">
        <f>IF(AND(AU53="pass",AO53&lt;&gt;"Y",C53&lt;&gt;""),"Y","N")</f>
        <v/>
      </c>
      <c r="AS53">
        <f>_xlfn.TEXTJOIN("; ",TRUE,IF(AU53&lt;&gt;"pass","gated out",""),IF(AO53="Y","on hold: "&amp;AP53,""),IF(C53="","no contact named on an opened page",""))</f>
        <v/>
      </c>
      <c r="AU53" t="inlineStr">
        <is>
          <t>pass</t>
        </is>
      </c>
      <c r="AW53" t="inlineStr">
        <is>
          <t>passes all hard gates</t>
        </is>
      </c>
      <c r="AX53" t="inlineStr">
        <is>
          <t>scale;claim-borderline</t>
        </is>
      </c>
      <c r="AY53" t="inlineStr">
        <is>
          <t>https://www.joyridesweets.com</t>
        </is>
      </c>
      <c r="AZ53" t="inlineStr">
        <is>
          <t>TX</t>
        </is>
      </c>
      <c r="BA53" t="inlineStr">
        <is>
          <t>elsewhere</t>
        </is>
      </c>
      <c r="BB53" t="inlineStr">
        <is>
          <t>unknown</t>
        </is>
      </c>
      <c r="BD53" t="inlineStr">
        <is>
          <t>likely</t>
        </is>
      </c>
      <c r="BE53" t="inlineStr">
        <is>
          <t>Packaged gummy candy sold ambient at Whole Foods; shelf-life figure not published</t>
        </is>
      </c>
      <c r="BF53" t="inlineStr">
        <is>
          <t>unknown</t>
        </is>
      </c>
      <c r="BG53" t="inlineStr">
        <is>
          <t>Y</t>
        </is>
      </c>
      <c r="BH53" t="inlineStr">
        <is>
          <t>unknown</t>
        </is>
      </c>
      <c r="BJ53" t="inlineStr">
        <is>
          <t>unknown</t>
        </is>
      </c>
      <c r="BK53" t="inlineStr">
        <is>
          <t>N</t>
        </is>
      </c>
      <c r="BL53" t="inlineStr">
        <is>
          <t>N</t>
        </is>
      </c>
      <c r="BN53" t="n">
        <v>0</v>
      </c>
      <c r="BO53" t="inlineStr">
        <is>
          <t>Y</t>
        </is>
      </c>
      <c r="BP53" t="n">
        <v>3</v>
      </c>
      <c r="BQ53" t="inlineStr">
        <is>
          <t>Whole Foods Market NoMad, 63 Madison Ave (store_selector, inside);Whole Foods Market Union Square, 4 Union Sq S (store_selector, inside);Whole Foods Market Chelsea, 250 7th Ave (store_selector, 3.0 blocks out)</t>
        </is>
      </c>
      <c r="BS53" t="inlineStr">
        <is>
          <t>Whole Foods</t>
        </is>
      </c>
      <c r="BT53" t="inlineStr">
        <is>
          <t>https://www.wholefoodsmarket.com/api/search?text=joyride&amp;store=10162&amp;limit=60&amp;offset=0; https://www.wholefoodsmarket.com/api/search?text=joyride&amp;store=10773&amp;limit=60&amp;offset=0; https://www.wholefoodsmarket.com/api/search?text=joyride&amp;store=10131&amp;limit=60&amp;offset=0</t>
        </is>
      </c>
      <c r="BU53" t="inlineStr">
        <is>
          <t>press</t>
        </is>
      </c>
      <c r="BV53" t="n">
        <v>36</v>
      </c>
      <c r="BX53" t="inlineStr">
        <is>
          <t>Tyler Merrick</t>
        </is>
      </c>
      <c r="BY53" t="inlineStr">
        <is>
          <t>Brand story page.</t>
        </is>
      </c>
      <c r="CA53" t="inlineStr">
        <is>
          <t>Ryan Trahan</t>
        </is>
      </c>
      <c r="CB53" t="inlineStr">
        <is>
          <t>Ryan</t>
        </is>
      </c>
      <c r="CC53" t="inlineStr">
        <is>
          <t>Trahan</t>
        </is>
      </c>
      <c r="CD53" t="inlineStr">
        <is>
          <t>Chief Creative Officer and co-owner</t>
        </is>
      </c>
      <c r="CE53" t="inlineStr">
        <is>
          <t>marketing lead</t>
        </is>
      </c>
      <c r="CF53" t="inlineStr">
        <is>
          <t>verified-page</t>
        </is>
      </c>
      <c r="CG53" t="inlineStr">
        <is>
          <t>Candy Industry 2026-06-11: "chief creative officer and co-owner Ryan Trahan". He is a large YouTube creator; expect a gatekept inbox.</t>
        </is>
      </c>
      <c r="CK53" t="inlineStr">
        <is>
          <t>none</t>
        </is>
      </c>
      <c r="CL53" t="n">
        <v>52</v>
      </c>
      <c r="CM53" t="n">
        <v>25</v>
      </c>
      <c r="CN53" t="n">
        <v>3</v>
      </c>
      <c r="CO53" t="n">
        <v>15</v>
      </c>
      <c r="CP53" t="n">
        <v>5</v>
      </c>
      <c r="CQ53" t="n">
        <v>6</v>
      </c>
      <c r="CR53" t="n">
        <v>10</v>
      </c>
      <c r="CS53">
        <f>IF(R53="Y",10,0)</f>
        <v/>
      </c>
      <c r="CT53" t="n">
        <v>-12</v>
      </c>
      <c r="CU53" t="inlineStr">
        <is>
          <t>https://www.instagram.com/JoyrideSweets/</t>
        </is>
      </c>
      <c r="CV53" t="inlineStr">
        <is>
          <t>BR2</t>
        </is>
      </c>
      <c r="CW53" t="inlineStr">
        <is>
          <t>BR2:23</t>
        </is>
      </c>
      <c r="CX53" t="inlineStr">
        <is>
          <t>Founded 2022. Locator page has no machine-readable store list. Why-now date from Shopify publish date.</t>
        </is>
      </c>
      <c r="CY53" t="inlineStr">
        <is>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is>
      </c>
      <c r="CZ53" t="inlineStr">
        <is>
          <t>https://www.snackandbakery.com/articles/115858-joyride-launches-consumer-powered-50-states-challenge</t>
        </is>
      </c>
      <c r="DA53" t="inlineStr">
        <is>
          <t>stage 2</t>
        </is>
      </c>
      <c r="DC53" t="inlineStr">
        <is>
          <t>press, event or podcast page</t>
        </is>
      </c>
      <c r="DY53">
        <f>IF(ISNUMBER(MATCH(U53,{"queued","contacted","replied","call_booked","call_done","yes_in_principle","materials_sent"},0)),"Y","N")</f>
        <v/>
      </c>
      <c r="DZ53">
        <f>IF(COUNTIFS($AN$2:$AN$1000,AN53,$DY$2:$DY$1000,"Y")+COUNTIFS($AN$2:$AN$1000,AN53,$T$2:$T$1000,"Y")&gt;0,"Y","N")</f>
        <v/>
      </c>
      <c r="EA53">
        <f>IF(AND(U53="new",T53="N",AR53="Y",AQ53="",DZ53="N"),"Y","N")</f>
        <v/>
      </c>
      <c r="EB53">
        <f>IF(EA53&lt;&gt;"Y","N",IF(COUNTIFS($AN$2:$AN$1000,AN53,$EA$2:$EA$1000,"Y",$J$2:$J$1000,"&gt;"&amp;J53)+COUNTIFS($AN$2:$AN$1000,AN53,$EA$2:$EA$1000,"Y",$J$2:$J$1000,J53,$ED$2:$ED$1000,"&lt;"&amp;ED53)=0,"Y","N"))</f>
        <v/>
      </c>
      <c r="EC53">
        <f>IF(Y53="","N",IF(Y53&lt;=10,"Y","N"))</f>
        <v/>
      </c>
      <c r="ED53">
        <f>ROW()-1</f>
        <v/>
      </c>
    </row>
    <row r="54">
      <c r="A54" t="inlineStr">
        <is>
          <t>AB-286</t>
        </is>
      </c>
      <c r="B54" t="inlineStr">
        <is>
          <t>Vermont Nut Free Chocolates</t>
        </is>
      </c>
      <c r="C54" t="inlineStr">
        <is>
          <t>Mark</t>
        </is>
      </c>
      <c r="D54" t="inlineStr">
        <is>
          <t>Elvidge</t>
        </is>
      </c>
      <c r="E54" t="inlineStr">
        <is>
          <t>Co-founder</t>
        </is>
      </c>
      <c r="H54" t="inlineStr">
        <is>
          <t>none</t>
        </is>
      </c>
      <c r="I54" t="inlineStr">
        <is>
          <t>linkedin</t>
        </is>
      </c>
      <c r="J54">
        <f>IF(AU54="pass",CM54+CN54+CO54+CP54+CQ54+CR54+CS54+CT54,0)</f>
        <v/>
      </c>
      <c r="K54" t="inlineStr">
        <is>
          <t>Northeast brand, store page shows Whole Foods Market Union Square inside the cluster, a new store listing 43 days ago, revenue unknown, contact named; founder review: not-emerging.</t>
        </is>
      </c>
      <c r="M54" t="inlineStr">
        <is>
          <t>Whole Foods Market Union Square, 4 Union Sq S</t>
        </is>
      </c>
      <c r="N54" t="inlineStr">
        <is>
          <t>store_selector</t>
        </is>
      </c>
      <c r="O54" t="inlineStr">
        <is>
          <t>Launched Snack Packs (chocolate covered pretzels, Skipper, trail mix) in September 2026</t>
        </is>
      </c>
      <c r="P54" t="inlineStr">
        <is>
          <t>https://www.vermontnutfree.com/products.json</t>
        </is>
      </c>
      <c r="Q54" t="inlineStr">
        <is>
          <t>2026-09-11</t>
        </is>
      </c>
      <c r="R54" t="inlineStr">
        <is>
          <t>N</t>
        </is>
      </c>
      <c r="S54" t="inlineStr">
        <is>
          <t>unknown</t>
        </is>
      </c>
      <c r="T54" t="inlineStr">
        <is>
          <t>N</t>
        </is>
      </c>
      <c r="U54" t="inlineStr">
        <is>
          <t>new</t>
        </is>
      </c>
      <c r="V54" t="inlineStr">
        <is>
          <t>https://events.specialtyfood.com/event/2026-summer-fancy-food-show/exhibitor/RXhoaWJpdG9yXzI0MjMzMzU=</t>
        </is>
      </c>
      <c r="W54" t="inlineStr">
        <is>
          <t>2026-10-24</t>
        </is>
      </c>
      <c r="X54" t="inlineStr">
        <is>
          <t>brand</t>
        </is>
      </c>
      <c r="Y54">
        <f>IF(EB54&lt;&gt;"Y","",COUNTIFS($EB$2:$EB$1000,"Y",$J$2:$J$1000,"&gt;"&amp;J54)+COUNTIFS($EB$2:$EB$1000,"Y",$J$2:$J$1000,J54,$ED$2:$ED$1000,"&lt;"&amp;ED54)+1)</f>
        <v/>
      </c>
      <c r="Z54" t="n">
        <v>53</v>
      </c>
      <c r="AA54" t="inlineStr">
        <is>
          <t>Y</t>
        </is>
      </c>
      <c r="AB54" t="inlineStr">
        <is>
          <t>find Mark Elvidge at Vermont Nut Free Chocolates on LinkedIn and paste the profile URL; before using the retailer line, check Whole Foods Market Union Square still lists it: https://www.wholefoodsmarket.com/search?text=Vermont%20Nut%20Free%20Chocolates with your store set to Union Square (catalogs change daily); founder review (not-emerging): read founder_review_reason first</t>
        </is>
      </c>
      <c r="AC54" t="inlineStr">
        <is>
          <t>founder</t>
        </is>
      </c>
      <c r="AD54" t="inlineStr">
        <is>
          <t>verified-page</t>
        </is>
      </c>
      <c r="AE54" t="inlineStr">
        <is>
          <t>employer's own site</t>
        </is>
      </c>
      <c r="AF54" t="inlineStr">
        <is>
          <t>https://www.vermontnutfree.com/pages/about-us</t>
        </is>
      </c>
      <c r="AG54" t="inlineStr">
        <is>
          <t>2026-10-24</t>
        </is>
      </c>
      <c r="AH54" t="inlineStr">
        <is>
          <t>Chocolate Covered Pretzel Snack Packs; Skipper Snack Packs</t>
        </is>
      </c>
      <c r="AI54" t="inlineStr">
        <is>
          <t>chocolate-candy</t>
        </is>
      </c>
      <c r="AJ54" t="inlineStr">
        <is>
          <t>South Hero</t>
        </is>
      </c>
      <c r="AK54" t="inlineStr">
        <is>
          <t>https://www.vermontnutfree.com</t>
        </is>
      </c>
      <c r="AL54" t="inlineStr">
        <is>
          <t>Y</t>
        </is>
      </c>
      <c r="AM54" t="inlineStr">
        <is>
          <t>Founded 1998, so established rather than emerging; revenue unknown. WFM lists 5 oz pretzel bags; the snack-pack SKU was seen only on the brand site. Chocolate in warm months</t>
        </is>
      </c>
      <c r="AN54" t="inlineStr">
        <is>
          <t>AB-286</t>
        </is>
      </c>
      <c r="AO54" t="inlineStr">
        <is>
          <t>N</t>
        </is>
      </c>
      <c r="AR54">
        <f>IF(AND(AU54="pass",AO54&lt;&gt;"Y",C54&lt;&gt;""),"Y","N")</f>
        <v/>
      </c>
      <c r="AS54">
        <f>_xlfn.TEXTJOIN("; ",TRUE,IF(AU54&lt;&gt;"pass","gated out",""),IF(AO54="Y","on hold: "&amp;AP54,""),IF(C54="","no contact named on an opened page",""))</f>
        <v/>
      </c>
      <c r="AU54" t="inlineStr">
        <is>
          <t>pass</t>
        </is>
      </c>
      <c r="AW54" t="inlineStr">
        <is>
          <t>passes all hard gates</t>
        </is>
      </c>
      <c r="AX54" t="inlineStr">
        <is>
          <t>not-emerging</t>
        </is>
      </c>
      <c r="AY54" t="inlineStr">
        <is>
          <t>https://www.vermontnutfree.com</t>
        </is>
      </c>
      <c r="AZ54" t="inlineStr">
        <is>
          <t>VT</t>
        </is>
      </c>
      <c r="BA54" t="inlineStr">
        <is>
          <t>northeast</t>
        </is>
      </c>
      <c r="BB54" t="inlineStr">
        <is>
          <t>unknown</t>
        </is>
      </c>
      <c r="BD54" t="inlineStr">
        <is>
          <t>Y</t>
        </is>
      </c>
      <c r="BE54" t="inlineStr">
        <is>
          <t>Wrapped chocolates and snack packs sold ambient online and at WFM; made in a dedicated peanut and tree nut free facility</t>
        </is>
      </c>
      <c r="BF54" t="inlineStr">
        <is>
          <t>Y</t>
        </is>
      </c>
      <c r="BG54" t="inlineStr">
        <is>
          <t>Y</t>
        </is>
      </c>
      <c r="BH54" t="inlineStr">
        <is>
          <t>unknown</t>
        </is>
      </c>
      <c r="BJ54" t="inlineStr">
        <is>
          <t>No sourced sales figure found</t>
        </is>
      </c>
      <c r="BK54" t="inlineStr">
        <is>
          <t>N</t>
        </is>
      </c>
      <c r="BL54" t="inlineStr">
        <is>
          <t>N</t>
        </is>
      </c>
      <c r="BN54" t="n">
        <v>0</v>
      </c>
      <c r="BO54" t="inlineStr">
        <is>
          <t>Y</t>
        </is>
      </c>
      <c r="BP54" t="n">
        <v>2</v>
      </c>
      <c r="BQ54" t="inlineStr">
        <is>
          <t>Whole Foods Market Union Square, 4 Union Sq S (store_selector, inside);Whole Foods Market Chelsea, 250 7th Ave (store_selector, 3.0 blocks out)</t>
        </is>
      </c>
      <c r="BR54" t="inlineStr">
        <is>
          <t>Whole Foods Market Manhattan West (store_selector, 13.8 blocks out)</t>
        </is>
      </c>
      <c r="BS54" t="inlineStr">
        <is>
          <t>Whole Foods Market; online</t>
        </is>
      </c>
      <c r="BT54" t="inlineStr">
        <is>
          <t>https://www.wholefoodsmarket.com/api/search?text=vermont nut free&amp;store=10162 / 10131 / 10713; not listed at NoMad 10773 (store-scoped catalog search; Union Square 10162, NoMad 10773, Chelsea 10131, Manhattan West 10713; opened 2026-10-24)</t>
        </is>
      </c>
      <c r="BU54" t="inlineStr">
        <is>
          <t>listing</t>
        </is>
      </c>
      <c r="BV54" t="n">
        <v>43</v>
      </c>
      <c r="BX54" t="inlineStr">
        <is>
          <t>Mark Elvidge</t>
        </is>
      </c>
      <c r="BY54" t="inlineStr">
        <is>
          <t>Stage 3 (entered the top 60 after the health-claim scan removed five brands). The brand's About Us page (opened 2026-10-24): 'Vermont Nut Free Chocolate's founders Mark and Gail Elvidge'. Stage 1 had read him as first name only.</t>
        </is>
      </c>
      <c r="CA54" t="inlineStr">
        <is>
          <t>Gail Elvidge</t>
        </is>
      </c>
      <c r="CB54" t="inlineStr">
        <is>
          <t>Gail</t>
        </is>
      </c>
      <c r="CC54" t="inlineStr">
        <is>
          <t>Elvidge</t>
        </is>
      </c>
      <c r="CD54" t="inlineStr">
        <is>
          <t>Co-founder</t>
        </is>
      </c>
      <c r="CE54" t="inlineStr">
        <is>
          <t>co-founder or executive</t>
        </is>
      </c>
      <c r="CF54" t="inlineStr">
        <is>
          <t>verified-page</t>
        </is>
      </c>
      <c r="CG54" t="inlineStr">
        <is>
          <t>Same About Us page (opened 2026-10-24).</t>
        </is>
      </c>
      <c r="CK54" t="inlineStr">
        <is>
          <t>none</t>
        </is>
      </c>
      <c r="CL54" t="n">
        <v>52</v>
      </c>
      <c r="CM54" t="n">
        <v>25</v>
      </c>
      <c r="CN54" t="n">
        <v>8</v>
      </c>
      <c r="CO54" t="n">
        <v>8</v>
      </c>
      <c r="CP54" t="n">
        <v>5</v>
      </c>
      <c r="CQ54" t="n">
        <v>10</v>
      </c>
      <c r="CR54" t="n">
        <v>6</v>
      </c>
      <c r="CS54">
        <f>IF(R54="Y",10,0)</f>
        <v/>
      </c>
      <c r="CT54" t="n">
        <v>-10</v>
      </c>
      <c r="CU54" t="inlineStr">
        <is>
          <t>https://www.instagram.com/vermontnutfree/</t>
        </is>
      </c>
      <c r="CV54" t="inlineStr">
        <is>
          <t>BR5</t>
        </is>
      </c>
      <c r="CW54" t="inlineStr">
        <is>
          <t>BR5:22</t>
        </is>
      </c>
      <c r="CX54" t="inlineStr">
        <is>
          <t>Nut-free production is a strong office-pantry angle (allergen-safe). SFFS 2026 exhibitor (State: Vermont; brands Vermont Nut Free, Sun Blossoms, TANABAR). About page: moved from the founders' home to a facility in South Hero, Vermont.</t>
        </is>
      </c>
      <c r="CZ54" t="inlineStr">
        <is>
          <t>https://www.vermontnutfree.com/pages/about-us</t>
        </is>
      </c>
      <c r="DA54" t="inlineStr">
        <is>
          <t>stage 3</t>
        </is>
      </c>
      <c r="DC54" t="inlineStr">
        <is>
          <t>employer's own site</t>
        </is>
      </c>
      <c r="DY54">
        <f>IF(ISNUMBER(MATCH(U54,{"queued","contacted","replied","call_booked","call_done","yes_in_principle","materials_sent"},0)),"Y","N")</f>
        <v/>
      </c>
      <c r="DZ54">
        <f>IF(COUNTIFS($AN$2:$AN$1000,AN54,$DY$2:$DY$1000,"Y")+COUNTIFS($AN$2:$AN$1000,AN54,$T$2:$T$1000,"Y")&gt;0,"Y","N")</f>
        <v/>
      </c>
      <c r="EA54">
        <f>IF(AND(U54="new",T54="N",AR54="Y",AQ54="",DZ54="N"),"Y","N")</f>
        <v/>
      </c>
      <c r="EB54">
        <f>IF(EA54&lt;&gt;"Y","N",IF(COUNTIFS($AN$2:$AN$1000,AN54,$EA$2:$EA$1000,"Y",$J$2:$J$1000,"&gt;"&amp;J54)+COUNTIFS($AN$2:$AN$1000,AN54,$EA$2:$EA$1000,"Y",$J$2:$J$1000,J54,$ED$2:$ED$1000,"&lt;"&amp;ED54)=0,"Y","N"))</f>
        <v/>
      </c>
      <c r="EC54">
        <f>IF(Y54="","N",IF(Y54&lt;=10,"Y","N"))</f>
        <v/>
      </c>
      <c r="ED54">
        <f>ROW()-1</f>
        <v/>
      </c>
    </row>
    <row r="55">
      <c r="A55" t="inlineStr">
        <is>
          <t>AB-088</t>
        </is>
      </c>
      <c r="B55" t="inlineStr">
        <is>
          <t>Jonesbar</t>
        </is>
      </c>
      <c r="C55" t="inlineStr">
        <is>
          <t>Taylor</t>
        </is>
      </c>
      <c r="D55" t="inlineStr">
        <is>
          <t>Jones</t>
        </is>
      </c>
      <c r="E55" t="inlineStr">
        <is>
          <t>Founder and CEO</t>
        </is>
      </c>
      <c r="H55" t="inlineStr">
        <is>
          <t>none</t>
        </is>
      </c>
      <c r="I55" t="inlineStr">
        <is>
          <t>linkedin</t>
        </is>
      </c>
      <c r="J55">
        <f>IF(AU55="pass",CM55+CN55+CO55+CP55+CQ55+CR55+CS55+CT55,0)</f>
        <v/>
      </c>
      <c r="K55" t="inlineStr">
        <is>
          <t>Northeast brand, store page shows Whole Foods Market NoMad inside the cluster, no dated why-now in the last 12 months, revenue unknown, contact named; founder review: shelf life not stated.</t>
        </is>
      </c>
      <c r="M55" t="inlineStr">
        <is>
          <t>Whole Foods Market NoMad, 63 Madison Ave</t>
        </is>
      </c>
      <c r="N55" t="inlineStr">
        <is>
          <t>store_selector</t>
        </is>
      </c>
      <c r="R55" t="inlineStr">
        <is>
          <t>N</t>
        </is>
      </c>
      <c r="S55" t="inlineStr">
        <is>
          <t>unknown</t>
        </is>
      </c>
      <c r="T55" t="inlineStr">
        <is>
          <t>N</t>
        </is>
      </c>
      <c r="U55" t="inlineStr">
        <is>
          <t>new</t>
        </is>
      </c>
      <c r="V55" t="inlineStr">
        <is>
          <t>https://jonesbar.com/pages/our-story-2</t>
        </is>
      </c>
      <c r="W55" t="inlineStr">
        <is>
          <t>2026-10-23</t>
        </is>
      </c>
      <c r="X55" t="inlineStr">
        <is>
          <t>brand</t>
        </is>
      </c>
      <c r="Y55">
        <f>IF(EB55&lt;&gt;"Y","",COUNTIFS($EB$2:$EB$1000,"Y",$J$2:$J$1000,"&gt;"&amp;J55)+COUNTIFS($EB$2:$EB$1000,"Y",$J$2:$J$1000,J55,$ED$2:$ED$1000,"&lt;"&amp;ED55)+1)</f>
        <v/>
      </c>
      <c r="Z55" t="n">
        <v>54</v>
      </c>
      <c r="AA55" t="inlineStr">
        <is>
          <t>Y</t>
        </is>
      </c>
      <c r="AB55" t="inlineStr">
        <is>
          <t>find Taylor Jones at Jonesbar on LinkedIn and paste the profile URL; before using the retailer line, check Whole Foods Market NoMad still lists it: https://www.wholefoodsmarket.com/search?text=Jonesbar with your store set to NoMad (catalogs change daily); founder review (shelf life or online store): read founder_review_reason first</t>
        </is>
      </c>
      <c r="AC55" t="inlineStr">
        <is>
          <t>founder</t>
        </is>
      </c>
      <c r="AD55" t="inlineStr">
        <is>
          <t>verified-page</t>
        </is>
      </c>
      <c r="AE55" t="inlineStr">
        <is>
          <t>employer's own site</t>
        </is>
      </c>
      <c r="AF55" t="inlineStr">
        <is>
          <t>https://jonesbar.com/pages/our-story-2</t>
        </is>
      </c>
      <c r="AG55" t="inlineStr">
        <is>
          <t>2026-10-24</t>
        </is>
      </c>
      <c r="AH55" t="inlineStr">
        <is>
          <t>Organic Dark Chocolate Almond Bar 1.7 oz; Organic PB &amp; J Bar</t>
        </is>
      </c>
      <c r="AI55" t="inlineStr">
        <is>
          <t>bars</t>
        </is>
      </c>
      <c r="AJ55" t="inlineStr">
        <is>
          <t>Wall Township</t>
        </is>
      </c>
      <c r="AK55" t="inlineStr">
        <is>
          <t>https://jonesbar.com</t>
        </is>
      </c>
      <c r="AL55" t="inlineStr">
        <is>
          <t>Y</t>
        </is>
      </c>
      <c r="AM55" t="inlineStr">
        <is>
          <t>60-day shelf life not stated</t>
        </is>
      </c>
      <c r="AN55" t="inlineStr">
        <is>
          <t>AB-088</t>
        </is>
      </c>
      <c r="AO55" t="inlineStr">
        <is>
          <t>N</t>
        </is>
      </c>
      <c r="AR55">
        <f>IF(AND(AU55="pass",AO55&lt;&gt;"Y",C55&lt;&gt;""),"Y","N")</f>
        <v/>
      </c>
      <c r="AS55">
        <f>_xlfn.TEXTJOIN("; ",TRUE,IF(AU55&lt;&gt;"pass","gated out",""),IF(AO55="Y","on hold: "&amp;AP55,""),IF(C55="","no contact named on an opened page",""))</f>
        <v/>
      </c>
      <c r="AU55" t="inlineStr">
        <is>
          <t>pass</t>
        </is>
      </c>
      <c r="AW55" t="inlineStr">
        <is>
          <t>passes all hard gates</t>
        </is>
      </c>
      <c r="AY55" t="inlineStr">
        <is>
          <t>https://jonesbar.com</t>
        </is>
      </c>
      <c r="AZ55" t="inlineStr">
        <is>
          <t>NJ</t>
        </is>
      </c>
      <c r="BA55" t="inlineStr">
        <is>
          <t>northeast</t>
        </is>
      </c>
      <c r="BB55" t="inlineStr">
        <is>
          <t>unknown</t>
        </is>
      </c>
      <c r="BD55" t="inlineStr">
        <is>
          <t>likely</t>
        </is>
      </c>
      <c r="BE55" t="inlineStr">
        <is>
          <t>Single wrapped fruit-and-nut bars sold ambient at Whole Foods; shelf-life figure not found</t>
        </is>
      </c>
      <c r="BF55" t="inlineStr">
        <is>
          <t>Y</t>
        </is>
      </c>
      <c r="BG55" t="inlineStr">
        <is>
          <t>Y</t>
        </is>
      </c>
      <c r="BH55" t="inlineStr">
        <is>
          <t>unknown</t>
        </is>
      </c>
      <c r="BJ55" t="inlineStr">
        <is>
          <t>unknown</t>
        </is>
      </c>
      <c r="BK55" t="inlineStr">
        <is>
          <t>N</t>
        </is>
      </c>
      <c r="BL55" t="inlineStr">
        <is>
          <t>N</t>
        </is>
      </c>
      <c r="BN55" t="n">
        <v>0</v>
      </c>
      <c r="BO55" t="inlineStr">
        <is>
          <t>Y</t>
        </is>
      </c>
      <c r="BP55" t="n">
        <v>3</v>
      </c>
      <c r="BQ55" t="inlineStr">
        <is>
          <t>Whole Foods Market NoMad, 63 Madison Ave (store_selector, inside);Whole Foods Market Union Square, 4 Union Sq S (store_selector, inside);Whole Foods Market Chelsea, 250 7th Ave (store_selector, 3.0 blocks out)</t>
        </is>
      </c>
      <c r="BS55" t="inlineStr">
        <is>
          <t>Whole Foods; Wawa (store-finder links Wawa locator)</t>
        </is>
      </c>
      <c r="BT55" t="inlineStr">
        <is>
          <t>https://www.wholefoodsmarket.com/api/search?text=jonesbar&amp;store=10162&amp;limit=60&amp;offset=0; https://www.wholefoodsmarket.com/api/search?text=jonesbar&amp;store=10773&amp;limit=60&amp;offset=0; https://www.wholefoodsmarket.com/api/search?text=jonesbar&amp;store=10131&amp;limit=60&amp;offset=0</t>
        </is>
      </c>
      <c r="BU55" t="inlineStr">
        <is>
          <t>none</t>
        </is>
      </c>
      <c r="BX55" t="inlineStr">
        <is>
          <t>Taylor Jones</t>
        </is>
      </c>
      <c r="BY55" t="inlineStr">
        <is>
          <t>Our Story page: "taylor jones - founder/ceo".</t>
        </is>
      </c>
      <c r="CF55" t="inlineStr">
        <is>
          <t>none</t>
        </is>
      </c>
      <c r="CK55" t="inlineStr">
        <is>
          <t>none</t>
        </is>
      </c>
      <c r="CL55" t="n">
        <v>52</v>
      </c>
      <c r="CM55" t="n">
        <v>25</v>
      </c>
      <c r="CN55" t="n">
        <v>8</v>
      </c>
      <c r="CO55" t="n">
        <v>0</v>
      </c>
      <c r="CP55" t="n">
        <v>5</v>
      </c>
      <c r="CQ55" t="n">
        <v>8</v>
      </c>
      <c r="CR55" t="n">
        <v>6</v>
      </c>
      <c r="CS55">
        <f>IF(R55="Y",10,0)</f>
        <v/>
      </c>
      <c r="CT55" t="n">
        <v>0</v>
      </c>
      <c r="CU55" t="inlineStr">
        <is>
          <t>https://www.instagram.com/jonesbars/</t>
        </is>
      </c>
      <c r="CV55" t="inlineStr">
        <is>
          <t>BR2</t>
        </is>
      </c>
      <c r="CW55" t="inlineStr">
        <is>
          <t>BR2:25</t>
        </is>
      </c>
      <c r="CX55" t="inlineStr">
        <is>
          <t>Certified organic, OU kosher; three bars paleo per FAQ. Northeast (NJ shore) founder. No dated signal found.</t>
        </is>
      </c>
      <c r="CY55" t="inlineStr">
        <is>
          <t xml:space="preserve">hq_city &lt;- https://jonesbar.com/pages/contact (2026-10-24, opened); </t>
        </is>
      </c>
      <c r="DA55" t="inlineStr">
        <is>
          <t>stage 2</t>
        </is>
      </c>
      <c r="DY55">
        <f>IF(ISNUMBER(MATCH(U55,{"queued","contacted","replied","call_booked","call_done","yes_in_principle","materials_sent"},0)),"Y","N")</f>
        <v/>
      </c>
      <c r="DZ55">
        <f>IF(COUNTIFS($AN$2:$AN$1000,AN55,$DY$2:$DY$1000,"Y")+COUNTIFS($AN$2:$AN$1000,AN55,$T$2:$T$1000,"Y")&gt;0,"Y","N")</f>
        <v/>
      </c>
      <c r="EA55">
        <f>IF(AND(U55="new",T55="N",AR55="Y",AQ55="",DZ55="N"),"Y","N")</f>
        <v/>
      </c>
      <c r="EB55">
        <f>IF(EA55&lt;&gt;"Y","N",IF(COUNTIFS($AN$2:$AN$1000,AN55,$EA$2:$EA$1000,"Y",$J$2:$J$1000,"&gt;"&amp;J55)+COUNTIFS($AN$2:$AN$1000,AN55,$EA$2:$EA$1000,"Y",$J$2:$J$1000,J55,$ED$2:$ED$1000,"&lt;"&amp;ED55)=0,"Y","N"))</f>
        <v/>
      </c>
      <c r="EC55">
        <f>IF(Y55="","N",IF(Y55&lt;=10,"Y","N"))</f>
        <v/>
      </c>
      <c r="ED55">
        <f>ROW()-1</f>
        <v/>
      </c>
    </row>
    <row r="56">
      <c r="A56" t="inlineStr">
        <is>
          <t>AB-124</t>
        </is>
      </c>
      <c r="B56" t="inlineStr">
        <is>
          <t>Goodio</t>
        </is>
      </c>
      <c r="C56" t="inlineStr">
        <is>
          <t>Jukka</t>
        </is>
      </c>
      <c r="D56" t="inlineStr">
        <is>
          <t>Peltola</t>
        </is>
      </c>
      <c r="E56" t="inlineStr">
        <is>
          <t>Founder and Chief Creative Officer</t>
        </is>
      </c>
      <c r="H56" t="inlineStr">
        <is>
          <t>none</t>
        </is>
      </c>
      <c r="I56" t="inlineStr">
        <is>
          <t>linkedin</t>
        </is>
      </c>
      <c r="J56">
        <f>IF(AU56="pass",CM56+CN56+CO56+CP56+CQ56+CR56+CS56+CT56,0)</f>
        <v/>
      </c>
      <c r="K56" t="inlineStr">
        <is>
          <t>Brand based outside the Northeast, store page shows Whole Foods Market NoMad inside the cluster, a new store listing 43 days ago, revenue unknown, contact named; founder review: claim-borderline.</t>
        </is>
      </c>
      <c r="M56" t="inlineStr">
        <is>
          <t>Whole Foods Market NoMad, 63 Madison Ave</t>
        </is>
      </c>
      <c r="N56" t="inlineStr">
        <is>
          <t>store_selector</t>
        </is>
      </c>
      <c r="O56" t="inlineStr">
        <is>
          <t>Launched Minty Crunch and Cranberry &amp; Rosemary bars (Sept 2026) and holiday advent calendar (Oct 2026)</t>
        </is>
      </c>
      <c r="P56" t="inlineStr">
        <is>
          <t>https://goodiochocolate.com/</t>
        </is>
      </c>
      <c r="Q56" t="inlineStr">
        <is>
          <t>2026-09-11</t>
        </is>
      </c>
      <c r="R56" t="inlineStr">
        <is>
          <t>N</t>
        </is>
      </c>
      <c r="S56" t="inlineStr">
        <is>
          <t>unknown</t>
        </is>
      </c>
      <c r="T56" t="inlineStr">
        <is>
          <t>N</t>
        </is>
      </c>
      <c r="U56" t="inlineStr">
        <is>
          <t>new</t>
        </is>
      </c>
      <c r="V56" t="inlineStr">
        <is>
          <t>https://goodiochocolate.com/pages/about-us</t>
        </is>
      </c>
      <c r="W56" t="inlineStr">
        <is>
          <t>2026-10-23</t>
        </is>
      </c>
      <c r="X56" t="inlineStr">
        <is>
          <t>brand</t>
        </is>
      </c>
      <c r="Y56">
        <f>IF(EB56&lt;&gt;"Y","",COUNTIFS($EB$2:$EB$1000,"Y",$J$2:$J$1000,"&gt;"&amp;J56)+COUNTIFS($EB$2:$EB$1000,"Y",$J$2:$J$1000,J56,$ED$2:$ED$1000,"&lt;"&amp;ED56)+1)</f>
        <v/>
      </c>
      <c r="Z56" t="n">
        <v>55</v>
      </c>
      <c r="AA56" t="inlineStr">
        <is>
          <t>Y</t>
        </is>
      </c>
      <c r="AB56" t="inlineStr">
        <is>
          <t>find Jukka Peltola at Goodio on LinkedIn and paste the profile URL; before using the retailer line, check Whole Foods Market NoMad still lists it: https://www.wholefoodsmarket.com/search?text=Goodio with your store set to NoMad (catalogs change daily); founder review (claim-borderline): read founder_review_reason first</t>
        </is>
      </c>
      <c r="AC56" t="inlineStr">
        <is>
          <t>founder</t>
        </is>
      </c>
      <c r="AD56" t="inlineStr">
        <is>
          <t>verified-page</t>
        </is>
      </c>
      <c r="AE56" t="inlineStr">
        <is>
          <t>employer's own site</t>
        </is>
      </c>
      <c r="AF56" t="inlineStr">
        <is>
          <t>https://goodiochocolate.com/pages/about-us</t>
        </is>
      </c>
      <c r="AG56" t="inlineStr">
        <is>
          <t>2026-10-24</t>
        </is>
      </c>
      <c r="AH56" t="inlineStr">
        <is>
          <t>Minty Crunch Chocolate bar; Arriba Chocolate Bar 1.7 oz</t>
        </is>
      </c>
      <c r="AI56" t="inlineStr">
        <is>
          <t>chocolate-candy</t>
        </is>
      </c>
      <c r="AJ56" t="inlineStr">
        <is>
          <t>Helsinki</t>
        </is>
      </c>
      <c r="AK56" t="inlineStr">
        <is>
          <t>https://goodiochocolate.com</t>
        </is>
      </c>
      <c r="AL56" t="inlineStr">
        <is>
          <t>Y</t>
        </is>
      </c>
      <c r="AM56" t="inlineStr">
        <is>
          <t>Sells functional bars named 'Natural Focus', 'Calm &amp; Balanced' and 'Sweet Dreams' (likely functional ingredients); foreign brand with import logistics; 60-day shelf life not stated</t>
        </is>
      </c>
      <c r="AN56" t="inlineStr">
        <is>
          <t>AB-124</t>
        </is>
      </c>
      <c r="AO56" t="inlineStr">
        <is>
          <t>N</t>
        </is>
      </c>
      <c r="AR56">
        <f>IF(AND(AU56="pass",AO56&lt;&gt;"Y",C56&lt;&gt;""),"Y","N")</f>
        <v/>
      </c>
      <c r="AS56">
        <f>_xlfn.TEXTJOIN("; ",TRUE,IF(AU56&lt;&gt;"pass","gated out",""),IF(AO56="Y","on hold: "&amp;AP56,""),IF(C56="","no contact named on an opened page",""))</f>
        <v/>
      </c>
      <c r="AU56" t="inlineStr">
        <is>
          <t>pass</t>
        </is>
      </c>
      <c r="AW56" t="inlineStr">
        <is>
          <t>passes all hard gates</t>
        </is>
      </c>
      <c r="AX56" t="inlineStr">
        <is>
          <t>claim-borderline</t>
        </is>
      </c>
      <c r="AY56" t="inlineStr">
        <is>
          <t>https://goodiochocolate.com</t>
        </is>
      </c>
      <c r="AZ56" t="inlineStr">
        <is>
          <t>Finland</t>
        </is>
      </c>
      <c r="BA56" t="inlineStr">
        <is>
          <t>elsewhere</t>
        </is>
      </c>
      <c r="BB56" t="inlineStr">
        <is>
          <t>unknown</t>
        </is>
      </c>
      <c r="BD56" t="inlineStr">
        <is>
          <t>likely</t>
        </is>
      </c>
      <c r="BE56" t="inlineStr">
        <is>
          <t>Wrapped chocolate bars sold ambient at Whole Foods; shelf-life figure not found</t>
        </is>
      </c>
      <c r="BF56" t="inlineStr">
        <is>
          <t>Y</t>
        </is>
      </c>
      <c r="BG56" t="inlineStr">
        <is>
          <t>Y</t>
        </is>
      </c>
      <c r="BH56" t="inlineStr">
        <is>
          <t>unknown</t>
        </is>
      </c>
      <c r="BJ56" t="inlineStr">
        <is>
          <t>unknown</t>
        </is>
      </c>
      <c r="BK56" t="inlineStr">
        <is>
          <t>N</t>
        </is>
      </c>
      <c r="BL56" t="inlineStr">
        <is>
          <t>N</t>
        </is>
      </c>
      <c r="BN56" t="n">
        <v>0</v>
      </c>
      <c r="BO56" t="inlineStr">
        <is>
          <t>Y</t>
        </is>
      </c>
      <c r="BP56" t="n">
        <v>2</v>
      </c>
      <c r="BQ56" t="inlineStr">
        <is>
          <t>Whole Foods Market NoMad, 63 Madison Ave (store_selector, inside);Whole Foods Market Union Square, 4 Union Sq S (store_selector, inside)</t>
        </is>
      </c>
      <c r="BS56" t="inlineStr">
        <is>
          <t>Whole Foods</t>
        </is>
      </c>
      <c r="BT56" t="inlineStr">
        <is>
          <t>https://www.wholefoodsmarket.com/api/search?text=goodio&amp;store=10162&amp;limit=60&amp;offset=0; https://www.wholefoodsmarket.com/api/search?text=goodio&amp;store=10773&amp;limit=60&amp;offset=0</t>
        </is>
      </c>
      <c r="BU56" t="inlineStr">
        <is>
          <t>listing</t>
        </is>
      </c>
      <c r="BV56" t="n">
        <v>43</v>
      </c>
      <c r="BX56" t="inlineStr">
        <is>
          <t>Jukka Peltola</t>
        </is>
      </c>
      <c r="BY56" t="inlineStr">
        <is>
          <t>About page: "Chief Creative Officer and founder of Goodio, Jukka Peltola". The Org lists Jonni Sinkkonen as CEO &amp; Founder (backup row) and Sami Nupponen as CEO; titles conflict. Finnish company, US sales contact unknown.</t>
        </is>
      </c>
      <c r="CA56" t="inlineStr">
        <is>
          <t>Jonni Sinkkonen</t>
        </is>
      </c>
      <c r="CB56" t="inlineStr">
        <is>
          <t>Jonni</t>
        </is>
      </c>
      <c r="CC56" t="inlineStr">
        <is>
          <t>Sinkkonen</t>
        </is>
      </c>
      <c r="CD56" t="inlineStr">
        <is>
          <t>CEO and Founder</t>
        </is>
      </c>
      <c r="CE56" t="inlineStr">
        <is>
          <t>co-founder or executive</t>
        </is>
      </c>
      <c r="CF56" t="inlineStr">
        <is>
          <t>verified-page</t>
        </is>
      </c>
      <c r="CG56" t="inlineStr">
        <is>
          <t>The Org (updated 2026-06-10): CEO &amp; Founder since 2015.</t>
        </is>
      </c>
      <c r="CK56" t="inlineStr">
        <is>
          <t>none</t>
        </is>
      </c>
      <c r="CL56" t="n">
        <v>51</v>
      </c>
      <c r="CM56" t="n">
        <v>25</v>
      </c>
      <c r="CN56" t="n">
        <v>3</v>
      </c>
      <c r="CO56" t="n">
        <v>8</v>
      </c>
      <c r="CP56" t="n">
        <v>5</v>
      </c>
      <c r="CQ56" t="n">
        <v>8</v>
      </c>
      <c r="CR56" t="n">
        <v>6</v>
      </c>
      <c r="CS56">
        <f>IF(R56="Y",10,0)</f>
        <v/>
      </c>
      <c r="CT56" t="n">
        <v>-4</v>
      </c>
      <c r="CU56" t="inlineStr">
        <is>
          <t>https://www.instagram.com/goodiogoods/</t>
        </is>
      </c>
      <c r="CV56" t="inlineStr">
        <is>
          <t>BR2</t>
        </is>
      </c>
      <c r="CW56" t="inlineStr">
        <is>
          <t>BR2:62</t>
        </is>
      </c>
      <c r="CX56" t="inlineStr">
        <is>
          <t>Founded 2015, organic vegan craft chocolate made in Helsinki. Brand store defaults to Finland; US online store not confirmed. Why-now from Shopify publish dates.</t>
        </is>
      </c>
      <c r="CZ56" t="inlineStr">
        <is>
          <t>https://theorg.com/org/goodio/person/jonni-sinkkonen</t>
        </is>
      </c>
      <c r="DA56" t="inlineStr">
        <is>
          <t>stage 2</t>
        </is>
      </c>
      <c r="DC56" t="inlineStr">
        <is>
          <t>The Org (crowd-edited org chart)</t>
        </is>
      </c>
      <c r="DD56" t="inlineStr">
        <is>
          <t>2026-06-10</t>
        </is>
      </c>
      <c r="DY56">
        <f>IF(ISNUMBER(MATCH(U56,{"queued","contacted","replied","call_booked","call_done","yes_in_principle","materials_sent"},0)),"Y","N")</f>
        <v/>
      </c>
      <c r="DZ56">
        <f>IF(COUNTIFS($AN$2:$AN$1000,AN56,$DY$2:$DY$1000,"Y")+COUNTIFS($AN$2:$AN$1000,AN56,$T$2:$T$1000,"Y")&gt;0,"Y","N")</f>
        <v/>
      </c>
      <c r="EA56">
        <f>IF(AND(U56="new",T56="N",AR56="Y",AQ56="",DZ56="N"),"Y","N")</f>
        <v/>
      </c>
      <c r="EB56">
        <f>IF(EA56&lt;&gt;"Y","N",IF(COUNTIFS($AN$2:$AN$1000,AN56,$EA$2:$EA$1000,"Y",$J$2:$J$1000,"&gt;"&amp;J56)+COUNTIFS($AN$2:$AN$1000,AN56,$EA$2:$EA$1000,"Y",$J$2:$J$1000,J56,$ED$2:$ED$1000,"&lt;"&amp;ED56)=0,"Y","N"))</f>
        <v/>
      </c>
      <c r="EC56">
        <f>IF(Y56="","N",IF(Y56&lt;=10,"Y","N"))</f>
        <v/>
      </c>
      <c r="ED56">
        <f>ROW()-1</f>
        <v/>
      </c>
    </row>
    <row r="57">
      <c r="A57" t="inlineStr">
        <is>
          <t>AB-090</t>
        </is>
      </c>
      <c r="B57" t="inlineStr">
        <is>
          <t>Maxine's Heavenly</t>
        </is>
      </c>
      <c r="C57" t="inlineStr">
        <is>
          <t>Robert</t>
        </is>
      </c>
      <c r="D57" t="inlineStr">
        <is>
          <t>Petrarca</t>
        </is>
      </c>
      <c r="E57" t="inlineStr">
        <is>
          <t>Co-founder and CEO</t>
        </is>
      </c>
      <c r="H57" t="inlineStr">
        <is>
          <t>none</t>
        </is>
      </c>
      <c r="I57" t="inlineStr">
        <is>
          <t>linkedin</t>
        </is>
      </c>
      <c r="J57">
        <f>IF(AU57="pass",CM57+CN57+CO57+CP57+CQ57+CR57+CS57+CT57,0)</f>
        <v/>
      </c>
      <c r="K57" t="inlineStr">
        <is>
          <t>Brand based outside the Northeast, store page shows Whole Foods Market NoMad inside the cluster, a new store listing 11 days ago, revenue unknown, contact named; founder review: claim-borderline.</t>
        </is>
      </c>
      <c r="M57" t="inlineStr">
        <is>
          <t>Whole Foods Market NoMad, 63 Madison Ave</t>
        </is>
      </c>
      <c r="N57" t="inlineStr">
        <is>
          <t>store_selector</t>
        </is>
      </c>
      <c r="O57" t="inlineStr">
        <is>
          <t>Launched seasonal Gingerbread, Peppermint, Pumpkin Spice and Chai Spice creme sandwich cookies, Oct 2026</t>
        </is>
      </c>
      <c r="P57" t="inlineStr">
        <is>
          <t>https://maxinesheavenly.com/</t>
        </is>
      </c>
      <c r="Q57" t="inlineStr">
        <is>
          <t>2026-10-13</t>
        </is>
      </c>
      <c r="R57" t="inlineStr">
        <is>
          <t>N</t>
        </is>
      </c>
      <c r="S57" t="inlineStr">
        <is>
          <t>unknown</t>
        </is>
      </c>
      <c r="T57" t="inlineStr">
        <is>
          <t>N</t>
        </is>
      </c>
      <c r="U57" t="inlineStr">
        <is>
          <t>new</t>
        </is>
      </c>
      <c r="V57" t="inlineStr">
        <is>
          <t>https://maxinesheavenly.com/pages/story</t>
        </is>
      </c>
      <c r="W57" t="inlineStr">
        <is>
          <t>2026-10-23</t>
        </is>
      </c>
      <c r="X57" t="inlineStr">
        <is>
          <t>brand</t>
        </is>
      </c>
      <c r="Y57">
        <f>IF(EB57&lt;&gt;"Y","",COUNTIFS($EB$2:$EB$1000,"Y",$J$2:$J$1000,"&gt;"&amp;J57)+COUNTIFS($EB$2:$EB$1000,"Y",$J$2:$J$1000,J57,$ED$2:$ED$1000,"&lt;"&amp;ED57)+1)</f>
        <v/>
      </c>
      <c r="Z57" t="n">
        <v>56</v>
      </c>
      <c r="AA57" t="inlineStr">
        <is>
          <t>Y</t>
        </is>
      </c>
      <c r="AB57" t="inlineStr">
        <is>
          <t>find Robert Petrarca at Maxine's Heavenly on LinkedIn and paste the profile URL; the source is dated 2023-01-13: check Robert still holds the role; before using the retailer line, check Whole Foods Market NoMad still lists it: https://www.wholefoodsmarket.com/search?text=Maxine%27s%20Heavenly with your store set to NoMad (catalogs change daily); founder review (claim-borderline): read founder_review_reason first</t>
        </is>
      </c>
      <c r="AC57" t="inlineStr">
        <is>
          <t>founder</t>
        </is>
      </c>
      <c r="AD57" t="inlineStr">
        <is>
          <t>verified-page</t>
        </is>
      </c>
      <c r="AE57" t="inlineStr">
        <is>
          <t>employer's own site</t>
        </is>
      </c>
      <c r="AF57" t="inlineStr">
        <is>
          <t>https://maxinesheavenly.com/pages/press</t>
        </is>
      </c>
      <c r="AG57" t="inlineStr">
        <is>
          <t>2026-10-24</t>
        </is>
      </c>
      <c r="AH57" t="inlineStr">
        <is>
          <t>Chocolate Creme Sandwich Cookie 4.6 oz; seasonal Gingerbread Creme Sandwich</t>
        </is>
      </c>
      <c r="AI57" t="inlineStr">
        <is>
          <t>cookies-baked</t>
        </is>
      </c>
      <c r="AJ57" t="inlineStr">
        <is>
          <t>Los Angeles</t>
        </is>
      </c>
      <c r="AK57" t="inlineStr">
        <is>
          <t>https://maxinesheavenly.com</t>
        </is>
      </c>
      <c r="AL57" t="inlineStr">
        <is>
          <t>Y</t>
        </is>
      </c>
      <c r="AM57" t="inlineStr">
        <is>
          <t>'Better-for-you', 'Sweetened by Nature' positioning; check pack copy for claims</t>
        </is>
      </c>
      <c r="AN57" t="inlineStr">
        <is>
          <t>AB-090</t>
        </is>
      </c>
      <c r="AO57" t="inlineStr">
        <is>
          <t>N</t>
        </is>
      </c>
      <c r="AR57">
        <f>IF(AND(AU57="pass",AO57&lt;&gt;"Y",C57&lt;&gt;""),"Y","N")</f>
        <v/>
      </c>
      <c r="AS57">
        <f>_xlfn.TEXTJOIN("; ",TRUE,IF(AU57&lt;&gt;"pass","gated out",""),IF(AO57="Y","on hold: "&amp;AP57,""),IF(C57="","no contact named on an opened page",""))</f>
        <v/>
      </c>
      <c r="AU57" t="inlineStr">
        <is>
          <t>pass</t>
        </is>
      </c>
      <c r="AW57" t="inlineStr">
        <is>
          <t>passes all hard gates</t>
        </is>
      </c>
      <c r="AX57" t="inlineStr">
        <is>
          <t>claim-borderline</t>
        </is>
      </c>
      <c r="AY57" t="inlineStr">
        <is>
          <t>https://maxinesheavenly.com</t>
        </is>
      </c>
      <c r="AZ57" t="inlineStr">
        <is>
          <t>CA</t>
        </is>
      </c>
      <c r="BA57" t="inlineStr">
        <is>
          <t>elsewhere</t>
        </is>
      </c>
      <c r="BB57" t="inlineStr">
        <is>
          <t>unknown</t>
        </is>
      </c>
      <c r="BD57" t="inlineStr">
        <is>
          <t>Y</t>
        </is>
      </c>
      <c r="BE57" t="inlineStr">
        <is>
          <t>Brand FAQ: 'The shelf life of our cookies is about 11 months.' No preservatives.</t>
        </is>
      </c>
      <c r="BF57" t="inlineStr">
        <is>
          <t>unknown</t>
        </is>
      </c>
      <c r="BG57" t="inlineStr">
        <is>
          <t>Y</t>
        </is>
      </c>
      <c r="BH57" t="inlineStr">
        <is>
          <t>unknown</t>
        </is>
      </c>
      <c r="BJ57" t="inlineStr">
        <is>
          <t>unknown</t>
        </is>
      </c>
      <c r="BK57" t="inlineStr">
        <is>
          <t>N</t>
        </is>
      </c>
      <c r="BL57" t="inlineStr">
        <is>
          <t>N</t>
        </is>
      </c>
      <c r="BN57" t="n">
        <v>0</v>
      </c>
      <c r="BO57" t="inlineStr">
        <is>
          <t>Y</t>
        </is>
      </c>
      <c r="BP57" t="n">
        <v>3</v>
      </c>
      <c r="BQ57" t="inlineStr">
        <is>
          <t>Whole Foods Market NoMad, 63 Madison Ave (store_selector, inside);Whole Foods Market Union Square, 4 Union Sq S (store_selector, inside);Whole Foods Market Chelsea, 250 7th Ave (store_selector, 3.0 blocks out)</t>
        </is>
      </c>
      <c r="BS57" t="inlineStr">
        <is>
          <t>Stores across the US (brand home page); Whole Foods</t>
        </is>
      </c>
      <c r="BT57" t="inlineStr">
        <is>
          <t>https://www.wholefoodsmarket.com/api/search?text=maxines%20heavenly&amp;store=10162&amp;limit=60&amp;offset=0; https://www.wholefoodsmarket.com/api/search?text=maxines%20heavenly&amp;store=10773&amp;limit=60&amp;offset=0; https://www.wholefoodsmarket.com/api/search?text=maxines%20heavenly&amp;store=10131&amp;limit=60&amp;offset=0</t>
        </is>
      </c>
      <c r="BU57" t="inlineStr">
        <is>
          <t>listing</t>
        </is>
      </c>
      <c r="BV57" t="n">
        <v>11</v>
      </c>
      <c r="BX57" t="inlineStr">
        <is>
          <t>Robert Petrarca</t>
        </is>
      </c>
      <c r="BY57" t="inlineStr">
        <is>
          <t>Press page: "Its founder Robert Petrarca" and "talks business with our CEO". The Org (updated 2023-01-13): Co-Founder &amp; CEO.</t>
        </is>
      </c>
      <c r="CF57" t="inlineStr">
        <is>
          <t>none</t>
        </is>
      </c>
      <c r="CK57" t="inlineStr">
        <is>
          <t>none</t>
        </is>
      </c>
      <c r="CL57" t="n">
        <v>51</v>
      </c>
      <c r="CM57" t="n">
        <v>25</v>
      </c>
      <c r="CN57" t="n">
        <v>3</v>
      </c>
      <c r="CO57" t="n">
        <v>8</v>
      </c>
      <c r="CP57" t="n">
        <v>5</v>
      </c>
      <c r="CQ57" t="n">
        <v>8</v>
      </c>
      <c r="CR57" t="n">
        <v>6</v>
      </c>
      <c r="CS57">
        <f>IF(R57="Y",10,0)</f>
        <v/>
      </c>
      <c r="CT57" t="n">
        <v>-4</v>
      </c>
      <c r="CU57" t="inlineStr">
        <is>
          <t>https://www.instagram.com/maxinesheavenly/</t>
        </is>
      </c>
      <c r="CV57" t="inlineStr">
        <is>
          <t>BR2</t>
        </is>
      </c>
      <c r="CW57" t="inlineStr">
        <is>
          <t>BR2:27</t>
        </is>
      </c>
      <c r="CX57" t="inlineStr">
        <is>
          <t>Gluten-free, vegan per story page. Storemapper locator present but its ID was not readable. Why-now date from Shopify publish dates.</t>
        </is>
      </c>
      <c r="CY57" t="inlineStr">
        <is>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t>
        </is>
      </c>
      <c r="DA57" t="inlineStr">
        <is>
          <t>stage 2</t>
        </is>
      </c>
      <c r="DB57" t="inlineStr">
        <is>
          <t>2023-01-13</t>
        </is>
      </c>
      <c r="DY57">
        <f>IF(ISNUMBER(MATCH(U57,{"queued","contacted","replied","call_booked","call_done","yes_in_principle","materials_sent"},0)),"Y","N")</f>
        <v/>
      </c>
      <c r="DZ57">
        <f>IF(COUNTIFS($AN$2:$AN$1000,AN57,$DY$2:$DY$1000,"Y")+COUNTIFS($AN$2:$AN$1000,AN57,$T$2:$T$1000,"Y")&gt;0,"Y","N")</f>
        <v/>
      </c>
      <c r="EA57">
        <f>IF(AND(U57="new",T57="N",AR57="Y",AQ57="",DZ57="N"),"Y","N")</f>
        <v/>
      </c>
      <c r="EB57">
        <f>IF(EA57&lt;&gt;"Y","N",IF(COUNTIFS($AN$2:$AN$1000,AN57,$EA$2:$EA$1000,"Y",$J$2:$J$1000,"&gt;"&amp;J57)+COUNTIFS($AN$2:$AN$1000,AN57,$EA$2:$EA$1000,"Y",$J$2:$J$1000,J57,$ED$2:$ED$1000,"&lt;"&amp;ED57)=0,"Y","N"))</f>
        <v/>
      </c>
      <c r="EC57">
        <f>IF(Y57="","N",IF(Y57&lt;=10,"Y","N"))</f>
        <v/>
      </c>
      <c r="ED57">
        <f>ROW()-1</f>
        <v/>
      </c>
    </row>
    <row r="58">
      <c r="A58" t="inlineStr">
        <is>
          <t>AB-220</t>
        </is>
      </c>
      <c r="B58" t="inlineStr">
        <is>
          <t>Unhinged</t>
        </is>
      </c>
      <c r="C58" t="inlineStr">
        <is>
          <t>Byron</t>
        </is>
      </c>
      <c r="D58" t="inlineStr">
        <is>
          <t>Sorrells</t>
        </is>
      </c>
      <c r="E58" t="inlineStr">
        <is>
          <t>Co-founder</t>
        </is>
      </c>
      <c r="H58" t="inlineStr">
        <is>
          <t>none</t>
        </is>
      </c>
      <c r="I58" t="inlineStr">
        <is>
          <t>linkedin</t>
        </is>
      </c>
      <c r="J58">
        <f>IF(AU58="pass",CM58+CN58+CO58+CP58+CQ58+CR58+CS58+CT58,0)</f>
        <v/>
      </c>
      <c r="K58" t="inlineStr">
        <is>
          <t>New York City brand (HQ unverified), no graded store within ten blocks, online store only, news 15 days ago, revenue unknown, contact named; founder review: under-floor, claim-borderline.</t>
        </is>
      </c>
      <c r="M58" t="inlineStr">
        <is>
          <t>none found within ten blocks</t>
        </is>
      </c>
      <c r="N58" t="inlineStr">
        <is>
          <t>unverified</t>
        </is>
      </c>
      <c r="O58" t="inlineStr">
        <is>
          <t>Raised $1.1M pre-seed</t>
        </is>
      </c>
      <c r="P58" t="inlineStr">
        <is>
          <t>https://startupcpg.com/startup-cpg-newswire-unhinged-raises-1-1m-pre-seed/</t>
        </is>
      </c>
      <c r="Q58" t="inlineStr">
        <is>
          <t>2026-10-09</t>
        </is>
      </c>
      <c r="R58" t="inlineStr">
        <is>
          <t>N</t>
        </is>
      </c>
      <c r="S58" t="inlineStr">
        <is>
          <t>Y</t>
        </is>
      </c>
      <c r="T58" t="inlineStr">
        <is>
          <t>N</t>
        </is>
      </c>
      <c r="U58" t="inlineStr">
        <is>
          <t>new</t>
        </is>
      </c>
      <c r="V58" t="inlineStr">
        <is>
          <t>https://alwaysunhinged.com/pages/faq</t>
        </is>
      </c>
      <c r="W58" t="inlineStr">
        <is>
          <t>2026-10-23</t>
        </is>
      </c>
      <c r="X58" t="inlineStr">
        <is>
          <t>brand</t>
        </is>
      </c>
      <c r="Y58">
        <f>IF(EB58&lt;&gt;"Y","",COUNTIFS($EB$2:$EB$1000,"Y",$J$2:$J$1000,"&gt;"&amp;J58)+COUNTIFS($EB$2:$EB$1000,"Y",$J$2:$J$1000,J58,$ED$2:$ED$1000,"&lt;"&amp;ED58)+1)</f>
        <v/>
      </c>
      <c r="Z58" t="n">
        <v>57</v>
      </c>
      <c r="AA58" t="inlineStr">
        <is>
          <t>Y</t>
        </is>
      </c>
      <c r="AB58" t="inlineStr">
        <is>
          <t>find Byron Sorrells at Unhinged on LinkedIn and paste the profile URL; founder review (under-floor, claim-borderline): read founder_review_reason first</t>
        </is>
      </c>
      <c r="AC58" t="inlineStr">
        <is>
          <t>founder</t>
        </is>
      </c>
      <c r="AD58" t="inlineStr">
        <is>
          <t>verified-page</t>
        </is>
      </c>
      <c r="AE58" t="inlineStr">
        <is>
          <t>press, event or podcast page</t>
        </is>
      </c>
      <c r="AF58" t="inlineStr">
        <is>
          <t>https://startupcpg.com/startup-cpg-newswire-unhinged-raises-1-1m-pre-seed/</t>
        </is>
      </c>
      <c r="AG58" t="inlineStr">
        <is>
          <t>2026-10-24</t>
        </is>
      </c>
      <c r="AH58" t="inlineStr">
        <is>
          <t>Chocolate + Coffee caffeine and protein bar (75mg caffeine, 11-14g protein)</t>
        </is>
      </c>
      <c r="AI58" t="inlineStr">
        <is>
          <t>bars</t>
        </is>
      </c>
      <c r="AJ58" t="inlineStr">
        <is>
          <t>New York (privacy-policy contact address 169 Madison Avenue #11442, New York NY 10016, a mailbox-style suite; release datelined New York, NY). A Newport Beach, CA business-directory snippet lists 'Always Unhinged, Inc.' with co-founder Matt Paine in Orange County: unverified, founder to confirm.</t>
        </is>
      </c>
      <c r="AK58" t="inlineStr">
        <is>
          <t>https://alwaysunhinged.com</t>
        </is>
      </c>
      <c r="AL58" t="inlineStr">
        <is>
          <t>Y</t>
        </is>
      </c>
      <c r="AM58" t="inlineStr">
        <is>
          <t>Caffeinated protein bar with L-theanine and 'No crash' wording (functional positioning); pre-seed, may be below the $500k floor (no sales figure); 60-day shelf life not stated</t>
        </is>
      </c>
      <c r="AN58" t="inlineStr">
        <is>
          <t>AB-220</t>
        </is>
      </c>
      <c r="AO58" t="inlineStr">
        <is>
          <t>N</t>
        </is>
      </c>
      <c r="AR58">
        <f>IF(AND(AU58="pass",AO58&lt;&gt;"Y",C58&lt;&gt;""),"Y","N")</f>
        <v/>
      </c>
      <c r="AS58">
        <f>_xlfn.TEXTJOIN("; ",TRUE,IF(AU58&lt;&gt;"pass","gated out",""),IF(AO58="Y","on hold: "&amp;AP58,""),IF(C58="","no contact named on an opened page",""))</f>
        <v/>
      </c>
      <c r="AU58" t="inlineStr">
        <is>
          <t>pass</t>
        </is>
      </c>
      <c r="AW58" t="inlineStr">
        <is>
          <t>passes all hard gates</t>
        </is>
      </c>
      <c r="AX58" t="inlineStr">
        <is>
          <t>under-floor;claim-borderline</t>
        </is>
      </c>
      <c r="AY58" t="inlineStr">
        <is>
          <t>https://alwaysunhinged.com</t>
        </is>
      </c>
      <c r="AZ58" t="inlineStr">
        <is>
          <t>NY</t>
        </is>
      </c>
      <c r="BA58" t="inlineStr">
        <is>
          <t>nyc (unverified)</t>
        </is>
      </c>
      <c r="BB58" t="inlineStr">
        <is>
          <t>pre-seed ($1.1M, Republic Ventures participating)</t>
        </is>
      </c>
      <c r="BC58" t="inlineStr">
        <is>
          <t>https://startupcpg.com/startup-cpg-newswire-unhinged-raises-1-1m-pre-seed/</t>
        </is>
      </c>
      <c r="BD58" t="inlineStr">
        <is>
          <t>unknown</t>
        </is>
      </c>
      <c r="BE58" t="inlineStr">
        <is>
          <t>Bar sold online and via Amazon; FAQ says 'No... preservatives' and gives no shelf life, founder to confirm</t>
        </is>
      </c>
      <c r="BF58" t="inlineStr">
        <is>
          <t>Y</t>
        </is>
      </c>
      <c r="BG58" t="inlineStr">
        <is>
          <t>Y</t>
        </is>
      </c>
      <c r="BH58" t="inlineStr">
        <is>
          <t>unknown</t>
        </is>
      </c>
      <c r="BJ58" t="inlineStr">
        <is>
          <t>No sales figure published. Online-only, $1.1M pre-seed Oct 2026 (funding not used for band); founder to confirm</t>
        </is>
      </c>
      <c r="BK58" t="inlineStr">
        <is>
          <t>N</t>
        </is>
      </c>
      <c r="BL58" t="inlineStr">
        <is>
          <t>N</t>
        </is>
      </c>
      <c r="BO58" t="inlineStr">
        <is>
          <t>N</t>
        </is>
      </c>
      <c r="BP58" t="n">
        <v>0</v>
      </c>
      <c r="BS58" t="inlineStr">
        <is>
          <t>alwaysunhinged.com; Amazon; TikTok Shop; Faire wholesale</t>
        </is>
      </c>
      <c r="BT58" t="inlineStr">
        <is>
          <t>https://alwaysunhinged.com/</t>
        </is>
      </c>
      <c r="BU58" t="inlineStr">
        <is>
          <t>press</t>
        </is>
      </c>
      <c r="BV58" t="n">
        <v>15</v>
      </c>
      <c r="BW58" t="inlineStr">
        <is>
          <t>https://startupcpg.com/startup-cpg-newswire-unhinged-raises-1-1m-pre-seed/</t>
        </is>
      </c>
      <c r="BX58" t="inlineStr">
        <is>
          <t>Byron Sorrells</t>
        </is>
      </c>
      <c r="BY58" t="inlineStr">
        <is>
          <t>Release (2026-10): "co-founder Byron Sorrells".</t>
        </is>
      </c>
      <c r="CA58" t="inlineStr">
        <is>
          <t>Matt Paine</t>
        </is>
      </c>
      <c r="CE58" t="inlineStr">
        <is>
          <t>co-founder or executive</t>
        </is>
      </c>
      <c r="CF58" t="inlineStr">
        <is>
          <t>unverified</t>
        </is>
      </c>
      <c r="CG58" t="inlineStr">
        <is>
          <t>Seen only in a search summary of a Newport Beach business directory listing (403). The listing places Always Unhinged, Inc. in Orange County, which conflicts with the New York HQ in the table.</t>
        </is>
      </c>
      <c r="CK58" t="inlineStr">
        <is>
          <t>none</t>
        </is>
      </c>
      <c r="CL58" t="n">
        <v>51</v>
      </c>
      <c r="CM58" t="n">
        <v>6</v>
      </c>
      <c r="CN58" t="n">
        <v>17</v>
      </c>
      <c r="CO58" t="n">
        <v>15</v>
      </c>
      <c r="CP58" t="n">
        <v>5</v>
      </c>
      <c r="CQ58" t="n">
        <v>7</v>
      </c>
      <c r="CR58" t="n">
        <v>6</v>
      </c>
      <c r="CS58">
        <f>IF(R58="Y",10,0)</f>
        <v/>
      </c>
      <c r="CT58" t="n">
        <v>-5</v>
      </c>
      <c r="CU58" t="inlineStr">
        <is>
          <t>https://www.instagram.com/always_unhinged</t>
        </is>
      </c>
      <c r="CV58" t="inlineStr">
        <is>
          <t>BR4</t>
        </is>
      </c>
      <c r="CW58" t="inlineStr">
        <is>
          <t>BR4:15</t>
        </is>
      </c>
      <c r="CX58" t="inlineStr">
        <is>
          <t>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is>
      </c>
      <c r="CY58" t="inlineStr">
        <is>
          <t xml:space="preserve">hq_city &lt;- https://alwaysunhinged.com/policies/privacy-policy (2026-10-24, opened); notes &lt;- https://business.newportbeach.com/directory/Details/always-unhinged-inc-4636037 (2026-10-24, snippet-unverified); </t>
        </is>
      </c>
      <c r="CZ58" t="inlineStr">
        <is>
          <t>https://business.newportbeach.com/directory/Details/always-unhinged-inc-4636037</t>
        </is>
      </c>
      <c r="DA58" t="inlineStr">
        <is>
          <t>stage 2</t>
        </is>
      </c>
      <c r="DC58" t="inlineStr">
        <is>
          <t>search snippet only (not opened)</t>
        </is>
      </c>
      <c r="DY58">
        <f>IF(ISNUMBER(MATCH(U58,{"queued","contacted","replied","call_booked","call_done","yes_in_principle","materials_sent"},0)),"Y","N")</f>
        <v/>
      </c>
      <c r="DZ58">
        <f>IF(COUNTIFS($AN$2:$AN$1000,AN58,$DY$2:$DY$1000,"Y")+COUNTIFS($AN$2:$AN$1000,AN58,$T$2:$T$1000,"Y")&gt;0,"Y","N")</f>
        <v/>
      </c>
      <c r="EA58">
        <f>IF(AND(U58="new",T58="N",AR58="Y",AQ58="",DZ58="N"),"Y","N")</f>
        <v/>
      </c>
      <c r="EB58">
        <f>IF(EA58&lt;&gt;"Y","N",IF(COUNTIFS($AN$2:$AN$1000,AN58,$EA$2:$EA$1000,"Y",$J$2:$J$1000,"&gt;"&amp;J58)+COUNTIFS($AN$2:$AN$1000,AN58,$EA$2:$EA$1000,"Y",$J$2:$J$1000,J58,$ED$2:$ED$1000,"&lt;"&amp;ED58)=0,"Y","N"))</f>
        <v/>
      </c>
      <c r="EC58">
        <f>IF(Y58="","N",IF(Y58&lt;=10,"Y","N"))</f>
        <v/>
      </c>
      <c r="ED58">
        <f>ROW()-1</f>
        <v/>
      </c>
    </row>
    <row r="59">
      <c r="A59" t="inlineStr">
        <is>
          <t>AB-083</t>
        </is>
      </c>
      <c r="B59" t="inlineStr">
        <is>
          <t>Goodie Girl</t>
        </is>
      </c>
      <c r="C59" t="inlineStr">
        <is>
          <t>Shira</t>
        </is>
      </c>
      <c r="D59" t="inlineStr">
        <is>
          <t>Berk</t>
        </is>
      </c>
      <c r="E59" t="inlineStr">
        <is>
          <t>Founder and CEO</t>
        </is>
      </c>
      <c r="H59" t="inlineStr">
        <is>
          <t>none</t>
        </is>
      </c>
      <c r="I59" t="inlineStr">
        <is>
          <t>linkedin</t>
        </is>
      </c>
      <c r="J59">
        <f>IF(AU59="pass",CM59+CN59+CO59+CP59+CQ59+CR59+CS59+CT59,0)</f>
        <v/>
      </c>
      <c r="K59" t="inlineStr">
        <is>
          <t>Northeast brand (HQ unverified), store page shows Whole Foods Market NoMad inside the cluster, a new store listing 163 days ago, revenue unknown, contact named; founder review: scale.</t>
        </is>
      </c>
      <c r="M59" t="inlineStr">
        <is>
          <t>Whole Foods Market NoMad, 63 Madison Ave</t>
        </is>
      </c>
      <c r="N59" t="inlineStr">
        <is>
          <t>store_selector</t>
        </is>
      </c>
      <c r="O59" t="inlineStr">
        <is>
          <t>Launched Breakfast Bars (May 2026) and Snack Mix 3-packs (Sept 2026) on brand store</t>
        </is>
      </c>
      <c r="P59" t="inlineStr">
        <is>
          <t>https://goodiegirl.com/</t>
        </is>
      </c>
      <c r="Q59" t="inlineStr">
        <is>
          <t>2026-05-14</t>
        </is>
      </c>
      <c r="R59" t="inlineStr">
        <is>
          <t>N</t>
        </is>
      </c>
      <c r="S59" t="inlineStr">
        <is>
          <t>unknown</t>
        </is>
      </c>
      <c r="T59" t="inlineStr">
        <is>
          <t>N</t>
        </is>
      </c>
      <c r="U59" t="inlineStr">
        <is>
          <t>new</t>
        </is>
      </c>
      <c r="V59" t="inlineStr">
        <is>
          <t>https://goodiegirl.com/pages/our-story</t>
        </is>
      </c>
      <c r="W59" t="inlineStr">
        <is>
          <t>2026-10-23</t>
        </is>
      </c>
      <c r="X59" t="inlineStr">
        <is>
          <t>brand</t>
        </is>
      </c>
      <c r="Y59">
        <f>IF(EB59&lt;&gt;"Y","",COUNTIFS($EB$2:$EB$1000,"Y",$J$2:$J$1000,"&gt;"&amp;J59)+COUNTIFS($EB$2:$EB$1000,"Y",$J$2:$J$1000,J59,$ED$2:$ED$1000,"&lt;"&amp;ED59)+1)</f>
        <v/>
      </c>
      <c r="Z59" t="n">
        <v>58</v>
      </c>
      <c r="AA59" t="inlineStr">
        <is>
          <t>Y</t>
        </is>
      </c>
      <c r="AB59" t="inlineStr">
        <is>
          <t>find Shira Berk at Goodie Girl on LinkedIn and paste the profile URL; before using the retailer line, check Whole Foods Market NoMad still lists it: https://www.wholefoodsmarket.com/search?text=Goodie%20Girl with your store set to NoMad (catalogs change daily); founder review (scale): read founder_review_reason first</t>
        </is>
      </c>
      <c r="AC59" t="inlineStr">
        <is>
          <t>founder</t>
        </is>
      </c>
      <c r="AD59" t="inlineStr">
        <is>
          <t>verified-page</t>
        </is>
      </c>
      <c r="AE59" t="inlineStr">
        <is>
          <t>employer's own site</t>
        </is>
      </c>
      <c r="AF59" t="inlineStr">
        <is>
          <t>https://goodiegirl.com/pages/our-story</t>
        </is>
      </c>
      <c r="AG59" t="inlineStr">
        <is>
          <t>2026-10-24</t>
        </is>
      </c>
      <c r="AH59" t="inlineStr">
        <is>
          <t>Mini Chocolate Chip Cookies Snack Pack 0.75 oz; Magical Animal Crackers Snack Packs</t>
        </is>
      </c>
      <c r="AI59" t="inlineStr">
        <is>
          <t>cookies-baked</t>
        </is>
      </c>
      <c r="AJ59" t="inlineStr">
        <is>
          <t>Ridgefield (search snippet: founder mostly works out of Toufayan Bakeries' corporate offices in Ridgefield NJ; unverified, founder to confirm)</t>
        </is>
      </c>
      <c r="AK59" t="inlineStr">
        <is>
          <t>https://goodiegirl.com</t>
        </is>
      </c>
      <c r="AL59" t="inlineStr">
        <is>
          <t>Y</t>
        </is>
      </c>
      <c r="AM59" t="inlineStr">
        <is>
          <t>Kids snack-pack angle (animal crackers); 'thousands of retailers' may put it above the size band</t>
        </is>
      </c>
      <c r="AN59" t="inlineStr">
        <is>
          <t>AB-083</t>
        </is>
      </c>
      <c r="AO59" t="inlineStr">
        <is>
          <t>N</t>
        </is>
      </c>
      <c r="AR59">
        <f>IF(AND(AU59="pass",AO59&lt;&gt;"Y",C59&lt;&gt;""),"Y","N")</f>
        <v/>
      </c>
      <c r="AS59">
        <f>_xlfn.TEXTJOIN("; ",TRUE,IF(AU59&lt;&gt;"pass","gated out",""),IF(AO59="Y","on hold: "&amp;AP59,""),IF(C59="","no contact named on an opened page",""))</f>
        <v/>
      </c>
      <c r="AU59" t="inlineStr">
        <is>
          <t>pass</t>
        </is>
      </c>
      <c r="AW59" t="inlineStr">
        <is>
          <t>passes all hard gates</t>
        </is>
      </c>
      <c r="AX59" t="inlineStr">
        <is>
          <t>scale</t>
        </is>
      </c>
      <c r="AY59" t="inlineStr">
        <is>
          <t>https://goodiegirl.com</t>
        </is>
      </c>
      <c r="AZ59" t="inlineStr">
        <is>
          <t>NJ (unverified, founder to confirm)</t>
        </is>
      </c>
      <c r="BA59" t="inlineStr">
        <is>
          <t>northeast (unverified)</t>
        </is>
      </c>
      <c r="BB59" t="inlineStr">
        <is>
          <t>unknown</t>
        </is>
      </c>
      <c r="BD59" t="inlineStr">
        <is>
          <t>Y</t>
        </is>
      </c>
      <c r="BE59" t="inlineStr">
        <is>
          <t>Brand FAQ: 'Some cookies are 6 months and most are 9 months from bake'</t>
        </is>
      </c>
      <c r="BF59" t="inlineStr">
        <is>
          <t>Y</t>
        </is>
      </c>
      <c r="BG59" t="inlineStr">
        <is>
          <t>Y</t>
        </is>
      </c>
      <c r="BH59" t="inlineStr">
        <is>
          <t>unknown</t>
        </is>
      </c>
      <c r="BJ59" t="inlineStr">
        <is>
          <t>unknown</t>
        </is>
      </c>
      <c r="BK59" t="inlineStr">
        <is>
          <t>N</t>
        </is>
      </c>
      <c r="BL59" t="inlineStr">
        <is>
          <t>N</t>
        </is>
      </c>
      <c r="BN59" t="n">
        <v>0</v>
      </c>
      <c r="BO59" t="inlineStr">
        <is>
          <t>Y</t>
        </is>
      </c>
      <c r="BP59" t="n">
        <v>3</v>
      </c>
      <c r="BQ59" t="inlineStr">
        <is>
          <t>Whole Foods Market NoMad, 63 Madison Ave (store_selector, inside);Whole Foods Market Union Square, 4 Union Sq S (store_selector, inside);Whole Foods Market Chelsea, 250 7th Ave (store_selector, 3.0 blocks out)</t>
        </is>
      </c>
      <c r="BS59" t="inlineStr">
        <is>
          <t>Thousands of retailers, natural or gluten-free aisle (brand where-to-buy page); Whole Foods</t>
        </is>
      </c>
      <c r="BT59" t="inlineStr">
        <is>
          <t>https://www.wholefoodsmarket.com/api/search?text=goodie%20girl&amp;store=10162&amp;limit=60&amp;offset=0; https://www.wholefoodsmarket.com/api/search?text=goodie%20girl&amp;store=10773&amp;limit=60&amp;offset=0; https://www.wholefoodsmarket.com/api/search?text=goodie%20girl&amp;store=10131&amp;limit=60&amp;offset=0</t>
        </is>
      </c>
      <c r="BU59" t="inlineStr">
        <is>
          <t>listing</t>
        </is>
      </c>
      <c r="BV59" t="n">
        <v>163</v>
      </c>
      <c r="BX59" t="inlineStr">
        <is>
          <t>Shira Berk</t>
        </is>
      </c>
      <c r="BY59" t="inlineStr">
        <is>
          <t>Our Story page.</t>
        </is>
      </c>
      <c r="CF59" t="inlineStr">
        <is>
          <t>none</t>
        </is>
      </c>
      <c r="CK59" t="inlineStr">
        <is>
          <t>none</t>
        </is>
      </c>
      <c r="CL59" t="n">
        <v>50</v>
      </c>
      <c r="CM59" t="n">
        <v>25</v>
      </c>
      <c r="CN59" t="n">
        <v>8</v>
      </c>
      <c r="CO59" t="n">
        <v>8</v>
      </c>
      <c r="CP59" t="n">
        <v>5</v>
      </c>
      <c r="CQ59" t="n">
        <v>10</v>
      </c>
      <c r="CR59" t="n">
        <v>6</v>
      </c>
      <c r="CS59">
        <f>IF(R59="Y",10,0)</f>
        <v/>
      </c>
      <c r="CT59" t="n">
        <v>-12</v>
      </c>
      <c r="CU59" t="inlineStr">
        <is>
          <t>https://www.instagram.com/goodiegirlcookies/</t>
        </is>
      </c>
      <c r="CV59" t="inlineStr">
        <is>
          <t>BR2</t>
        </is>
      </c>
      <c r="CW59" t="inlineStr">
        <is>
          <t>BR2:20</t>
        </is>
      </c>
      <c r="CX59" t="inlineStr">
        <is>
          <t>Certified gluten-free. Locator is Destini (not machine-read). Why-now dates from Shopify publish dates.</t>
        </is>
      </c>
      <c r="CY59" t="inlineStr">
        <is>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t>
        </is>
      </c>
      <c r="DA59" t="inlineStr">
        <is>
          <t>stage 2</t>
        </is>
      </c>
      <c r="DY59">
        <f>IF(ISNUMBER(MATCH(U59,{"queued","contacted","replied","call_booked","call_done","yes_in_principle","materials_sent"},0)),"Y","N")</f>
        <v/>
      </c>
      <c r="DZ59">
        <f>IF(COUNTIFS($AN$2:$AN$1000,AN59,$DY$2:$DY$1000,"Y")+COUNTIFS($AN$2:$AN$1000,AN59,$T$2:$T$1000,"Y")&gt;0,"Y","N")</f>
        <v/>
      </c>
      <c r="EA59">
        <f>IF(AND(U59="new",T59="N",AR59="Y",AQ59="",DZ59="N"),"Y","N")</f>
        <v/>
      </c>
      <c r="EB59">
        <f>IF(EA59&lt;&gt;"Y","N",IF(COUNTIFS($AN$2:$AN$1000,AN59,$EA$2:$EA$1000,"Y",$J$2:$J$1000,"&gt;"&amp;J59)+COUNTIFS($AN$2:$AN$1000,AN59,$EA$2:$EA$1000,"Y",$J$2:$J$1000,J59,$ED$2:$ED$1000,"&lt;"&amp;ED59)=0,"Y","N"))</f>
        <v/>
      </c>
      <c r="EC59">
        <f>IF(Y59="","N",IF(Y59&lt;=10,"Y","N"))</f>
        <v/>
      </c>
      <c r="ED59">
        <f>ROW()-1</f>
        <v/>
      </c>
    </row>
    <row r="60">
      <c r="A60" t="inlineStr">
        <is>
          <t>AB-105</t>
        </is>
      </c>
      <c r="B60" t="inlineStr">
        <is>
          <t>Unreal</t>
        </is>
      </c>
      <c r="C60" t="inlineStr">
        <is>
          <t>Michael</t>
        </is>
      </c>
      <c r="D60" t="inlineStr">
        <is>
          <t>Bronner</t>
        </is>
      </c>
      <c r="E60" t="inlineStr">
        <is>
          <t>Co-founder</t>
        </is>
      </c>
      <c r="H60" t="inlineStr">
        <is>
          <t>none</t>
        </is>
      </c>
      <c r="I60" t="inlineStr">
        <is>
          <t>linkedin</t>
        </is>
      </c>
      <c r="J60">
        <f>IF(AU60="pass",CM60+CN60+CO60+CP60+CQ60+CR60+CS60+CT60,0)</f>
        <v/>
      </c>
      <c r="K60" t="inlineStr">
        <is>
          <t>Northeast brand, store page shows Whole Foods Market NoMad inside the cluster, news 220 days ago, revenue unknown, contact named; founder review: scale.</t>
        </is>
      </c>
      <c r="M60" t="inlineStr">
        <is>
          <t>Whole Foods Market NoMad, 63 Madison Ave</t>
        </is>
      </c>
      <c r="N60" t="inlineStr">
        <is>
          <t>store_selector</t>
        </is>
      </c>
      <c r="O60" t="inlineStr">
        <is>
          <t>Re-released limited-edition Easter packaging for Dark Chocolate Coconut Bars and Peanut Butter Cups at Whole Foods, Kroger, Sprouts, Thrive and Amazon</t>
        </is>
      </c>
      <c r="P60" t="inlineStr">
        <is>
          <t>https://www.snackandbakery.com/articles/115413-unreal-rereleases-easter-packaging-for-two-treats</t>
        </is>
      </c>
      <c r="Q60" t="inlineStr">
        <is>
          <t>2026-03-18</t>
        </is>
      </c>
      <c r="R60" t="inlineStr">
        <is>
          <t>N</t>
        </is>
      </c>
      <c r="S60" t="inlineStr">
        <is>
          <t>unknown</t>
        </is>
      </c>
      <c r="T60" t="inlineStr">
        <is>
          <t>N</t>
        </is>
      </c>
      <c r="U60" t="inlineStr">
        <is>
          <t>new</t>
        </is>
      </c>
      <c r="V60" t="inlineStr">
        <is>
          <t>https://unrealsnacks.com/pages/about-us</t>
        </is>
      </c>
      <c r="W60" t="inlineStr">
        <is>
          <t>2026-10-23</t>
        </is>
      </c>
      <c r="X60" t="inlineStr">
        <is>
          <t>brand</t>
        </is>
      </c>
      <c r="Y60">
        <f>IF(EB60&lt;&gt;"Y","",COUNTIFS($EB$2:$EB$1000,"Y",$J$2:$J$1000,"&gt;"&amp;J60)+COUNTIFS($EB$2:$EB$1000,"Y",$J$2:$J$1000,J60,$ED$2:$ED$1000,"&lt;"&amp;ED60)+1)</f>
        <v/>
      </c>
      <c r="Z60" t="n">
        <v>59</v>
      </c>
      <c r="AA60" t="inlineStr">
        <is>
          <t>Y</t>
        </is>
      </c>
      <c r="AB60" t="inlineStr">
        <is>
          <t>find Michael Bronner at Unreal on LinkedIn and paste the profile URL; before using the retailer line, check Whole Foods Market NoMad still lists it: https://www.wholefoodsmarket.com/search?text=Unreal with your store set to NoMad (catalogs change daily); founder review (scale): read founder_review_reason first</t>
        </is>
      </c>
      <c r="AC60" t="inlineStr">
        <is>
          <t>founder</t>
        </is>
      </c>
      <c r="AD60" t="inlineStr">
        <is>
          <t>verified-page</t>
        </is>
      </c>
      <c r="AE60" t="inlineStr">
        <is>
          <t>press, event or podcast page</t>
        </is>
      </c>
      <c r="AF60" t="inlineStr">
        <is>
          <t>https://en.wikipedia.org/wiki/Unreal_Snacks</t>
        </is>
      </c>
      <c r="AG60" t="inlineStr">
        <is>
          <t>2026-10-24</t>
        </is>
      </c>
      <c r="AH60" t="inlineStr">
        <is>
          <t>Dark Chocolate Coconut Bars; Dark Chocolate Peanut Butter Cups</t>
        </is>
      </c>
      <c r="AI60" t="inlineStr">
        <is>
          <t>chocolate-candy</t>
        </is>
      </c>
      <c r="AJ60" t="inlineStr">
        <is>
          <t>Boston</t>
        </is>
      </c>
      <c r="AK60" t="inlineStr">
        <is>
          <t>https://unrealsnacks.com</t>
        </is>
      </c>
      <c r="AL60" t="inlineStr">
        <is>
          <t>Y</t>
        </is>
      </c>
      <c r="AM60" t="inlineStr">
        <is>
          <t>Broad national distribution (16 to 18 SKUs per cluster WFM) suggests it may be above the $10M ceiling; no revenue source found</t>
        </is>
      </c>
      <c r="AN60" t="inlineStr">
        <is>
          <t>AB-105</t>
        </is>
      </c>
      <c r="AO60" t="inlineStr">
        <is>
          <t>N</t>
        </is>
      </c>
      <c r="AR60">
        <f>IF(AND(AU60="pass",AO60&lt;&gt;"Y",C60&lt;&gt;""),"Y","N")</f>
        <v/>
      </c>
      <c r="AS60">
        <f>_xlfn.TEXTJOIN("; ",TRUE,IF(AU60&lt;&gt;"pass","gated out",""),IF(AO60="Y","on hold: "&amp;AP60,""),IF(C60="","no contact named on an opened page",""))</f>
        <v/>
      </c>
      <c r="AU60" t="inlineStr">
        <is>
          <t>pass</t>
        </is>
      </c>
      <c r="AW60" t="inlineStr">
        <is>
          <t>passes all hard gates</t>
        </is>
      </c>
      <c r="AX60" t="inlineStr">
        <is>
          <t>scale</t>
        </is>
      </c>
      <c r="AY60" t="inlineStr">
        <is>
          <t>https://unrealsnacks.com</t>
        </is>
      </c>
      <c r="AZ60" t="inlineStr">
        <is>
          <t>MA</t>
        </is>
      </c>
      <c r="BA60" t="inlineStr">
        <is>
          <t>northeast</t>
        </is>
      </c>
      <c r="BB60" t="inlineStr">
        <is>
          <t>unknown</t>
        </is>
      </c>
      <c r="BD60" t="inlineStr">
        <is>
          <t>Y</t>
        </is>
      </c>
      <c r="BE60" t="inlineStr">
        <is>
          <t>Brand FAQ: most dark chocolate gems, cups, bars and covered nuts and pretzels have a 12 month shelf life; Milk Chocolate Gems and Crispy Quinoa Gems 18 months. Store below about 68F.</t>
        </is>
      </c>
      <c r="BF60" t="inlineStr">
        <is>
          <t>Y</t>
        </is>
      </c>
      <c r="BG60" t="inlineStr">
        <is>
          <t>Y</t>
        </is>
      </c>
      <c r="BH60" t="inlineStr">
        <is>
          <t>unknown</t>
        </is>
      </c>
      <c r="BJ60" t="inlineStr">
        <is>
          <t>unknown</t>
        </is>
      </c>
      <c r="BK60" t="inlineStr">
        <is>
          <t>N</t>
        </is>
      </c>
      <c r="BL60" t="inlineStr">
        <is>
          <t>N</t>
        </is>
      </c>
      <c r="BN60" t="n">
        <v>0</v>
      </c>
      <c r="BO60" t="inlineStr">
        <is>
          <t>Y</t>
        </is>
      </c>
      <c r="BP60" t="n">
        <v>3</v>
      </c>
      <c r="BQ60" t="inlineStr">
        <is>
          <t>Whole Foods Market NoMad, 63 Madison Ave (store_selector, inside);Whole Foods Market Union Square, 4 Union Sq S (store_selector, inside);Whole Foods Market Chelsea, 250 7th Ave (store_selector, 3.0 blocks out)</t>
        </is>
      </c>
      <c r="BS60" t="inlineStr">
        <is>
          <t>Whole Foods; product locator (iframe, not machine-read)</t>
        </is>
      </c>
      <c r="BT60" t="inlineStr">
        <is>
          <t>https://www.wholefoodsmarket.com/api/search?text=unreal%20chocolate&amp;store=10162&amp;limit=60&amp;offset=0; https://www.wholefoodsmarket.com/api/search?text=unreal%20chocolate&amp;store=10773&amp;limit=60&amp;offset=0; https://www.wholefoodsmarket.com/api/search?text=unreal%20chocolate&amp;store=10131&amp;limit=60&amp;offset=0</t>
        </is>
      </c>
      <c r="BU60" t="inlineStr">
        <is>
          <t>press</t>
        </is>
      </c>
      <c r="BV60" t="n">
        <v>220</v>
      </c>
      <c r="BX60" t="inlineStr">
        <is>
          <t>Michael Bronner</t>
        </is>
      </c>
      <c r="BY60" t="inlineStr">
        <is>
          <t>Stage 3 (entered the top 60). Wikipedia infobox (opened 2026-10-24): Founders Michael Bronner, Nicky Bronner, Kristopher Bronner; Key people Kevin McCarthy (CEO); 70 employees (2025); HQ Boston. Whether the founders still run the brand is not shown.</t>
        </is>
      </c>
      <c r="CA60" t="inlineStr">
        <is>
          <t>Kevin McCarthy</t>
        </is>
      </c>
      <c r="CB60" t="inlineStr">
        <is>
          <t>Kevin</t>
        </is>
      </c>
      <c r="CC60" t="inlineStr">
        <is>
          <t>McCarthy</t>
        </is>
      </c>
      <c r="CD60" t="inlineStr">
        <is>
          <t>CEO</t>
        </is>
      </c>
      <c r="CE60" t="inlineStr">
        <is>
          <t>co-founder or executive</t>
        </is>
      </c>
      <c r="CF60" t="inlineStr">
        <is>
          <t>verified-page</t>
        </is>
      </c>
      <c r="CG60" t="inlineStr">
        <is>
          <t>Wikipedia infobox (opened 2026-10-24) lists him as CEO under Key people; the citation date is not shown. A CEO who is not a founder may own the sampling budget at a brand of 70 people.</t>
        </is>
      </c>
      <c r="CK60" t="inlineStr">
        <is>
          <t>none</t>
        </is>
      </c>
      <c r="CL60" t="n">
        <v>50</v>
      </c>
      <c r="CM60" t="n">
        <v>25</v>
      </c>
      <c r="CN60" t="n">
        <v>8</v>
      </c>
      <c r="CO60" t="n">
        <v>8</v>
      </c>
      <c r="CP60" t="n">
        <v>5</v>
      </c>
      <c r="CQ60" t="n">
        <v>10</v>
      </c>
      <c r="CR60" t="n">
        <v>6</v>
      </c>
      <c r="CS60">
        <f>IF(R60="Y",10,0)</f>
        <v/>
      </c>
      <c r="CT60" t="n">
        <v>-12</v>
      </c>
      <c r="CU60" t="inlineStr">
        <is>
          <t>https://www.instagram.com/unreal.snacks/</t>
        </is>
      </c>
      <c r="CV60" t="inlineStr">
        <is>
          <t>BR2</t>
        </is>
      </c>
      <c r="CW60" t="inlineStr">
        <is>
          <t>BR2:43</t>
        </is>
      </c>
      <c r="CX60" t="inlineStr">
        <is>
          <t>Vegan-certified dark chocolate items per FAQ. HQ not stated on pages opened. Why-now from Shopify publish dates.</t>
        </is>
      </c>
      <c r="CY60" t="inlineStr">
        <is>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is>
      </c>
      <c r="CZ60" t="inlineStr">
        <is>
          <t>https://en.wikipedia.org/wiki/Unreal_Snacks</t>
        </is>
      </c>
      <c r="DA60" t="inlineStr">
        <is>
          <t>stage 3</t>
        </is>
      </c>
      <c r="DC60" t="inlineStr">
        <is>
          <t>press, event or podcast page</t>
        </is>
      </c>
      <c r="DY60">
        <f>IF(ISNUMBER(MATCH(U60,{"queued","contacted","replied","call_booked","call_done","yes_in_principle","materials_sent"},0)),"Y","N")</f>
        <v/>
      </c>
      <c r="DZ60">
        <f>IF(COUNTIFS($AN$2:$AN$1000,AN60,$DY$2:$DY$1000,"Y")+COUNTIFS($AN$2:$AN$1000,AN60,$T$2:$T$1000,"Y")&gt;0,"Y","N")</f>
        <v/>
      </c>
      <c r="EA60">
        <f>IF(AND(U60="new",T60="N",AR60="Y",AQ60="",DZ60="N"),"Y","N")</f>
        <v/>
      </c>
      <c r="EB60">
        <f>IF(EA60&lt;&gt;"Y","N",IF(COUNTIFS($AN$2:$AN$1000,AN60,$EA$2:$EA$1000,"Y",$J$2:$J$1000,"&gt;"&amp;J60)+COUNTIFS($AN$2:$AN$1000,AN60,$EA$2:$EA$1000,"Y",$J$2:$J$1000,J60,$ED$2:$ED$1000,"&lt;"&amp;ED60)=0,"Y","N"))</f>
        <v/>
      </c>
      <c r="EC60">
        <f>IF(Y60="","N",IF(Y60&lt;=10,"Y","N"))</f>
        <v/>
      </c>
      <c r="ED60">
        <f>ROW()-1</f>
        <v/>
      </c>
    </row>
    <row r="61">
      <c r="A61" t="inlineStr">
        <is>
          <t>AB-025</t>
        </is>
      </c>
      <c r="B61" t="inlineStr">
        <is>
          <t>Nantucket Crisps</t>
        </is>
      </c>
      <c r="C61" t="inlineStr">
        <is>
          <t>Hayden</t>
        </is>
      </c>
      <c r="D61" t="inlineStr">
        <is>
          <t>Arnot</t>
        </is>
      </c>
      <c r="E61" t="inlineStr">
        <is>
          <t>Co-founder</t>
        </is>
      </c>
      <c r="F61" t="inlineStr">
        <is>
          <t>https://www.linkedin.com/in/hayden-arnot-ab9457107/</t>
        </is>
      </c>
      <c r="H61" t="inlineStr">
        <is>
          <t>none</t>
        </is>
      </c>
      <c r="I61" t="inlineStr">
        <is>
          <t>linkedin</t>
        </is>
      </c>
      <c r="J61">
        <f>IF(AU61="pass",CM61+CN61+CO61+CP61+CQ61+CR61+CS61+CT61,0)</f>
        <v/>
      </c>
      <c r="K61" t="inlineStr">
        <is>
          <t>Northeast brand (HQ unverified), no graded store within ten blocks, online store only, news 106 days ago, revenue unknown, contact named.</t>
        </is>
      </c>
      <c r="M61" t="inlineStr">
        <is>
          <t>none found within ten blocks</t>
        </is>
      </c>
      <c r="N61" t="inlineStr">
        <is>
          <t>unverified</t>
        </is>
      </c>
      <c r="O61" t="inlineStr">
        <is>
          <t>Brought limited-edition All Time Low collaboration to the Summer Fancy Food Show (NYC); switched to avocado oil and named CEO Paul Nardone (2026-05-28)</t>
        </is>
      </c>
      <c r="P61" t="inlineStr">
        <is>
          <t>https://startupcpg.com/startup-cpg-newswire-nantucket-crisps-brings-limited-edition-all-time-low-collaboration-to-the-summer-fancy-food-show-the-latest-in-a-growing-slate-of-artist-partnerships/</t>
        </is>
      </c>
      <c r="Q61" t="inlineStr">
        <is>
          <t>2026-07-10</t>
        </is>
      </c>
      <c r="R61" t="inlineStr">
        <is>
          <t>N</t>
        </is>
      </c>
      <c r="S61" t="inlineStr">
        <is>
          <t>Y</t>
        </is>
      </c>
      <c r="T61" t="inlineStr">
        <is>
          <t>N</t>
        </is>
      </c>
      <c r="U61" t="inlineStr">
        <is>
          <t>new</t>
        </is>
      </c>
      <c r="V61" t="inlineStr">
        <is>
          <t>https://nantucketcrisps.com/pages/about-us</t>
        </is>
      </c>
      <c r="W61" t="inlineStr">
        <is>
          <t>2026-10-23</t>
        </is>
      </c>
      <c r="X61" t="inlineStr">
        <is>
          <t>brand</t>
        </is>
      </c>
      <c r="Y61">
        <f>IF(EB61&lt;&gt;"Y","",COUNTIFS($EB$2:$EB$1000,"Y",$J$2:$J$1000,"&gt;"&amp;J61)+COUNTIFS($EB$2:$EB$1000,"Y",$J$2:$J$1000,J61,$ED$2:$ED$1000,"&lt;"&amp;ED61)+1)</f>
        <v/>
      </c>
      <c r="Z61" t="n">
        <v>60</v>
      </c>
      <c r="AA61" t="inlineStr">
        <is>
          <t>Y</t>
        </is>
      </c>
      <c r="AC61" t="inlineStr">
        <is>
          <t>founder</t>
        </is>
      </c>
      <c r="AD61" t="inlineStr">
        <is>
          <t>verified-page</t>
        </is>
      </c>
      <c r="AE61" t="inlineStr">
        <is>
          <t>press, event or podcast page</t>
        </is>
      </c>
      <c r="AF61" t="inlineStr">
        <is>
          <t>https://startupcpg.com/14-chip-brands-taking-your-tastebuds-on-a-flavor-tour/</t>
        </is>
      </c>
      <c r="AG61" t="inlineStr">
        <is>
          <t>2026-10-24</t>
        </is>
      </c>
      <c r="AH61" t="inlineStr">
        <is>
          <t>Nantucket Crisps Sconset Sea Salt potato crisps, 1 oz (50-count case)</t>
        </is>
      </c>
      <c r="AI61" t="inlineStr">
        <is>
          <t>chips-crisps</t>
        </is>
      </c>
      <c r="AJ61" t="inlineStr">
        <is>
          <t>Nantucket (unverified, founder to confirm)</t>
        </is>
      </c>
      <c r="AK61" t="inlineStr">
        <is>
          <t>https://nantucketcrisps.com</t>
        </is>
      </c>
      <c r="AL61" t="inlineStr">
        <is>
          <t>N</t>
        </is>
      </c>
      <c r="AN61" t="inlineStr">
        <is>
          <t>AB-025</t>
        </is>
      </c>
      <c r="AO61" t="inlineStr">
        <is>
          <t>N</t>
        </is>
      </c>
      <c r="AR61">
        <f>IF(AND(AU61="pass",AO61&lt;&gt;"Y",C61&lt;&gt;""),"Y","N")</f>
        <v/>
      </c>
      <c r="AS61">
        <f>_xlfn.TEXTJOIN("; ",TRUE,IF(AU61&lt;&gt;"pass","gated out",""),IF(AO61="Y","on hold: "&amp;AP61,""),IF(C61="","no contact named on an opened page",""))</f>
        <v/>
      </c>
      <c r="AU61" t="inlineStr">
        <is>
          <t>pass</t>
        </is>
      </c>
      <c r="AW61" t="inlineStr">
        <is>
          <t>passes all hard gates</t>
        </is>
      </c>
      <c r="AY61" t="inlineStr">
        <is>
          <t>https://nantucketcrisps.com</t>
        </is>
      </c>
      <c r="AZ61" t="inlineStr">
        <is>
          <t>MA</t>
        </is>
      </c>
      <c r="BA61" t="inlineStr">
        <is>
          <t>northeast (unverified)</t>
        </is>
      </c>
      <c r="BB61" t="inlineStr">
        <is>
          <t>unknown</t>
        </is>
      </c>
      <c r="BD61" t="inlineStr">
        <is>
          <t>Y</t>
        </is>
      </c>
      <c r="BE61" t="inlineStr">
        <is>
          <t>Kettle potato crisps in sealed bags, ambient</t>
        </is>
      </c>
      <c r="BF61" t="inlineStr">
        <is>
          <t>Y</t>
        </is>
      </c>
      <c r="BG61" t="inlineStr">
        <is>
          <t>Y</t>
        </is>
      </c>
      <c r="BH61" t="inlineStr">
        <is>
          <t>unknown</t>
        </is>
      </c>
      <c r="BJ61" t="inlineStr">
        <is>
          <t>unknown</t>
        </is>
      </c>
      <c r="BK61" t="inlineStr">
        <is>
          <t>N</t>
        </is>
      </c>
      <c r="BL61" t="inlineStr">
        <is>
          <t>N</t>
        </is>
      </c>
      <c r="BO61" t="inlineStr">
        <is>
          <t>N</t>
        </is>
      </c>
      <c r="BP61" t="n">
        <v>0</v>
      </c>
      <c r="BS61" t="inlineStr">
        <is>
          <t>Winn-Dixie; Stop &amp; Shop; Roche Bros; MOM's Organic Market; Wakefern/ShopRite; Market Basket; Grocery Outlet; Raley's; King's/Balducci's; Central Market; TJ Maxx; Marshalls; HomeGoods; Burlington; 7-Eleven; Cumberland Farms (Startup CPG, 2026-07-21)</t>
        </is>
      </c>
      <c r="BT61" t="inlineStr">
        <is>
          <t>https://startupcpg.com/14-chip-brands-taking-your-tastebuds-on-a-flavor-tour/ (retailer list); https://www.wholefoodsmarket.com/search?text=nantucket%20crisps (no WFM results in cluster stores, 2026-10-23)</t>
        </is>
      </c>
      <c r="BU61" t="inlineStr">
        <is>
          <t>press</t>
        </is>
      </c>
      <c r="BV61" t="n">
        <v>106</v>
      </c>
      <c r="BW61" t="inlineStr">
        <is>
          <t>https://startupcpg.com/14-chip-brands-taking-your-tastebuds-on-a-flavor-tour/</t>
        </is>
      </c>
      <c r="BX61" t="inlineStr">
        <is>
          <t>Hayden Arnot</t>
        </is>
      </c>
      <c r="BY61" t="inlineStr">
        <is>
          <t>Startup CPG roundup lists "Founders: Hayden Arnot" and links this LinkedIn URL; LinkedIn not opened. The Org (updated 2026-06-06): Co-Founder since 2022.</t>
        </is>
      </c>
      <c r="BZ61" t="inlineStr">
        <is>
          <t>listed on an opened page or in search results; LinkedIn itself not opened</t>
        </is>
      </c>
      <c r="CA61" t="inlineStr">
        <is>
          <t>Paul Nardone</t>
        </is>
      </c>
      <c r="CB61" t="inlineStr">
        <is>
          <t>Paul</t>
        </is>
      </c>
      <c r="CC61" t="inlineStr">
        <is>
          <t>Nardone</t>
        </is>
      </c>
      <c r="CD61" t="inlineStr">
        <is>
          <t>CEO</t>
        </is>
      </c>
      <c r="CE61" t="inlineStr">
        <is>
          <t>co-founder or executive</t>
        </is>
      </c>
      <c r="CF61" t="inlineStr">
        <is>
          <t>verified-page</t>
        </is>
      </c>
      <c r="CG61" t="inlineStr">
        <is>
          <t>Release (2026-05): named CEO. Stage 1 had him in the marketing slot; CEO is the likely budget owner.</t>
        </is>
      </c>
      <c r="CK61" t="inlineStr">
        <is>
          <t>none</t>
        </is>
      </c>
      <c r="CL61" t="n">
        <v>50</v>
      </c>
      <c r="CM61" t="n">
        <v>6</v>
      </c>
      <c r="CN61" t="n">
        <v>8</v>
      </c>
      <c r="CO61" t="n">
        <v>15</v>
      </c>
      <c r="CP61" t="n">
        <v>5</v>
      </c>
      <c r="CQ61" t="n">
        <v>10</v>
      </c>
      <c r="CR61" t="n">
        <v>6</v>
      </c>
      <c r="CS61">
        <f>IF(R61="Y",10,0)</f>
        <v/>
      </c>
      <c r="CT61" t="n">
        <v>0</v>
      </c>
      <c r="CU61" t="inlineStr">
        <is>
          <t>unknown</t>
        </is>
      </c>
      <c r="CV61" t="inlineStr">
        <is>
          <t>BR1</t>
        </is>
      </c>
      <c r="CW61" t="inlineStr">
        <is>
          <t>BR1:26</t>
        </is>
      </c>
      <c r="CX61" t="inlineStr">
        <is>
          <t>May 2026 NOSH release (seen in search results; unverified) names Paul Nardone CEO, consistent with the existing marketing_name/title cells; the Al Greer interim-CEO listing is probably stale.</t>
        </is>
      </c>
      <c r="CY61" t="inlineStr">
        <is>
          <t xml:space="preserve">notes &lt;- https://www.linkedin.com/in/al-greer-558ab533/ (2026-10-24, snippet-unverified); notes &lt;- https://www.nosh.com/pr/2026/05/18/nantucket-crisps-transitions-brand-platform-to-avocado-oil-and-names-cpg-industry-veteran-paul-nardone-ceo (2026-10-24, snippet-unverified); </t>
        </is>
      </c>
      <c r="CZ61" t="inlineStr">
        <is>
          <t>https://startupcpg.com/nantucket-crisps-transitions-brand-platform-to-avocado-oil-and-names-cpg-industry-veteran-paul-nardone-ceo/</t>
        </is>
      </c>
      <c r="DA61" t="inlineStr">
        <is>
          <t>stage 2</t>
        </is>
      </c>
      <c r="DB61" t="inlineStr">
        <is>
          <t>2026-06-06</t>
        </is>
      </c>
      <c r="DC61" t="inlineStr">
        <is>
          <t>press, event or podcast page</t>
        </is>
      </c>
      <c r="DY61">
        <f>IF(ISNUMBER(MATCH(U61,{"queued","contacted","replied","call_booked","call_done","yes_in_principle","materials_sent"},0)),"Y","N")</f>
        <v/>
      </c>
      <c r="DZ61">
        <f>IF(COUNTIFS($AN$2:$AN$1000,AN61,$DY$2:$DY$1000,"Y")+COUNTIFS($AN$2:$AN$1000,AN61,$T$2:$T$1000,"Y")&gt;0,"Y","N")</f>
        <v/>
      </c>
      <c r="EA61">
        <f>IF(AND(U61="new",T61="N",AR61="Y",AQ61="",DZ61="N"),"Y","N")</f>
        <v/>
      </c>
      <c r="EB61">
        <f>IF(EA61&lt;&gt;"Y","N",IF(COUNTIFS($AN$2:$AN$1000,AN61,$EA$2:$EA$1000,"Y",$J$2:$J$1000,"&gt;"&amp;J61)+COUNTIFS($AN$2:$AN$1000,AN61,$EA$2:$EA$1000,"Y",$J$2:$J$1000,J61,$ED$2:$ED$1000,"&lt;"&amp;ED61)=0,"Y","N"))</f>
        <v/>
      </c>
      <c r="EC61">
        <f>IF(Y61="","N",IF(Y61&lt;=10,"Y","N"))</f>
        <v/>
      </c>
      <c r="ED61">
        <f>ROW()-1</f>
        <v/>
      </c>
    </row>
    <row r="62">
      <c r="A62" t="inlineStr">
        <is>
          <t>AB-118</t>
        </is>
      </c>
      <c r="B62" t="inlineStr">
        <is>
          <t>Good Word Foods</t>
        </is>
      </c>
      <c r="C62" t="inlineStr">
        <is>
          <t>Brad</t>
        </is>
      </c>
      <c r="D62" t="inlineStr">
        <is>
          <t>Snedden</t>
        </is>
      </c>
      <c r="E62" t="inlineStr">
        <is>
          <t>Founder and CEO</t>
        </is>
      </c>
      <c r="H62" t="inlineStr">
        <is>
          <t>none</t>
        </is>
      </c>
      <c r="I62" t="inlineStr">
        <is>
          <t>linkedin</t>
        </is>
      </c>
      <c r="J62">
        <f>IF(AU62="pass",CM62+CN62+CO62+CP62+CQ62+CR62+CS62+CT62,0)</f>
        <v/>
      </c>
      <c r="K62" t="inlineStr">
        <is>
          <t>Brand based outside the Northeast, store page shows Whole Foods Market NoMad inside the cluster, a new store listing 275 days ago, revenue unknown, contact named; founder review: claim-borderline.</t>
        </is>
      </c>
      <c r="M62" t="inlineStr">
        <is>
          <t>Whole Foods Market NoMad, 63 Madison Ave</t>
        </is>
      </c>
      <c r="N62" t="inlineStr">
        <is>
          <t>store_selector</t>
        </is>
      </c>
      <c r="O62" t="inlineStr">
        <is>
          <t>Launched Protein Squares, Jan 2026 (brand about page: 'This year we're finally launching something new')</t>
        </is>
      </c>
      <c r="P62" t="inlineStr">
        <is>
          <t>https://www.goodwordfoods.com/pages/about</t>
        </is>
      </c>
      <c r="Q62" t="inlineStr">
        <is>
          <t>2026-01-22</t>
        </is>
      </c>
      <c r="R62" t="inlineStr">
        <is>
          <t>N</t>
        </is>
      </c>
      <c r="S62" t="inlineStr">
        <is>
          <t>unknown</t>
        </is>
      </c>
      <c r="T62" t="inlineStr">
        <is>
          <t>N</t>
        </is>
      </c>
      <c r="U62" t="inlineStr">
        <is>
          <t>new</t>
        </is>
      </c>
      <c r="V62" t="inlineStr">
        <is>
          <t>https://www.goodwordfoods.com/pages/about</t>
        </is>
      </c>
      <c r="W62" t="inlineStr">
        <is>
          <t>2026-10-23</t>
        </is>
      </c>
      <c r="X62" t="inlineStr">
        <is>
          <t>brand</t>
        </is>
      </c>
      <c r="Y62">
        <f>IF(EB62&lt;&gt;"Y","",COUNTIFS($EB$2:$EB$1000,"Y",$J$2:$J$1000,"&gt;"&amp;J62)+COUNTIFS($EB$2:$EB$1000,"Y",$J$2:$J$1000,J62,$ED$2:$ED$1000,"&lt;"&amp;ED62)+1)</f>
        <v/>
      </c>
      <c r="Z62" t="n">
        <v>61</v>
      </c>
      <c r="AA62" t="inlineStr">
        <is>
          <t>N</t>
        </is>
      </c>
      <c r="AB62" t="inlineStr">
        <is>
          <t>find Brad Snedden at Good Word Foods on LinkedIn and paste the profile URL; before using the retailer line, check Whole Foods Market NoMad still lists it: https://www.wholefoodsmarket.com/search?text=Good%20Word%20Foods with your store set to NoMad (catalogs change daily); founder review (claim-borderline): read founder_review_reason first</t>
        </is>
      </c>
      <c r="AC62" t="inlineStr">
        <is>
          <t>founder</t>
        </is>
      </c>
      <c r="AD62" t="inlineStr">
        <is>
          <t>verified-page</t>
        </is>
      </c>
      <c r="AE62" t="inlineStr">
        <is>
          <t>press, event or podcast page</t>
        </is>
      </c>
      <c r="AF62" t="inlineStr">
        <is>
          <t>https://commercialbaking.com/good-word-expands-distribution-to-whole-foods-nationwide/</t>
        </is>
      </c>
      <c r="AG62" t="inlineStr">
        <is>
          <t>2026-10-23</t>
        </is>
      </c>
      <c r="AH62" t="inlineStr">
        <is>
          <t>Chocolate Chip Protein Cookie 1.69 oz; Protein Squares</t>
        </is>
      </c>
      <c r="AI62" t="inlineStr">
        <is>
          <t>cookies-baked</t>
        </is>
      </c>
      <c r="AJ62" t="inlineStr">
        <is>
          <t>Austin</t>
        </is>
      </c>
      <c r="AK62" t="inlineStr">
        <is>
          <t>https://www.goodwordfoods.com</t>
        </is>
      </c>
      <c r="AL62" t="inlineStr">
        <is>
          <t>Y</t>
        </is>
      </c>
      <c r="AM62" t="inlineStr">
        <is>
          <t>Protein cookie (nutrient-content positioning)</t>
        </is>
      </c>
      <c r="AN62" t="inlineStr">
        <is>
          <t>AB-118</t>
        </is>
      </c>
      <c r="AO62" t="inlineStr">
        <is>
          <t>N</t>
        </is>
      </c>
      <c r="AR62">
        <f>IF(AND(AU62="pass",AO62&lt;&gt;"Y",C62&lt;&gt;""),"Y","N")</f>
        <v/>
      </c>
      <c r="AS62">
        <f>_xlfn.TEXTJOIN("; ",TRUE,IF(AU62&lt;&gt;"pass","gated out",""),IF(AO62="Y","on hold: "&amp;AP62,""),IF(C62="","no contact named on an opened page",""))</f>
        <v/>
      </c>
      <c r="AU62" t="inlineStr">
        <is>
          <t>pass</t>
        </is>
      </c>
      <c r="AW62" t="inlineStr">
        <is>
          <t>passes all hard gates</t>
        </is>
      </c>
      <c r="AX62" t="inlineStr">
        <is>
          <t>claim-borderline</t>
        </is>
      </c>
      <c r="AY62" t="inlineStr">
        <is>
          <t>https://www.goodwordfoods.com</t>
        </is>
      </c>
      <c r="AZ62" t="inlineStr">
        <is>
          <t>TX</t>
        </is>
      </c>
      <c r="BA62" t="inlineStr">
        <is>
          <t>elsewhere</t>
        </is>
      </c>
      <c r="BB62" t="inlineStr">
        <is>
          <t>unknown</t>
        </is>
      </c>
      <c r="BD62" t="inlineStr">
        <is>
          <t>Y</t>
        </is>
      </c>
      <c r="BE62" t="inlineStr">
        <is>
          <t>Brand FAQ: keep in a cool, dry place and they stay soft 'for the full shelf life' (ambient storage; length not stated)</t>
        </is>
      </c>
      <c r="BF62" t="inlineStr">
        <is>
          <t>Y</t>
        </is>
      </c>
      <c r="BG62" t="inlineStr">
        <is>
          <t>Y</t>
        </is>
      </c>
      <c r="BH62" t="inlineStr">
        <is>
          <t>unknown</t>
        </is>
      </c>
      <c r="BJ62" t="inlineStr">
        <is>
          <t>unknown</t>
        </is>
      </c>
      <c r="BK62" t="inlineStr">
        <is>
          <t>N</t>
        </is>
      </c>
      <c r="BL62" t="inlineStr">
        <is>
          <t>N</t>
        </is>
      </c>
      <c r="BN62" t="n">
        <v>0</v>
      </c>
      <c r="BO62" t="inlineStr">
        <is>
          <t>Y</t>
        </is>
      </c>
      <c r="BP62" t="n">
        <v>3</v>
      </c>
      <c r="BQ62" t="inlineStr">
        <is>
          <t>Whole Foods Market NoMad, 63 Madison Ave (store_selector, inside);Whole Foods Market Union Square, 4 Union Sq S (store_selector, inside);Whole Foods Market Chelsea, 250 7th Ave (store_selector, 3.0 blocks out)</t>
        </is>
      </c>
      <c r="BS62" t="inlineStr">
        <is>
          <t>Whole Foods; Amazon (brand find-us page)</t>
        </is>
      </c>
      <c r="BT62" t="inlineStr">
        <is>
          <t>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is>
      </c>
      <c r="BU62" t="inlineStr">
        <is>
          <t>listing</t>
        </is>
      </c>
      <c r="BV62" t="n">
        <v>275</v>
      </c>
      <c r="BX62" t="inlineStr">
        <is>
          <t>Brad Snedden</t>
        </is>
      </c>
      <c r="CF62" t="inlineStr">
        <is>
          <t>none</t>
        </is>
      </c>
      <c r="CK62" t="inlineStr">
        <is>
          <t>none</t>
        </is>
      </c>
      <c r="CL62" t="n">
        <v>49</v>
      </c>
      <c r="CM62" t="n">
        <v>25</v>
      </c>
      <c r="CN62" t="n">
        <v>3</v>
      </c>
      <c r="CO62" t="n">
        <v>4</v>
      </c>
      <c r="CP62" t="n">
        <v>5</v>
      </c>
      <c r="CQ62" t="n">
        <v>10</v>
      </c>
      <c r="CR62" t="n">
        <v>6</v>
      </c>
      <c r="CS62">
        <f>IF(R62="Y",10,0)</f>
        <v/>
      </c>
      <c r="CT62" t="n">
        <v>-4</v>
      </c>
      <c r="CU62" t="inlineStr">
        <is>
          <t>https://www.instagram.com/goodwordfoods/</t>
        </is>
      </c>
      <c r="CV62" t="inlineStr">
        <is>
          <t>BR2</t>
        </is>
      </c>
      <c r="CW62" t="inlineStr">
        <is>
          <t>BR2:56</t>
        </is>
      </c>
      <c r="CX62" t="inlineStr">
        <is>
          <t>Got into Whole Foods via a local forager in 2019. Brand Stockist locator also lists all three cluster WFM stores. Gluten-free, grain-free. Why-now date from the Shopify publish date of Protein Squares; launch wording from brand about page.</t>
        </is>
      </c>
      <c r="CY62" t="inlineStr">
        <is>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is>
      </c>
      <c r="DA62" t="inlineStr">
        <is>
          <t>stage 1 only</t>
        </is>
      </c>
      <c r="DY62">
        <f>IF(ISNUMBER(MATCH(U62,{"queued","contacted","replied","call_booked","call_done","yes_in_principle","materials_sent"},0)),"Y","N")</f>
        <v/>
      </c>
      <c r="DZ62">
        <f>IF(COUNTIFS($AN$2:$AN$1000,AN62,$DY$2:$DY$1000,"Y")+COUNTIFS($AN$2:$AN$1000,AN62,$T$2:$T$1000,"Y")&gt;0,"Y","N")</f>
        <v/>
      </c>
      <c r="EA62">
        <f>IF(AND(U62="new",T62="N",AR62="Y",AQ62="",DZ62="N"),"Y","N")</f>
        <v/>
      </c>
      <c r="EB62">
        <f>IF(EA62&lt;&gt;"Y","N",IF(COUNTIFS($AN$2:$AN$1000,AN62,$EA$2:$EA$1000,"Y",$J$2:$J$1000,"&gt;"&amp;J62)+COUNTIFS($AN$2:$AN$1000,AN62,$EA$2:$EA$1000,"Y",$J$2:$J$1000,J62,$ED$2:$ED$1000,"&lt;"&amp;ED62)=0,"Y","N"))</f>
        <v/>
      </c>
      <c r="EC62">
        <f>IF(Y62="","N",IF(Y62&lt;=10,"Y","N"))</f>
        <v/>
      </c>
      <c r="ED62">
        <f>ROW()-1</f>
        <v/>
      </c>
    </row>
    <row r="63">
      <c r="A63" t="inlineStr">
        <is>
          <t>AB-146</t>
        </is>
      </c>
      <c r="B63" t="inlineStr">
        <is>
          <t>St. Agrestis (Phony Negroni)</t>
        </is>
      </c>
      <c r="C63" t="inlineStr">
        <is>
          <t>Steven</t>
        </is>
      </c>
      <c r="D63" t="inlineStr">
        <is>
          <t>DeAngelo</t>
        </is>
      </c>
      <c r="E63" t="inlineStr">
        <is>
          <t>Principal and Founder</t>
        </is>
      </c>
      <c r="H63" t="inlineStr">
        <is>
          <t>none</t>
        </is>
      </c>
      <c r="I63" t="inlineStr">
        <is>
          <t>linkedin</t>
        </is>
      </c>
      <c r="J63">
        <f>IF(AU63="pass",CM63+CN63+CO63+CP63+CQ63+CR63+CS63+CT63,0)</f>
        <v/>
      </c>
      <c r="K63" t="inlineStr">
        <is>
          <t>New York City brand, brand locator shows Eataly NYC Flatiron inside the cluster, news 178 days ago, revenue unknown, contact named; founder review: owner, alcohol-adjacent, claim-borderline, scale.</t>
        </is>
      </c>
      <c r="M63" t="inlineStr">
        <is>
          <t>Eataly NYC Flatiron, 200 5th Ave</t>
        </is>
      </c>
      <c r="N63" t="inlineStr">
        <is>
          <t>brand_claim</t>
        </is>
      </c>
      <c r="O63" t="inlineStr">
        <is>
          <t>The Wine Group (Ripon, CA) acquired the Phony Negroni non-alcoholic line (and Amaro Falso) from St. Agrestis; founders stay on near term; St. Agrestis portfolio in 7,000+ doors</t>
        </is>
      </c>
      <c r="P63" t="inlineStr">
        <is>
          <t>https://www.thewinegroup.com/the-wine-group-acquires-phony-negroni-non-alcoholic-brand/</t>
        </is>
      </c>
      <c r="Q63" t="inlineStr">
        <is>
          <t>2026-04-29</t>
        </is>
      </c>
      <c r="R63" t="inlineStr">
        <is>
          <t>N</t>
        </is>
      </c>
      <c r="S63" t="inlineStr">
        <is>
          <t>unknown</t>
        </is>
      </c>
      <c r="T63" t="inlineStr">
        <is>
          <t>N</t>
        </is>
      </c>
      <c r="U63" t="inlineStr">
        <is>
          <t>new</t>
        </is>
      </c>
      <c r="V63" t="inlineStr">
        <is>
          <t>https://stagrestis.com/pages/find-st-agrestis</t>
        </is>
      </c>
      <c r="W63" t="inlineStr">
        <is>
          <t>2026-10-23</t>
        </is>
      </c>
      <c r="X63" t="inlineStr">
        <is>
          <t>brand</t>
        </is>
      </c>
      <c r="Y63">
        <f>IF(EB63&lt;&gt;"Y","",COUNTIFS($EB$2:$EB$1000,"Y",$J$2:$J$1000,"&gt;"&amp;J63)+COUNTIFS($EB$2:$EB$1000,"Y",$J$2:$J$1000,J63,$ED$2:$ED$1000,"&lt;"&amp;ED63)+1)</f>
        <v/>
      </c>
      <c r="Z63" t="n">
        <v>62</v>
      </c>
      <c r="AA63" t="inlineStr">
        <is>
          <t>N</t>
        </is>
      </c>
      <c r="AB63" t="inlineStr">
        <is>
          <t>find Steven DeAngelo at St. Agrestis (Phony Negroni) on LinkedIn and paste the profile URL; the retailer line rests on the brand's own store locator: say 'your store locator lists ...'; founder review (owner, alcohol-adjacent, claim-borderline, scale): read founder_review_reason first</t>
        </is>
      </c>
      <c r="AC63" t="inlineStr">
        <is>
          <t>founder</t>
        </is>
      </c>
      <c r="AD63" t="inlineStr">
        <is>
          <t>verified-page</t>
        </is>
      </c>
      <c r="AE63" t="inlineStr">
        <is>
          <t>press, event or podcast page</t>
        </is>
      </c>
      <c r="AF63" t="inlineStr">
        <is>
          <t>https://www.thewinegroup.com/the-wine-group-acquires-phony-negroni-non-alcoholic-brand/</t>
        </is>
      </c>
      <c r="AG63" t="inlineStr">
        <is>
          <t>2026-10-23</t>
        </is>
      </c>
      <c r="AH63" t="inlineStr">
        <is>
          <t>Non-Alcoholic Phony Negroni, 200 ml single-serve bottle</t>
        </is>
      </c>
      <c r="AI63" t="inlineStr">
        <is>
          <t>other-drink</t>
        </is>
      </c>
      <c r="AJ63" t="inlineStr">
        <is>
          <t>Brooklyn</t>
        </is>
      </c>
      <c r="AK63" t="inlineStr">
        <is>
          <t>https://stagrestis.com</t>
        </is>
      </c>
      <c r="AL63" t="inlineStr">
        <is>
          <t>Y</t>
        </is>
      </c>
      <c r="AM63" t="inlineStr">
        <is>
          <t>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is>
      </c>
      <c r="AN63" t="inlineStr">
        <is>
          <t>AB-146</t>
        </is>
      </c>
      <c r="AO63" t="inlineStr">
        <is>
          <t>N</t>
        </is>
      </c>
      <c r="AR63">
        <f>IF(AND(AU63="pass",AO63&lt;&gt;"Y",C63&lt;&gt;""),"Y","N")</f>
        <v/>
      </c>
      <c r="AS63">
        <f>_xlfn.TEXTJOIN("; ",TRUE,IF(AU63&lt;&gt;"pass","gated out",""),IF(AO63="Y","on hold: "&amp;AP63,""),IF(C63="","no contact named on an opened page",""))</f>
        <v/>
      </c>
      <c r="AU63" t="inlineStr">
        <is>
          <t>pass</t>
        </is>
      </c>
      <c r="AW63" t="inlineStr">
        <is>
          <t>passes all hard gates</t>
        </is>
      </c>
      <c r="AX63" t="inlineStr">
        <is>
          <t>owner;alcohol-adjacent;claim-borderline;scale</t>
        </is>
      </c>
      <c r="AY63" t="inlineStr">
        <is>
          <t>https://stagrestis.com</t>
        </is>
      </c>
      <c r="AZ63" t="inlineStr">
        <is>
          <t>NY</t>
        </is>
      </c>
      <c r="BA63" t="inlineStr">
        <is>
          <t>nyc</t>
        </is>
      </c>
      <c r="BB63" t="inlineStr">
        <is>
          <t>unknown</t>
        </is>
      </c>
      <c r="BD63" t="inlineStr">
        <is>
          <t>unknown</t>
        </is>
      </c>
      <c r="BE63" t="inlineStr">
        <is>
          <t>No storage statement found; founder to confirm</t>
        </is>
      </c>
      <c r="BF63" t="inlineStr">
        <is>
          <t>Y</t>
        </is>
      </c>
      <c r="BG63" t="inlineStr">
        <is>
          <t>Y</t>
        </is>
      </c>
      <c r="BH63" t="inlineStr">
        <is>
          <t>unknown</t>
        </is>
      </c>
      <c r="BJ63" t="inlineStr">
        <is>
          <t>No public sales figure found</t>
        </is>
      </c>
      <c r="BK63" t="inlineStr">
        <is>
          <t>N</t>
        </is>
      </c>
      <c r="BL63" t="inlineStr">
        <is>
          <t>N</t>
        </is>
      </c>
      <c r="BN63" t="n">
        <v>0</v>
      </c>
      <c r="BO63" t="inlineStr">
        <is>
          <t>Y</t>
        </is>
      </c>
      <c r="BP63" t="n">
        <v>2</v>
      </c>
      <c r="BQ63" t="inlineStr">
        <is>
          <t>Eataly NYC Flatiron, 200 5th Ave (brand_claim, inside);L Express, 249 Park Ave S (brand_claim, inside)</t>
        </is>
      </c>
      <c r="BS63" t="inlineStr">
        <is>
          <t>Eataly; bars, restaurants and bottle shops (Stockist locator: 451 points, 154 near the cluster)</t>
        </is>
      </c>
      <c r="BT63" t="inlineStr">
        <is>
          <t>https://stagrestis.com/pages/find-st-agrestis; https://stockist.co/api/v1/u25133/locations/search?latitude=40.7400&amp;longitude=-73.9900&amp;distance=3</t>
        </is>
      </c>
      <c r="BU63" t="inlineStr">
        <is>
          <t>press</t>
        </is>
      </c>
      <c r="BV63" t="n">
        <v>178</v>
      </c>
      <c r="BX63" t="inlineStr">
        <is>
          <t>Steven DeAngelo</t>
        </is>
      </c>
      <c r="CA63" t="inlineStr">
        <is>
          <t>Helen Kurtz</t>
        </is>
      </c>
      <c r="CB63" t="inlineStr">
        <is>
          <t>Helen</t>
        </is>
      </c>
      <c r="CC63" t="inlineStr">
        <is>
          <t>Kurtz</t>
        </is>
      </c>
      <c r="CD63" t="inlineStr">
        <is>
          <t>Chief Marketing Officer, The Wine Group</t>
        </is>
      </c>
      <c r="CE63" t="inlineStr">
        <is>
          <t>marketing</t>
        </is>
      </c>
      <c r="CF63" t="inlineStr">
        <is>
          <t>verified-page</t>
        </is>
      </c>
      <c r="CG63" t="inlineStr">
        <is>
          <t>The Wine Group</t>
        </is>
      </c>
      <c r="CK63" t="inlineStr">
        <is>
          <t>none</t>
        </is>
      </c>
      <c r="CL63" t="n">
        <v>49</v>
      </c>
      <c r="CM63" t="n">
        <v>17</v>
      </c>
      <c r="CN63" t="n">
        <v>20</v>
      </c>
      <c r="CO63" t="n">
        <v>15</v>
      </c>
      <c r="CP63" t="n">
        <v>5</v>
      </c>
      <c r="CQ63" t="n">
        <v>7</v>
      </c>
      <c r="CR63" t="n">
        <v>10</v>
      </c>
      <c r="CS63">
        <f>IF(R63="Y",10,0)</f>
        <v/>
      </c>
      <c r="CT63" t="n">
        <v>-25</v>
      </c>
      <c r="CU63" t="inlineStr">
        <is>
          <t>https://www.instagram.com/st_agrestis</t>
        </is>
      </c>
      <c r="CV63" t="inlineStr">
        <is>
          <t>BR3</t>
        </is>
      </c>
      <c r="CW63" t="inlineStr">
        <is>
          <t>BR3:20</t>
        </is>
      </c>
      <c r="CX63" t="inlineStr">
        <is>
          <t>Site: 'Greenpoint, Brooklyn', 'Made in Brooklyn'; press page cites Wirecutter, Washington Post, BevNET. Stockist query 2026-10-23. Date is Shopify publish date.</t>
        </is>
      </c>
      <c r="CY63" t="inlineStr">
        <is>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is>
      </c>
      <c r="CZ63" t="inlineStr">
        <is>
          <t>https://www.thewinegroup.com/the-wine-group-acquires-phony-negroni-non-alcoholic-brand/</t>
        </is>
      </c>
      <c r="DA63" t="inlineStr">
        <is>
          <t>stage 1 only</t>
        </is>
      </c>
      <c r="DC63" t="inlineStr">
        <is>
          <t>press, event or podcast page</t>
        </is>
      </c>
      <c r="DY63">
        <f>IF(ISNUMBER(MATCH(U63,{"queued","contacted","replied","call_booked","call_done","yes_in_principle","materials_sent"},0)),"Y","N")</f>
        <v/>
      </c>
      <c r="DZ63">
        <f>IF(COUNTIFS($AN$2:$AN$1000,AN63,$DY$2:$DY$1000,"Y")+COUNTIFS($AN$2:$AN$1000,AN63,$T$2:$T$1000,"Y")&gt;0,"Y","N")</f>
        <v/>
      </c>
      <c r="EA63">
        <f>IF(AND(U63="new",T63="N",AR63="Y",AQ63="",DZ63="N"),"Y","N")</f>
        <v/>
      </c>
      <c r="EB63">
        <f>IF(EA63&lt;&gt;"Y","N",IF(COUNTIFS($AN$2:$AN$1000,AN63,$EA$2:$EA$1000,"Y",$J$2:$J$1000,"&gt;"&amp;J63)+COUNTIFS($AN$2:$AN$1000,AN63,$EA$2:$EA$1000,"Y",$J$2:$J$1000,J63,$ED$2:$ED$1000,"&lt;"&amp;ED63)=0,"Y","N"))</f>
        <v/>
      </c>
      <c r="EC63">
        <f>IF(Y63="","N",IF(Y63&lt;=10,"Y","N"))</f>
        <v/>
      </c>
      <c r="ED63">
        <f>ROW()-1</f>
        <v/>
      </c>
    </row>
    <row r="64">
      <c r="A64" t="inlineStr">
        <is>
          <t>AB-035</t>
        </is>
      </c>
      <c r="B64" t="inlineStr">
        <is>
          <t>Veggie Vice</t>
        </is>
      </c>
      <c r="C64" t="inlineStr">
        <is>
          <t>Riddhima</t>
        </is>
      </c>
      <c r="D64" t="inlineStr">
        <is>
          <t>unknown</t>
        </is>
      </c>
      <c r="E64" t="inlineStr">
        <is>
          <t>Founder (exact title not stated)</t>
        </is>
      </c>
      <c r="H64" t="inlineStr">
        <is>
          <t>none</t>
        </is>
      </c>
      <c r="I64" t="inlineStr">
        <is>
          <t>linkedin</t>
        </is>
      </c>
      <c r="J64">
        <f>IF(AU64="pass",CM64+CN64+CO64+CP64+CQ64+CR64+CS64+CT64,0)</f>
        <v/>
      </c>
      <c r="K64" t="inlineStr">
        <is>
          <t>Northeast brand, brand locator shows Rooted inside the cluster, a new store listing 4 days ago, revenue unknown, contact named (first name only).</t>
        </is>
      </c>
      <c r="M64" t="inlineStr">
        <is>
          <t>Rooted, 38 E 23rd St</t>
        </is>
      </c>
      <c r="N64" t="inlineStr">
        <is>
          <t>brand_claim</t>
        </is>
      </c>
      <c r="O64" t="inlineStr">
        <is>
          <t>Launched Bell Pepper Chips (Sea Salt) on brand store</t>
        </is>
      </c>
      <c r="P64" t="inlineStr">
        <is>
          <t>https://www.veggievice.com/products/bell-pepper-chips</t>
        </is>
      </c>
      <c r="Q64" t="inlineStr">
        <is>
          <t>2026-10-20</t>
        </is>
      </c>
      <c r="R64" t="inlineStr">
        <is>
          <t>N</t>
        </is>
      </c>
      <c r="S64" t="inlineStr">
        <is>
          <t>unknown</t>
        </is>
      </c>
      <c r="T64" t="inlineStr">
        <is>
          <t>N</t>
        </is>
      </c>
      <c r="U64" t="inlineStr">
        <is>
          <t>new</t>
        </is>
      </c>
      <c r="V64" t="inlineStr">
        <is>
          <t>https://www.veggievice.com/</t>
        </is>
      </c>
      <c r="W64" t="inlineStr">
        <is>
          <t>2026-10-23</t>
        </is>
      </c>
      <c r="X64" t="inlineStr">
        <is>
          <t>brand</t>
        </is>
      </c>
      <c r="Y64">
        <f>IF(EB64&lt;&gt;"Y","",COUNTIFS($EB$2:$EB$1000,"Y",$J$2:$J$1000,"&gt;"&amp;J64)+COUNTIFS($EB$2:$EB$1000,"Y",$J$2:$J$1000,J64,$ED$2:$ED$1000,"&lt;"&amp;ED64)+1)</f>
        <v/>
      </c>
      <c r="Z64" t="n">
        <v>63</v>
      </c>
      <c r="AA64" t="inlineStr">
        <is>
          <t>N</t>
        </is>
      </c>
      <c r="AB64" t="inlineStr">
        <is>
          <t>find Riddhima at Veggie Vice on LinkedIn and paste the profile URL; surname not public: take it from LinkedIn; the retailer line rests on the brand's own store locator: say 'your store locator lists ...'</t>
        </is>
      </c>
      <c r="AC64" t="inlineStr">
        <is>
          <t>founder</t>
        </is>
      </c>
      <c r="AD64" t="inlineStr">
        <is>
          <t>first-name-only</t>
        </is>
      </c>
      <c r="AE64" t="inlineStr">
        <is>
          <t>unknown</t>
        </is>
      </c>
      <c r="AG64" t="inlineStr">
        <is>
          <t>2026-10-23</t>
        </is>
      </c>
      <c r="AH64" t="inlineStr">
        <is>
          <t>Veggie Vice Zucchini Chips, Sea Salt ($6.99 bag); new Bell Pepper Chips</t>
        </is>
      </c>
      <c r="AI64" t="inlineStr">
        <is>
          <t>chips-crisps</t>
        </is>
      </c>
      <c r="AJ64" t="inlineStr">
        <is>
          <t>East Windsor</t>
        </is>
      </c>
      <c r="AK64" t="inlineStr">
        <is>
          <t>https://www.veggievice.com</t>
        </is>
      </c>
      <c r="AL64" t="inlineStr">
        <is>
          <t>N</t>
        </is>
      </c>
      <c r="AN64" t="inlineStr">
        <is>
          <t>AB-035</t>
        </is>
      </c>
      <c r="AO64" t="inlineStr">
        <is>
          <t>N</t>
        </is>
      </c>
      <c r="AR64">
        <f>IF(AND(AU64="pass",AO64&lt;&gt;"Y",C64&lt;&gt;""),"Y","N")</f>
        <v/>
      </c>
      <c r="AS64">
        <f>_xlfn.TEXTJOIN("; ",TRUE,IF(AU64&lt;&gt;"pass","gated out",""),IF(AO64="Y","on hold: "&amp;AP64,""),IF(C64="","no contact named on an opened page",""))</f>
        <v/>
      </c>
      <c r="AU64" t="inlineStr">
        <is>
          <t>pass</t>
        </is>
      </c>
      <c r="AW64" t="inlineStr">
        <is>
          <t>passes all hard gates</t>
        </is>
      </c>
      <c r="AY64" t="inlineStr">
        <is>
          <t>https://www.veggievice.com</t>
        </is>
      </c>
      <c r="AZ64" t="inlineStr">
        <is>
          <t>NJ</t>
        </is>
      </c>
      <c r="BA64" t="inlineStr">
        <is>
          <t>northeast</t>
        </is>
      </c>
      <c r="BB64" t="inlineStr">
        <is>
          <t>unknown</t>
        </is>
      </c>
      <c r="BD64" t="inlineStr">
        <is>
          <t>Y</t>
        </is>
      </c>
      <c r="BE64" t="inlineStr">
        <is>
          <t>Crisped vegetable chips in sealed bags sold ambient</t>
        </is>
      </c>
      <c r="BF64" t="inlineStr">
        <is>
          <t>unknown</t>
        </is>
      </c>
      <c r="BG64" t="inlineStr">
        <is>
          <t>Y</t>
        </is>
      </c>
      <c r="BH64" t="inlineStr">
        <is>
          <t>unknown</t>
        </is>
      </c>
      <c r="BJ64" t="inlineStr">
        <is>
          <t>unknown</t>
        </is>
      </c>
      <c r="BK64" t="inlineStr">
        <is>
          <t>N</t>
        </is>
      </c>
      <c r="BL64" t="inlineStr">
        <is>
          <t>N</t>
        </is>
      </c>
      <c r="BN64" t="n">
        <v>0</v>
      </c>
      <c r="BO64" t="inlineStr">
        <is>
          <t>Y</t>
        </is>
      </c>
      <c r="BP64" t="n">
        <v>1</v>
      </c>
      <c r="BQ64" t="inlineStr">
        <is>
          <t>Rooted, 38 E 23rd St (brand_claim, inside)</t>
        </is>
      </c>
      <c r="BS64" t="inlineStr">
        <is>
          <t>Sprouts (all US stores, per homepage); store at 38 E 23rd St New York (homepage, shown with a 'Rooted' logo); PopUp Grocer 205 Bleecker St</t>
        </is>
      </c>
      <c r="BT64" t="inlineStr">
        <is>
          <t>https://www.veggievice.com/ (Find Us In Store: 38 E 23rd St, New York NY 10010; 205 Bleecker St); https://popupgrocer.com/products/veggie-vice (PopUp Grocer directory availability 'NYC Flagship')</t>
        </is>
      </c>
      <c r="BU64" t="inlineStr">
        <is>
          <t>listing</t>
        </is>
      </c>
      <c r="BV64" t="n">
        <v>4</v>
      </c>
      <c r="BX64" t="inlineStr">
        <is>
          <t>Riddhima</t>
        </is>
      </c>
      <c r="BY64" t="inlineStr">
        <is>
          <t>first name in brand contact email on privacy policy; title not stated</t>
        </is>
      </c>
      <c r="CF64" t="inlineStr">
        <is>
          <t>none</t>
        </is>
      </c>
      <c r="CK64" t="inlineStr">
        <is>
          <t>none</t>
        </is>
      </c>
      <c r="CL64" t="n">
        <v>49</v>
      </c>
      <c r="CM64" t="n">
        <v>17</v>
      </c>
      <c r="CN64" t="n">
        <v>8</v>
      </c>
      <c r="CO64" t="n">
        <v>8</v>
      </c>
      <c r="CP64" t="n">
        <v>5</v>
      </c>
      <c r="CQ64" t="n">
        <v>8</v>
      </c>
      <c r="CR64" t="n">
        <v>3</v>
      </c>
      <c r="CS64">
        <f>IF(R64="Y",10,0)</f>
        <v/>
      </c>
      <c r="CT64" t="n">
        <v>0</v>
      </c>
      <c r="CU64" t="inlineStr">
        <is>
          <t>https://instagram.com/eatveggievice</t>
        </is>
      </c>
      <c r="CV64" t="inlineStr">
        <is>
          <t>BR1</t>
        </is>
      </c>
      <c r="CW64" t="inlineStr">
        <is>
          <t>BR1:36</t>
        </is>
      </c>
      <c r="CX64" t="inlineStr">
        <is>
          <t>Store at 38 E 23rd St sits inside the cluster (Madison Square). The store name is inferred from the 'Rooted_Logo' image beside the address; founder to confirm. AAPI- and women-owned per PopUp Grocer tags. Business city from privacy policy.</t>
        </is>
      </c>
      <c r="DA64" t="inlineStr">
        <is>
          <t>stage 1 only</t>
        </is>
      </c>
      <c r="DY64">
        <f>IF(ISNUMBER(MATCH(U64,{"queued","contacted","replied","call_booked","call_done","yes_in_principle","materials_sent"},0)),"Y","N")</f>
        <v/>
      </c>
      <c r="DZ64">
        <f>IF(COUNTIFS($AN$2:$AN$1000,AN64,$DY$2:$DY$1000,"Y")+COUNTIFS($AN$2:$AN$1000,AN64,$T$2:$T$1000,"Y")&gt;0,"Y","N")</f>
        <v/>
      </c>
      <c r="EA64">
        <f>IF(AND(U64="new",T64="N",AR64="Y",AQ64="",DZ64="N"),"Y","N")</f>
        <v/>
      </c>
      <c r="EB64">
        <f>IF(EA64&lt;&gt;"Y","N",IF(COUNTIFS($AN$2:$AN$1000,AN64,$EA$2:$EA$1000,"Y",$J$2:$J$1000,"&gt;"&amp;J64)+COUNTIFS($AN$2:$AN$1000,AN64,$EA$2:$EA$1000,"Y",$J$2:$J$1000,J64,$ED$2:$ED$1000,"&lt;"&amp;ED64)=0,"Y","N"))</f>
        <v/>
      </c>
      <c r="EC64">
        <f>IF(Y64="","N",IF(Y64&lt;=10,"Y","N"))</f>
        <v/>
      </c>
      <c r="ED64">
        <f>ROW()-1</f>
        <v/>
      </c>
    </row>
    <row r="65">
      <c r="A65" t="inlineStr">
        <is>
          <t>AB-062</t>
        </is>
      </c>
      <c r="B65" t="inlineStr">
        <is>
          <t>Marimix</t>
        </is>
      </c>
      <c r="C65" t="inlineStr">
        <is>
          <t>Mari</t>
        </is>
      </c>
      <c r="D65" t="inlineStr">
        <is>
          <t>Fassett</t>
        </is>
      </c>
      <c r="E65" t="inlineStr">
        <is>
          <t>Founder and CEO</t>
        </is>
      </c>
      <c r="H65" t="inlineStr">
        <is>
          <t>none</t>
        </is>
      </c>
      <c r="I65" t="inlineStr">
        <is>
          <t>linkedin</t>
        </is>
      </c>
      <c r="J65">
        <f>IF(AU65="pass",CM65+CN65+CO65+CP65+CQ65+CR65+CS65+CT65,0)</f>
        <v/>
      </c>
      <c r="K65" t="inlineStr">
        <is>
          <t>Brand based outside the Northeast, no graded store within ten blocks, online store only, news 122 days ago, revenue unknown, contact named.</t>
        </is>
      </c>
      <c r="M65" t="inlineStr">
        <is>
          <t>none found within ten blocks</t>
        </is>
      </c>
      <c r="N65" t="inlineStr">
        <is>
          <t>unverified</t>
        </is>
      </c>
      <c r="O65" t="inlineStr">
        <is>
          <t>Won Good Housekeeping 2026 Snack Award (third consecutive year) for Hatch Chile Lime Snackmix</t>
        </is>
      </c>
      <c r="P65" t="inlineStr">
        <is>
          <t>https://startupcpg.com/startup-cpg-newswire-marimix-earns-third-consecutive-good-housekeeping-snack-award-for-hatch-chile-lime-crunch-baked-snackmix/</t>
        </is>
      </c>
      <c r="Q65" t="inlineStr">
        <is>
          <t>2026-06-24</t>
        </is>
      </c>
      <c r="R65" t="inlineStr">
        <is>
          <t>N</t>
        </is>
      </c>
      <c r="S65" t="inlineStr">
        <is>
          <t>Y</t>
        </is>
      </c>
      <c r="T65" t="inlineStr">
        <is>
          <t>N</t>
        </is>
      </c>
      <c r="U65" t="inlineStr">
        <is>
          <t>new</t>
        </is>
      </c>
      <c r="V65" t="inlineStr">
        <is>
          <t>https://startupcpg.com/startup-cpg-newswire-marimix-earns-third-consecutive-good-housekeeping-snack-award-for-hatch-chile-lime-crunch-baked-snackmix/</t>
        </is>
      </c>
      <c r="W65" t="inlineStr">
        <is>
          <t>2026-10-23</t>
        </is>
      </c>
      <c r="X65" t="inlineStr">
        <is>
          <t>brand</t>
        </is>
      </c>
      <c r="Y65">
        <f>IF(EB65&lt;&gt;"Y","",COUNTIFS($EB$2:$EB$1000,"Y",$J$2:$J$1000,"&gt;"&amp;J65)+COUNTIFS($EB$2:$EB$1000,"Y",$J$2:$J$1000,J65,$ED$2:$ED$1000,"&lt;"&amp;ED65)+1)</f>
        <v/>
      </c>
      <c r="Z65" t="n">
        <v>64</v>
      </c>
      <c r="AA65" t="inlineStr">
        <is>
          <t>N</t>
        </is>
      </c>
      <c r="AB65" t="inlineStr">
        <is>
          <t>find Mari Fassett at Marimix on LinkedIn and paste the profile URL</t>
        </is>
      </c>
      <c r="AC65" t="inlineStr">
        <is>
          <t>founder</t>
        </is>
      </c>
      <c r="AD65" t="inlineStr">
        <is>
          <t>verified-page</t>
        </is>
      </c>
      <c r="AE65" t="inlineStr">
        <is>
          <t>press, event or podcast page</t>
        </is>
      </c>
      <c r="AF65" t="inlineStr">
        <is>
          <t>https://startupcpg.com/startup-cpg-newswire-marimix-earns-third-consecutive-good-housekeeping-snack-award-for-hatch-chile-lime-crunch-baked-snackmix/</t>
        </is>
      </c>
      <c r="AG65" t="inlineStr">
        <is>
          <t>2026-10-23</t>
        </is>
      </c>
      <c r="AH65" t="inlineStr">
        <is>
          <t>Marimix Hatch Chile Lime Crunch-Baked Snackmix (minis and multiserve)</t>
        </is>
      </c>
      <c r="AI65" t="inlineStr">
        <is>
          <t>other-snack</t>
        </is>
      </c>
      <c r="AJ65" t="inlineStr">
        <is>
          <t>Orange</t>
        </is>
      </c>
      <c r="AK65" t="inlineStr">
        <is>
          <t>https://marimix.com</t>
        </is>
      </c>
      <c r="AL65" t="inlineStr">
        <is>
          <t>N</t>
        </is>
      </c>
      <c r="AN65" t="inlineStr">
        <is>
          <t>AB-062</t>
        </is>
      </c>
      <c r="AO65" t="inlineStr">
        <is>
          <t>N</t>
        </is>
      </c>
      <c r="AR65">
        <f>IF(AND(AU65="pass",AO65&lt;&gt;"Y",C65&lt;&gt;""),"Y","N")</f>
        <v/>
      </c>
      <c r="AS65">
        <f>_xlfn.TEXTJOIN("; ",TRUE,IF(AU65&lt;&gt;"pass","gated out",""),IF(AO65="Y","on hold: "&amp;AP65,""),IF(C65="","no contact named on an opened page",""))</f>
        <v/>
      </c>
      <c r="AU65" t="inlineStr">
        <is>
          <t>pass</t>
        </is>
      </c>
      <c r="AW65" t="inlineStr">
        <is>
          <t>passes all hard gates</t>
        </is>
      </c>
      <c r="AY65" t="inlineStr">
        <is>
          <t>https://marimix.com</t>
        </is>
      </c>
      <c r="AZ65" t="inlineStr">
        <is>
          <t>CA</t>
        </is>
      </c>
      <c r="BA65" t="inlineStr">
        <is>
          <t>elsewhere</t>
        </is>
      </c>
      <c r="BB65" t="inlineStr">
        <is>
          <t>unknown</t>
        </is>
      </c>
      <c r="BD65" t="inlineStr">
        <is>
          <t>Y</t>
        </is>
      </c>
      <c r="BE65" t="inlineStr">
        <is>
          <t>Brand FAQ: sealed pouch is freshest through the printed date, 'Technically, this is 10 months from the day we bake your order.'</t>
        </is>
      </c>
      <c r="BF65" t="inlineStr">
        <is>
          <t>Y</t>
        </is>
      </c>
      <c r="BG65" t="inlineStr">
        <is>
          <t>Y</t>
        </is>
      </c>
      <c r="BH65" t="inlineStr">
        <is>
          <t>unknown</t>
        </is>
      </c>
      <c r="BJ65" t="inlineStr">
        <is>
          <t>unknown</t>
        </is>
      </c>
      <c r="BK65" t="inlineStr">
        <is>
          <t>N</t>
        </is>
      </c>
      <c r="BL65" t="inlineStr">
        <is>
          <t>N</t>
        </is>
      </c>
      <c r="BO65" t="inlineStr">
        <is>
          <t>N</t>
        </is>
      </c>
      <c r="BP65" t="n">
        <v>0</v>
      </c>
      <c r="BS65" t="inlineStr">
        <is>
          <t>unknown</t>
        </is>
      </c>
      <c r="BT65" t="inlineStr">
        <is>
          <t>https://www.wholefoodsmarket.com/search?text=marimix (no WFM results, 2026-10-23)</t>
        </is>
      </c>
      <c r="BU65" t="inlineStr">
        <is>
          <t>press</t>
        </is>
      </c>
      <c r="BV65" t="n">
        <v>122</v>
      </c>
      <c r="BW65" t="inlineStr">
        <is>
          <t>https://startupcpg.com/startup-cpg-newswire-marimix-earns-third-consecutive-good-housekeeping-snack-award-for-hatch-chile-lime-crunch-baked-snackmix/</t>
        </is>
      </c>
      <c r="BX65" t="inlineStr">
        <is>
          <t>Mari Fassett</t>
        </is>
      </c>
      <c r="CA65" t="inlineStr">
        <is>
          <t>Kirra Johnson</t>
        </is>
      </c>
      <c r="CB65" t="inlineStr">
        <is>
          <t>Kirra</t>
        </is>
      </c>
      <c r="CC65" t="inlineStr">
        <is>
          <t>Johnson</t>
        </is>
      </c>
      <c r="CD65" t="inlineStr">
        <is>
          <t>Press contact on release</t>
        </is>
      </c>
      <c r="CE65" t="inlineStr">
        <is>
          <t>marketing</t>
        </is>
      </c>
      <c r="CF65" t="inlineStr">
        <is>
          <t>verified-page</t>
        </is>
      </c>
      <c r="CK65" t="inlineStr">
        <is>
          <t>none</t>
        </is>
      </c>
      <c r="CL65" t="n">
        <v>49</v>
      </c>
      <c r="CM65" t="n">
        <v>6</v>
      </c>
      <c r="CN65" t="n">
        <v>3</v>
      </c>
      <c r="CO65" t="n">
        <v>15</v>
      </c>
      <c r="CP65" t="n">
        <v>5</v>
      </c>
      <c r="CQ65" t="n">
        <v>10</v>
      </c>
      <c r="CR65" t="n">
        <v>10</v>
      </c>
      <c r="CS65">
        <f>IF(R65="Y",10,0)</f>
        <v/>
      </c>
      <c r="CT65" t="n">
        <v>0</v>
      </c>
      <c r="CU65" t="inlineStr">
        <is>
          <t>unknown</t>
        </is>
      </c>
      <c r="CV65" t="inlineStr">
        <is>
          <t>BR1</t>
        </is>
      </c>
      <c r="CW65" t="inlineStr">
        <is>
          <t>BR1:63</t>
        </is>
      </c>
      <c r="CX65" t="inlineStr">
        <is>
          <t>Woman- and minority-owned, Orange CA (release). Mix of rice pillows and other crunch pieces; check nut content per SKU.</t>
        </is>
      </c>
      <c r="CY65" t="inlineStr">
        <is>
          <t xml:space="preserve">shelf_stable_basis &lt;- https://marimix.com/pages/faq (2026-10-24, opened); </t>
        </is>
      </c>
      <c r="CZ65" t="inlineStr">
        <is>
          <t>https://startupcpg.com/startup-cpg-newswire-marimix-earns-third-consecutive-good-housekeeping-snack-award-for-hatch-chile-lime-crunch-baked-snackmix/</t>
        </is>
      </c>
      <c r="DA65" t="inlineStr">
        <is>
          <t>stage 1 only</t>
        </is>
      </c>
      <c r="DC65" t="inlineStr">
        <is>
          <t>press, event or podcast page</t>
        </is>
      </c>
      <c r="DY65">
        <f>IF(ISNUMBER(MATCH(U65,{"queued","contacted","replied","call_booked","call_done","yes_in_principle","materials_sent"},0)),"Y","N")</f>
        <v/>
      </c>
      <c r="DZ65">
        <f>IF(COUNTIFS($AN$2:$AN$1000,AN65,$DY$2:$DY$1000,"Y")+COUNTIFS($AN$2:$AN$1000,AN65,$T$2:$T$1000,"Y")&gt;0,"Y","N")</f>
        <v/>
      </c>
      <c r="EA65">
        <f>IF(AND(U65="new",T65="N",AR65="Y",AQ65="",DZ65="N"),"Y","N")</f>
        <v/>
      </c>
      <c r="EB65">
        <f>IF(EA65&lt;&gt;"Y","N",IF(COUNTIFS($AN$2:$AN$1000,AN65,$EA$2:$EA$1000,"Y",$J$2:$J$1000,"&gt;"&amp;J65)+COUNTIFS($AN$2:$AN$1000,AN65,$EA$2:$EA$1000,"Y",$J$2:$J$1000,J65,$ED$2:$ED$1000,"&lt;"&amp;ED65)=0,"Y","N"))</f>
        <v/>
      </c>
      <c r="EC65">
        <f>IF(Y65="","N",IF(Y65&lt;=10,"Y","N"))</f>
        <v/>
      </c>
      <c r="ED65">
        <f>ROW()-1</f>
        <v/>
      </c>
    </row>
    <row r="66">
      <c r="A66" t="inlineStr">
        <is>
          <t>AB-131</t>
        </is>
      </c>
      <c r="B66" t="inlineStr">
        <is>
          <t>Bruce Cost Ginger Ale</t>
        </is>
      </c>
      <c r="H66" t="inlineStr">
        <is>
          <t>none</t>
        </is>
      </c>
      <c r="J66">
        <f>IF(AU66="pass",CM66+CN66+CO66+CP66+CQ66+CR66+CS66+CT66,0)</f>
        <v/>
      </c>
      <c r="K66" t="inlineStr">
        <is>
          <t>New York City brand, no graded store within ten blocks, online store only, a new store listing 135 days ago, revenue unknown, contact seen only in a snippet; founder review: other.</t>
        </is>
      </c>
      <c r="M66" t="inlineStr">
        <is>
          <t>none found within ten blocks</t>
        </is>
      </c>
      <c r="N66" t="inlineStr">
        <is>
          <t>unverified</t>
        </is>
      </c>
      <c r="O66" t="inlineStr">
        <is>
          <t>New Yuzu Unfiltered Ginger Ale and a 12 oz can format added to its store</t>
        </is>
      </c>
      <c r="P66" t="inlineStr">
        <is>
          <t>https://brucecostgingerale.com/products/bruce-cost-ginger-ale-yuzu</t>
        </is>
      </c>
      <c r="Q66" t="inlineStr">
        <is>
          <t>2026-06-11</t>
        </is>
      </c>
      <c r="R66" t="inlineStr">
        <is>
          <t>N</t>
        </is>
      </c>
      <c r="S66" t="inlineStr">
        <is>
          <t>unknown</t>
        </is>
      </c>
      <c r="T66" t="inlineStr">
        <is>
          <t>N</t>
        </is>
      </c>
      <c r="U66" t="inlineStr">
        <is>
          <t>new</t>
        </is>
      </c>
      <c r="V66" t="inlineStr">
        <is>
          <t>https://brucecostgingerale.com</t>
        </is>
      </c>
      <c r="W66" t="inlineStr">
        <is>
          <t>2026-10-23</t>
        </is>
      </c>
      <c r="X66" t="inlineStr">
        <is>
          <t>brand</t>
        </is>
      </c>
      <c r="Y66">
        <f>IF(EB66&lt;&gt;"Y","",COUNTIFS($EB$2:$EB$1000,"Y",$J$2:$J$1000,"&gt;"&amp;J66)+COUNTIFS($EB$2:$EB$1000,"Y",$J$2:$J$1000,J66,$ED$2:$ED$1000,"&lt;"&amp;ED66)+1)</f>
        <v/>
      </c>
      <c r="Z66" t="n">
        <v>65</v>
      </c>
      <c r="AA66" t="inlineStr">
        <is>
          <t>N</t>
        </is>
      </c>
      <c r="AB66" t="inlineStr">
        <is>
          <t>no person named on an opened page: not ready; founder review (other): read founder_review_reason first</t>
        </is>
      </c>
      <c r="AC66" t="inlineStr">
        <is>
          <t>founder</t>
        </is>
      </c>
      <c r="AD66" t="inlineStr">
        <is>
          <t>unverified</t>
        </is>
      </c>
      <c r="AE66" t="inlineStr">
        <is>
          <t>search snippet only (not opened)</t>
        </is>
      </c>
      <c r="AF66" t="inlineStr">
        <is>
          <t>https://www.bevnet.com/news/2017/bruce-cost-ginger-ale-look-separate-futures</t>
        </is>
      </c>
      <c r="AG66" t="inlineStr">
        <is>
          <t>2026-10-24</t>
        </is>
      </c>
      <c r="AH66" t="inlineStr">
        <is>
          <t>Bruce Cost Original Unfiltered Ginger Ale, 12 oz bottle; new 12 oz can</t>
        </is>
      </c>
      <c r="AI66" t="inlineStr">
        <is>
          <t>sparkling-soda</t>
        </is>
      </c>
      <c r="AJ66" t="inlineStr">
        <is>
          <t>Brooklyn</t>
        </is>
      </c>
      <c r="AK66" t="inlineStr">
        <is>
          <t>https://brucecostgingerale.com</t>
        </is>
      </c>
      <c r="AL66" t="inlineStr">
        <is>
          <t>Y</t>
        </is>
      </c>
      <c r="AM66" t="inlineStr">
        <is>
          <t>Shelf stability not stated; namesake founder Bruce Cost reportedly no longer involved (BevNET headline, not opened); same parent (Brooklyn Food &amp; Beverage) as Moshi and Brooklyn Crafted: contact once; 60-day shelf life not stated</t>
        </is>
      </c>
      <c r="AN66" t="inlineStr">
        <is>
          <t>grp-130-131-132</t>
        </is>
      </c>
      <c r="AO66" t="inlineStr">
        <is>
          <t>N</t>
        </is>
      </c>
      <c r="AR66">
        <f>IF(AND(AU66="pass",AO66&lt;&gt;"Y",C66&lt;&gt;""),"Y","N")</f>
        <v/>
      </c>
      <c r="AS66">
        <f>_xlfn.TEXTJOIN("; ",TRUE,IF(AU66&lt;&gt;"pass","gated out",""),IF(AO66="Y","on hold: "&amp;AP66,""),IF(C66="","no contact named on an opened page",""))</f>
        <v/>
      </c>
      <c r="AU66" t="inlineStr">
        <is>
          <t>pass</t>
        </is>
      </c>
      <c r="AW66" t="inlineStr">
        <is>
          <t>passes all hard gates</t>
        </is>
      </c>
      <c r="AX66" t="inlineStr">
        <is>
          <t>other</t>
        </is>
      </c>
      <c r="AY66" t="inlineStr">
        <is>
          <t>https://brucecostgingerale.com</t>
        </is>
      </c>
      <c r="AZ66" t="inlineStr">
        <is>
          <t>NY</t>
        </is>
      </c>
      <c r="BA66" t="inlineStr">
        <is>
          <t>nyc</t>
        </is>
      </c>
      <c r="BB66" t="inlineStr">
        <is>
          <t>unknown</t>
        </is>
      </c>
      <c r="BD66" t="inlineStr">
        <is>
          <t>unknown</t>
        </is>
      </c>
      <c r="BE66" t="inlineStr">
        <is>
          <t>No shelf-stability statement found on brand site; founder to confirm</t>
        </is>
      </c>
      <c r="BF66" t="inlineStr">
        <is>
          <t>Y</t>
        </is>
      </c>
      <c r="BG66" t="inlineStr">
        <is>
          <t>Y</t>
        </is>
      </c>
      <c r="BH66" t="inlineStr">
        <is>
          <t>unknown</t>
        </is>
      </c>
      <c r="BJ66" t="inlineStr">
        <is>
          <t>No public sales figure found</t>
        </is>
      </c>
      <c r="BK66" t="inlineStr">
        <is>
          <t>N</t>
        </is>
      </c>
      <c r="BL66" t="inlineStr">
        <is>
          <t>N</t>
        </is>
      </c>
      <c r="BO66" t="inlineStr">
        <is>
          <t>N</t>
        </is>
      </c>
      <c r="BP66" t="n">
        <v>0</v>
      </c>
      <c r="BR66" t="inlineStr">
        <is>
          <t>Pearl River Mart (brand_claim, 11.4 blocks out)</t>
        </is>
      </c>
      <c r="BS66" t="inlineStr">
        <is>
          <t>Pearl River Mart; Mr. K; Tallgrass Burger; Marufuku Ramen (brand Storepoint locator, 13 NYC points)</t>
        </is>
      </c>
      <c r="BT66" t="inlineStr">
        <is>
          <t>https://brucecostgingerale.com/pages/find-us; https://api.storepoint.co/v1/1625dbfed3d0fc/locations?lat=40.7400&amp;long=-73.9900&amp;radius=3</t>
        </is>
      </c>
      <c r="BU66" t="inlineStr">
        <is>
          <t>listing</t>
        </is>
      </c>
      <c r="BV66" t="n">
        <v>135</v>
      </c>
      <c r="BX66" t="inlineStr">
        <is>
          <t>Terry Tang</t>
        </is>
      </c>
      <c r="BY66" t="inlineStr">
        <is>
          <t>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is>
      </c>
      <c r="CA66" t="inlineStr">
        <is>
          <t>Horin Yip</t>
        </is>
      </c>
      <c r="CE66" t="inlineStr">
        <is>
          <t>marketing lead</t>
        </is>
      </c>
      <c r="CF66" t="inlineStr">
        <is>
          <t>unverified</t>
        </is>
      </c>
      <c r="CG66" t="inlineStr">
        <is>
          <t>Title confirmed on the opened Expo West 2026 page for Brooklyn Food &amp; Beverage, but that this parent owns Bruce Cost rests on a BevNET search summary, so the brand link is unverified. Same person as Moshi's marketing row.</t>
        </is>
      </c>
      <c r="CK66" t="inlineStr">
        <is>
          <t>none</t>
        </is>
      </c>
      <c r="CL66" t="n">
        <v>49</v>
      </c>
      <c r="CM66" t="n">
        <v>6</v>
      </c>
      <c r="CN66" t="n">
        <v>20</v>
      </c>
      <c r="CO66" t="n">
        <v>8</v>
      </c>
      <c r="CP66" t="n">
        <v>5</v>
      </c>
      <c r="CQ66" t="n">
        <v>7</v>
      </c>
      <c r="CR66" t="n">
        <v>5</v>
      </c>
      <c r="CS66">
        <f>IF(R66="Y",10,0)</f>
        <v/>
      </c>
      <c r="CT66" t="n">
        <v>-2</v>
      </c>
      <c r="CU66" t="inlineStr">
        <is>
          <t>https://www.instagram.com/bcgingerale</t>
        </is>
      </c>
      <c r="CV66" t="inlineStr">
        <is>
          <t>BR3</t>
        </is>
      </c>
      <c r="CW66" t="inlineStr">
        <is>
          <t>BR3:5</t>
        </is>
      </c>
      <c r="CX66" t="inlineStr">
        <is>
          <t>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is>
      </c>
      <c r="CY66" t="inlineStr">
        <is>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is>
      </c>
      <c r="CZ66" t="inlineStr">
        <is>
          <t>https://attend.expowest.com/event/natural-products-expo-west-2026/exhibitor/RXhoaWJpdG9yXzIzNTgyMzE=</t>
        </is>
      </c>
      <c r="DA66" t="inlineStr">
        <is>
          <t>stage 2</t>
        </is>
      </c>
      <c r="DB66" t="inlineStr">
        <is>
          <t>2017</t>
        </is>
      </c>
      <c r="DC66" t="inlineStr">
        <is>
          <t>search snippet only (not opened)</t>
        </is>
      </c>
      <c r="DF66" t="inlineStr">
        <is>
          <t>parent 'brooklyn food &amp; beverage' shared with AB-130; person 'horin yip' shared with AB-130, AB-132; person 'terry tang' shared with AB-132</t>
        </is>
      </c>
      <c r="DY66">
        <f>IF(ISNUMBER(MATCH(U66,{"queued","contacted","replied","call_booked","call_done","yes_in_principle","materials_sent"},0)),"Y","N")</f>
        <v/>
      </c>
      <c r="DZ66">
        <f>IF(COUNTIFS($AN$2:$AN$1000,AN66,$DY$2:$DY$1000,"Y")+COUNTIFS($AN$2:$AN$1000,AN66,$T$2:$T$1000,"Y")&gt;0,"Y","N")</f>
        <v/>
      </c>
      <c r="EA66">
        <f>IF(AND(U66="new",T66="N",AR66="Y",AQ66="",DZ66="N"),"Y","N")</f>
        <v/>
      </c>
      <c r="EB66">
        <f>IF(EA66&lt;&gt;"Y","N",IF(COUNTIFS($AN$2:$AN$1000,AN66,$EA$2:$EA$1000,"Y",$J$2:$J$1000,"&gt;"&amp;J66)+COUNTIFS($AN$2:$AN$1000,AN66,$EA$2:$EA$1000,"Y",$J$2:$J$1000,J66,$ED$2:$ED$1000,"&lt;"&amp;ED66)=0,"Y","N"))</f>
        <v/>
      </c>
      <c r="EC66">
        <f>IF(Y66="","N",IF(Y66&lt;=10,"Y","N"))</f>
        <v/>
      </c>
      <c r="ED66">
        <f>ROW()-1</f>
        <v/>
      </c>
    </row>
    <row r="67">
      <c r="A67" t="inlineStr">
        <is>
          <t>AB-311</t>
        </is>
      </c>
      <c r="B67" t="inlineStr">
        <is>
          <t>RIND Snacks</t>
        </is>
      </c>
      <c r="C67" t="inlineStr">
        <is>
          <t>Matt</t>
        </is>
      </c>
      <c r="D67" t="inlineStr">
        <is>
          <t>Weiss</t>
        </is>
      </c>
      <c r="E67" t="inlineStr">
        <is>
          <t>Founder and CEO</t>
        </is>
      </c>
      <c r="H67" t="inlineStr">
        <is>
          <t>none</t>
        </is>
      </c>
      <c r="I67" t="inlineStr">
        <is>
          <t>linkedin</t>
        </is>
      </c>
      <c r="J67">
        <f>IF(AU67="pass",CM67+CN67+CO67+CP67+CQ67+CR67+CS67+CT67,0)</f>
        <v/>
      </c>
      <c r="K67" t="inlineStr">
        <is>
          <t>New York City brand, no graded store within ten blocks, online store only, news 346 days ago, revenue unknown, contact named; founder review: other.</t>
        </is>
      </c>
      <c r="M67" t="inlineStr">
        <is>
          <t>none found within ten blocks</t>
        </is>
      </c>
      <c r="N67" t="inlineStr">
        <is>
          <t>unverified</t>
        </is>
      </c>
      <c r="O67" t="inlineStr">
        <is>
          <t>Launched Raspberry Almond Granola Squares exclusively at Sam's Club nationwide (first granola product since acquiring Small Batch Organics)</t>
        </is>
      </c>
      <c r="P67" t="inlineStr">
        <is>
          <t>https://www.snackandbakery.com/articles/114709-rind-snacks-debuts-raspberry-almond-granola-squares</t>
        </is>
      </c>
      <c r="Q67" t="inlineStr">
        <is>
          <t>2025-11-12</t>
        </is>
      </c>
      <c r="R67" t="inlineStr">
        <is>
          <t>N</t>
        </is>
      </c>
      <c r="S67" t="inlineStr">
        <is>
          <t>unknown</t>
        </is>
      </c>
      <c r="T67" t="inlineStr">
        <is>
          <t>N</t>
        </is>
      </c>
      <c r="U67" t="inlineStr">
        <is>
          <t>new</t>
        </is>
      </c>
      <c r="V67" t="inlineStr">
        <is>
          <t>https://www.rindsnacks.com/pages/about</t>
        </is>
      </c>
      <c r="W67" t="inlineStr">
        <is>
          <t>2026-10-23</t>
        </is>
      </c>
      <c r="X67" t="inlineStr">
        <is>
          <t>brand</t>
        </is>
      </c>
      <c r="Y67">
        <f>IF(EB67&lt;&gt;"Y","",COUNTIFS($EB$2:$EB$1000,"Y",$J$2:$J$1000,"&gt;"&amp;J67)+COUNTIFS($EB$2:$EB$1000,"Y",$J$2:$J$1000,J67,$ED$2:$ED$1000,"&lt;"&amp;ED67)+1)</f>
        <v/>
      </c>
      <c r="Z67" t="n">
        <v>66</v>
      </c>
      <c r="AA67" t="inlineStr">
        <is>
          <t>N</t>
        </is>
      </c>
      <c r="AB67" t="inlineStr">
        <is>
          <t>find Matt Weiss at RIND Snacks on LinkedIn and paste the profile URL; founder review (other): read founder_review_reason first</t>
        </is>
      </c>
      <c r="AC67" t="inlineStr">
        <is>
          <t>founder</t>
        </is>
      </c>
      <c r="AD67" t="inlineStr">
        <is>
          <t>verified-page</t>
        </is>
      </c>
      <c r="AE67" t="inlineStr">
        <is>
          <t>employer's own site</t>
        </is>
      </c>
      <c r="AF67" t="inlineStr">
        <is>
          <t>https://www.rindsnacks.com/pages/about</t>
        </is>
      </c>
      <c r="AG67" t="inlineStr">
        <is>
          <t>2026-10-23</t>
        </is>
      </c>
      <c r="AH67" t="inlineStr">
        <is>
          <t>Straw-Peary whole fruit medley (skin-on dried fruit)</t>
        </is>
      </c>
      <c r="AI67" t="inlineStr">
        <is>
          <t>fruit-snacks</t>
        </is>
      </c>
      <c r="AJ67" t="inlineStr">
        <is>
          <t>New York</t>
        </is>
      </c>
      <c r="AK67" t="inlineStr">
        <is>
          <t>https://www.rindsnacks.com</t>
        </is>
      </c>
      <c r="AL67" t="inlineStr">
        <is>
          <t>Y</t>
        </is>
      </c>
      <c r="AM67" t="inlineStr">
        <is>
          <t>Every product on the brand store showed as unavailable on 2026-10-23 and no product added since 2021; brand may be paused; 60-day shelf life not stated</t>
        </is>
      </c>
      <c r="AN67" t="inlineStr">
        <is>
          <t>AB-311</t>
        </is>
      </c>
      <c r="AO67" t="inlineStr">
        <is>
          <t>N</t>
        </is>
      </c>
      <c r="AR67">
        <f>IF(AND(AU67="pass",AO67&lt;&gt;"Y",C67&lt;&gt;""),"Y","N")</f>
        <v/>
      </c>
      <c r="AS67">
        <f>_xlfn.TEXTJOIN("; ",TRUE,IF(AU67&lt;&gt;"pass","gated out",""),IF(AO67="Y","on hold: "&amp;AP67,""),IF(C67="","no contact named on an opened page",""))</f>
        <v/>
      </c>
      <c r="AU67" t="inlineStr">
        <is>
          <t>pass</t>
        </is>
      </c>
      <c r="AW67" t="inlineStr">
        <is>
          <t>passes all hard gates</t>
        </is>
      </c>
      <c r="AX67" t="inlineStr">
        <is>
          <t>other</t>
        </is>
      </c>
      <c r="AY67" t="inlineStr">
        <is>
          <t>https://www.rindsnacks.com</t>
        </is>
      </c>
      <c r="AZ67" t="inlineStr">
        <is>
          <t>NY</t>
        </is>
      </c>
      <c r="BA67" t="inlineStr">
        <is>
          <t>nyc</t>
        </is>
      </c>
      <c r="BB67" t="inlineStr">
        <is>
          <t>Part of Keep It Real Foods platform (Mar 2026)</t>
        </is>
      </c>
      <c r="BD67" t="inlineStr">
        <is>
          <t>likely</t>
        </is>
      </c>
      <c r="BE67" t="inlineStr">
        <is>
          <t>Dried fruit sold in bags; shelf-life figure not found</t>
        </is>
      </c>
      <c r="BF67" t="inlineStr">
        <is>
          <t>unknown</t>
        </is>
      </c>
      <c r="BG67" t="inlineStr">
        <is>
          <t>Y</t>
        </is>
      </c>
      <c r="BH67" t="inlineStr">
        <is>
          <t>unknown</t>
        </is>
      </c>
      <c r="BJ67" t="inlineStr">
        <is>
          <t>unknown</t>
        </is>
      </c>
      <c r="BK67" t="inlineStr">
        <is>
          <t>N</t>
        </is>
      </c>
      <c r="BL67" t="inlineStr">
        <is>
          <t>N</t>
        </is>
      </c>
      <c r="BO67" t="inlineStr">
        <is>
          <t>N</t>
        </is>
      </c>
      <c r="BP67" t="n">
        <v>0</v>
      </c>
      <c r="BS67" t="inlineStr">
        <is>
          <t>Target; Hungryroot (logos on brand home page)</t>
        </is>
      </c>
      <c r="BT67" t="inlineStr">
        <is>
          <t>https://www.wholefoodsmarket.com/api/search?text=rind%20snacks&amp;store=10162&amp;limit=60&amp;offset=0</t>
        </is>
      </c>
      <c r="BU67" t="inlineStr">
        <is>
          <t>press</t>
        </is>
      </c>
      <c r="BV67" t="n">
        <v>346</v>
      </c>
      <c r="BX67" t="inlineStr">
        <is>
          <t>Matt Weiss</t>
        </is>
      </c>
      <c r="CF67" t="inlineStr">
        <is>
          <t>none</t>
        </is>
      </c>
      <c r="CK67" t="inlineStr">
        <is>
          <t>none</t>
        </is>
      </c>
      <c r="CL67" t="n">
        <v>49</v>
      </c>
      <c r="CM67" t="n">
        <v>6</v>
      </c>
      <c r="CN67" t="n">
        <v>20</v>
      </c>
      <c r="CO67" t="n">
        <v>8</v>
      </c>
      <c r="CP67" t="n">
        <v>5</v>
      </c>
      <c r="CQ67" t="n">
        <v>6</v>
      </c>
      <c r="CR67" t="n">
        <v>6</v>
      </c>
      <c r="CS67">
        <f>IF(R67="Y",10,0)</f>
        <v/>
      </c>
      <c r="CT67" t="n">
        <v>-2</v>
      </c>
      <c r="CU67" t="inlineStr">
        <is>
          <t>https://www.instagram.com/rindsnacks/</t>
        </is>
      </c>
      <c r="CV67" t="inlineStr">
        <is>
          <t>BR2</t>
        </is>
      </c>
      <c r="CW67" t="inlineStr">
        <is>
          <t>BR2:30</t>
        </is>
      </c>
      <c r="CX67" t="inlineStr">
        <is>
          <t>Footer: 'New York, NY'. Not in WFM cluster catalogs.</t>
        </is>
      </c>
      <c r="CY67" t="inlineStr">
        <is>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t>
        </is>
      </c>
      <c r="DA67" t="inlineStr">
        <is>
          <t>stage 1 only</t>
        </is>
      </c>
      <c r="DY67">
        <f>IF(ISNUMBER(MATCH(U67,{"queued","contacted","replied","call_booked","call_done","yes_in_principle","materials_sent"},0)),"Y","N")</f>
        <v/>
      </c>
      <c r="DZ67">
        <f>IF(COUNTIFS($AN$2:$AN$1000,AN67,$DY$2:$DY$1000,"Y")+COUNTIFS($AN$2:$AN$1000,AN67,$T$2:$T$1000,"Y")&gt;0,"Y","N")</f>
        <v/>
      </c>
      <c r="EA67">
        <f>IF(AND(U67="new",T67="N",AR67="Y",AQ67="",DZ67="N"),"Y","N")</f>
        <v/>
      </c>
      <c r="EB67">
        <f>IF(EA67&lt;&gt;"Y","N",IF(COUNTIFS($AN$2:$AN$1000,AN67,$EA$2:$EA$1000,"Y",$J$2:$J$1000,"&gt;"&amp;J67)+COUNTIFS($AN$2:$AN$1000,AN67,$EA$2:$EA$1000,"Y",$J$2:$J$1000,J67,$ED$2:$ED$1000,"&lt;"&amp;ED67)=0,"Y","N"))</f>
        <v/>
      </c>
      <c r="EC67">
        <f>IF(Y67="","N",IF(Y67&lt;=10,"Y","N"))</f>
        <v/>
      </c>
      <c r="ED67">
        <f>ROW()-1</f>
        <v/>
      </c>
    </row>
    <row r="68">
      <c r="A68" t="inlineStr">
        <is>
          <t>AB-036</t>
        </is>
      </c>
      <c r="B68" t="inlineStr">
        <is>
          <t>S'NOODS</t>
        </is>
      </c>
      <c r="C68" t="inlineStr">
        <is>
          <t>Lauryn</t>
        </is>
      </c>
      <c r="D68" t="inlineStr">
        <is>
          <t>Bodden</t>
        </is>
      </c>
      <c r="E68" t="inlineStr">
        <is>
          <t>Founder</t>
        </is>
      </c>
      <c r="H68" t="inlineStr">
        <is>
          <t>none</t>
        </is>
      </c>
      <c r="I68" t="inlineStr">
        <is>
          <t>linkedin</t>
        </is>
      </c>
      <c r="J68">
        <f>IF(AU68="pass",CM68+CN68+CO68+CP68+CQ68+CR68+CS68+CT68,0)</f>
        <v/>
      </c>
      <c r="K68" t="inlineStr">
        <is>
          <t>New York City brand (HQ unverified), no graded store within ten blocks, online store only, a new store listing 95 days ago, revenue unknown, contact named.</t>
        </is>
      </c>
      <c r="M68" t="inlineStr">
        <is>
          <t>none found within ten blocks</t>
        </is>
      </c>
      <c r="N68" t="inlineStr">
        <is>
          <t>unverified</t>
        </is>
      </c>
      <c r="O68" t="inlineStr">
        <is>
          <t>Featured in Startup CPG 'Chipsplosion' roundup; new Italian Combo and variety 6-packs on brand store (2026-09-10)</t>
        </is>
      </c>
      <c r="P68" t="inlineStr">
        <is>
          <t>https://startupcpg.com/14-chip-brands-taking-your-tastebuds-on-a-flavor-tour/</t>
        </is>
      </c>
      <c r="Q68" t="inlineStr">
        <is>
          <t>2026-07-21</t>
        </is>
      </c>
      <c r="R68" t="inlineStr">
        <is>
          <t>N</t>
        </is>
      </c>
      <c r="S68" t="inlineStr">
        <is>
          <t>Y</t>
        </is>
      </c>
      <c r="T68" t="inlineStr">
        <is>
          <t>N</t>
        </is>
      </c>
      <c r="U68" t="inlineStr">
        <is>
          <t>new</t>
        </is>
      </c>
      <c r="V68" t="inlineStr">
        <is>
          <t>https://www.eatsnoods.com/pages/about</t>
        </is>
      </c>
      <c r="W68" t="inlineStr">
        <is>
          <t>2026-10-23</t>
        </is>
      </c>
      <c r="X68" t="inlineStr">
        <is>
          <t>brand</t>
        </is>
      </c>
      <c r="Y68">
        <f>IF(EB68&lt;&gt;"Y","",COUNTIFS($EB$2:$EB$1000,"Y",$J$2:$J$1000,"&gt;"&amp;J68)+COUNTIFS($EB$2:$EB$1000,"Y",$J$2:$J$1000,J68,$ED$2:$ED$1000,"&lt;"&amp;ED68)+1)</f>
        <v/>
      </c>
      <c r="Z68" t="n">
        <v>67</v>
      </c>
      <c r="AA68" t="inlineStr">
        <is>
          <t>N</t>
        </is>
      </c>
      <c r="AB68" t="inlineStr">
        <is>
          <t>find Lauryn Bodden at S'NOODS on LinkedIn and paste the profile URL</t>
        </is>
      </c>
      <c r="AC68" t="inlineStr">
        <is>
          <t>founder</t>
        </is>
      </c>
      <c r="AD68" t="inlineStr">
        <is>
          <t>verified-page</t>
        </is>
      </c>
      <c r="AE68" t="inlineStr">
        <is>
          <t>employer's own site</t>
        </is>
      </c>
      <c r="AF68" t="inlineStr">
        <is>
          <t>https://www.eatsnoods.com/pages/about</t>
        </is>
      </c>
      <c r="AG68" t="inlineStr">
        <is>
          <t>2026-10-23</t>
        </is>
      </c>
      <c r="AH68" t="inlineStr">
        <is>
          <t>S'NOODS Spicy Miso Ramen noodle chips, 4 oz bag</t>
        </is>
      </c>
      <c r="AI68" t="inlineStr">
        <is>
          <t>chips-crisps</t>
        </is>
      </c>
      <c r="AJ68" t="inlineStr">
        <is>
          <t>New York (search snippet: a trade outlet calls it 'New York-based'; unverified, founder to confirm)</t>
        </is>
      </c>
      <c r="AK68" t="inlineStr">
        <is>
          <t>https://www.eatsnoods.com</t>
        </is>
      </c>
      <c r="AL68" t="inlineStr">
        <is>
          <t>N</t>
        </is>
      </c>
      <c r="AN68" t="inlineStr">
        <is>
          <t>AB-036</t>
        </is>
      </c>
      <c r="AO68" t="inlineStr">
        <is>
          <t>N</t>
        </is>
      </c>
      <c r="AR68">
        <f>IF(AND(AU68="pass",AO68&lt;&gt;"Y",C68&lt;&gt;""),"Y","N")</f>
        <v/>
      </c>
      <c r="AS68">
        <f>_xlfn.TEXTJOIN("; ",TRUE,IF(AU68&lt;&gt;"pass","gated out",""),IF(AO68="Y","on hold: "&amp;AP68,""),IF(C68="","no contact named on an opened page",""))</f>
        <v/>
      </c>
      <c r="AU68" t="inlineStr">
        <is>
          <t>pass</t>
        </is>
      </c>
      <c r="AW68" t="inlineStr">
        <is>
          <t>passes all hard gates</t>
        </is>
      </c>
      <c r="AY68" t="inlineStr">
        <is>
          <t>https://www.eatsnoods.com</t>
        </is>
      </c>
      <c r="AZ68" t="inlineStr">
        <is>
          <t>NY (unverified, founder to confirm)</t>
        </is>
      </c>
      <c r="BA68" t="inlineStr">
        <is>
          <t>nyc (unverified)</t>
        </is>
      </c>
      <c r="BB68" t="inlineStr">
        <is>
          <t>unknown</t>
        </is>
      </c>
      <c r="BD68" t="inlineStr">
        <is>
          <t>Y</t>
        </is>
      </c>
      <c r="BE68" t="inlineStr">
        <is>
          <t>Bagged noodle chips sold ambient; DTC and Amazon</t>
        </is>
      </c>
      <c r="BF68" t="inlineStr">
        <is>
          <t>N</t>
        </is>
      </c>
      <c r="BG68" t="inlineStr">
        <is>
          <t>Y</t>
        </is>
      </c>
      <c r="BH68" t="inlineStr">
        <is>
          <t>unknown</t>
        </is>
      </c>
      <c r="BJ68" t="inlineStr">
        <is>
          <t>unknown</t>
        </is>
      </c>
      <c r="BK68" t="inlineStr">
        <is>
          <t>N</t>
        </is>
      </c>
      <c r="BL68" t="inlineStr">
        <is>
          <t>N</t>
        </is>
      </c>
      <c r="BO68" t="inlineStr">
        <is>
          <t>N</t>
        </is>
      </c>
      <c r="BP68" t="n">
        <v>0</v>
      </c>
      <c r="BS68" t="inlineStr">
        <is>
          <t>215+ retail doors across the Eastern U.S.; distributors Chex Finer Foods and Rainforest; Amazon; Faire (Startup CPG, 2026-07-21)</t>
        </is>
      </c>
      <c r="BT68" t="inlineStr">
        <is>
          <t>https://startupcpg.com/14-chip-brands-taking-your-tastebuds-on-a-flavor-tour/; https://www.wholefoodsmarket.com/search?text=s%27noods%20noodle%20chips (no WFM results in cluster stores, 2026-10-23)</t>
        </is>
      </c>
      <c r="BU68" t="inlineStr">
        <is>
          <t>listing</t>
        </is>
      </c>
      <c r="BV68" t="n">
        <v>95</v>
      </c>
      <c r="BW68" t="inlineStr">
        <is>
          <t>https://startupcpg.com/14-chip-brands-taking-your-tastebuds-on-a-flavor-tour/</t>
        </is>
      </c>
      <c r="BX68" t="inlineStr">
        <is>
          <t>Lauryn Bodden</t>
        </is>
      </c>
      <c r="CF68" t="inlineStr">
        <is>
          <t>none</t>
        </is>
      </c>
      <c r="CK68" t="inlineStr">
        <is>
          <t>none</t>
        </is>
      </c>
      <c r="CL68" t="n">
        <v>49</v>
      </c>
      <c r="CM68" t="n">
        <v>6</v>
      </c>
      <c r="CN68" t="n">
        <v>17</v>
      </c>
      <c r="CO68" t="n">
        <v>8</v>
      </c>
      <c r="CP68" t="n">
        <v>5</v>
      </c>
      <c r="CQ68" t="n">
        <v>7</v>
      </c>
      <c r="CR68" t="n">
        <v>6</v>
      </c>
      <c r="CS68">
        <f>IF(R68="Y",10,0)</f>
        <v/>
      </c>
      <c r="CT68" t="n">
        <v>0</v>
      </c>
      <c r="CU68" t="inlineStr">
        <is>
          <t>unknown</t>
        </is>
      </c>
      <c r="CV68" t="inlineStr">
        <is>
          <t>BR1</t>
        </is>
      </c>
      <c r="CW68" t="inlineStr">
        <is>
          <t>BR1:37</t>
        </is>
      </c>
      <c r="CX68" t="inlineStr">
        <is>
          <t>East Coast distribution footprint; HQ not stated on site or policy pages.</t>
        </is>
      </c>
      <c r="CY68" t="inlineStr">
        <is>
          <t xml:space="preserve">hq_city &lt;- https://www.nosh.com/news/2024/pasta-snack (2026-10-24, snippet-unverified); hq_state &lt;- https://www.nosh.com/news/2024/pasta-snack (2026-10-24, snippet-unverified); </t>
        </is>
      </c>
      <c r="DA68" t="inlineStr">
        <is>
          <t>stage 1 only</t>
        </is>
      </c>
      <c r="DY68">
        <f>IF(ISNUMBER(MATCH(U68,{"queued","contacted","replied","call_booked","call_done","yes_in_principle","materials_sent"},0)),"Y","N")</f>
        <v/>
      </c>
      <c r="DZ68">
        <f>IF(COUNTIFS($AN$2:$AN$1000,AN68,$DY$2:$DY$1000,"Y")+COUNTIFS($AN$2:$AN$1000,AN68,$T$2:$T$1000,"Y")&gt;0,"Y","N")</f>
        <v/>
      </c>
      <c r="EA68">
        <f>IF(AND(U68="new",T68="N",AR68="Y",AQ68="",DZ68="N"),"Y","N")</f>
        <v/>
      </c>
      <c r="EB68">
        <f>IF(EA68&lt;&gt;"Y","N",IF(COUNTIFS($AN$2:$AN$1000,AN68,$EA$2:$EA$1000,"Y",$J$2:$J$1000,"&gt;"&amp;J68)+COUNTIFS($AN$2:$AN$1000,AN68,$EA$2:$EA$1000,"Y",$J$2:$J$1000,J68,$ED$2:$ED$1000,"&lt;"&amp;ED68)=0,"Y","N"))</f>
        <v/>
      </c>
      <c r="EC68">
        <f>IF(Y68="","N",IF(Y68&lt;=10,"Y","N"))</f>
        <v/>
      </c>
      <c r="ED68">
        <f>ROW()-1</f>
        <v/>
      </c>
    </row>
    <row r="69">
      <c r="A69" t="inlineStr">
        <is>
          <t>AB-159</t>
        </is>
      </c>
      <c r="B69" t="inlineStr">
        <is>
          <t>Hoplark</t>
        </is>
      </c>
      <c r="C69" t="inlineStr">
        <is>
          <t>Dean</t>
        </is>
      </c>
      <c r="D69" t="inlineStr">
        <is>
          <t>Eberhardt</t>
        </is>
      </c>
      <c r="E69" t="inlineStr">
        <is>
          <t>Co-founder</t>
        </is>
      </c>
      <c r="H69" t="inlineStr">
        <is>
          <t>none</t>
        </is>
      </c>
      <c r="I69" t="inlineStr">
        <is>
          <t>linkedin</t>
        </is>
      </c>
      <c r="J69">
        <f>IF(AU69="pass",CM69+CN69+CO69+CP69+CQ69+CR69+CS69+CT69,0)</f>
        <v/>
      </c>
      <c r="K69" t="inlineStr">
        <is>
          <t>Brand based outside the Northeast, brand locator shows Wegmans Astor Place 4.0 blocks outside it, news 136 days ago, revenue unknown, contact named; founder review: alcohol-adjacent, claim-borderline.</t>
        </is>
      </c>
      <c r="M69" t="inlineStr">
        <is>
          <t>Wegmans Astor Place, 499 Lafayette St</t>
        </is>
      </c>
      <c r="N69" t="inlineStr">
        <is>
          <t>brand_claim</t>
        </is>
      </c>
      <c r="O69" t="inlineStr">
        <is>
          <t>Spring 2026 packaging refresh across sparkling teas, waters and NA beers, aimed at off-premise retail shelf (Global Drinks Intel, 2026-06-10); seasonal SKUs on store 2026-09-24 and 2026-10-13</t>
        </is>
      </c>
      <c r="P69" t="inlineStr">
        <is>
          <t>https://drinks-intel.com/news/brooklyn-brewery-backed-hoplark-unveils-brand-refresh/</t>
        </is>
      </c>
      <c r="Q69" t="inlineStr">
        <is>
          <t>2026-06-10</t>
        </is>
      </c>
      <c r="R69" t="inlineStr">
        <is>
          <t>N</t>
        </is>
      </c>
      <c r="S69" t="inlineStr">
        <is>
          <t>Y</t>
        </is>
      </c>
      <c r="T69" t="inlineStr">
        <is>
          <t>N</t>
        </is>
      </c>
      <c r="U69" t="inlineStr">
        <is>
          <t>new</t>
        </is>
      </c>
      <c r="V69" t="inlineStr">
        <is>
          <t>https://hoplark.com/pages/faq</t>
        </is>
      </c>
      <c r="W69" t="inlineStr">
        <is>
          <t>2026-10-23</t>
        </is>
      </c>
      <c r="X69" t="inlineStr">
        <is>
          <t>brand</t>
        </is>
      </c>
      <c r="Y69">
        <f>IF(EB69&lt;&gt;"Y","",COUNTIFS($EB$2:$EB$1000,"Y",$J$2:$J$1000,"&gt;"&amp;J69)+COUNTIFS($EB$2:$EB$1000,"Y",$J$2:$J$1000,J69,$ED$2:$ED$1000,"&lt;"&amp;ED69)+1)</f>
        <v/>
      </c>
      <c r="Z69" t="n">
        <v>68</v>
      </c>
      <c r="AA69" t="inlineStr">
        <is>
          <t>N</t>
        </is>
      </c>
      <c r="AB69" t="inlineStr">
        <is>
          <t>find Dean Eberhardt at Hoplark on LinkedIn and paste the profile URL; the retailer line rests on the brand's own store locator: say 'your store locator lists ...'; founder review (alcohol-adjacent, claim-borderline): read founder_review_reason first</t>
        </is>
      </c>
      <c r="AC69" t="inlineStr">
        <is>
          <t>founder</t>
        </is>
      </c>
      <c r="AD69" t="inlineStr">
        <is>
          <t>verified-page</t>
        </is>
      </c>
      <c r="AE69" t="inlineStr">
        <is>
          <t>press, event or podcast page</t>
        </is>
      </c>
      <c r="AF69" t="inlineStr">
        <is>
          <t>https://drinks-intel.com/news/brooklyn-brewery-backed-hoplark-unveils-brand-refresh/</t>
        </is>
      </c>
      <c r="AG69" t="inlineStr">
        <is>
          <t>2026-10-23</t>
        </is>
      </c>
      <c r="AH69" t="inlineStr">
        <is>
          <t>Hoplark Sparkling Hop Tea 'The Golden Hour One', 16 oz can</t>
        </is>
      </c>
      <c r="AI69" t="inlineStr">
        <is>
          <t>sparkling-soda</t>
        </is>
      </c>
      <c r="AJ69" t="inlineStr">
        <is>
          <t>Boulder</t>
        </is>
      </c>
      <c r="AK69" t="inlineStr">
        <is>
          <t>https://hoplark.com</t>
        </is>
      </c>
      <c r="AL69" t="inlineStr">
        <is>
          <t>Y</t>
        </is>
      </c>
      <c r="AM69" t="inlineStr">
        <is>
          <t>Beer-adjacent hop positioning ('0.0 Hazy Style'); FAQ says zero alcohol and nothing fermented, but offices may read it as NA beer. Some SKUs have 20 to 60 mg caffeine. Colorado brand; 60-day shelf life not stated</t>
        </is>
      </c>
      <c r="AN69" t="inlineStr">
        <is>
          <t>AB-159</t>
        </is>
      </c>
      <c r="AO69" t="inlineStr">
        <is>
          <t>N</t>
        </is>
      </c>
      <c r="AR69">
        <f>IF(AND(AU69="pass",AO69&lt;&gt;"Y",C69&lt;&gt;""),"Y","N")</f>
        <v/>
      </c>
      <c r="AS69">
        <f>_xlfn.TEXTJOIN("; ",TRUE,IF(AU69&lt;&gt;"pass","gated out",""),IF(AO69="Y","on hold: "&amp;AP69,""),IF(C69="","no contact named on an opened page",""))</f>
        <v/>
      </c>
      <c r="AU69" t="inlineStr">
        <is>
          <t>pass</t>
        </is>
      </c>
      <c r="AW69" t="inlineStr">
        <is>
          <t>passes all hard gates</t>
        </is>
      </c>
      <c r="AX69" t="inlineStr">
        <is>
          <t>alcohol-adjacent;claim-borderline</t>
        </is>
      </c>
      <c r="AY69" t="inlineStr">
        <is>
          <t>https://hoplark.com</t>
        </is>
      </c>
      <c r="AZ69" t="inlineStr">
        <is>
          <t>CO</t>
        </is>
      </c>
      <c r="BA69" t="inlineStr">
        <is>
          <t>elsewhere</t>
        </is>
      </c>
      <c r="BB69" t="inlineStr">
        <is>
          <t>unknown</t>
        </is>
      </c>
      <c r="BD69" t="inlineStr">
        <is>
          <t>unknown</t>
        </is>
      </c>
      <c r="BE69" t="inlineStr">
        <is>
          <t>No storage statement in FAQ</t>
        </is>
      </c>
      <c r="BF69" t="inlineStr">
        <is>
          <t>Y</t>
        </is>
      </c>
      <c r="BG69" t="inlineStr">
        <is>
          <t>Y</t>
        </is>
      </c>
      <c r="BH69" t="inlineStr">
        <is>
          <t>unknown</t>
        </is>
      </c>
      <c r="BJ69" t="inlineStr">
        <is>
          <t>No public sales figure found</t>
        </is>
      </c>
      <c r="BK69" t="inlineStr">
        <is>
          <t>N</t>
        </is>
      </c>
      <c r="BL69" t="inlineStr">
        <is>
          <t>N</t>
        </is>
      </c>
      <c r="BN69" t="n">
        <v>4</v>
      </c>
      <c r="BO69" t="inlineStr">
        <is>
          <t>N</t>
        </is>
      </c>
      <c r="BP69" t="n">
        <v>1</v>
      </c>
      <c r="BQ69" t="inlineStr">
        <is>
          <t>Wegmans Astor Place, 499 Lafayette St (brand_claim, 4.0 blocks out)</t>
        </is>
      </c>
      <c r="BS69" t="inlineStr">
        <is>
          <t>Wegmans (brand Storepoint locator; only 2 NYC-area points returned)</t>
        </is>
      </c>
      <c r="BT69" t="inlineStr">
        <is>
          <t>https://hoplark.com/pages/retail-locations; https://api.storepoint.co/v1/161b7481f09706/locations?lat=40.7400&amp;long=-73.9900&amp;radius=3</t>
        </is>
      </c>
      <c r="BU69" t="inlineStr">
        <is>
          <t>press</t>
        </is>
      </c>
      <c r="BV69" t="n">
        <v>136</v>
      </c>
      <c r="BW69" t="inlineStr">
        <is>
          <t>https://startupcpg.com/startup-cpg-newswire-hoplark-expands-portfolio-with-limited-edition-soda-12-pack/</t>
        </is>
      </c>
      <c r="BX69" t="inlineStr">
        <is>
          <t>Dean Eberhardt</t>
        </is>
      </c>
      <c r="CA69" t="inlineStr">
        <is>
          <t>Shannon Wright</t>
        </is>
      </c>
      <c r="CB69" t="inlineStr">
        <is>
          <t>Shannon</t>
        </is>
      </c>
      <c r="CC69" t="inlineStr">
        <is>
          <t>Wright</t>
        </is>
      </c>
      <c r="CD69" t="inlineStr">
        <is>
          <t>Senior Marketing Manager</t>
        </is>
      </c>
      <c r="CE69" t="inlineStr">
        <is>
          <t>marketing</t>
        </is>
      </c>
      <c r="CF69" t="inlineStr">
        <is>
          <t>verified-page</t>
        </is>
      </c>
      <c r="CK69" t="inlineStr">
        <is>
          <t>none</t>
        </is>
      </c>
      <c r="CL69" t="n">
        <v>48</v>
      </c>
      <c r="CM69" t="n">
        <v>13</v>
      </c>
      <c r="CN69" t="n">
        <v>3</v>
      </c>
      <c r="CO69" t="n">
        <v>15</v>
      </c>
      <c r="CP69" t="n">
        <v>5</v>
      </c>
      <c r="CQ69" t="n">
        <v>7</v>
      </c>
      <c r="CR69" t="n">
        <v>10</v>
      </c>
      <c r="CS69">
        <f>IF(R69="Y",10,0)</f>
        <v/>
      </c>
      <c r="CT69" t="n">
        <v>-5</v>
      </c>
      <c r="CU69" t="inlineStr">
        <is>
          <t>https://www.instagram.com/drinkhoplark</t>
        </is>
      </c>
      <c r="CV69" t="inlineStr">
        <is>
          <t>BR3</t>
        </is>
      </c>
      <c r="CW69" t="inlineStr">
        <is>
          <t>BR3:33</t>
        </is>
      </c>
      <c r="CX69" t="inlineStr">
        <is>
          <t>Story page mentions explorations through 'the Colorado foothills' (basis for hq_state CO; city not stated). Dates are Shopify publish dates.</t>
        </is>
      </c>
      <c r="CY69" t="inlineStr">
        <is>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is>
      </c>
      <c r="CZ69" t="inlineStr">
        <is>
          <t>https://startupcpg.com/startup-cpg-newswire-hoplark-expands-portfolio-with-limited-edition-soda-12-pack/</t>
        </is>
      </c>
      <c r="DA69" t="inlineStr">
        <is>
          <t>stage 1 only</t>
        </is>
      </c>
      <c r="DC69" t="inlineStr">
        <is>
          <t>press, event or podcast page</t>
        </is>
      </c>
      <c r="DY69">
        <f>IF(ISNUMBER(MATCH(U69,{"queued","contacted","replied","call_booked","call_done","yes_in_principle","materials_sent"},0)),"Y","N")</f>
        <v/>
      </c>
      <c r="DZ69">
        <f>IF(COUNTIFS($AN$2:$AN$1000,AN69,$DY$2:$DY$1000,"Y")+COUNTIFS($AN$2:$AN$1000,AN69,$T$2:$T$1000,"Y")&gt;0,"Y","N")</f>
        <v/>
      </c>
      <c r="EA69">
        <f>IF(AND(U69="new",T69="N",AR69="Y",AQ69="",DZ69="N"),"Y","N")</f>
        <v/>
      </c>
      <c r="EB69">
        <f>IF(EA69&lt;&gt;"Y","N",IF(COUNTIFS($AN$2:$AN$1000,AN69,$EA$2:$EA$1000,"Y",$J$2:$J$1000,"&gt;"&amp;J69)+COUNTIFS($AN$2:$AN$1000,AN69,$EA$2:$EA$1000,"Y",$J$2:$J$1000,J69,$ED$2:$ED$1000,"&lt;"&amp;ED69)=0,"Y","N"))</f>
        <v/>
      </c>
      <c r="EC69">
        <f>IF(Y69="","N",IF(Y69&lt;=10,"Y","N"))</f>
        <v/>
      </c>
      <c r="ED69">
        <f>ROW()-1</f>
        <v/>
      </c>
    </row>
    <row r="70">
      <c r="A70" t="inlineStr">
        <is>
          <t>AB-182</t>
        </is>
      </c>
      <c r="B70" t="inlineStr">
        <is>
          <t>OOZ Birch Water</t>
        </is>
      </c>
      <c r="H70" t="inlineStr">
        <is>
          <t>none</t>
        </is>
      </c>
      <c r="J70">
        <f>IF(AU70="pass",CM70+CN70+CO70+CP70+CQ70+CR70+CS70+CT70,0)</f>
        <v/>
      </c>
      <c r="K70" t="inlineStr">
        <is>
          <t>New York City brand (HQ unverified), brand locator shows Fairway Market Chelsea inside the cluster, no dated why-now in the last 12 months, revenue unknown, contact seen only in a snippet; founder review: claim-borderline.</t>
        </is>
      </c>
      <c r="M70" t="inlineStr">
        <is>
          <t>Fairway Market Chelsea, 766 6th Ave</t>
        </is>
      </c>
      <c r="N70" t="inlineStr">
        <is>
          <t>brand_claim</t>
        </is>
      </c>
      <c r="O70" t="inlineStr">
        <is>
          <t>Press release: OOZ debuts single-ingredient hydration tapped from birch trees (launch announcement, NYC independents plus DTC) (unverified, founder to confirm)</t>
        </is>
      </c>
      <c r="P70" t="inlineStr">
        <is>
          <t>https://popupgrocer.com/products/ooz</t>
        </is>
      </c>
      <c r="Q70" t="inlineStr">
        <is>
          <t>2026-04-30</t>
        </is>
      </c>
      <c r="R70" t="inlineStr">
        <is>
          <t>N</t>
        </is>
      </c>
      <c r="S70" t="inlineStr">
        <is>
          <t>unknown</t>
        </is>
      </c>
      <c r="T70" t="inlineStr">
        <is>
          <t>N</t>
        </is>
      </c>
      <c r="U70" t="inlineStr">
        <is>
          <t>new</t>
        </is>
      </c>
      <c r="V70" t="inlineStr">
        <is>
          <t>https://oozwater.com/pages/our-story</t>
        </is>
      </c>
      <c r="W70" t="inlineStr">
        <is>
          <t>2026-10-23</t>
        </is>
      </c>
      <c r="X70" t="inlineStr">
        <is>
          <t>brand</t>
        </is>
      </c>
      <c r="Y70">
        <f>IF(EB70&lt;&gt;"Y","",COUNTIFS($EB$2:$EB$1000,"Y",$J$2:$J$1000,"&gt;"&amp;J70)+COUNTIFS($EB$2:$EB$1000,"Y",$J$2:$J$1000,J70,$ED$2:$ED$1000,"&lt;"&amp;ED70)+1)</f>
        <v/>
      </c>
      <c r="Z70" t="n">
        <v>69</v>
      </c>
      <c r="AA70" t="inlineStr">
        <is>
          <t>N</t>
        </is>
      </c>
      <c r="AB70" t="inlineStr">
        <is>
          <t>no person named on an opened page: not ready; the retailer line rests on the brand's own store locator: say 'your store locator lists ...'; founder review (claim-borderline): read founder_review_reason first</t>
        </is>
      </c>
      <c r="AC70" t="inlineStr">
        <is>
          <t>founder</t>
        </is>
      </c>
      <c r="AD70" t="inlineStr">
        <is>
          <t>unverified</t>
        </is>
      </c>
      <c r="AE70" t="inlineStr">
        <is>
          <t>employer's own site</t>
        </is>
      </c>
      <c r="AF70" t="inlineStr">
        <is>
          <t>https://oozwater.com/pages/our-story</t>
        </is>
      </c>
      <c r="AG70" t="inlineStr">
        <is>
          <t>2026-10-23</t>
        </is>
      </c>
      <c r="AH70" t="inlineStr">
        <is>
          <t>OOZ Organic Birch Water (100% birch sap), glass bottle</t>
        </is>
      </c>
      <c r="AI70" t="inlineStr">
        <is>
          <t>tea-juice</t>
        </is>
      </c>
      <c r="AJ70" t="inlineStr">
        <is>
          <t>New York (unverified, founder to confirm)</t>
        </is>
      </c>
      <c r="AK70" t="inlineStr">
        <is>
          <t>https://oozwater.com</t>
        </is>
      </c>
      <c r="AL70" t="inlineStr">
        <is>
          <t>Y</t>
        </is>
      </c>
      <c r="AM70" t="inlineStr">
        <is>
          <t>Wellness framing ('antioxidants, manganese, and electrolytes'; 'connected to your own wellness') is nutrient-content and soft wording; check label for structure or function claims. Glass bottle (breakage risk on drop day)</t>
        </is>
      </c>
      <c r="AN70" t="inlineStr">
        <is>
          <t>AB-182</t>
        </is>
      </c>
      <c r="AO70" t="inlineStr">
        <is>
          <t>N</t>
        </is>
      </c>
      <c r="AR70">
        <f>IF(AND(AU70="pass",AO70&lt;&gt;"Y",C70&lt;&gt;""),"Y","N")</f>
        <v/>
      </c>
      <c r="AS70">
        <f>_xlfn.TEXTJOIN("; ",TRUE,IF(AU70&lt;&gt;"pass","gated out",""),IF(AO70="Y","on hold: "&amp;AP70,""),IF(C70="","no contact named on an opened page",""))</f>
        <v/>
      </c>
      <c r="AU70" t="inlineStr">
        <is>
          <t>pass</t>
        </is>
      </c>
      <c r="AW70" t="inlineStr">
        <is>
          <t>passes all hard gates</t>
        </is>
      </c>
      <c r="AX70" t="inlineStr">
        <is>
          <t>claim-borderline</t>
        </is>
      </c>
      <c r="AY70" t="inlineStr">
        <is>
          <t>https://oozwater.com</t>
        </is>
      </c>
      <c r="AZ70" t="inlineStr">
        <is>
          <t>NY (unverified, founder to confirm)</t>
        </is>
      </c>
      <c r="BA70" t="inlineStr">
        <is>
          <t>nyc (unverified)</t>
        </is>
      </c>
      <c r="BB70" t="inlineStr">
        <is>
          <t>unknown</t>
        </is>
      </c>
      <c r="BD70" t="inlineStr">
        <is>
          <t>Y</t>
        </is>
      </c>
      <c r="BE70" t="inlineStr">
        <is>
          <t>Our-story page: 'pasteurized, and bottled in glass... allowing OOZ to remain shelf stable for up to one year' (oozwater.com/pages/our-story, opened 2026-10-23)</t>
        </is>
      </c>
      <c r="BF70" t="inlineStr">
        <is>
          <t>Y</t>
        </is>
      </c>
      <c r="BG70" t="inlineStr">
        <is>
          <t>Y</t>
        </is>
      </c>
      <c r="BH70" t="inlineStr">
        <is>
          <t>unknown</t>
        </is>
      </c>
      <c r="BJ70" t="inlineStr">
        <is>
          <t>No public sales figure found</t>
        </is>
      </c>
      <c r="BK70" t="inlineStr">
        <is>
          <t>N</t>
        </is>
      </c>
      <c r="BL70" t="inlineStr">
        <is>
          <t>N</t>
        </is>
      </c>
      <c r="BN70" t="n">
        <v>0</v>
      </c>
      <c r="BO70" t="inlineStr">
        <is>
          <t>Y</t>
        </is>
      </c>
      <c r="BP70" t="n">
        <v>4</v>
      </c>
      <c r="BQ70" t="inlineStr">
        <is>
          <t>Fairway Market Chelsea, 766 6th Ave (brand_claim, inside);Elm Wellness, 56 7th Ave (brand_claim, 3.0 blocks out);TMPL Madison, 200 Madison Ave (brand_claim, 5.1 blocks out);Fairway Market Kips Bay, 550 2nd Ave (brand_claim, 7.0 blocks out)</t>
        </is>
      </c>
      <c r="BR70" t="inlineStr">
        <is>
          <t>Pearl River Mart at Chelsea Market (brand_claim, 11.4 blocks out);Galleria Marketplace (brand_claim, 13.5 blocks out)</t>
        </is>
      </c>
      <c r="BS70" t="inlineStr">
        <is>
          <t>Fairway Market; TMPL; Elm Wellness; Pearl River Mart; Pop Up Grocer; Happier Grocery; Hamptons markets; many Brooklyn and Queens grocers (brand stockists file, 85 points)</t>
        </is>
      </c>
      <c r="BT70" t="inlineStr">
        <is>
          <t>https://oozwater.com/pages/store-locator; https://oozwater.com/cdn/shop/t/10/assets/stockists.json?v=178731794020656742571783376028; https://popupgrocer.com/products/ooz</t>
        </is>
      </c>
      <c r="BU70" t="inlineStr">
        <is>
          <t>unverified</t>
        </is>
      </c>
      <c r="BV70" t="n">
        <v>177</v>
      </c>
      <c r="BX70" t="inlineStr">
        <is>
          <t>Christina Zhang</t>
        </is>
      </c>
      <c r="CF70" t="inlineStr">
        <is>
          <t>none</t>
        </is>
      </c>
      <c r="CK70" t="inlineStr">
        <is>
          <t>none</t>
        </is>
      </c>
      <c r="CL70" t="n">
        <v>48</v>
      </c>
      <c r="CM70" t="n">
        <v>17</v>
      </c>
      <c r="CN70" t="n">
        <v>17</v>
      </c>
      <c r="CO70" t="n">
        <v>0</v>
      </c>
      <c r="CP70" t="n">
        <v>5</v>
      </c>
      <c r="CQ70" t="n">
        <v>10</v>
      </c>
      <c r="CR70" t="n">
        <v>3</v>
      </c>
      <c r="CS70">
        <f>IF(R70="Y",10,0)</f>
        <v/>
      </c>
      <c r="CT70" t="n">
        <v>-4</v>
      </c>
      <c r="CU70" t="inlineStr">
        <is>
          <t>unknown</t>
        </is>
      </c>
      <c r="CV70" t="inlineStr">
        <is>
          <t>BR3</t>
        </is>
      </c>
      <c r="CW70" t="inlineStr">
        <is>
          <t>BR3:56</t>
        </is>
      </c>
      <c r="CX70" t="inlineStr">
        <is>
          <t>Stockists file read 2026-10-23: dense NYC footprint (Manhattan, Brooklyn, Queens, Hamptons), so probably NY-based but HQ not stated. AAPI and women-owned per Pop Up Grocer. One of the better near-cluster buy paths in this slice.</t>
        </is>
      </c>
      <c r="CY70" t="inlineStr">
        <is>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t>
        </is>
      </c>
      <c r="DA70" t="inlineStr">
        <is>
          <t>stage 1 only</t>
        </is>
      </c>
      <c r="DY70">
        <f>IF(ISNUMBER(MATCH(U70,{"queued","contacted","replied","call_booked","call_done","yes_in_principle","materials_sent"},0)),"Y","N")</f>
        <v/>
      </c>
      <c r="DZ70">
        <f>IF(COUNTIFS($AN$2:$AN$1000,AN70,$DY$2:$DY$1000,"Y")+COUNTIFS($AN$2:$AN$1000,AN70,$T$2:$T$1000,"Y")&gt;0,"Y","N")</f>
        <v/>
      </c>
      <c r="EA70">
        <f>IF(AND(U70="new",T70="N",AR70="Y",AQ70="",DZ70="N"),"Y","N")</f>
        <v/>
      </c>
      <c r="EB70">
        <f>IF(EA70&lt;&gt;"Y","N",IF(COUNTIFS($AN$2:$AN$1000,AN70,$EA$2:$EA$1000,"Y",$J$2:$J$1000,"&gt;"&amp;J70)+COUNTIFS($AN$2:$AN$1000,AN70,$EA$2:$EA$1000,"Y",$J$2:$J$1000,J70,$ED$2:$ED$1000,"&lt;"&amp;ED70)=0,"Y","N"))</f>
        <v/>
      </c>
      <c r="EC70">
        <f>IF(Y70="","N",IF(Y70&lt;=10,"Y","N"))</f>
        <v/>
      </c>
      <c r="ED70">
        <f>ROW()-1</f>
        <v/>
      </c>
    </row>
    <row r="71">
      <c r="A71" t="inlineStr">
        <is>
          <t>AB-281</t>
        </is>
      </c>
      <c r="B71" t="inlineStr">
        <is>
          <t>Cirrus 9 Candy</t>
        </is>
      </c>
      <c r="C71" t="inlineStr">
        <is>
          <t>Morganne</t>
        </is>
      </c>
      <c r="D71" t="inlineStr">
        <is>
          <t>unknown</t>
        </is>
      </c>
      <c r="E71" t="inlineStr">
        <is>
          <t>Founder</t>
        </is>
      </c>
      <c r="H71" t="inlineStr">
        <is>
          <t>none</t>
        </is>
      </c>
      <c r="I71" t="inlineStr">
        <is>
          <t>linkedin</t>
        </is>
      </c>
      <c r="J71">
        <f>IF(AU71="pass",CM71+CN71+CO71+CP71+CQ71+CR71+CS71+CT71,0)</f>
        <v/>
      </c>
      <c r="K71" t="inlineStr">
        <is>
          <t>New York State brand, no graded store within ten blocks, online store only, news 5 days ago, revenue unknown, contact named (first name only); founder review: other.</t>
        </is>
      </c>
      <c r="M71" t="inlineStr">
        <is>
          <t>none found within ten blocks</t>
        </is>
      </c>
      <c r="N71" t="inlineStr">
        <is>
          <t>unverified</t>
        </is>
      </c>
      <c r="O71" t="inlineStr">
        <is>
          <t>New York Maple and Wild Raspberry cotton candy named 2027 sofi Award finalists (Sweet Snacks)</t>
        </is>
      </c>
      <c r="P71" t="inlineStr">
        <is>
          <t>https://www.specialtyfood.com/news-media/news-features/association-press-releases/2027-sofi-awards-finalists/</t>
        </is>
      </c>
      <c r="Q71" t="inlineStr">
        <is>
          <t>2026-10-19</t>
        </is>
      </c>
      <c r="R71" t="inlineStr">
        <is>
          <t>N</t>
        </is>
      </c>
      <c r="S71" t="inlineStr">
        <is>
          <t>Y</t>
        </is>
      </c>
      <c r="T71" t="inlineStr">
        <is>
          <t>N</t>
        </is>
      </c>
      <c r="U71" t="inlineStr">
        <is>
          <t>new</t>
        </is>
      </c>
      <c r="V71" t="inlineStr">
        <is>
          <t>https://www.specialtyfood.com/news-media/news-features/association-press-releases/2027-sofi-awards-finalists/</t>
        </is>
      </c>
      <c r="W71" t="inlineStr">
        <is>
          <t>2026-10-24</t>
        </is>
      </c>
      <c r="X71" t="inlineStr">
        <is>
          <t>brand</t>
        </is>
      </c>
      <c r="Y71">
        <f>IF(EB71&lt;&gt;"Y","",COUNTIFS($EB$2:$EB$1000,"Y",$J$2:$J$1000,"&gt;"&amp;J71)+COUNTIFS($EB$2:$EB$1000,"Y",$J$2:$J$1000,J71,$ED$2:$ED$1000,"&lt;"&amp;ED71)+1)</f>
        <v/>
      </c>
      <c r="Z71" t="n">
        <v>70</v>
      </c>
      <c r="AA71" t="inlineStr">
        <is>
          <t>N</t>
        </is>
      </c>
      <c r="AB71" t="inlineStr">
        <is>
          <t>find Morganne at Cirrus 9 Candy on LinkedIn and paste the profile URL; surname not public: take it from LinkedIn; founder review (other): read founder_review_reason first</t>
        </is>
      </c>
      <c r="AC71" t="inlineStr">
        <is>
          <t>founder</t>
        </is>
      </c>
      <c r="AD71" t="inlineStr">
        <is>
          <t>first-name-only</t>
        </is>
      </c>
      <c r="AE71" t="inlineStr">
        <is>
          <t>employer's own site</t>
        </is>
      </c>
      <c r="AF71" t="inlineStr">
        <is>
          <t>https://cirrus9candy.com/pages/about</t>
        </is>
      </c>
      <c r="AG71" t="inlineStr">
        <is>
          <t>2026-10-24</t>
        </is>
      </c>
      <c r="AH71" t="inlineStr">
        <is>
          <t>New York Maple organic cotton candy</t>
        </is>
      </c>
      <c r="AI71" t="inlineStr">
        <is>
          <t>chocolate-candy</t>
        </is>
      </c>
      <c r="AJ71" t="inlineStr">
        <is>
          <t>Hudson Valley (town unknown)</t>
        </is>
      </c>
      <c r="AK71" t="inlineStr">
        <is>
          <t>https://cirrus9candy.com</t>
        </is>
      </c>
      <c r="AL71" t="inlineStr">
        <is>
          <t>Y</t>
        </is>
      </c>
      <c r="AM71" t="inlineStr">
        <is>
          <t>Cotton candy is fragile and humidity-sensitive; check pack format, shelf life and whether 50 units per office suits pantries</t>
        </is>
      </c>
      <c r="AN71" t="inlineStr">
        <is>
          <t>AB-281</t>
        </is>
      </c>
      <c r="AO71" t="inlineStr">
        <is>
          <t>N</t>
        </is>
      </c>
      <c r="AR71">
        <f>IF(AND(AU71="pass",AO71&lt;&gt;"Y",C71&lt;&gt;""),"Y","N")</f>
        <v/>
      </c>
      <c r="AS71">
        <f>_xlfn.TEXTJOIN("; ",TRUE,IF(AU71&lt;&gt;"pass","gated out",""),IF(AO71="Y","on hold: "&amp;AP71,""),IF(C71="","no contact named on an opened page",""))</f>
        <v/>
      </c>
      <c r="AU71" t="inlineStr">
        <is>
          <t>pass</t>
        </is>
      </c>
      <c r="AW71" t="inlineStr">
        <is>
          <t>passes all hard gates</t>
        </is>
      </c>
      <c r="AX71" t="inlineStr">
        <is>
          <t>other</t>
        </is>
      </c>
      <c r="AY71" t="inlineStr">
        <is>
          <t>https://cirrus9candy.com</t>
        </is>
      </c>
      <c r="AZ71" t="inlineStr">
        <is>
          <t>NY</t>
        </is>
      </c>
      <c r="BA71" t="inlineStr">
        <is>
          <t>nys</t>
        </is>
      </c>
      <c r="BB71" t="inlineStr">
        <is>
          <t>unknown</t>
        </is>
      </c>
      <c r="BD71" t="inlineStr">
        <is>
          <t>Y</t>
        </is>
      </c>
      <c r="BE71" t="inlineStr">
        <is>
          <t>Spun sugar candy sold online and in stores; shelf life and humidity tolerance not stated</t>
        </is>
      </c>
      <c r="BF71" t="inlineStr">
        <is>
          <t>unknown</t>
        </is>
      </c>
      <c r="BG71" t="inlineStr">
        <is>
          <t>Y</t>
        </is>
      </c>
      <c r="BH71" t="inlineStr">
        <is>
          <t>unknown</t>
        </is>
      </c>
      <c r="BJ71" t="inlineStr">
        <is>
          <t>No sourced sales figure found</t>
        </is>
      </c>
      <c r="BK71" t="inlineStr">
        <is>
          <t>N</t>
        </is>
      </c>
      <c r="BL71" t="inlineStr">
        <is>
          <t>N</t>
        </is>
      </c>
      <c r="BO71" t="inlineStr">
        <is>
          <t>N</t>
        </is>
      </c>
      <c r="BP71" t="n">
        <v>0</v>
      </c>
      <c r="BS71" t="inlineStr">
        <is>
          <t>unknown ('Find a store' link; no list read)</t>
        </is>
      </c>
      <c r="BU71" t="inlineStr">
        <is>
          <t>press</t>
        </is>
      </c>
      <c r="BV71" t="n">
        <v>5</v>
      </c>
      <c r="BW71" t="inlineStr">
        <is>
          <t>https://startupcpg.com/startup-cpg-shelfie-finalists-2026/</t>
        </is>
      </c>
      <c r="BX71" t="inlineStr">
        <is>
          <t>Morganne</t>
        </is>
      </c>
      <c r="BY71" t="inlineStr">
        <is>
          <t>About page: "Morganne, Founder, Flavor &amp; craft". Surname not given; one web search found none.</t>
        </is>
      </c>
      <c r="CA71" t="inlineStr">
        <is>
          <t>Makenna</t>
        </is>
      </c>
      <c r="CB71" t="inlineStr">
        <is>
          <t>Makenna</t>
        </is>
      </c>
      <c r="CC71" t="inlineStr">
        <is>
          <t>unknown</t>
        </is>
      </c>
      <c r="CD71" t="inlineStr">
        <is>
          <t>Co-founder (tech)</t>
        </is>
      </c>
      <c r="CE71" t="inlineStr">
        <is>
          <t>co-founder or executive</t>
        </is>
      </c>
      <c r="CF71" t="inlineStr">
        <is>
          <t>first-name-only</t>
        </is>
      </c>
      <c r="CG71" t="inlineStr">
        <is>
          <t>About page: "Makenna, Co-founder &amp; tech". Stage 1 had her in the marketing slot; the page gives a tech role, so moved to backup.</t>
        </is>
      </c>
      <c r="CK71" t="inlineStr">
        <is>
          <t>none</t>
        </is>
      </c>
      <c r="CL71" t="n">
        <v>48</v>
      </c>
      <c r="CM71" t="n">
        <v>6</v>
      </c>
      <c r="CN71" t="n">
        <v>13</v>
      </c>
      <c r="CO71" t="n">
        <v>15</v>
      </c>
      <c r="CP71" t="n">
        <v>5</v>
      </c>
      <c r="CQ71" t="n">
        <v>8</v>
      </c>
      <c r="CR71" t="n">
        <v>3</v>
      </c>
      <c r="CS71">
        <f>IF(R71="Y",10,0)</f>
        <v/>
      </c>
      <c r="CT71" t="n">
        <v>-2</v>
      </c>
      <c r="CU71" t="inlineStr">
        <is>
          <t>https://www.instagram.com/cirrus9candy/</t>
        </is>
      </c>
      <c r="CV71" t="inlineStr">
        <is>
          <t>BR5</t>
        </is>
      </c>
      <c r="CW71" t="inlineStr">
        <is>
          <t>BR5:17</t>
        </is>
      </c>
      <c r="CX71" t="inlineStr">
        <is>
          <t>About page: 'Founded and run by women, here in the Hudson Valley', 'Hand spun in the Hudson Valley'. Sour Melon cotton candy was a 2026 Startup CPG Shelfie finalist (2026-08-06).</t>
        </is>
      </c>
      <c r="CZ71" t="inlineStr">
        <is>
          <t>https://cirrus9candy.com/pages/about</t>
        </is>
      </c>
      <c r="DA71" t="inlineStr">
        <is>
          <t>stage 2</t>
        </is>
      </c>
      <c r="DC71" t="inlineStr">
        <is>
          <t>employer's own site</t>
        </is>
      </c>
      <c r="DY71">
        <f>IF(ISNUMBER(MATCH(U71,{"queued","contacted","replied","call_booked","call_done","yes_in_principle","materials_sent"},0)),"Y","N")</f>
        <v/>
      </c>
      <c r="DZ71">
        <f>IF(COUNTIFS($AN$2:$AN$1000,AN71,$DY$2:$DY$1000,"Y")+COUNTIFS($AN$2:$AN$1000,AN71,$T$2:$T$1000,"Y")&gt;0,"Y","N")</f>
        <v/>
      </c>
      <c r="EA71">
        <f>IF(AND(U71="new",T71="N",AR71="Y",AQ71="",DZ71="N"),"Y","N")</f>
        <v/>
      </c>
      <c r="EB71">
        <f>IF(EA71&lt;&gt;"Y","N",IF(COUNTIFS($AN$2:$AN$1000,AN71,$EA$2:$EA$1000,"Y",$J$2:$J$1000,"&gt;"&amp;J71)+COUNTIFS($AN$2:$AN$1000,AN71,$EA$2:$EA$1000,"Y",$J$2:$J$1000,J71,$ED$2:$ED$1000,"&lt;"&amp;ED71)=0,"Y","N"))</f>
        <v/>
      </c>
      <c r="EC71">
        <f>IF(Y71="","N",IF(Y71&lt;=10,"Y","N"))</f>
        <v/>
      </c>
      <c r="ED71">
        <f>ROW()-1</f>
        <v/>
      </c>
    </row>
    <row r="72">
      <c r="A72" t="inlineStr">
        <is>
          <t>AB-067</t>
        </is>
      </c>
      <c r="B72" t="inlineStr">
        <is>
          <t>Rule Breaker Snacks</t>
        </is>
      </c>
      <c r="C72" t="inlineStr">
        <is>
          <t>Nancy</t>
        </is>
      </c>
      <c r="D72" t="inlineStr">
        <is>
          <t>Kalish</t>
        </is>
      </c>
      <c r="E72" t="inlineStr">
        <is>
          <t>Founder and CEO</t>
        </is>
      </c>
      <c r="H72" t="inlineStr">
        <is>
          <t>none</t>
        </is>
      </c>
      <c r="I72" t="inlineStr">
        <is>
          <t>linkedin</t>
        </is>
      </c>
      <c r="J72">
        <f>IF(AU72="pass",CM72+CN72+CO72+CP72+CQ72+CR72+CS72+CT72,0)</f>
        <v/>
      </c>
      <c r="K72" t="inlineStr">
        <is>
          <t>New York City brand, no graded store within ten blocks, online store only, no dated why-now in the last 12 months, revenue in band, contact named; founder review: claim-borderline.</t>
        </is>
      </c>
      <c r="M72" t="inlineStr">
        <is>
          <t>none found within ten blocks</t>
        </is>
      </c>
      <c r="N72" t="inlineStr">
        <is>
          <t>unverified</t>
        </is>
      </c>
      <c r="R72" t="inlineStr">
        <is>
          <t>N</t>
        </is>
      </c>
      <c r="S72" t="inlineStr">
        <is>
          <t>unknown</t>
        </is>
      </c>
      <c r="T72" t="inlineStr">
        <is>
          <t>N</t>
        </is>
      </c>
      <c r="U72" t="inlineStr">
        <is>
          <t>new</t>
        </is>
      </c>
      <c r="V72" t="inlineStr">
        <is>
          <t>https://www.rulebreakersnacks.com/pages/about-us</t>
        </is>
      </c>
      <c r="W72" t="inlineStr">
        <is>
          <t>2026-10-23</t>
        </is>
      </c>
      <c r="X72" t="inlineStr">
        <is>
          <t>brand</t>
        </is>
      </c>
      <c r="Y72">
        <f>IF(EB72&lt;&gt;"Y","",COUNTIFS($EB$2:$EB$1000,"Y",$J$2:$J$1000,"&gt;"&amp;J72)+COUNTIFS($EB$2:$EB$1000,"Y",$J$2:$J$1000,J72,$ED$2:$ED$1000,"&lt;"&amp;ED72)+1)</f>
        <v/>
      </c>
      <c r="Z72" t="n">
        <v>71</v>
      </c>
      <c r="AA72" t="inlineStr">
        <is>
          <t>N</t>
        </is>
      </c>
      <c r="AB72" t="inlineStr">
        <is>
          <t>find Nancy Kalish at Rule Breaker Snacks on LinkedIn and paste the profile URL; founder review (claim-borderline): read founder_review_reason first</t>
        </is>
      </c>
      <c r="AC72" t="inlineStr">
        <is>
          <t>founder</t>
        </is>
      </c>
      <c r="AD72" t="inlineStr">
        <is>
          <t>verified-page</t>
        </is>
      </c>
      <c r="AE72" t="inlineStr">
        <is>
          <t>press, event or podcast page</t>
        </is>
      </c>
      <c r="AF72" t="inlineStr">
        <is>
          <t>https://www.bakeryandsnacks.com/Article/2022/03/30/Bimbo-backed-Rule-Breaker-sets-its-sights-on-2.2m-in-2022</t>
        </is>
      </c>
      <c r="AG72" t="inlineStr">
        <is>
          <t>2026-10-23</t>
        </is>
      </c>
      <c r="AH72" t="inlineStr">
        <is>
          <t>Chocolate Brownie Singles, 1.9 oz individually wrapped (chickpea-based)</t>
        </is>
      </c>
      <c r="AI72" t="inlineStr">
        <is>
          <t>cookies-baked</t>
        </is>
      </c>
      <c r="AJ72" t="inlineStr">
        <is>
          <t>Brooklyn</t>
        </is>
      </c>
      <c r="AK72" t="inlineStr">
        <is>
          <t>https://www.rulebreakersnacks.com</t>
        </is>
      </c>
      <c r="AL72" t="inlineStr">
        <is>
          <t>Y</t>
        </is>
      </c>
      <c r="AM72" t="inlineStr">
        <is>
          <t>Nutrient-content positioning ('packed with protein and fiber', 'guilt-free'); allergen-free kids/lunchbox angle</t>
        </is>
      </c>
      <c r="AN72" t="inlineStr">
        <is>
          <t>AB-067</t>
        </is>
      </c>
      <c r="AO72" t="inlineStr">
        <is>
          <t>N</t>
        </is>
      </c>
      <c r="AR72">
        <f>IF(AND(AU72="pass",AO72&lt;&gt;"Y",C72&lt;&gt;""),"Y","N")</f>
        <v/>
      </c>
      <c r="AS72">
        <f>_xlfn.TEXTJOIN("; ",TRUE,IF(AU72&lt;&gt;"pass","gated out",""),IF(AO72="Y","on hold: "&amp;AP72,""),IF(C72="","no contact named on an opened page",""))</f>
        <v/>
      </c>
      <c r="AU72" t="inlineStr">
        <is>
          <t>pass</t>
        </is>
      </c>
      <c r="AW72" t="inlineStr">
        <is>
          <t>passes all hard gates</t>
        </is>
      </c>
      <c r="AX72" t="inlineStr">
        <is>
          <t>claim-borderline</t>
        </is>
      </c>
      <c r="AY72" t="inlineStr">
        <is>
          <t>https://www.rulebreakersnacks.com</t>
        </is>
      </c>
      <c r="AZ72" t="inlineStr">
        <is>
          <t>NY</t>
        </is>
      </c>
      <c r="BA72" t="inlineStr">
        <is>
          <t>nyc</t>
        </is>
      </c>
      <c r="BB72" t="inlineStr">
        <is>
          <t>strategic (Bimbo Ventures) plus equity crowdfunding (Republic, 2022)</t>
        </is>
      </c>
      <c r="BC72" t="inlineStr">
        <is>
          <t>https://www.bakeryandsnacks.com/Article/2022/03/30/Bimbo-backed-Rule-Breaker-sets-its-sights-on-2.2m-in-2022</t>
        </is>
      </c>
      <c r="BD72" t="inlineStr">
        <is>
          <t>Y</t>
        </is>
      </c>
      <c r="BE72" t="inlineStr">
        <is>
          <t>Brand FAQ: 'stay fresh at room temperature for at least 12 months'</t>
        </is>
      </c>
      <c r="BF72" t="inlineStr">
        <is>
          <t>Y</t>
        </is>
      </c>
      <c r="BG72" t="inlineStr">
        <is>
          <t>Y</t>
        </is>
      </c>
      <c r="BH72" t="inlineStr">
        <is>
          <t>500k-10m</t>
        </is>
      </c>
      <c r="BI72" t="inlineStr">
        <is>
          <t>reported</t>
        </is>
      </c>
      <c r="BJ72" t="inlineStr">
        <is>
          <t>Bakery and Snacks 2022-03-30: sales $1.3m in 2021 vs $444k in 2020; projected $2.2m 2022 (dated figure)</t>
        </is>
      </c>
      <c r="BK72" t="inlineStr">
        <is>
          <t>N</t>
        </is>
      </c>
      <c r="BL72" t="inlineStr">
        <is>
          <t>N</t>
        </is>
      </c>
      <c r="BO72" t="inlineStr">
        <is>
          <t>N</t>
        </is>
      </c>
      <c r="BP72" t="n">
        <v>0</v>
      </c>
      <c r="BS72" t="inlineStr">
        <is>
          <t>2,500+ locations; Kroger; Ralphs; Wegmans (brand locator text); Whole Foods Northeast (WFM supplier story, search result)</t>
        </is>
      </c>
      <c r="BT72" t="inlineStr">
        <is>
          <t>https://www.rulebreakersnacks.com/pages/store-locator; https://www.wholefoodsmarket.com/api/search?text=rule%20breaker&amp;store=10162&amp;limit=60&amp;offset=0</t>
        </is>
      </c>
      <c r="BU72" t="inlineStr">
        <is>
          <t>none</t>
        </is>
      </c>
      <c r="BX72" t="inlineStr">
        <is>
          <t>Nancy Kalish</t>
        </is>
      </c>
      <c r="CF72" t="inlineStr">
        <is>
          <t>none</t>
        </is>
      </c>
      <c r="CK72" t="inlineStr">
        <is>
          <t>none</t>
        </is>
      </c>
      <c r="CL72" t="n">
        <v>48</v>
      </c>
      <c r="CM72" t="n">
        <v>6</v>
      </c>
      <c r="CN72" t="n">
        <v>20</v>
      </c>
      <c r="CO72" t="n">
        <v>0</v>
      </c>
      <c r="CP72" t="n">
        <v>10</v>
      </c>
      <c r="CQ72" t="n">
        <v>10</v>
      </c>
      <c r="CR72" t="n">
        <v>6</v>
      </c>
      <c r="CS72">
        <f>IF(R72="Y",10,0)</f>
        <v/>
      </c>
      <c r="CT72" t="n">
        <v>-4</v>
      </c>
      <c r="CU72" t="inlineStr">
        <is>
          <t>https://www.instagram.com/rulebreakersnacks/</t>
        </is>
      </c>
      <c r="CV72" t="inlineStr">
        <is>
          <t>BR2</t>
        </is>
      </c>
      <c r="CW72" t="inlineStr">
        <is>
          <t>BR2:4</t>
        </is>
      </c>
      <c r="CX72" t="inlineStr">
        <is>
          <t>Shark Tank Season 12 (no deal). Not found in WFM Union Square/NoMad/Chelsea catalogs on 2026-10-23. Locator loads dynamically (Secomapp widget) so no store list was readable. No dated signal in the last 12 months found.</t>
        </is>
      </c>
      <c r="DA72" t="inlineStr">
        <is>
          <t>stage 1 only</t>
        </is>
      </c>
      <c r="DY72">
        <f>IF(ISNUMBER(MATCH(U72,{"queued","contacted","replied","call_booked","call_done","yes_in_principle","materials_sent"},0)),"Y","N")</f>
        <v/>
      </c>
      <c r="DZ72">
        <f>IF(COUNTIFS($AN$2:$AN$1000,AN72,$DY$2:$DY$1000,"Y")+COUNTIFS($AN$2:$AN$1000,AN72,$T$2:$T$1000,"Y")&gt;0,"Y","N")</f>
        <v/>
      </c>
      <c r="EA72">
        <f>IF(AND(U72="new",T72="N",AR72="Y",AQ72="",DZ72="N"),"Y","N")</f>
        <v/>
      </c>
      <c r="EB72">
        <f>IF(EA72&lt;&gt;"Y","N",IF(COUNTIFS($AN$2:$AN$1000,AN72,$EA$2:$EA$1000,"Y",$J$2:$J$1000,"&gt;"&amp;J72)+COUNTIFS($AN$2:$AN$1000,AN72,$EA$2:$EA$1000,"Y",$J$2:$J$1000,J72,$ED$2:$ED$1000,"&lt;"&amp;ED72)=0,"Y","N"))</f>
        <v/>
      </c>
      <c r="EC72">
        <f>IF(Y72="","N",IF(Y72&lt;=10,"Y","N"))</f>
        <v/>
      </c>
      <c r="ED72">
        <f>ROW()-1</f>
        <v/>
      </c>
    </row>
    <row r="73">
      <c r="A73" t="inlineStr">
        <is>
          <t>AB-023</t>
        </is>
      </c>
      <c r="B73" t="inlineStr">
        <is>
          <t>SuperSeedz</t>
        </is>
      </c>
      <c r="H73" t="inlineStr">
        <is>
          <t>none</t>
        </is>
      </c>
      <c r="J73">
        <f>IF(AU73="pass",CM73+CN73+CO73+CP73+CQ73+CR73+CS73+CT73,0)</f>
        <v/>
      </c>
      <c r="K73" t="inlineStr">
        <is>
          <t>Northeast brand, store page shows Whole Foods Market Chelsea 3.0 blocks outside it, a new store listing 36 days ago, revenue unknown, no contact named; founder review: claim-borderline.</t>
        </is>
      </c>
      <c r="M73" t="inlineStr">
        <is>
          <t>Whole Foods Market Chelsea, 250 7th Ave</t>
        </is>
      </c>
      <c r="N73" t="inlineStr">
        <is>
          <t>store_selector</t>
        </is>
      </c>
      <c r="O73" t="inlineStr">
        <is>
          <t>New 1 oz single-serve Sea Salt pack of 12 on brand store; Pumpkin Spice flavor announced via Startup CPG Newswire (2025-10-01)</t>
        </is>
      </c>
      <c r="P73" t="inlineStr">
        <is>
          <t>https://www.superseedz.com/products/sea-salt-1-ounce-pack-of-12</t>
        </is>
      </c>
      <c r="Q73" t="inlineStr">
        <is>
          <t>2026-09-18</t>
        </is>
      </c>
      <c r="R73" t="inlineStr">
        <is>
          <t>N</t>
        </is>
      </c>
      <c r="S73" t="inlineStr">
        <is>
          <t>Y</t>
        </is>
      </c>
      <c r="T73" t="inlineStr">
        <is>
          <t>N</t>
        </is>
      </c>
      <c r="U73" t="inlineStr">
        <is>
          <t>new</t>
        </is>
      </c>
      <c r="V73" t="inlineStr">
        <is>
          <t>https://www.superseedz.com</t>
        </is>
      </c>
      <c r="W73" t="inlineStr">
        <is>
          <t>2026-10-23</t>
        </is>
      </c>
      <c r="X73" t="inlineStr">
        <is>
          <t>brand</t>
        </is>
      </c>
      <c r="Y73">
        <f>IF(EB73&lt;&gt;"Y","",COUNTIFS($EB$2:$EB$1000,"Y",$J$2:$J$1000,"&gt;"&amp;J73)+COUNTIFS($EB$2:$EB$1000,"Y",$J$2:$J$1000,J73,$ED$2:$ED$1000,"&lt;"&amp;ED73)+1)</f>
        <v/>
      </c>
      <c r="Z73" t="n">
        <v>72</v>
      </c>
      <c r="AA73" t="inlineStr">
        <is>
          <t>N</t>
        </is>
      </c>
      <c r="AB73" t="inlineStr">
        <is>
          <t>no person named on an opened page: not ready; before using the retailer line, check Whole Foods Market Chelsea still lists it: https://www.wholefoodsmarket.com/search?text=SuperSeedz with your store set to Chelsea (catalogs change daily); founder review (claim-borderline): read founder_review_reason first</t>
        </is>
      </c>
      <c r="AD73" t="inlineStr">
        <is>
          <t>none</t>
        </is>
      </c>
      <c r="AH73" t="inlineStr">
        <is>
          <t>SuperSeedz Sea Salt gourmet pumpkin seeds, 1 oz single-serve (pack of 12)</t>
        </is>
      </c>
      <c r="AI73" t="inlineStr">
        <is>
          <t>nuts-seeds-trail</t>
        </is>
      </c>
      <c r="AJ73" t="inlineStr">
        <is>
          <t>Guilford</t>
        </is>
      </c>
      <c r="AK73" t="inlineStr">
        <is>
          <t>https://www.superseedz.com</t>
        </is>
      </c>
      <c r="AL73" t="inlineStr">
        <is>
          <t>Y</t>
        </is>
      </c>
      <c r="AM73" t="inlineStr">
        <is>
          <t>Product titles use 'Antioxidant Boost' and WFM listing leads with '8g Protein' (nutrient-content style wording); check pack</t>
        </is>
      </c>
      <c r="AN73" t="inlineStr">
        <is>
          <t>AB-023</t>
        </is>
      </c>
      <c r="AO73" t="inlineStr">
        <is>
          <t>N</t>
        </is>
      </c>
      <c r="AR73">
        <f>IF(AND(AU73="pass",AO73&lt;&gt;"Y",C73&lt;&gt;""),"Y","N")</f>
        <v/>
      </c>
      <c r="AS73">
        <f>_xlfn.TEXTJOIN("; ",TRUE,IF(AU73&lt;&gt;"pass","gated out",""),IF(AO73="Y","on hold: "&amp;AP73,""),IF(C73="","no contact named on an opened page",""))</f>
        <v/>
      </c>
      <c r="AU73" t="inlineStr">
        <is>
          <t>pass</t>
        </is>
      </c>
      <c r="AW73" t="inlineStr">
        <is>
          <t>passes all hard gates</t>
        </is>
      </c>
      <c r="AX73" t="inlineStr">
        <is>
          <t>claim-borderline</t>
        </is>
      </c>
      <c r="AY73" t="inlineStr">
        <is>
          <t>https://www.superseedz.com</t>
        </is>
      </c>
      <c r="AZ73" t="inlineStr">
        <is>
          <t>CT</t>
        </is>
      </c>
      <c r="BA73" t="inlineStr">
        <is>
          <t>northeast</t>
        </is>
      </c>
      <c r="BB73" t="inlineStr">
        <is>
          <t>unknown</t>
        </is>
      </c>
      <c r="BD73" t="inlineStr">
        <is>
          <t>Y</t>
        </is>
      </c>
      <c r="BE73" t="inlineStr">
        <is>
          <t>Brand FAQ (cinnamon sugar seeds): 'Store your pumpkin seeds in an airtight container at room temperature. They will keep this way for several weeks.' No unopened shelf-life figure found.</t>
        </is>
      </c>
      <c r="BF73" t="inlineStr">
        <is>
          <t>Y</t>
        </is>
      </c>
      <c r="BG73" t="inlineStr">
        <is>
          <t>Y</t>
        </is>
      </c>
      <c r="BH73" t="inlineStr">
        <is>
          <t>unknown</t>
        </is>
      </c>
      <c r="BJ73" t="inlineStr">
        <is>
          <t>unknown</t>
        </is>
      </c>
      <c r="BK73" t="inlineStr">
        <is>
          <t>N</t>
        </is>
      </c>
      <c r="BL73" t="inlineStr">
        <is>
          <t>N</t>
        </is>
      </c>
      <c r="BN73" t="n">
        <v>3</v>
      </c>
      <c r="BO73" t="inlineStr">
        <is>
          <t>N</t>
        </is>
      </c>
      <c r="BP73" t="n">
        <v>1</v>
      </c>
      <c r="BQ73" t="inlineStr">
        <is>
          <t>Whole Foods Market NoMad, 63 Madison Ave (unverified, inside);Whole Foods Market Chelsea, 250 7th Ave (store_selector, 3.0 blocks out)</t>
        </is>
      </c>
      <c r="BS73" t="inlineStr">
        <is>
          <t>Whole Foods Market</t>
        </is>
      </c>
      <c r="BT73" t="inlineStr">
        <is>
          <t>https://www.wholefoodsmarket.com/search?text=superseedz (store context NoMad 10773 and Chelsea 10131: Dry Roasted Pumpkin Seeds with Sea Salt 5 oz IN_STOCK 2026-10-23; not shown for Union Square)</t>
        </is>
      </c>
      <c r="BU73" t="inlineStr">
        <is>
          <t>listing</t>
        </is>
      </c>
      <c r="BV73" t="n">
        <v>36</v>
      </c>
      <c r="BW73" t="inlineStr">
        <is>
          <t>https://startupcpg.com/startup-cpg-newswire-superseedz-launches-pumpkin-spice/</t>
        </is>
      </c>
      <c r="CF73" t="inlineStr">
        <is>
          <t>none</t>
        </is>
      </c>
      <c r="CK73" t="inlineStr">
        <is>
          <t>none</t>
        </is>
      </c>
      <c r="CL73" t="n">
        <v>47</v>
      </c>
      <c r="CM73" t="n">
        <v>20</v>
      </c>
      <c r="CN73" t="n">
        <v>8</v>
      </c>
      <c r="CO73" t="n">
        <v>8</v>
      </c>
      <c r="CP73" t="n">
        <v>5</v>
      </c>
      <c r="CQ73" t="n">
        <v>10</v>
      </c>
      <c r="CR73" t="n">
        <v>0</v>
      </c>
      <c r="CS73">
        <f>IF(R73="Y",10,0)</f>
        <v/>
      </c>
      <c r="CT73" t="n">
        <v>-4</v>
      </c>
      <c r="CU73" t="inlineStr">
        <is>
          <t>unknown</t>
        </is>
      </c>
      <c r="CV73" t="inlineStr">
        <is>
          <t>BR1</t>
        </is>
      </c>
      <c r="CW73" t="inlineStr">
        <is>
          <t>BR1:24</t>
        </is>
      </c>
      <c r="CX73" t="inlineStr">
        <is>
          <t>Footer: PO Box 198, Guilford CT. Startup CPG flag from a brand press release on Startup CPG Newswire (title seen in newswire listing via startupcpg.com wp-json post list).</t>
        </is>
      </c>
      <c r="CY73" t="inlineStr">
        <is>
          <t xml:space="preserve">shelf_stable_basis &lt;- https://www.superseedz.com/pages/faq (2026-10-24, opened); </t>
        </is>
      </c>
      <c r="DA73" t="inlineStr">
        <is>
          <t>stage 1 only</t>
        </is>
      </c>
      <c r="DY73">
        <f>IF(ISNUMBER(MATCH(U73,{"queued","contacted","replied","call_booked","call_done","yes_in_principle","materials_sent"},0)),"Y","N")</f>
        <v/>
      </c>
      <c r="DZ73">
        <f>IF(COUNTIFS($AN$2:$AN$1000,AN73,$DY$2:$DY$1000,"Y")+COUNTIFS($AN$2:$AN$1000,AN73,$T$2:$T$1000,"Y")&gt;0,"Y","N")</f>
        <v/>
      </c>
      <c r="EA73">
        <f>IF(AND(U73="new",T73="N",AR73="Y",AQ73="",DZ73="N"),"Y","N")</f>
        <v/>
      </c>
      <c r="EB73">
        <f>IF(EA73&lt;&gt;"Y","N",IF(COUNTIFS($AN$2:$AN$1000,AN73,$EA$2:$EA$1000,"Y",$J$2:$J$1000,"&gt;"&amp;J73)+COUNTIFS($AN$2:$AN$1000,AN73,$EA$2:$EA$1000,"Y",$J$2:$J$1000,J73,$ED$2:$ED$1000,"&lt;"&amp;ED73)=0,"Y","N"))</f>
        <v/>
      </c>
      <c r="EC73">
        <f>IF(Y73="","N",IF(Y73&lt;=10,"Y","N"))</f>
        <v/>
      </c>
      <c r="ED73">
        <f>ROW()-1</f>
        <v/>
      </c>
    </row>
    <row r="74">
      <c r="A74" t="inlineStr">
        <is>
          <t>AB-119</t>
        </is>
      </c>
      <c r="B74" t="inlineStr">
        <is>
          <t>Amazi Foods</t>
        </is>
      </c>
      <c r="C74" t="inlineStr">
        <is>
          <t>Renee</t>
        </is>
      </c>
      <c r="D74" t="inlineStr">
        <is>
          <t>Dunn</t>
        </is>
      </c>
      <c r="E74" t="inlineStr">
        <is>
          <t>Founder and CEO</t>
        </is>
      </c>
      <c r="H74" t="inlineStr">
        <is>
          <t>none</t>
        </is>
      </c>
      <c r="I74" t="inlineStr">
        <is>
          <t>linkedin</t>
        </is>
      </c>
      <c r="J74">
        <f>IF(AU74="pass",CM74+CN74+CO74+CP74+CQ74+CR74+CS74+CT74,0)</f>
        <v/>
      </c>
      <c r="K74" t="inlineStr">
        <is>
          <t>Brand based outside the Northeast, store page shows Whole Foods Market NoMad inside the cluster, no dated why-now in the last 12 months, revenue unknown, contact named; founder review: shelf life not stated.</t>
        </is>
      </c>
      <c r="M74" t="inlineStr">
        <is>
          <t>Whole Foods Market NoMad, 63 Madison Ave</t>
        </is>
      </c>
      <c r="N74" t="inlineStr">
        <is>
          <t>store_selector</t>
        </is>
      </c>
      <c r="R74" t="inlineStr">
        <is>
          <t>N</t>
        </is>
      </c>
      <c r="S74" t="inlineStr">
        <is>
          <t>unknown</t>
        </is>
      </c>
      <c r="T74" t="inlineStr">
        <is>
          <t>N</t>
        </is>
      </c>
      <c r="U74" t="inlineStr">
        <is>
          <t>new</t>
        </is>
      </c>
      <c r="V74" t="inlineStr">
        <is>
          <t>https://amazifoods.com/pages/our-story</t>
        </is>
      </c>
      <c r="W74" t="inlineStr">
        <is>
          <t>2026-10-23</t>
        </is>
      </c>
      <c r="X74" t="inlineStr">
        <is>
          <t>brand</t>
        </is>
      </c>
      <c r="Y74">
        <f>IF(EB74&lt;&gt;"Y","",COUNTIFS($EB$2:$EB$1000,"Y",$J$2:$J$1000,"&gt;"&amp;J74)+COUNTIFS($EB$2:$EB$1000,"Y",$J$2:$J$1000,J74,$ED$2:$ED$1000,"&lt;"&amp;ED74)+1)</f>
        <v/>
      </c>
      <c r="Z74" t="n">
        <v>73</v>
      </c>
      <c r="AA74" t="inlineStr">
        <is>
          <t>N</t>
        </is>
      </c>
      <c r="AB74" t="inlineStr">
        <is>
          <t>find Renee Dunn at Amazi Foods on LinkedIn and paste the profile URL; before using the retailer line, check Whole Foods Market NoMad still lists it: https://www.wholefoodsmarket.com/search?text=Amazi%20Foods with your store set to NoMad (catalogs change daily); founder review (shelf life or online store): read founder_review_reason first</t>
        </is>
      </c>
      <c r="AC74" t="inlineStr">
        <is>
          <t>founder</t>
        </is>
      </c>
      <c r="AD74" t="inlineStr">
        <is>
          <t>verified-page</t>
        </is>
      </c>
      <c r="AE74" t="inlineStr">
        <is>
          <t>press, event or podcast page</t>
        </is>
      </c>
      <c r="AF74" t="inlineStr">
        <is>
          <t>https://www.foodbusinessnews.net/articles/22974-amazi-rebrands-expands-lineup</t>
        </is>
      </c>
      <c r="AG74" t="inlineStr">
        <is>
          <t>2026-10-23</t>
        </is>
      </c>
      <c r="AH74" t="inlineStr">
        <is>
          <t>Pina Colada Dried Pineapple 2.3 oz; Minis 12-packs</t>
        </is>
      </c>
      <c r="AI74" t="inlineStr">
        <is>
          <t>fruit-snacks</t>
        </is>
      </c>
      <c r="AJ74" t="inlineStr">
        <is>
          <t>Washington (contact page lists 'Washington, DC')</t>
        </is>
      </c>
      <c r="AK74" t="inlineStr">
        <is>
          <t>https://amazifoods.com</t>
        </is>
      </c>
      <c r="AL74" t="inlineStr">
        <is>
          <t>Y</t>
        </is>
      </c>
      <c r="AM74" t="inlineStr">
        <is>
          <t>60-day shelf life not stated</t>
        </is>
      </c>
      <c r="AN74" t="inlineStr">
        <is>
          <t>AB-119</t>
        </is>
      </c>
      <c r="AO74" t="inlineStr">
        <is>
          <t>N</t>
        </is>
      </c>
      <c r="AR74">
        <f>IF(AND(AU74="pass",AO74&lt;&gt;"Y",C74&lt;&gt;""),"Y","N")</f>
        <v/>
      </c>
      <c r="AS74">
        <f>_xlfn.TEXTJOIN("; ",TRUE,IF(AU74&lt;&gt;"pass","gated out",""),IF(AO74="Y","on hold: "&amp;AP74,""),IF(C74="","no contact named on an opened page",""))</f>
        <v/>
      </c>
      <c r="AU74" t="inlineStr">
        <is>
          <t>pass</t>
        </is>
      </c>
      <c r="AW74" t="inlineStr">
        <is>
          <t>passes all hard gates</t>
        </is>
      </c>
      <c r="AY74" t="inlineStr">
        <is>
          <t>https://amazifoods.com</t>
        </is>
      </c>
      <c r="AZ74" t="inlineStr">
        <is>
          <t>DC</t>
        </is>
      </c>
      <c r="BA74" t="inlineStr">
        <is>
          <t>elsewhere</t>
        </is>
      </c>
      <c r="BB74" t="inlineStr">
        <is>
          <t>unknown</t>
        </is>
      </c>
      <c r="BD74" t="inlineStr">
        <is>
          <t>likely</t>
        </is>
      </c>
      <c r="BE74" t="inlineStr">
        <is>
          <t>Dried fruit in sealed bags sold ambient at Whole Foods; shelf-life figure not found</t>
        </is>
      </c>
      <c r="BF74" t="inlineStr">
        <is>
          <t>Y</t>
        </is>
      </c>
      <c r="BG74" t="inlineStr">
        <is>
          <t>Y</t>
        </is>
      </c>
      <c r="BH74" t="inlineStr">
        <is>
          <t>unknown</t>
        </is>
      </c>
      <c r="BJ74" t="inlineStr">
        <is>
          <t>unknown</t>
        </is>
      </c>
      <c r="BK74" t="inlineStr">
        <is>
          <t>N</t>
        </is>
      </c>
      <c r="BL74" t="inlineStr">
        <is>
          <t>N</t>
        </is>
      </c>
      <c r="BN74" t="n">
        <v>0</v>
      </c>
      <c r="BO74" t="inlineStr">
        <is>
          <t>Y</t>
        </is>
      </c>
      <c r="BP74" t="n">
        <v>2</v>
      </c>
      <c r="BQ74" t="inlineStr">
        <is>
          <t>Whole Foods Market NoMad, 63 Madison Ave (store_selector, inside);Whole Foods Market Union Square, 4 Union Sq S (store_selector, inside)</t>
        </is>
      </c>
      <c r="BS74" t="inlineStr">
        <is>
          <t>Whole Foods; store locator</t>
        </is>
      </c>
      <c r="BT74" t="inlineStr">
        <is>
          <t>https://www.wholefoodsmarket.com/api/search?text=amazi&amp;store=10162&amp;limit=60&amp;offset=0; https://www.wholefoodsmarket.com/api/search?text=amazi&amp;store=10773&amp;limit=60&amp;offset=0</t>
        </is>
      </c>
      <c r="BU74" t="inlineStr">
        <is>
          <t>none</t>
        </is>
      </c>
      <c r="BX74" t="inlineStr">
        <is>
          <t>Renee Dunn</t>
        </is>
      </c>
      <c r="CF74" t="inlineStr">
        <is>
          <t>none</t>
        </is>
      </c>
      <c r="CK74" t="inlineStr">
        <is>
          <t>none</t>
        </is>
      </c>
      <c r="CL74" t="n">
        <v>47</v>
      </c>
      <c r="CM74" t="n">
        <v>25</v>
      </c>
      <c r="CN74" t="n">
        <v>3</v>
      </c>
      <c r="CO74" t="n">
        <v>0</v>
      </c>
      <c r="CP74" t="n">
        <v>5</v>
      </c>
      <c r="CQ74" t="n">
        <v>8</v>
      </c>
      <c r="CR74" t="n">
        <v>6</v>
      </c>
      <c r="CS74">
        <f>IF(R74="Y",10,0)</f>
        <v/>
      </c>
      <c r="CT74" t="n">
        <v>0</v>
      </c>
      <c r="CU74" t="inlineStr">
        <is>
          <t>https://www.instagram.com/amazifoods/</t>
        </is>
      </c>
      <c r="CV74" t="inlineStr">
        <is>
          <t>BR2</t>
        </is>
      </c>
      <c r="CW74" t="inlineStr">
        <is>
          <t>BR2:57</t>
        </is>
      </c>
      <c r="CX74" t="inlineStr">
        <is>
          <t>Ugandan-sourced dried fruit and jackfruit; keeps production in Uganda. Mid-Atlantic (DC). No new SKU since 2025-04. Not in WFM Chelsea catalog.</t>
        </is>
      </c>
      <c r="CY74" t="inlineStr">
        <is>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is>
      </c>
      <c r="DA74" t="inlineStr">
        <is>
          <t>stage 1 only</t>
        </is>
      </c>
      <c r="DY74">
        <f>IF(ISNUMBER(MATCH(U74,{"queued","contacted","replied","call_booked","call_done","yes_in_principle","materials_sent"},0)),"Y","N")</f>
        <v/>
      </c>
      <c r="DZ74">
        <f>IF(COUNTIFS($AN$2:$AN$1000,AN74,$DY$2:$DY$1000,"Y")+COUNTIFS($AN$2:$AN$1000,AN74,$T$2:$T$1000,"Y")&gt;0,"Y","N")</f>
        <v/>
      </c>
      <c r="EA74">
        <f>IF(AND(U74="new",T74="N",AR74="Y",AQ74="",DZ74="N"),"Y","N")</f>
        <v/>
      </c>
      <c r="EB74">
        <f>IF(EA74&lt;&gt;"Y","N",IF(COUNTIFS($AN$2:$AN$1000,AN74,$EA$2:$EA$1000,"Y",$J$2:$J$1000,"&gt;"&amp;J74)+COUNTIFS($AN$2:$AN$1000,AN74,$EA$2:$EA$1000,"Y",$J$2:$J$1000,J74,$ED$2:$ED$1000,"&lt;"&amp;ED74)=0,"Y","N"))</f>
        <v/>
      </c>
      <c r="EC74">
        <f>IF(Y74="","N",IF(Y74&lt;=10,"Y","N"))</f>
        <v/>
      </c>
      <c r="ED74">
        <f>ROW()-1</f>
        <v/>
      </c>
    </row>
    <row r="75">
      <c r="A75" t="inlineStr">
        <is>
          <t>AB-215</t>
        </is>
      </c>
      <c r="B75" t="inlineStr">
        <is>
          <t>Early Bird Foods &amp; Co.</t>
        </is>
      </c>
      <c r="C75" t="inlineStr">
        <is>
          <t>Nekisia</t>
        </is>
      </c>
      <c r="D75" t="inlineStr">
        <is>
          <t>Davis</t>
        </is>
      </c>
      <c r="E75" t="inlineStr">
        <is>
          <t>Founder</t>
        </is>
      </c>
      <c r="H75" t="inlineStr">
        <is>
          <t>none</t>
        </is>
      </c>
      <c r="I75" t="inlineStr">
        <is>
          <t>linkedin</t>
        </is>
      </c>
      <c r="J75">
        <f>IF(AU75="pass",CM75+CN75+CO75+CP75+CQ75+CR75+CS75+CT75,0)</f>
        <v/>
      </c>
      <c r="K75" t="inlineStr">
        <is>
          <t>Brand based outside the Northeast (HQ unverified), store page shows Whole Foods Market NoMad inside the cluster, no dated why-now in the last 12 months, revenue unknown, contact named; founder review: other.</t>
        </is>
      </c>
      <c r="M75" t="inlineStr">
        <is>
          <t>Whole Foods Market NoMad, 63 Madison Ave</t>
        </is>
      </c>
      <c r="N75" t="inlineStr">
        <is>
          <t>store_selector</t>
        </is>
      </c>
      <c r="R75" t="inlineStr">
        <is>
          <t>N</t>
        </is>
      </c>
      <c r="S75" t="inlineStr">
        <is>
          <t>unknown</t>
        </is>
      </c>
      <c r="T75" t="inlineStr">
        <is>
          <t>N</t>
        </is>
      </c>
      <c r="U75" t="inlineStr">
        <is>
          <t>new</t>
        </is>
      </c>
      <c r="V75" t="inlineStr">
        <is>
          <t>https://earlybirdfoods.com/pages/about</t>
        </is>
      </c>
      <c r="W75" t="inlineStr">
        <is>
          <t>2026-10-23</t>
        </is>
      </c>
      <c r="X75" t="inlineStr">
        <is>
          <t>brand</t>
        </is>
      </c>
      <c r="Y75">
        <f>IF(EB75&lt;&gt;"Y","",COUNTIFS($EB$2:$EB$1000,"Y",$J$2:$J$1000,"&gt;"&amp;J75)+COUNTIFS($EB$2:$EB$1000,"Y",$J$2:$J$1000,J75,$ED$2:$ED$1000,"&lt;"&amp;ED75)+1)</f>
        <v/>
      </c>
      <c r="Z75" t="n">
        <v>74</v>
      </c>
      <c r="AA75" t="inlineStr">
        <is>
          <t>N</t>
        </is>
      </c>
      <c r="AB75" t="inlineStr">
        <is>
          <t>find Nekisia Davis at Early Bird Foods &amp; Co. on LinkedIn and paste the profile URL; before using the retailer line, check Whole Foods Market NoMad still lists it: https://www.wholefoodsmarket.com/search?text=Early%20Bird%20Foods%20%26%20Co. with your store set to NoMad (catalogs change daily); founder review (other): read founder_review_reason first</t>
        </is>
      </c>
      <c r="AC75" t="inlineStr">
        <is>
          <t>founder</t>
        </is>
      </c>
      <c r="AD75" t="inlineStr">
        <is>
          <t>verified-page</t>
        </is>
      </c>
      <c r="AE75" t="inlineStr">
        <is>
          <t>employer's own site</t>
        </is>
      </c>
      <c r="AF75" t="inlineStr">
        <is>
          <t>https://earlybirdfoods.com/pages/about</t>
        </is>
      </c>
      <c r="AG75" t="inlineStr">
        <is>
          <t>2026-10-23</t>
        </is>
      </c>
      <c r="AH75" t="inlineStr">
        <is>
          <t>Granola in 2 oz single-serve bags (brand shop); Farmhand Pecan Granola 12 oz (WFM)</t>
        </is>
      </c>
      <c r="AI75" t="inlineStr">
        <is>
          <t>other-snack</t>
        </is>
      </c>
      <c r="AJ75" t="inlineStr">
        <is>
          <t>Michigan (operated from the founders' home 'in the Michigan woods', per The FruitGuys 2025-05-10; brand began in Brooklyn in 2008). City not stated, founder to confirm.</t>
        </is>
      </c>
      <c r="AK75" t="inlineStr">
        <is>
          <t>https://earlybirdfoods.com</t>
        </is>
      </c>
      <c r="AL75" t="inlineStr">
        <is>
          <t>Y</t>
        </is>
      </c>
      <c r="AM75" t="inlineStr">
        <is>
          <t>Granola is snack-adjacent (often eaten with milk); WFM stocks the 12 oz bag, while the 2 oz single-serve bags are confirmed online only</t>
        </is>
      </c>
      <c r="AN75" t="inlineStr">
        <is>
          <t>AB-215</t>
        </is>
      </c>
      <c r="AO75" t="inlineStr">
        <is>
          <t>N</t>
        </is>
      </c>
      <c r="AR75">
        <f>IF(AND(AU75="pass",AO75&lt;&gt;"Y",C75&lt;&gt;""),"Y","N")</f>
        <v/>
      </c>
      <c r="AS75">
        <f>_xlfn.TEXTJOIN("; ",TRUE,IF(AU75&lt;&gt;"pass","gated out",""),IF(AO75="Y","on hold: "&amp;AP75,""),IF(C75="","no contact named on an opened page",""))</f>
        <v/>
      </c>
      <c r="AU75" t="inlineStr">
        <is>
          <t>pass</t>
        </is>
      </c>
      <c r="AW75" t="inlineStr">
        <is>
          <t>passes all hard gates</t>
        </is>
      </c>
      <c r="AX75" t="inlineStr">
        <is>
          <t>other</t>
        </is>
      </c>
      <c r="AY75" t="inlineStr">
        <is>
          <t>https://earlybirdfoods.com</t>
        </is>
      </c>
      <c r="AZ75" t="inlineStr">
        <is>
          <t>MI (founder to confirm)</t>
        </is>
      </c>
      <c r="BA75" t="inlineStr">
        <is>
          <t>elsewhere (unverified)</t>
        </is>
      </c>
      <c r="BB75" t="inlineStr">
        <is>
          <t>unknown</t>
        </is>
      </c>
      <c r="BD75" t="inlineStr">
        <is>
          <t>Y</t>
        </is>
      </c>
      <c r="BE75" t="inlineStr">
        <is>
          <t>Bagged granola sold ambient; FAQ gives no shelf-life figure, founder to confirm 60+ days</t>
        </is>
      </c>
      <c r="BF75" t="inlineStr">
        <is>
          <t>Y</t>
        </is>
      </c>
      <c r="BG75" t="inlineStr">
        <is>
          <t>Y</t>
        </is>
      </c>
      <c r="BH75" t="inlineStr">
        <is>
          <t>unknown</t>
        </is>
      </c>
      <c r="BJ75" t="inlineStr">
        <is>
          <t>unknown</t>
        </is>
      </c>
      <c r="BK75" t="inlineStr">
        <is>
          <t>N</t>
        </is>
      </c>
      <c r="BL75" t="inlineStr">
        <is>
          <t>N</t>
        </is>
      </c>
      <c r="BN75" t="n">
        <v>0</v>
      </c>
      <c r="BO75" t="inlineStr">
        <is>
          <t>Y</t>
        </is>
      </c>
      <c r="BP75" t="n">
        <v>11</v>
      </c>
      <c r="BQ75" t="inlineStr">
        <is>
          <t>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is>
      </c>
      <c r="BR75" t="inlineStr">
        <is>
          <t>Whole Foods Market Manhattan West (store_selector, 13.8 blocks out)</t>
        </is>
      </c>
      <c r="BS75" t="inlineStr">
        <is>
          <t>Whole Foods Market (WFM catalog); wholesale program; where-to-buy page (not machine-readable)</t>
        </is>
      </c>
      <c r="BT75" t="inlineStr">
        <is>
          <t>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is>
      </c>
      <c r="BU75" t="inlineStr">
        <is>
          <t>none</t>
        </is>
      </c>
      <c r="BX75" t="inlineStr">
        <is>
          <t>Nekisia Davis</t>
        </is>
      </c>
      <c r="CF75" t="inlineStr">
        <is>
          <t>none</t>
        </is>
      </c>
      <c r="CK75" t="inlineStr">
        <is>
          <t>none</t>
        </is>
      </c>
      <c r="CL75" t="n">
        <v>47</v>
      </c>
      <c r="CM75" t="n">
        <v>25</v>
      </c>
      <c r="CN75" t="n">
        <v>3</v>
      </c>
      <c r="CO75" t="n">
        <v>0</v>
      </c>
      <c r="CP75" t="n">
        <v>5</v>
      </c>
      <c r="CQ75" t="n">
        <v>10</v>
      </c>
      <c r="CR75" t="n">
        <v>6</v>
      </c>
      <c r="CS75">
        <f>IF(R75="Y",10,0)</f>
        <v/>
      </c>
      <c r="CT75" t="n">
        <v>-2</v>
      </c>
      <c r="CU75" t="inlineStr">
        <is>
          <t>https://www.instagram.com/earlybirdfoods</t>
        </is>
      </c>
      <c r="CV75" t="inlineStr">
        <is>
          <t>BR4</t>
        </is>
      </c>
      <c r="CW75" t="inlineStr">
        <is>
          <t>BR4:10</t>
        </is>
      </c>
      <c r="CX75" t="inlineStr">
        <is>
          <t>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is>
      </c>
      <c r="CY75" t="inlineStr">
        <is>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is>
      </c>
      <c r="DA75" t="inlineStr">
        <is>
          <t>stage 1 only</t>
        </is>
      </c>
      <c r="DY75">
        <f>IF(ISNUMBER(MATCH(U75,{"queued","contacted","replied","call_booked","call_done","yes_in_principle","materials_sent"},0)),"Y","N")</f>
        <v/>
      </c>
      <c r="DZ75">
        <f>IF(COUNTIFS($AN$2:$AN$1000,AN75,$DY$2:$DY$1000,"Y")+COUNTIFS($AN$2:$AN$1000,AN75,$T$2:$T$1000,"Y")&gt;0,"Y","N")</f>
        <v/>
      </c>
      <c r="EA75">
        <f>IF(AND(U75="new",T75="N",AR75="Y",AQ75="",DZ75="N"),"Y","N")</f>
        <v/>
      </c>
      <c r="EB75">
        <f>IF(EA75&lt;&gt;"Y","N",IF(COUNTIFS($AN$2:$AN$1000,AN75,$EA$2:$EA$1000,"Y",$J$2:$J$1000,"&gt;"&amp;J75)+COUNTIFS($AN$2:$AN$1000,AN75,$EA$2:$EA$1000,"Y",$J$2:$J$1000,J75,$ED$2:$ED$1000,"&lt;"&amp;ED75)=0,"Y","N"))</f>
        <v/>
      </c>
      <c r="EC75">
        <f>IF(Y75="","N",IF(Y75&lt;=10,"Y","N"))</f>
        <v/>
      </c>
      <c r="ED75">
        <f>ROW()-1</f>
        <v/>
      </c>
    </row>
    <row r="76">
      <c r="A76" t="inlineStr">
        <is>
          <t>AB-244</t>
        </is>
      </c>
      <c r="B76" t="inlineStr">
        <is>
          <t>Kelly's Four Plus Granola</t>
        </is>
      </c>
      <c r="C76" t="inlineStr">
        <is>
          <t>Cordy</t>
        </is>
      </c>
      <c r="D76" t="inlineStr">
        <is>
          <t>Kelly</t>
        </is>
      </c>
      <c r="E76" t="inlineStr">
        <is>
          <t>Founder</t>
        </is>
      </c>
      <c r="H76" t="inlineStr">
        <is>
          <t>none</t>
        </is>
      </c>
      <c r="I76" t="inlineStr">
        <is>
          <t>linkedin</t>
        </is>
      </c>
      <c r="J76">
        <f>IF(AU76="pass",CM76+CN76+CO76+CP76+CQ76+CR76+CS76+CT76,0)</f>
        <v/>
      </c>
      <c r="K76" t="inlineStr">
        <is>
          <t>Northeast brand, store page shows Whole Foods Market NoMad inside the cluster, no dated why-now in the last 12 months, revenue unknown, contact named; founder review: format.</t>
        </is>
      </c>
      <c r="M76" t="inlineStr">
        <is>
          <t>Whole Foods Market NoMad, 63 Madison Ave</t>
        </is>
      </c>
      <c r="N76" t="inlineStr">
        <is>
          <t>store_selector</t>
        </is>
      </c>
      <c r="R76" t="inlineStr">
        <is>
          <t>N</t>
        </is>
      </c>
      <c r="S76" t="inlineStr">
        <is>
          <t>unknown</t>
        </is>
      </c>
      <c r="T76" t="inlineStr">
        <is>
          <t>N</t>
        </is>
      </c>
      <c r="U76" t="inlineStr">
        <is>
          <t>new</t>
        </is>
      </c>
      <c r="V76" t="inlineStr">
        <is>
          <t>https://www.kellysfourplus.com/pages/kfp-story</t>
        </is>
      </c>
      <c r="W76" t="inlineStr">
        <is>
          <t>2026-10-23</t>
        </is>
      </c>
      <c r="X76" t="inlineStr">
        <is>
          <t>brand</t>
        </is>
      </c>
      <c r="Y76">
        <f>IF(EB76&lt;&gt;"Y","",COUNTIFS($EB$2:$EB$1000,"Y",$J$2:$J$1000,"&gt;"&amp;J76)+COUNTIFS($EB$2:$EB$1000,"Y",$J$2:$J$1000,J76,$ED$2:$ED$1000,"&lt;"&amp;ED76)+1)</f>
        <v/>
      </c>
      <c r="Z76" t="n">
        <v>75</v>
      </c>
      <c r="AA76" t="inlineStr">
        <is>
          <t>N</t>
        </is>
      </c>
      <c r="AB76" t="inlineStr">
        <is>
          <t>find Cordy Kelly at Kelly's Four Plus Granola on LinkedIn and paste the profile URL; before using the retailer line, check Whole Foods Market NoMad still lists it: https://www.wholefoodsmarket.com/search?text=Kelly%27s%20Four%20Plus%20Granola with your store set to NoMad (catalogs change daily); founder review (format): read founder_review_reason first</t>
        </is>
      </c>
      <c r="AC76" t="inlineStr">
        <is>
          <t>founder</t>
        </is>
      </c>
      <c r="AD76" t="inlineStr">
        <is>
          <t>verified-page</t>
        </is>
      </c>
      <c r="AE76" t="inlineStr">
        <is>
          <t>employer's own site</t>
        </is>
      </c>
      <c r="AF76" t="inlineStr">
        <is>
          <t>https://www.kellysfourplus.com/pages/kfp-story</t>
        </is>
      </c>
      <c r="AG76" t="inlineStr">
        <is>
          <t>2026-10-23</t>
        </is>
      </c>
      <c r="AH76" t="inlineStr">
        <is>
          <t>Cranberry Nut Granola 12 oz bag (gluten free)</t>
        </is>
      </c>
      <c r="AI76" t="inlineStr">
        <is>
          <t>other-snack</t>
        </is>
      </c>
      <c r="AJ76" t="inlineStr">
        <is>
          <t>South Norwalk</t>
        </is>
      </c>
      <c r="AK76" t="inlineStr">
        <is>
          <t>https://www.kellysfourplus.com</t>
        </is>
      </c>
      <c r="AL76" t="inlineStr">
        <is>
          <t>Y</t>
        </is>
      </c>
      <c r="AM76" t="inlineStr">
        <is>
          <t>12 oz share bags, not single-serve; granola is snack-adjacent</t>
        </is>
      </c>
      <c r="AN76" t="inlineStr">
        <is>
          <t>AB-244</t>
        </is>
      </c>
      <c r="AO76" t="inlineStr">
        <is>
          <t>N</t>
        </is>
      </c>
      <c r="AR76">
        <f>IF(AND(AU76="pass",AO76&lt;&gt;"Y",C76&lt;&gt;""),"Y","N")</f>
        <v/>
      </c>
      <c r="AS76">
        <f>_xlfn.TEXTJOIN("; ",TRUE,IF(AU76&lt;&gt;"pass","gated out",""),IF(AO76="Y","on hold: "&amp;AP76,""),IF(C76="","no contact named on an opened page",""))</f>
        <v/>
      </c>
      <c r="AU76" t="inlineStr">
        <is>
          <t>pass</t>
        </is>
      </c>
      <c r="AW76" t="inlineStr">
        <is>
          <t>passes all hard gates</t>
        </is>
      </c>
      <c r="AX76" t="inlineStr">
        <is>
          <t>format</t>
        </is>
      </c>
      <c r="AY76" t="inlineStr">
        <is>
          <t>https://www.kellysfourplus.com</t>
        </is>
      </c>
      <c r="AZ76" t="inlineStr">
        <is>
          <t>CT</t>
        </is>
      </c>
      <c r="BA76" t="inlineStr">
        <is>
          <t>northeast</t>
        </is>
      </c>
      <c r="BB76" t="inlineStr">
        <is>
          <t>family-owned (story page)</t>
        </is>
      </c>
      <c r="BC76" t="inlineStr">
        <is>
          <t>https://www.kellysfourplus.com/pages/kfp-story</t>
        </is>
      </c>
      <c r="BD76" t="inlineStr">
        <is>
          <t>Y</t>
        </is>
      </c>
      <c r="BE76" t="inlineStr">
        <is>
          <t>Bagged granola sold ambient; no shelf-life figure published, founder to confirm</t>
        </is>
      </c>
      <c r="BF76" t="inlineStr">
        <is>
          <t>N</t>
        </is>
      </c>
      <c r="BG76" t="inlineStr">
        <is>
          <t>Y</t>
        </is>
      </c>
      <c r="BH76" t="inlineStr">
        <is>
          <t>unknown</t>
        </is>
      </c>
      <c r="BJ76" t="inlineStr">
        <is>
          <t>unknown</t>
        </is>
      </c>
      <c r="BK76" t="inlineStr">
        <is>
          <t>N</t>
        </is>
      </c>
      <c r="BL76" t="inlineStr">
        <is>
          <t>N</t>
        </is>
      </c>
      <c r="BN76" t="n">
        <v>0</v>
      </c>
      <c r="BO76" t="inlineStr">
        <is>
          <t>Y</t>
        </is>
      </c>
      <c r="BP76" t="n">
        <v>2</v>
      </c>
      <c r="BQ76" t="inlineStr">
        <is>
          <t>Whole Foods Market NoMad, 63 Madison Ave (store_selector, inside);Whole Foods Market Union Square, 4 Union Sq S (store_selector, inside)</t>
        </is>
      </c>
      <c r="BR76" t="inlineStr">
        <is>
          <t>Whole Foods Market Manhattan West (store_selector, 13.8 blocks out)</t>
        </is>
      </c>
      <c r="BS76" t="inlineStr">
        <is>
          <t>Whole Foods Market (WFM catalog); sold throughout the Northeast and New England and online (story page)</t>
        </is>
      </c>
      <c r="BT76" t="inlineStr">
        <is>
          <t>https://www.wholefoodsmarket.com/api/search?text=kellys%20four%20plus&amp;store=10773&amp;limit=60&amp;offset=0; https://www.wholefoodsmarket.com/api/search?text=kellys%20four%20plus&amp;store=10162&amp;limit=60&amp;offset=0; https://www.wholefoodsmarket.com/api/search?text=kellys%20four%20plus&amp;store=10713&amp;limit=60&amp;offset=0</t>
        </is>
      </c>
      <c r="BU76" t="inlineStr">
        <is>
          <t>none</t>
        </is>
      </c>
      <c r="BX76" t="inlineStr">
        <is>
          <t>Cordy Kelly</t>
        </is>
      </c>
      <c r="CF76" t="inlineStr">
        <is>
          <t>none</t>
        </is>
      </c>
      <c r="CK76" t="inlineStr">
        <is>
          <t>none</t>
        </is>
      </c>
      <c r="CL76" t="n">
        <v>47</v>
      </c>
      <c r="CM76" t="n">
        <v>25</v>
      </c>
      <c r="CN76" t="n">
        <v>8</v>
      </c>
      <c r="CO76" t="n">
        <v>0</v>
      </c>
      <c r="CP76" t="n">
        <v>5</v>
      </c>
      <c r="CQ76" t="n">
        <v>7</v>
      </c>
      <c r="CR76" t="n">
        <v>6</v>
      </c>
      <c r="CS76">
        <f>IF(R76="Y",10,0)</f>
        <v/>
      </c>
      <c r="CT76" t="n">
        <v>-4</v>
      </c>
      <c r="CV76" t="inlineStr">
        <is>
          <t>BR4</t>
        </is>
      </c>
      <c r="CW76" t="inlineStr">
        <is>
          <t>BR4:39</t>
        </is>
      </c>
      <c r="CX76" t="inlineStr">
        <is>
          <t>WFM lists Cranberry Nut, Apple Cinnamon and Cherry Chocolate at Union Square and NoMad, flagged Local (sweep 2026-10-23, query 'granola').</t>
        </is>
      </c>
      <c r="DA76" t="inlineStr">
        <is>
          <t>stage 1 only</t>
        </is>
      </c>
      <c r="DY76">
        <f>IF(ISNUMBER(MATCH(U76,{"queued","contacted","replied","call_booked","call_done","yes_in_principle","materials_sent"},0)),"Y","N")</f>
        <v/>
      </c>
      <c r="DZ76">
        <f>IF(COUNTIFS($AN$2:$AN$1000,AN76,$DY$2:$DY$1000,"Y")+COUNTIFS($AN$2:$AN$1000,AN76,$T$2:$T$1000,"Y")&gt;0,"Y","N")</f>
        <v/>
      </c>
      <c r="EA76">
        <f>IF(AND(U76="new",T76="N",AR76="Y",AQ76="",DZ76="N"),"Y","N")</f>
        <v/>
      </c>
      <c r="EB76">
        <f>IF(EA76&lt;&gt;"Y","N",IF(COUNTIFS($AN$2:$AN$1000,AN76,$EA$2:$EA$1000,"Y",$J$2:$J$1000,"&gt;"&amp;J76)+COUNTIFS($AN$2:$AN$1000,AN76,$EA$2:$EA$1000,"Y",$J$2:$J$1000,J76,$ED$2:$ED$1000,"&lt;"&amp;ED76)=0,"Y","N"))</f>
        <v/>
      </c>
      <c r="EC76">
        <f>IF(Y76="","N",IF(Y76&lt;=10,"Y","N"))</f>
        <v/>
      </c>
      <c r="ED76">
        <f>ROW()-1</f>
        <v/>
      </c>
    </row>
    <row r="77">
      <c r="A77" t="inlineStr">
        <is>
          <t>AB-123</t>
        </is>
      </c>
      <c r="B77" t="inlineStr">
        <is>
          <t>Numa Foods</t>
        </is>
      </c>
      <c r="C77" t="inlineStr">
        <is>
          <t>Joyce</t>
        </is>
      </c>
      <c r="D77" t="inlineStr">
        <is>
          <t>unknown</t>
        </is>
      </c>
      <c r="E77" t="inlineStr">
        <is>
          <t>Founder</t>
        </is>
      </c>
      <c r="H77" t="inlineStr">
        <is>
          <t>none</t>
        </is>
      </c>
      <c r="I77" t="inlineStr">
        <is>
          <t>linkedin</t>
        </is>
      </c>
      <c r="J77">
        <f>IF(AU77="pass",CM77+CN77+CO77+CP77+CQ77+CR77+CS77+CT77,0)</f>
        <v/>
      </c>
      <c r="K77" t="inlineStr">
        <is>
          <t>Northeast brand, store page shows Whole Foods Market NoMad inside the cluster, no dated why-now in the last 12 months, revenue unknown, contact named (first name only); founder review: claim-borderline.</t>
        </is>
      </c>
      <c r="M77" t="inlineStr">
        <is>
          <t>Whole Foods Market NoMad, 63 Madison Ave</t>
        </is>
      </c>
      <c r="N77" t="inlineStr">
        <is>
          <t>store_selector</t>
        </is>
      </c>
      <c r="R77" t="inlineStr">
        <is>
          <t>N</t>
        </is>
      </c>
      <c r="S77" t="inlineStr">
        <is>
          <t>unknown</t>
        </is>
      </c>
      <c r="T77" t="inlineStr">
        <is>
          <t>N</t>
        </is>
      </c>
      <c r="U77" t="inlineStr">
        <is>
          <t>new</t>
        </is>
      </c>
      <c r="V77" t="inlineStr">
        <is>
          <t>https://numafoods.com/pages/our-story-new</t>
        </is>
      </c>
      <c r="W77" t="inlineStr">
        <is>
          <t>2026-10-23</t>
        </is>
      </c>
      <c r="X77" t="inlineStr">
        <is>
          <t>brand</t>
        </is>
      </c>
      <c r="Y77">
        <f>IF(EB77&lt;&gt;"Y","",COUNTIFS($EB$2:$EB$1000,"Y",$J$2:$J$1000,"&gt;"&amp;J77)+COUNTIFS($EB$2:$EB$1000,"Y",$J$2:$J$1000,J77,$ED$2:$ED$1000,"&lt;"&amp;ED77)+1)</f>
        <v/>
      </c>
      <c r="Z77" t="n">
        <v>76</v>
      </c>
      <c r="AA77" t="inlineStr">
        <is>
          <t>N</t>
        </is>
      </c>
      <c r="AB77" t="inlineStr">
        <is>
          <t>find Joyce at Numa Foods on LinkedIn and paste the profile URL; surname not public: take it from LinkedIn; before using the retailer line, check Whole Foods Market NoMad still lists it: https://www.wholefoodsmarket.com/search?text=Numa%20Foods with your store set to NoMad (catalogs change daily); founder review (claim-borderline): read founder_review_reason first</t>
        </is>
      </c>
      <c r="AC77" t="inlineStr">
        <is>
          <t>founder</t>
        </is>
      </c>
      <c r="AD77" t="inlineStr">
        <is>
          <t>first-name-only</t>
        </is>
      </c>
      <c r="AE77" t="inlineStr">
        <is>
          <t>employer's own site</t>
        </is>
      </c>
      <c r="AF77" t="inlineStr">
        <is>
          <t>https://numafoods.com/pages/our-story-new</t>
        </is>
      </c>
      <c r="AG77" t="inlineStr">
        <is>
          <t>2026-10-23</t>
        </is>
      </c>
      <c r="AH77" t="inlineStr">
        <is>
          <t>Banana Cream Taffy 3.3 oz; Mini Peanut Butter Cocoa Bars</t>
        </is>
      </c>
      <c r="AI77" t="inlineStr">
        <is>
          <t>chocolate-candy</t>
        </is>
      </c>
      <c r="AJ77" t="inlineStr">
        <is>
          <t>Bridgewater</t>
        </is>
      </c>
      <c r="AK77" t="inlineStr">
        <is>
          <t>https://numafoods.com</t>
        </is>
      </c>
      <c r="AL77" t="inlineStr">
        <is>
          <t>Y</t>
        </is>
      </c>
      <c r="AM77" t="inlineStr">
        <is>
          <t>'Healthier sweet alternative' and 'lead healthier lives' wellness language; check pack copy</t>
        </is>
      </c>
      <c r="AN77" t="inlineStr">
        <is>
          <t>AB-123</t>
        </is>
      </c>
      <c r="AO77" t="inlineStr">
        <is>
          <t>N</t>
        </is>
      </c>
      <c r="AR77">
        <f>IF(AND(AU77="pass",AO77&lt;&gt;"Y",C77&lt;&gt;""),"Y","N")</f>
        <v/>
      </c>
      <c r="AS77">
        <f>_xlfn.TEXTJOIN("; ",TRUE,IF(AU77&lt;&gt;"pass","gated out",""),IF(AO77="Y","on hold: "&amp;AP77,""),IF(C77="","no contact named on an opened page",""))</f>
        <v/>
      </c>
      <c r="AU77" t="inlineStr">
        <is>
          <t>pass</t>
        </is>
      </c>
      <c r="AW77" t="inlineStr">
        <is>
          <t>passes all hard gates</t>
        </is>
      </c>
      <c r="AX77" t="inlineStr">
        <is>
          <t>claim-borderline</t>
        </is>
      </c>
      <c r="AY77" t="inlineStr">
        <is>
          <t>https://numafoods.com</t>
        </is>
      </c>
      <c r="AZ77" t="inlineStr">
        <is>
          <t>NJ</t>
        </is>
      </c>
      <c r="BA77" t="inlineStr">
        <is>
          <t>northeast</t>
        </is>
      </c>
      <c r="BB77" t="inlineStr">
        <is>
          <t>unknown</t>
        </is>
      </c>
      <c r="BD77" t="inlineStr">
        <is>
          <t>Y</t>
        </is>
      </c>
      <c r="BE77" t="inlineStr">
        <is>
          <t>Brand FAQ: 'Our chews are shelf-stable and have a shelf life of 12 months from the date of production.'</t>
        </is>
      </c>
      <c r="BF77" t="inlineStr">
        <is>
          <t>Y</t>
        </is>
      </c>
      <c r="BG77" t="inlineStr">
        <is>
          <t>Y</t>
        </is>
      </c>
      <c r="BH77" t="inlineStr">
        <is>
          <t>unknown</t>
        </is>
      </c>
      <c r="BJ77" t="inlineStr">
        <is>
          <t>unknown</t>
        </is>
      </c>
      <c r="BK77" t="inlineStr">
        <is>
          <t>N</t>
        </is>
      </c>
      <c r="BL77" t="inlineStr">
        <is>
          <t>N</t>
        </is>
      </c>
      <c r="BN77" t="n">
        <v>0</v>
      </c>
      <c r="BO77" t="inlineStr">
        <is>
          <t>Y</t>
        </is>
      </c>
      <c r="BP77" t="n">
        <v>3</v>
      </c>
      <c r="BQ77" t="inlineStr">
        <is>
          <t>Whole Foods Market NoMad, 63 Madison Ave (store_selector, inside);Whole Foods Market Union Square, 4 Union Sq S (store_selector, inside);Whole Foods Market Chelsea, 250 7th Ave (store_selector, 3.0 blocks out)</t>
        </is>
      </c>
      <c r="BS77" t="inlineStr">
        <is>
          <t>Whole Foods; store locator</t>
        </is>
      </c>
      <c r="BT77" t="inlineStr">
        <is>
          <t>https://www.wholefoodsmarket.com/api/search?text=numa%20taffy&amp;store=10162&amp;limit=60&amp;offset=0; https://www.wholefoodsmarket.com/api/search?text=numa%20taffy&amp;store=10773&amp;limit=60&amp;offset=0; https://www.wholefoodsmarket.com/api/search?text=numa%20taffy&amp;store=10131&amp;limit=60&amp;offset=0</t>
        </is>
      </c>
      <c r="BU77" t="inlineStr">
        <is>
          <t>none</t>
        </is>
      </c>
      <c r="BX77" t="inlineStr">
        <is>
          <t>Joyce</t>
        </is>
      </c>
      <c r="BY77" t="inlineStr">
        <is>
          <t>Nu first name on brand Our Story</t>
        </is>
      </c>
      <c r="CF77" t="inlineStr">
        <is>
          <t>none</t>
        </is>
      </c>
      <c r="CK77" t="inlineStr">
        <is>
          <t>none</t>
        </is>
      </c>
      <c r="CL77" t="n">
        <v>47</v>
      </c>
      <c r="CM77" t="n">
        <v>25</v>
      </c>
      <c r="CN77" t="n">
        <v>8</v>
      </c>
      <c r="CO77" t="n">
        <v>0</v>
      </c>
      <c r="CP77" t="n">
        <v>5</v>
      </c>
      <c r="CQ77" t="n">
        <v>10</v>
      </c>
      <c r="CR77" t="n">
        <v>3</v>
      </c>
      <c r="CS77">
        <f>IF(R77="Y",10,0)</f>
        <v/>
      </c>
      <c r="CT77" t="n">
        <v>-4</v>
      </c>
      <c r="CU77" t="inlineStr">
        <is>
          <t>https://www.instagram.com/numafoods/</t>
        </is>
      </c>
      <c r="CV77" t="inlineStr">
        <is>
          <t>BR2</t>
        </is>
      </c>
      <c r="CW77" t="inlineStr">
        <is>
          <t>BR2:61</t>
        </is>
      </c>
      <c r="CX77" t="inlineStr">
        <is>
          <t>Family brand. No new SKU since 2025-06. Taffy individual wrapping not confirmed from pages opened; mini bars are single-serve.</t>
        </is>
      </c>
      <c r="CY77" t="inlineStr">
        <is>
          <t xml:space="preserve">shelf_stable_basis &lt;- https://numafoods.com/pages/faq (2026-10-24, opened); hq_city &lt;- https://numafoods.com/policies/terms-of-service (2026-10-24, opened); hq_state &lt;- https://numafoods.com/policies/terms-of-service (2026-10-24, opened); </t>
        </is>
      </c>
      <c r="DA77" t="inlineStr">
        <is>
          <t>stage 1 only</t>
        </is>
      </c>
      <c r="DY77">
        <f>IF(ISNUMBER(MATCH(U77,{"queued","contacted","replied","call_booked","call_done","yes_in_principle","materials_sent"},0)),"Y","N")</f>
        <v/>
      </c>
      <c r="DZ77">
        <f>IF(COUNTIFS($AN$2:$AN$1000,AN77,$DY$2:$DY$1000,"Y")+COUNTIFS($AN$2:$AN$1000,AN77,$T$2:$T$1000,"Y")&gt;0,"Y","N")</f>
        <v/>
      </c>
      <c r="EA77">
        <f>IF(AND(U77="new",T77="N",AR77="Y",AQ77="",DZ77="N"),"Y","N")</f>
        <v/>
      </c>
      <c r="EB77">
        <f>IF(EA77&lt;&gt;"Y","N",IF(COUNTIFS($AN$2:$AN$1000,AN77,$EA$2:$EA$1000,"Y",$J$2:$J$1000,"&gt;"&amp;J77)+COUNTIFS($AN$2:$AN$1000,AN77,$EA$2:$EA$1000,"Y",$J$2:$J$1000,J77,$ED$2:$ED$1000,"&lt;"&amp;ED77)=0,"Y","N"))</f>
        <v/>
      </c>
      <c r="EC77">
        <f>IF(Y77="","N",IF(Y77&lt;=10,"Y","N"))</f>
        <v/>
      </c>
      <c r="ED77">
        <f>ROW()-1</f>
        <v/>
      </c>
    </row>
    <row r="78">
      <c r="A78" t="inlineStr">
        <is>
          <t>AB-241</t>
        </is>
      </c>
      <c r="B78" t="inlineStr">
        <is>
          <t>Nomi Crunch</t>
        </is>
      </c>
      <c r="C78" t="inlineStr">
        <is>
          <t>Sarah</t>
        </is>
      </c>
      <c r="D78" t="inlineStr">
        <is>
          <t>Harasaki</t>
        </is>
      </c>
      <c r="E78" t="inlineStr">
        <is>
          <t>Founder</t>
        </is>
      </c>
      <c r="H78" t="inlineStr">
        <is>
          <t>none</t>
        </is>
      </c>
      <c r="I78" t="inlineStr">
        <is>
          <t>linkedin</t>
        </is>
      </c>
      <c r="J78">
        <f>IF(AU78="pass",CM78+CN78+CO78+CP78+CQ78+CR78+CS78+CT78,0)</f>
        <v/>
      </c>
      <c r="K78" t="inlineStr">
        <is>
          <t>New York City brand, brand locator shows Jack's Market 1.3 blocks outside it, no dated why-now in the last 12 months, revenue unknown, contact named; founder review: format, claim-borderline.</t>
        </is>
      </c>
      <c r="M78" t="inlineStr">
        <is>
          <t>Jack's Market, 110 W 32nd St</t>
        </is>
      </c>
      <c r="N78" t="inlineStr">
        <is>
          <t>brand_claim</t>
        </is>
      </c>
      <c r="R78" t="inlineStr">
        <is>
          <t>N</t>
        </is>
      </c>
      <c r="S78" t="inlineStr">
        <is>
          <t>unknown</t>
        </is>
      </c>
      <c r="T78" t="inlineStr">
        <is>
          <t>N</t>
        </is>
      </c>
      <c r="U78" t="inlineStr">
        <is>
          <t>new</t>
        </is>
      </c>
      <c r="V78" t="inlineStr">
        <is>
          <t>https://nomicrunch.com/</t>
        </is>
      </c>
      <c r="W78" t="inlineStr">
        <is>
          <t>2026-10-23</t>
        </is>
      </c>
      <c r="X78" t="inlineStr">
        <is>
          <t>brand</t>
        </is>
      </c>
      <c r="Y78">
        <f>IF(EB78&lt;&gt;"Y","",COUNTIFS($EB$2:$EB$1000,"Y",$J$2:$J$1000,"&gt;"&amp;J78)+COUNTIFS($EB$2:$EB$1000,"Y",$J$2:$J$1000,J78,$ED$2:$ED$1000,"&lt;"&amp;ED78)+1)</f>
        <v/>
      </c>
      <c r="Z78" t="n">
        <v>77</v>
      </c>
      <c r="AA78" t="inlineStr">
        <is>
          <t>N</t>
        </is>
      </c>
      <c r="AB78" t="inlineStr">
        <is>
          <t>find Sarah Harasaki at Nomi Crunch on LinkedIn and paste the profile URL; the retailer line rests on the brand's own store locator: say 'your store locator lists ...'; founder review (format, claim-borderline): read founder_review_reason first</t>
        </is>
      </c>
      <c r="AC78" t="inlineStr">
        <is>
          <t>founder</t>
        </is>
      </c>
      <c r="AD78" t="inlineStr">
        <is>
          <t>verified-page</t>
        </is>
      </c>
      <c r="AE78" t="inlineStr">
        <is>
          <t>press, event or podcast page</t>
        </is>
      </c>
      <c r="AF78" t="inlineStr">
        <is>
          <t>https://www.pearlriver.com/products/nomi-crunch-granola-earl-grey-yuzu</t>
        </is>
      </c>
      <c r="AG78" t="inlineStr">
        <is>
          <t>2026-10-23</t>
        </is>
      </c>
      <c r="AH78" t="inlineStr">
        <is>
          <t>Black Sesame protein granola bag (also Earl Grey Yuzu)</t>
        </is>
      </c>
      <c r="AI78" t="inlineStr">
        <is>
          <t>other-snack</t>
        </is>
      </c>
      <c r="AJ78" t="inlineStr">
        <is>
          <t>New York (homepage: 'crafted in nyc'; Pearl River listing: 'Born in New York City')</t>
        </is>
      </c>
      <c r="AK78" t="inlineStr">
        <is>
          <t>https://nomicrunch.com</t>
        </is>
      </c>
      <c r="AL78" t="inlineStr">
        <is>
          <t>Y</t>
        </is>
      </c>
      <c r="AM78" t="inlineStr">
        <is>
          <t>Protein positioning ('50g of protein per bag', whey protein isolate); multi-serve bag, not single-serve</t>
        </is>
      </c>
      <c r="AN78" t="inlineStr">
        <is>
          <t>AB-241</t>
        </is>
      </c>
      <c r="AO78" t="inlineStr">
        <is>
          <t>N</t>
        </is>
      </c>
      <c r="AR78">
        <f>IF(AND(AU78="pass",AO78&lt;&gt;"Y",C78&lt;&gt;""),"Y","N")</f>
        <v/>
      </c>
      <c r="AS78">
        <f>_xlfn.TEXTJOIN("; ",TRUE,IF(AU78&lt;&gt;"pass","gated out",""),IF(AO78="Y","on hold: "&amp;AP78,""),IF(C78="","no contact named on an opened page",""))</f>
        <v/>
      </c>
      <c r="AU78" t="inlineStr">
        <is>
          <t>pass</t>
        </is>
      </c>
      <c r="AW78" t="inlineStr">
        <is>
          <t>passes all hard gates</t>
        </is>
      </c>
      <c r="AX78" t="inlineStr">
        <is>
          <t>format;claim-borderline</t>
        </is>
      </c>
      <c r="AY78" t="inlineStr">
        <is>
          <t>https://nomicrunch.com</t>
        </is>
      </c>
      <c r="AZ78" t="inlineStr">
        <is>
          <t>NY</t>
        </is>
      </c>
      <c r="BA78" t="inlineStr">
        <is>
          <t>nyc</t>
        </is>
      </c>
      <c r="BB78" t="inlineStr">
        <is>
          <t>unknown</t>
        </is>
      </c>
      <c r="BD78" t="inlineStr">
        <is>
          <t>Y</t>
        </is>
      </c>
      <c r="BE78" t="inlineStr">
        <is>
          <t>Bagged granola sold ambient; no shelf-life figure published, founder to confirm</t>
        </is>
      </c>
      <c r="BF78" t="inlineStr">
        <is>
          <t>N</t>
        </is>
      </c>
      <c r="BG78" t="inlineStr">
        <is>
          <t>Y</t>
        </is>
      </c>
      <c r="BH78" t="inlineStr">
        <is>
          <t>unknown</t>
        </is>
      </c>
      <c r="BJ78" t="inlineStr">
        <is>
          <t>unknown</t>
        </is>
      </c>
      <c r="BK78" t="inlineStr">
        <is>
          <t>N</t>
        </is>
      </c>
      <c r="BL78" t="inlineStr">
        <is>
          <t>N</t>
        </is>
      </c>
      <c r="BN78" t="n">
        <v>1.3</v>
      </c>
      <c r="BO78" t="inlineStr">
        <is>
          <t>N</t>
        </is>
      </c>
      <c r="BP78" t="n">
        <v>1</v>
      </c>
      <c r="BQ78" t="inlineStr">
        <is>
          <t>Jack's Market, 110 W 32nd St (brand_claim, 1.3 blocks out)</t>
        </is>
      </c>
      <c r="BR78" t="inlineStr">
        <is>
          <t>Pearl River Mart Foods (brand_claim, 11.4 blocks out)</t>
        </is>
      </c>
      <c r="BS78" t="inlineStr">
        <is>
          <t>Pearl River Mart (online catalog)</t>
        </is>
      </c>
      <c r="BT78" t="inlineStr">
        <is>
          <t>https://www.pearlriver.com/products/nomi-crunch-granola-earl-grey-yuzu; https://stockist.co/api/v1/map_pqkkeeyq/locations/search?latitude=40.7411&amp;longitude=-73.9897&amp;distance=3&amp;distance_unit=mi</t>
        </is>
      </c>
      <c r="BU78" t="inlineStr">
        <is>
          <t>none</t>
        </is>
      </c>
      <c r="BX78" t="inlineStr">
        <is>
          <t>Sarah Harasaki</t>
        </is>
      </c>
      <c r="CF78" t="inlineStr">
        <is>
          <t>none</t>
        </is>
      </c>
      <c r="CK78" t="inlineStr">
        <is>
          <t>none</t>
        </is>
      </c>
      <c r="CL78" t="n">
        <v>47</v>
      </c>
      <c r="CM78" t="n">
        <v>13</v>
      </c>
      <c r="CN78" t="n">
        <v>20</v>
      </c>
      <c r="CO78" t="n">
        <v>0</v>
      </c>
      <c r="CP78" t="n">
        <v>5</v>
      </c>
      <c r="CQ78" t="n">
        <v>7</v>
      </c>
      <c r="CR78" t="n">
        <v>6</v>
      </c>
      <c r="CS78">
        <f>IF(R78="Y",10,0)</f>
        <v/>
      </c>
      <c r="CT78" t="n">
        <v>-4</v>
      </c>
      <c r="CV78" t="inlineStr">
        <is>
          <t>BR4</t>
        </is>
      </c>
      <c r="CW78" t="inlineStr">
        <is>
          <t>BR4:36</t>
        </is>
      </c>
      <c r="CX78" t="inlineStr">
        <is>
          <t>Woman and minority owned, gluten free (homepage). Pearl River Mart catalog (pearlriver.com online store; Chelsea Market food store at 75 9th Ave not confirmed for this item)</t>
        </is>
      </c>
      <c r="CY78" t="inlineStr">
        <is>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is>
      </c>
      <c r="DA78" t="inlineStr">
        <is>
          <t>stage 1 only</t>
        </is>
      </c>
      <c r="DY78">
        <f>IF(ISNUMBER(MATCH(U78,{"queued","contacted","replied","call_booked","call_done","yes_in_principle","materials_sent"},0)),"Y","N")</f>
        <v/>
      </c>
      <c r="DZ78">
        <f>IF(COUNTIFS($AN$2:$AN$1000,AN78,$DY$2:$DY$1000,"Y")+COUNTIFS($AN$2:$AN$1000,AN78,$T$2:$T$1000,"Y")&gt;0,"Y","N")</f>
        <v/>
      </c>
      <c r="EA78">
        <f>IF(AND(U78="new",T78="N",AR78="Y",AQ78="",DZ78="N"),"Y","N")</f>
        <v/>
      </c>
      <c r="EB78">
        <f>IF(EA78&lt;&gt;"Y","N",IF(COUNTIFS($AN$2:$AN$1000,AN78,$EA$2:$EA$1000,"Y",$J$2:$J$1000,"&gt;"&amp;J78)+COUNTIFS($AN$2:$AN$1000,AN78,$EA$2:$EA$1000,"Y",$J$2:$J$1000,J78,$ED$2:$ED$1000,"&lt;"&amp;ED78)=0,"Y","N"))</f>
        <v/>
      </c>
      <c r="EC78">
        <f>IF(Y78="","N",IF(Y78&lt;=10,"Y","N"))</f>
        <v/>
      </c>
      <c r="ED78">
        <f>ROW()-1</f>
        <v/>
      </c>
    </row>
    <row r="79">
      <c r="A79" t="inlineStr">
        <is>
          <t>AB-144</t>
        </is>
      </c>
      <c r="B79" t="inlineStr">
        <is>
          <t>Joe Coffee Company</t>
        </is>
      </c>
      <c r="C79" t="inlineStr">
        <is>
          <t>Jonathan</t>
        </is>
      </c>
      <c r="D79" t="inlineStr">
        <is>
          <t>Rubinstein</t>
        </is>
      </c>
      <c r="E79" t="inlineStr">
        <is>
          <t>Founder</t>
        </is>
      </c>
      <c r="H79" t="inlineStr">
        <is>
          <t>none</t>
        </is>
      </c>
      <c r="I79" t="inlineStr">
        <is>
          <t>linkedin</t>
        </is>
      </c>
      <c r="J79">
        <f>IF(AU79="pass",CM79+CN79+CO79+CP79+CQ79+CR79+CS79+CT79,0)</f>
        <v/>
      </c>
      <c r="K79" t="inlineStr">
        <is>
          <t>New York City brand, no graded store within ten blocks, online store only, news 177 days ago, revenue unknown, contact named; founder review: not-emerging, dormant.</t>
        </is>
      </c>
      <c r="M79" t="inlineStr">
        <is>
          <t>none found within ten blocks</t>
        </is>
      </c>
      <c r="N79" t="inlineStr">
        <is>
          <t>unverified</t>
        </is>
      </c>
      <c r="O79" t="inlineStr">
        <is>
          <t>Founder Jonathan Rubinstein stepped down as CEO and moved to a new leadership role; successor is a long-serving employee (name behind paywall); 24 outlets across New York incl. Union Square</t>
        </is>
      </c>
      <c r="P79" t="inlineStr">
        <is>
          <t>https://worldcoffeeportal.com/news/new-ceo-for-new-yorks-joe-coffee/</t>
        </is>
      </c>
      <c r="Q79" t="inlineStr">
        <is>
          <t>2026-04-30</t>
        </is>
      </c>
      <c r="R79" t="inlineStr">
        <is>
          <t>N</t>
        </is>
      </c>
      <c r="S79" t="inlineStr">
        <is>
          <t>unknown</t>
        </is>
      </c>
      <c r="T79" t="inlineStr">
        <is>
          <t>N</t>
        </is>
      </c>
      <c r="U79" t="inlineStr">
        <is>
          <t>new</t>
        </is>
      </c>
      <c r="V79" t="inlineStr">
        <is>
          <t>https://joecoffeecompany.com/pages/locations</t>
        </is>
      </c>
      <c r="W79" t="inlineStr">
        <is>
          <t>2026-10-23</t>
        </is>
      </c>
      <c r="X79" t="inlineStr">
        <is>
          <t>brand</t>
        </is>
      </c>
      <c r="Y79">
        <f>IF(EB79&lt;&gt;"Y","",COUNTIFS($EB$2:$EB$1000,"Y",$J$2:$J$1000,"&gt;"&amp;J79)+COUNTIFS($EB$2:$EB$1000,"Y",$J$2:$J$1000,J79,$ED$2:$ED$1000,"&lt;"&amp;ED79)+1)</f>
        <v/>
      </c>
      <c r="Z79" t="n">
        <v>78</v>
      </c>
      <c r="AA79" t="inlineStr">
        <is>
          <t>N</t>
        </is>
      </c>
      <c r="AB79" t="inlineStr">
        <is>
          <t>find Jonathan Rubinstein at Joe Coffee Company on LinkedIn and paste the profile URL; founder review (not-emerging, dormant): read founder_review_reason first</t>
        </is>
      </c>
      <c r="AC79" t="inlineStr">
        <is>
          <t>founder</t>
        </is>
      </c>
      <c r="AD79" t="inlineStr">
        <is>
          <t>verified-page</t>
        </is>
      </c>
      <c r="AE79" t="inlineStr">
        <is>
          <t>employer's own site</t>
        </is>
      </c>
      <c r="AF79" t="inlineStr">
        <is>
          <t>https://joecoffeecompany.com/pages/about</t>
        </is>
      </c>
      <c r="AG79" t="inlineStr">
        <is>
          <t>2026-10-23</t>
        </is>
      </c>
      <c r="AH79" t="inlineStr">
        <is>
          <t>Joe Coffee Cold Brew cans (Great Heights single origin), 12-pack</t>
        </is>
      </c>
      <c r="AI79" t="inlineStr">
        <is>
          <t>coffee-rtd</t>
        </is>
      </c>
      <c r="AJ79" t="inlineStr">
        <is>
          <t>New York</t>
        </is>
      </c>
      <c r="AK79" t="inlineStr">
        <is>
          <t>https://joecoffeecompany.com/products/cold-brew</t>
        </is>
      </c>
      <c r="AL79" t="inlineStr">
        <is>
          <t>Y</t>
        </is>
      </c>
      <c r="AM79" t="inlineStr">
        <is>
          <t>Cafe group, not a pure CPG brand; cold brew cans showed 'Sold out' (2026-10-23); shelf stability not stated. Already runs corporate catering, so may see Desk Drop as overlap; 60-day shelf life not stated</t>
        </is>
      </c>
      <c r="AN79" t="inlineStr">
        <is>
          <t>AB-144</t>
        </is>
      </c>
      <c r="AO79" t="inlineStr">
        <is>
          <t>N</t>
        </is>
      </c>
      <c r="AR79">
        <f>IF(AND(AU79="pass",AO79&lt;&gt;"Y",C79&lt;&gt;""),"Y","N")</f>
        <v/>
      </c>
      <c r="AS79">
        <f>_xlfn.TEXTJOIN("; ",TRUE,IF(AU79&lt;&gt;"pass","gated out",""),IF(AO79="Y","on hold: "&amp;AP79,""),IF(C79="","no contact named on an opened page",""))</f>
        <v/>
      </c>
      <c r="AU79" t="inlineStr">
        <is>
          <t>pass</t>
        </is>
      </c>
      <c r="AW79" t="inlineStr">
        <is>
          <t>passes all hard gates</t>
        </is>
      </c>
      <c r="AX79" t="inlineStr">
        <is>
          <t>not-emerging;dormant</t>
        </is>
      </c>
      <c r="AY79" t="inlineStr">
        <is>
          <t>https://joecoffeecompany.com</t>
        </is>
      </c>
      <c r="AZ79" t="inlineStr">
        <is>
          <t>NY</t>
        </is>
      </c>
      <c r="BA79" t="inlineStr">
        <is>
          <t>nyc</t>
        </is>
      </c>
      <c r="BB79" t="inlineStr">
        <is>
          <t>unknown</t>
        </is>
      </c>
      <c r="BD79" t="inlineStr">
        <is>
          <t>unknown</t>
        </is>
      </c>
      <c r="BE79" t="inlineStr">
        <is>
          <t>No storage statement on the cold brew product page; founder to confirm</t>
        </is>
      </c>
      <c r="BF79" t="inlineStr">
        <is>
          <t>Y</t>
        </is>
      </c>
      <c r="BG79" t="inlineStr">
        <is>
          <t>Y</t>
        </is>
      </c>
      <c r="BH79" t="inlineStr">
        <is>
          <t>unknown</t>
        </is>
      </c>
      <c r="BJ79" t="inlineStr">
        <is>
          <t>No public sales figure found</t>
        </is>
      </c>
      <c r="BK79" t="inlineStr">
        <is>
          <t>N</t>
        </is>
      </c>
      <c r="BL79" t="inlineStr">
        <is>
          <t>N</t>
        </is>
      </c>
      <c r="BO79" t="inlineStr">
        <is>
          <t>N</t>
        </is>
      </c>
      <c r="BP79" t="n">
        <v>0</v>
      </c>
      <c r="BR79" t="inlineStr">
        <is>
          <t>Joe Coffee Flatiron (unverified, unplaced);Joe Coffee Union Square West (unverified, unplaced);Joe Pro Shop (unverified, unplaced)</t>
        </is>
      </c>
      <c r="BS79" t="inlineStr">
        <is>
          <t>Own cafes incl. Flatiron, 13th Street, Union Square West, Pro Shop W 21st St, Chelsea, Bryant Park, Grand Central</t>
        </is>
      </c>
      <c r="BT79" t="inlineStr">
        <is>
          <t>https://joecoffeecompany.com/pages/locations</t>
        </is>
      </c>
      <c r="BU79" t="inlineStr">
        <is>
          <t>press</t>
        </is>
      </c>
      <c r="BV79" t="n">
        <v>177</v>
      </c>
      <c r="BX79" t="inlineStr">
        <is>
          <t>Jonathan Rubinstein</t>
        </is>
      </c>
      <c r="CF79" t="inlineStr">
        <is>
          <t>none</t>
        </is>
      </c>
      <c r="CK79" t="inlineStr">
        <is>
          <t>none</t>
        </is>
      </c>
      <c r="CL79" t="n">
        <v>47</v>
      </c>
      <c r="CM79" t="n">
        <v>6</v>
      </c>
      <c r="CN79" t="n">
        <v>20</v>
      </c>
      <c r="CO79" t="n">
        <v>15</v>
      </c>
      <c r="CP79" t="n">
        <v>5</v>
      </c>
      <c r="CQ79" t="n">
        <v>7</v>
      </c>
      <c r="CR79" t="n">
        <v>6</v>
      </c>
      <c r="CS79">
        <f>IF(R79="Y",10,0)</f>
        <v/>
      </c>
      <c r="CT79" t="n">
        <v>-12</v>
      </c>
      <c r="CU79" t="inlineStr">
        <is>
          <t>https://www.instagram.com/joecoffeecompany</t>
        </is>
      </c>
      <c r="CV79" t="inlineStr">
        <is>
          <t>BR3</t>
        </is>
      </c>
      <c r="CW79" t="inlineStr">
        <is>
          <t>BR3:18</t>
        </is>
      </c>
      <c r="CX79" t="inlineStr">
        <is>
          <t>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is>
      </c>
      <c r="CY79" t="inlineStr">
        <is>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is>
      </c>
      <c r="DA79" t="inlineStr">
        <is>
          <t>stage 1 only</t>
        </is>
      </c>
      <c r="DY79">
        <f>IF(ISNUMBER(MATCH(U79,{"queued","contacted","replied","call_booked","call_done","yes_in_principle","materials_sent"},0)),"Y","N")</f>
        <v/>
      </c>
      <c r="DZ79">
        <f>IF(COUNTIFS($AN$2:$AN$1000,AN79,$DY$2:$DY$1000,"Y")+COUNTIFS($AN$2:$AN$1000,AN79,$T$2:$T$1000,"Y")&gt;0,"Y","N")</f>
        <v/>
      </c>
      <c r="EA79">
        <f>IF(AND(U79="new",T79="N",AR79="Y",AQ79="",DZ79="N"),"Y","N")</f>
        <v/>
      </c>
      <c r="EB79">
        <f>IF(EA79&lt;&gt;"Y","N",IF(COUNTIFS($AN$2:$AN$1000,AN79,$EA$2:$EA$1000,"Y",$J$2:$J$1000,"&gt;"&amp;J79)+COUNTIFS($AN$2:$AN$1000,AN79,$EA$2:$EA$1000,"Y",$J$2:$J$1000,J79,$ED$2:$ED$1000,"&lt;"&amp;ED79)=0,"Y","N"))</f>
        <v/>
      </c>
      <c r="EC79">
        <f>IF(Y79="","N",IF(Y79&lt;=10,"Y","N"))</f>
        <v/>
      </c>
      <c r="ED79">
        <f>ROW()-1</f>
        <v/>
      </c>
    </row>
    <row r="80">
      <c r="A80" t="inlineStr">
        <is>
          <t>AB-250</t>
        </is>
      </c>
      <c r="B80" t="inlineStr">
        <is>
          <t>NouBon</t>
        </is>
      </c>
      <c r="C80" t="inlineStr">
        <is>
          <t>Pierrelande</t>
        </is>
      </c>
      <c r="D80" t="inlineStr">
        <is>
          <t>Saint Cyr</t>
        </is>
      </c>
      <c r="E80" t="inlineStr">
        <is>
          <t>Co-founder</t>
        </is>
      </c>
      <c r="H80" t="inlineStr">
        <is>
          <t>none</t>
        </is>
      </c>
      <c r="I80" t="inlineStr">
        <is>
          <t>linkedin</t>
        </is>
      </c>
      <c r="J80">
        <f>IF(AU80="pass",CM80+CN80+CO80+CP80+CQ80+CR80+CS80+CT80,0)</f>
        <v/>
      </c>
      <c r="K80" t="inlineStr">
        <is>
          <t>New York State brand, no graded store within ten blocks, online store only, news 142 days ago, revenue unknown, contact named; founder review: under-floor.</t>
        </is>
      </c>
      <c r="M80" t="inlineStr">
        <is>
          <t>none found within ten blocks</t>
        </is>
      </c>
      <c r="N80" t="inlineStr">
        <is>
          <t>unverified</t>
        </is>
      </c>
      <c r="O80" t="inlineStr">
        <is>
          <t>Debuted Caribbean snack bags and craft peanut butters</t>
        </is>
      </c>
      <c r="P80" t="inlineStr">
        <is>
          <t>https://startupcpg.com/startup-cpg-newswire-noubon-bringing-bold-small-batch-caribbean-flavors-to-store-shelves/</t>
        </is>
      </c>
      <c r="Q80" t="inlineStr">
        <is>
          <t>2026-06-04</t>
        </is>
      </c>
      <c r="R80" t="inlineStr">
        <is>
          <t>N</t>
        </is>
      </c>
      <c r="S80" t="inlineStr">
        <is>
          <t>Y</t>
        </is>
      </c>
      <c r="T80" t="inlineStr">
        <is>
          <t>N</t>
        </is>
      </c>
      <c r="U80" t="inlineStr">
        <is>
          <t>new</t>
        </is>
      </c>
      <c r="V80" t="inlineStr">
        <is>
          <t>https://startupcpg.com/startup-cpg-newswire-noubon-bringing-bold-small-batch-caribbean-flavors-to-store-shelves/</t>
        </is>
      </c>
      <c r="W80" t="inlineStr">
        <is>
          <t>2026-10-23</t>
        </is>
      </c>
      <c r="X80" t="inlineStr">
        <is>
          <t>brand</t>
        </is>
      </c>
      <c r="Y80">
        <f>IF(EB80&lt;&gt;"Y","",COUNTIFS($EB$2:$EB$1000,"Y",$J$2:$J$1000,"&gt;"&amp;J80)+COUNTIFS($EB$2:$EB$1000,"Y",$J$2:$J$1000,J80,$ED$2:$ED$1000,"&lt;"&amp;ED80)+1)</f>
        <v/>
      </c>
      <c r="Z80" t="n">
        <v>79</v>
      </c>
      <c r="AA80" t="inlineStr">
        <is>
          <t>N</t>
        </is>
      </c>
      <c r="AB80" t="inlineStr">
        <is>
          <t>find Pierrelande Saint Cyr at NouBon on LinkedIn and paste the profile URL; founder review (under-floor): read founder_review_reason first</t>
        </is>
      </c>
      <c r="AC80" t="inlineStr">
        <is>
          <t>founder</t>
        </is>
      </c>
      <c r="AD80" t="inlineStr">
        <is>
          <t>verified-page</t>
        </is>
      </c>
      <c r="AE80" t="inlineStr">
        <is>
          <t>press, event or podcast page</t>
        </is>
      </c>
      <c r="AF80" t="inlineStr">
        <is>
          <t>https://startupcpg.com/startup-cpg-newswire-noubon-bringing-bold-small-batch-caribbean-flavors-to-store-shelves/</t>
        </is>
      </c>
      <c r="AG80" t="inlineStr">
        <is>
          <t>2026-10-23</t>
        </is>
      </c>
      <c r="AH80" t="inlineStr">
        <is>
          <t>Caribbean street-confection snack bags: Coconut Clusters, Coconut Bites, Peanut Crunch, Vanilla Fudge (also spiced peanut butters)</t>
        </is>
      </c>
      <c r="AI80" t="inlineStr">
        <is>
          <t>chocolate-candy</t>
        </is>
      </c>
      <c r="AJ80" t="inlineStr">
        <is>
          <t>Deer Park, Long Island (privacy policy: NouBon, 669 Acorn St, Suite D, Deer Park NY 11729)</t>
        </is>
      </c>
      <c r="AK80" t="inlineStr">
        <is>
          <t>http://www.noubon.com</t>
        </is>
      </c>
      <c r="AL80" t="inlineStr">
        <is>
          <t>Y</t>
        </is>
      </c>
      <c r="AM80" t="inlineStr">
        <is>
          <t>Debut-stage brand may be under the $500k floor (no sales figure); no NYC retailer named yet; 60-day shelf life not stated</t>
        </is>
      </c>
      <c r="AN80" t="inlineStr">
        <is>
          <t>AB-250</t>
        </is>
      </c>
      <c r="AO80" t="inlineStr">
        <is>
          <t>N</t>
        </is>
      </c>
      <c r="AR80">
        <f>IF(AND(AU80="pass",AO80&lt;&gt;"Y",C80&lt;&gt;""),"Y","N")</f>
        <v/>
      </c>
      <c r="AS80">
        <f>_xlfn.TEXTJOIN("; ",TRUE,IF(AU80&lt;&gt;"pass","gated out",""),IF(AO80="Y","on hold: "&amp;AP80,""),IF(C80="","no contact named on an opened page",""))</f>
        <v/>
      </c>
      <c r="AU80" t="inlineStr">
        <is>
          <t>pass</t>
        </is>
      </c>
      <c r="AW80" t="inlineStr">
        <is>
          <t>passes all hard gates</t>
        </is>
      </c>
      <c r="AX80" t="inlineStr">
        <is>
          <t>under-floor</t>
        </is>
      </c>
      <c r="AY80" t="inlineStr">
        <is>
          <t>http://www.noubon.com</t>
        </is>
      </c>
      <c r="AZ80" t="inlineStr">
        <is>
          <t>NY</t>
        </is>
      </c>
      <c r="BA80" t="inlineStr">
        <is>
          <t>nys</t>
        </is>
      </c>
      <c r="BB80" t="inlineStr">
        <is>
          <t>unknown</t>
        </is>
      </c>
      <c r="BD80" t="inlineStr">
        <is>
          <t>unknown</t>
        </is>
      </c>
      <c r="BE80" t="inlineStr">
        <is>
          <t>Snack bags; storage not stated, founder to confirm</t>
        </is>
      </c>
      <c r="BF80" t="inlineStr">
        <is>
          <t>Y</t>
        </is>
      </c>
      <c r="BG80" t="inlineStr">
        <is>
          <t>Y</t>
        </is>
      </c>
      <c r="BH80" t="inlineStr">
        <is>
          <t>unknown</t>
        </is>
      </c>
      <c r="BJ80" t="inlineStr">
        <is>
          <t>No sales figure published. Debut lineup DTC plus Faire/Airgoods (Startup CPG 2026-06-04)</t>
        </is>
      </c>
      <c r="BK80" t="inlineStr">
        <is>
          <t>N</t>
        </is>
      </c>
      <c r="BL80" t="inlineStr">
        <is>
          <t>N</t>
        </is>
      </c>
      <c r="BO80" t="inlineStr">
        <is>
          <t>N</t>
        </is>
      </c>
      <c r="BP80" t="n">
        <v>0</v>
      </c>
      <c r="BS80" t="inlineStr">
        <is>
          <t>DTC (noubon.com); wholesale via Faire and Airgoods</t>
        </is>
      </c>
      <c r="BU80" t="inlineStr">
        <is>
          <t>press</t>
        </is>
      </c>
      <c r="BV80" t="n">
        <v>142</v>
      </c>
      <c r="BW80" t="inlineStr">
        <is>
          <t>https://startupcpg.com/startup-cpg-newswire-noubon-bringing-bold-small-batch-caribbean-flavors-to-store-shelves/</t>
        </is>
      </c>
      <c r="BX80" t="inlineStr">
        <is>
          <t>Pierrelande Saint Cyr</t>
        </is>
      </c>
      <c r="CF80" t="inlineStr">
        <is>
          <t>none</t>
        </is>
      </c>
      <c r="CK80" t="inlineStr">
        <is>
          <t>none</t>
        </is>
      </c>
      <c r="CL80" t="n">
        <v>47</v>
      </c>
      <c r="CM80" t="n">
        <v>6</v>
      </c>
      <c r="CN80" t="n">
        <v>13</v>
      </c>
      <c r="CO80" t="n">
        <v>15</v>
      </c>
      <c r="CP80" t="n">
        <v>5</v>
      </c>
      <c r="CQ80" t="n">
        <v>7</v>
      </c>
      <c r="CR80" t="n">
        <v>6</v>
      </c>
      <c r="CS80">
        <f>IF(R80="Y",10,0)</f>
        <v/>
      </c>
      <c r="CT80" t="n">
        <v>-5</v>
      </c>
      <c r="CV80" t="inlineStr">
        <is>
          <t>BR4</t>
        </is>
      </c>
      <c r="CW80" t="inlineStr">
        <is>
          <t>BR4:45</t>
        </is>
      </c>
      <c r="CX80" t="inlineStr">
        <is>
          <t>Haitian American sister founders. Peanut butters are spreads (not a drop item); the snack bags are the fit.</t>
        </is>
      </c>
      <c r="CY80" t="inlineStr">
        <is>
          <t xml:space="preserve">nearest_stocked_retailer &lt;- https://stockist.co/api/v1/map_pqkk8eyq/locations/search?latitude=40.7411&amp;longitude=-73.9897&amp;distance=3&amp;distance_unit=mi (2026-10-24, opened); hq_city &lt;- http://www.noubon.com/policies/privacy-policy (2026-10-24, opened); </t>
        </is>
      </c>
      <c r="DA80" t="inlineStr">
        <is>
          <t>stage 1 only</t>
        </is>
      </c>
      <c r="DY80">
        <f>IF(ISNUMBER(MATCH(U80,{"queued","contacted","replied","call_booked","call_done","yes_in_principle","materials_sent"},0)),"Y","N")</f>
        <v/>
      </c>
      <c r="DZ80">
        <f>IF(COUNTIFS($AN$2:$AN$1000,AN80,$DY$2:$DY$1000,"Y")+COUNTIFS($AN$2:$AN$1000,AN80,$T$2:$T$1000,"Y")&gt;0,"Y","N")</f>
        <v/>
      </c>
      <c r="EA80">
        <f>IF(AND(U80="new",T80="N",AR80="Y",AQ80="",DZ80="N"),"Y","N")</f>
        <v/>
      </c>
      <c r="EB80">
        <f>IF(EA80&lt;&gt;"Y","N",IF(COUNTIFS($AN$2:$AN$1000,AN80,$EA$2:$EA$1000,"Y",$J$2:$J$1000,"&gt;"&amp;J80)+COUNTIFS($AN$2:$AN$1000,AN80,$EA$2:$EA$1000,"Y",$J$2:$J$1000,J80,$ED$2:$ED$1000,"&lt;"&amp;ED80)=0,"Y","N"))</f>
        <v/>
      </c>
      <c r="EC80">
        <f>IF(Y80="","N",IF(Y80&lt;=10,"Y","N"))</f>
        <v/>
      </c>
      <c r="ED80">
        <f>ROW()-1</f>
        <v/>
      </c>
    </row>
    <row r="81">
      <c r="A81" t="inlineStr">
        <is>
          <t>AB-282</t>
        </is>
      </c>
      <c r="B81" t="inlineStr">
        <is>
          <t>Dona</t>
        </is>
      </c>
      <c r="H81" t="inlineStr">
        <is>
          <t>none</t>
        </is>
      </c>
      <c r="J81">
        <f>IF(AU81="pass",CM81+CN81+CO81+CP81+CQ81+CR81+CS81+CT81,0)</f>
        <v/>
      </c>
      <c r="K81" t="inlineStr">
        <is>
          <t>New York City brand, no graded store within ten blocks, online store only, a new store listing 93 days ago, revenue unknown, no contact named; founder review: other.</t>
        </is>
      </c>
      <c r="M81" t="inlineStr">
        <is>
          <t>none found within ten blocks</t>
        </is>
      </c>
      <c r="N81" t="inlineStr">
        <is>
          <t>unverified</t>
        </is>
      </c>
      <c r="O81" t="inlineStr">
        <is>
          <t>Added a Mini Chai Streusel Granola single pack and a chai and granola bundle</t>
        </is>
      </c>
      <c r="P81" t="inlineStr">
        <is>
          <t>https://drinkdona.com/products.json</t>
        </is>
      </c>
      <c r="Q81" t="inlineStr">
        <is>
          <t>2026-07-23</t>
        </is>
      </c>
      <c r="R81" t="inlineStr">
        <is>
          <t>N</t>
        </is>
      </c>
      <c r="S81" t="inlineStr">
        <is>
          <t>unknown</t>
        </is>
      </c>
      <c r="T81" t="inlineStr">
        <is>
          <t>N</t>
        </is>
      </c>
      <c r="U81" t="inlineStr">
        <is>
          <t>new</t>
        </is>
      </c>
      <c r="V81" t="inlineStr">
        <is>
          <t>https://www.specialtyfood.com/news-media/news-features/association-press-releases/2027-sofi-awards-finalists/</t>
        </is>
      </c>
      <c r="W81" t="inlineStr">
        <is>
          <t>2026-10-24</t>
        </is>
      </c>
      <c r="X81" t="inlineStr">
        <is>
          <t>brand</t>
        </is>
      </c>
      <c r="Y81">
        <f>IF(EB81&lt;&gt;"Y","",COUNTIFS($EB$2:$EB$1000,"Y",$J$2:$J$1000,"&gt;"&amp;J81)+COUNTIFS($EB$2:$EB$1000,"Y",$J$2:$J$1000,J81,$ED$2:$ED$1000,"&lt;"&amp;ED81)+1)</f>
        <v/>
      </c>
      <c r="Z81" t="n">
        <v>80</v>
      </c>
      <c r="AA81" t="inlineStr">
        <is>
          <t>N</t>
        </is>
      </c>
      <c r="AB81" t="inlineStr">
        <is>
          <t>no person named on an opened page: not ready; founder review (other): read founder_review_reason first</t>
        </is>
      </c>
      <c r="AD81" t="inlineStr">
        <is>
          <t>none</t>
        </is>
      </c>
      <c r="AH81" t="inlineStr">
        <is>
          <t>Mini Chai Streusel Granola with Honey ($5 single pack)</t>
        </is>
      </c>
      <c r="AI81" t="inlineStr">
        <is>
          <t>other-snack</t>
        </is>
      </c>
      <c r="AJ81" t="inlineStr">
        <is>
          <t>Brooklyn (1365 Halsey St, 11237)</t>
        </is>
      </c>
      <c r="AK81" t="inlineStr">
        <is>
          <t>https://drinkdona.com</t>
        </is>
      </c>
      <c r="AL81" t="inlineStr">
        <is>
          <t>Y</t>
        </is>
      </c>
      <c r="AM81" t="inlineStr">
        <is>
          <t>Core line is tea, matcha and chai concentrate, which need preparation (excluded); only the mini granola fits. Check who makes it and which SKU is eligible</t>
        </is>
      </c>
      <c r="AN81" t="inlineStr">
        <is>
          <t>AB-282</t>
        </is>
      </c>
      <c r="AO81" t="inlineStr">
        <is>
          <t>N</t>
        </is>
      </c>
      <c r="AR81">
        <f>IF(AND(AU81="pass",AO81&lt;&gt;"Y",C81&lt;&gt;""),"Y","N")</f>
        <v/>
      </c>
      <c r="AS81">
        <f>_xlfn.TEXTJOIN("; ",TRUE,IF(AU81&lt;&gt;"pass","gated out",""),IF(AO81="Y","on hold: "&amp;AP81,""),IF(C81="","no contact named on an opened page",""))</f>
        <v/>
      </c>
      <c r="AU81" t="inlineStr">
        <is>
          <t>pass</t>
        </is>
      </c>
      <c r="AW81" t="inlineStr">
        <is>
          <t>passes all hard gates</t>
        </is>
      </c>
      <c r="AX81" t="inlineStr">
        <is>
          <t>other</t>
        </is>
      </c>
      <c r="AY81" t="inlineStr">
        <is>
          <t>https://drinkdona.com</t>
        </is>
      </c>
      <c r="AZ81" t="inlineStr">
        <is>
          <t>NY</t>
        </is>
      </c>
      <c r="BA81" t="inlineStr">
        <is>
          <t>nyc</t>
        </is>
      </c>
      <c r="BB81" t="inlineStr">
        <is>
          <t>unknown</t>
        </is>
      </c>
      <c r="BD81" t="inlineStr">
        <is>
          <t>Y</t>
        </is>
      </c>
      <c r="BE81" t="inlineStr">
        <is>
          <t>Packaged granola and dry teas sold ambient online; shelf life not stated</t>
        </is>
      </c>
      <c r="BF81" t="inlineStr">
        <is>
          <t>Y</t>
        </is>
      </c>
      <c r="BG81" t="inlineStr">
        <is>
          <t>Y</t>
        </is>
      </c>
      <c r="BH81" t="inlineStr">
        <is>
          <t>unknown</t>
        </is>
      </c>
      <c r="BJ81" t="inlineStr">
        <is>
          <t>No sourced sales figure found</t>
        </is>
      </c>
      <c r="BK81" t="inlineStr">
        <is>
          <t>N</t>
        </is>
      </c>
      <c r="BL81" t="inlineStr">
        <is>
          <t>N</t>
        </is>
      </c>
      <c r="BO81" t="inlineStr">
        <is>
          <t>N</t>
        </is>
      </c>
      <c r="BP81" t="n">
        <v>0</v>
      </c>
      <c r="BS81" t="inlineStr">
        <is>
          <t>unknown</t>
        </is>
      </c>
      <c r="BU81" t="inlineStr">
        <is>
          <t>listing</t>
        </is>
      </c>
      <c r="BV81" t="n">
        <v>93</v>
      </c>
      <c r="CF81" t="inlineStr">
        <is>
          <t>none</t>
        </is>
      </c>
      <c r="CK81" t="inlineStr">
        <is>
          <t>none</t>
        </is>
      </c>
      <c r="CL81" t="n">
        <v>47</v>
      </c>
      <c r="CM81" t="n">
        <v>6</v>
      </c>
      <c r="CN81" t="n">
        <v>20</v>
      </c>
      <c r="CO81" t="n">
        <v>8</v>
      </c>
      <c r="CP81" t="n">
        <v>5</v>
      </c>
      <c r="CQ81" t="n">
        <v>10</v>
      </c>
      <c r="CR81" t="n">
        <v>0</v>
      </c>
      <c r="CS81">
        <f>IF(R81="Y",10,0)</f>
        <v/>
      </c>
      <c r="CT81" t="n">
        <v>-2</v>
      </c>
      <c r="CU81" t="inlineStr">
        <is>
          <t>https://www.instagram.com/drinkdona</t>
        </is>
      </c>
      <c r="CV81" t="inlineStr">
        <is>
          <t>BR5</t>
        </is>
      </c>
      <c r="CW81" t="inlineStr">
        <is>
          <t>BR5:18</t>
        </is>
      </c>
      <c r="CX81" t="inlineStr">
        <is>
          <t>Dona's Cardamom Rose Tea Concentrate is a 2027 sofi finalist (Coffee &amp; Tea, announced 2026-10-19); that SKU needs mixing, so it is not the placement product. Footer: '©2026 DONA CHAI LLC | 1365 HALSEY ST, BROOKLYN, NY 11237'.</t>
        </is>
      </c>
      <c r="DA81" t="inlineStr">
        <is>
          <t>stage 1 only</t>
        </is>
      </c>
      <c r="DY81">
        <f>IF(ISNUMBER(MATCH(U81,{"queued","contacted","replied","call_booked","call_done","yes_in_principle","materials_sent"},0)),"Y","N")</f>
        <v/>
      </c>
      <c r="DZ81">
        <f>IF(COUNTIFS($AN$2:$AN$1000,AN81,$DY$2:$DY$1000,"Y")+COUNTIFS($AN$2:$AN$1000,AN81,$T$2:$T$1000,"Y")&gt;0,"Y","N")</f>
        <v/>
      </c>
      <c r="EA81">
        <f>IF(AND(U81="new",T81="N",AR81="Y",AQ81="",DZ81="N"),"Y","N")</f>
        <v/>
      </c>
      <c r="EB81">
        <f>IF(EA81&lt;&gt;"Y","N",IF(COUNTIFS($AN$2:$AN$1000,AN81,$EA$2:$EA$1000,"Y",$J$2:$J$1000,"&gt;"&amp;J81)+COUNTIFS($AN$2:$AN$1000,AN81,$EA$2:$EA$1000,"Y",$J$2:$J$1000,J81,$ED$2:$ED$1000,"&lt;"&amp;ED81)=0,"Y","N"))</f>
        <v/>
      </c>
      <c r="EC81">
        <f>IF(Y81="","N",IF(Y81&lt;=10,"Y","N"))</f>
        <v/>
      </c>
      <c r="ED81">
        <f>ROW()-1</f>
        <v/>
      </c>
    </row>
    <row r="82">
      <c r="A82" t="inlineStr">
        <is>
          <t>AB-276</t>
        </is>
      </c>
      <c r="B82" t="inlineStr">
        <is>
          <t>Live Loud Foods</t>
        </is>
      </c>
      <c r="C82" t="inlineStr">
        <is>
          <t>Keesha</t>
        </is>
      </c>
      <c r="D82" t="inlineStr">
        <is>
          <t>unknown</t>
        </is>
      </c>
      <c r="E82" t="inlineStr">
        <is>
          <t>Founder</t>
        </is>
      </c>
      <c r="H82" t="inlineStr">
        <is>
          <t>none</t>
        </is>
      </c>
      <c r="I82" t="inlineStr">
        <is>
          <t>linkedin</t>
        </is>
      </c>
      <c r="J82">
        <f>IF(AU82="pass",CM82+CN82+CO82+CP82+CQ82+CR82+CS82+CT82,0)</f>
        <v/>
      </c>
      <c r="K82" t="inlineStr">
        <is>
          <t>New York City brand, no graded store within ten blocks, online store only, a new store listing 53 days ago, revenue unknown, contact named (first name only); founder review: under-floor, format.</t>
        </is>
      </c>
      <c r="M82" t="inlineStr">
        <is>
          <t>none found within ten blocks</t>
        </is>
      </c>
      <c r="N82" t="inlineStr">
        <is>
          <t>unverified</t>
        </is>
      </c>
      <c r="O82" t="inlineStr">
        <is>
          <t>In the Made in NYC Bodega at Brooklyn Navy Yard, September to November 2026 (site banner)</t>
        </is>
      </c>
      <c r="P82" t="inlineStr">
        <is>
          <t>https://www.liveloudfoods.com</t>
        </is>
      </c>
      <c r="Q82" t="inlineStr">
        <is>
          <t>2026-09</t>
        </is>
      </c>
      <c r="R82" t="inlineStr">
        <is>
          <t>N</t>
        </is>
      </c>
      <c r="S82" t="inlineStr">
        <is>
          <t>unknown</t>
        </is>
      </c>
      <c r="T82" t="inlineStr">
        <is>
          <t>N</t>
        </is>
      </c>
      <c r="U82" t="inlineStr">
        <is>
          <t>new</t>
        </is>
      </c>
      <c r="V82" t="inlineStr">
        <is>
          <t>https://hotbreadkitchen.org/breadwinners-marketplace/</t>
        </is>
      </c>
      <c r="W82" t="inlineStr">
        <is>
          <t>2026-10-24</t>
        </is>
      </c>
      <c r="X82" t="inlineStr">
        <is>
          <t>brand</t>
        </is>
      </c>
      <c r="Y82">
        <f>IF(EB82&lt;&gt;"Y","",COUNTIFS($EB$2:$EB$1000,"Y",$J$2:$J$1000,"&gt;"&amp;J82)+COUNTIFS($EB$2:$EB$1000,"Y",$J$2:$J$1000,J82,$ED$2:$ED$1000,"&lt;"&amp;ED82)+1)</f>
        <v/>
      </c>
      <c r="Z82" t="n">
        <v>81</v>
      </c>
      <c r="AA82" t="inlineStr">
        <is>
          <t>N</t>
        </is>
      </c>
      <c r="AB82" t="inlineStr">
        <is>
          <t>find Keesha at Live Loud Foods on LinkedIn and paste the profile URL; surname not public: take it from LinkedIn; founder review (under-floor, format): read founder_review_reason first</t>
        </is>
      </c>
      <c r="AC82" t="inlineStr">
        <is>
          <t>founder</t>
        </is>
      </c>
      <c r="AD82" t="inlineStr">
        <is>
          <t>first-name-only</t>
        </is>
      </c>
      <c r="AE82" t="inlineStr">
        <is>
          <t>press, event or podcast page</t>
        </is>
      </c>
      <c r="AF82" t="inlineStr">
        <is>
          <t>https://hotbreadkitchen.org/hbki/</t>
        </is>
      </c>
      <c r="AG82" t="inlineStr">
        <is>
          <t>2026-10-24</t>
        </is>
      </c>
      <c r="AH82" t="inlineStr">
        <is>
          <t>Caribbean Jerk Candied Mixed Nuts; Candied Citrus Pistachio</t>
        </is>
      </c>
      <c r="AI82" t="inlineStr">
        <is>
          <t>nuts-seeds-trail</t>
        </is>
      </c>
      <c r="AJ82" t="inlineStr">
        <is>
          <t>New York City</t>
        </is>
      </c>
      <c r="AK82" t="inlineStr">
        <is>
          <t>https://www.liveloudfoods.com</t>
        </is>
      </c>
      <c r="AL82" t="inlineStr">
        <is>
          <t>Y</t>
        </is>
      </c>
      <c r="AM82" t="inlineStr">
        <is>
          <t>Hot Bread Kitchen incubator alumna; likely well under $500k. Founder name not on any page opened. Bag size not confirmed</t>
        </is>
      </c>
      <c r="AN82" t="inlineStr">
        <is>
          <t>AB-276</t>
        </is>
      </c>
      <c r="AO82" t="inlineStr">
        <is>
          <t>N</t>
        </is>
      </c>
      <c r="AR82">
        <f>IF(AND(AU82="pass",AO82&lt;&gt;"Y",C82&lt;&gt;""),"Y","N")</f>
        <v/>
      </c>
      <c r="AS82">
        <f>_xlfn.TEXTJOIN("; ",TRUE,IF(AU82&lt;&gt;"pass","gated out",""),IF(AO82="Y","on hold: "&amp;AP82,""),IF(C82="","no contact named on an opened page",""))</f>
        <v/>
      </c>
      <c r="AU82" t="inlineStr">
        <is>
          <t>pass</t>
        </is>
      </c>
      <c r="AW82" t="inlineStr">
        <is>
          <t>passes all hard gates</t>
        </is>
      </c>
      <c r="AX82" t="inlineStr">
        <is>
          <t>under-floor;format</t>
        </is>
      </c>
      <c r="AY82" t="inlineStr">
        <is>
          <t>https://www.liveloudfoods.com</t>
        </is>
      </c>
      <c r="AZ82" t="inlineStr">
        <is>
          <t>NY</t>
        </is>
      </c>
      <c r="BA82" t="inlineStr">
        <is>
          <t>nyc</t>
        </is>
      </c>
      <c r="BB82" t="inlineStr">
        <is>
          <t>unknown</t>
        </is>
      </c>
      <c r="BD82" t="inlineStr">
        <is>
          <t>Y</t>
        </is>
      </c>
      <c r="BE82" t="inlineStr">
        <is>
          <t>Candied nuts in sealed retail bags sold online; shelf life not stated</t>
        </is>
      </c>
      <c r="BF82" t="inlineStr">
        <is>
          <t>Y</t>
        </is>
      </c>
      <c r="BG82" t="inlineStr">
        <is>
          <t>Y</t>
        </is>
      </c>
      <c r="BH82" t="inlineStr">
        <is>
          <t>unknown</t>
        </is>
      </c>
      <c r="BJ82" t="inlineStr">
        <is>
          <t>No sourced sales figure found</t>
        </is>
      </c>
      <c r="BK82" t="inlineStr">
        <is>
          <t>N</t>
        </is>
      </c>
      <c r="BL82" t="inlineStr">
        <is>
          <t>N</t>
        </is>
      </c>
      <c r="BO82" t="inlineStr">
        <is>
          <t>N</t>
        </is>
      </c>
      <c r="BP82" t="n">
        <v>0</v>
      </c>
      <c r="BS82" t="inlineStr">
        <is>
          <t>Made in NYC Bodega pop-up at Brooklyn Navy Yard (Sept to Nov 2026); store locator page not reachable</t>
        </is>
      </c>
      <c r="BU82" t="inlineStr">
        <is>
          <t>listing</t>
        </is>
      </c>
      <c r="BV82" t="n">
        <v>53</v>
      </c>
      <c r="BX82" t="inlineStr">
        <is>
          <t>Keesha</t>
        </is>
      </c>
      <c r="BY82" t="inlineStr">
        <is>
          <t>surname not given</t>
        </is>
      </c>
      <c r="CF82" t="inlineStr">
        <is>
          <t>none</t>
        </is>
      </c>
      <c r="CK82" t="inlineStr">
        <is>
          <t>none</t>
        </is>
      </c>
      <c r="CL82" t="n">
        <v>47</v>
      </c>
      <c r="CM82" t="n">
        <v>6</v>
      </c>
      <c r="CN82" t="n">
        <v>20</v>
      </c>
      <c r="CO82" t="n">
        <v>8</v>
      </c>
      <c r="CP82" t="n">
        <v>5</v>
      </c>
      <c r="CQ82" t="n">
        <v>10</v>
      </c>
      <c r="CR82" t="n">
        <v>3</v>
      </c>
      <c r="CS82">
        <f>IF(R82="Y",10,0)</f>
        <v/>
      </c>
      <c r="CT82" t="n">
        <v>-5</v>
      </c>
      <c r="CU82" t="inlineStr">
        <is>
          <t>https://www.instagram.com/live.loud.foods</t>
        </is>
      </c>
      <c r="CV82" t="inlineStr">
        <is>
          <t>BR5</t>
        </is>
      </c>
      <c r="CW82" t="inlineStr">
        <is>
          <t>BR5:12</t>
        </is>
      </c>
      <c r="CX82" t="inlineStr">
        <is>
          <t>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is>
      </c>
      <c r="DA82" t="inlineStr">
        <is>
          <t>stage 1 only</t>
        </is>
      </c>
      <c r="DY82">
        <f>IF(ISNUMBER(MATCH(U82,{"queued","contacted","replied","call_booked","call_done","yes_in_principle","materials_sent"},0)),"Y","N")</f>
        <v/>
      </c>
      <c r="DZ82">
        <f>IF(COUNTIFS($AN$2:$AN$1000,AN82,$DY$2:$DY$1000,"Y")+COUNTIFS($AN$2:$AN$1000,AN82,$T$2:$T$1000,"Y")&gt;0,"Y","N")</f>
        <v/>
      </c>
      <c r="EA82">
        <f>IF(AND(U82="new",T82="N",AR82="Y",AQ82="",DZ82="N"),"Y","N")</f>
        <v/>
      </c>
      <c r="EB82">
        <f>IF(EA82&lt;&gt;"Y","N",IF(COUNTIFS($AN$2:$AN$1000,AN82,$EA$2:$EA$1000,"Y",$J$2:$J$1000,"&gt;"&amp;J82)+COUNTIFS($AN$2:$AN$1000,AN82,$EA$2:$EA$1000,"Y",$J$2:$J$1000,J82,$ED$2:$ED$1000,"&lt;"&amp;ED82)=0,"Y","N"))</f>
        <v/>
      </c>
      <c r="EC82">
        <f>IF(Y82="","N",IF(Y82&lt;=10,"Y","N"))</f>
        <v/>
      </c>
      <c r="ED82">
        <f>ROW()-1</f>
        <v/>
      </c>
    </row>
    <row r="83">
      <c r="A83" t="inlineStr">
        <is>
          <t>AB-243</t>
        </is>
      </c>
      <c r="B83" t="inlineStr">
        <is>
          <t>Moon Man (Hello Moon Man)</t>
        </is>
      </c>
      <c r="C83" t="inlineStr">
        <is>
          <t>Nigel</t>
        </is>
      </c>
      <c r="D83" t="inlineStr">
        <is>
          <t>Sielegar</t>
        </is>
      </c>
      <c r="E83" t="inlineStr">
        <is>
          <t>Co-founder</t>
        </is>
      </c>
      <c r="H83" t="inlineStr">
        <is>
          <t>none</t>
        </is>
      </c>
      <c r="I83" t="inlineStr">
        <is>
          <t>linkedin</t>
        </is>
      </c>
      <c r="J83">
        <f>IF(AU83="pass",CM83+CN83+CO83+CP83+CQ83+CR83+CS83+CT83,0)</f>
        <v/>
      </c>
      <c r="K83" t="inlineStr">
        <is>
          <t>New York City brand (HQ unverified), no graded store within ten blocks, online store only, a new store listing 0 days ago, revenue unknown, contact named; founder review: under-floor.</t>
        </is>
      </c>
      <c r="M83" t="inlineStr">
        <is>
          <t>none found within ten blocks</t>
        </is>
      </c>
      <c r="N83" t="inlineStr">
        <is>
          <t>unverified</t>
        </is>
      </c>
      <c r="O83" t="inlineStr">
        <is>
          <t>Scheduled at Queens Night Market on 2026-10-24 and 2026-10-31 (homepage 'Next Missions')</t>
        </is>
      </c>
      <c r="P83" t="inlineStr">
        <is>
          <t>https://hellomoonman.com/</t>
        </is>
      </c>
      <c r="Q83" t="inlineStr">
        <is>
          <t>2026-10-24</t>
        </is>
      </c>
      <c r="R83" t="inlineStr">
        <is>
          <t>N</t>
        </is>
      </c>
      <c r="S83" t="inlineStr">
        <is>
          <t>unknown</t>
        </is>
      </c>
      <c r="T83" t="inlineStr">
        <is>
          <t>N</t>
        </is>
      </c>
      <c r="U83" t="inlineStr">
        <is>
          <t>new</t>
        </is>
      </c>
      <c r="V83" t="inlineStr">
        <is>
          <t>https://hellomoonman.com/</t>
        </is>
      </c>
      <c r="W83" t="inlineStr">
        <is>
          <t>2026-10-23</t>
        </is>
      </c>
      <c r="X83" t="inlineStr">
        <is>
          <t>brand</t>
        </is>
      </c>
      <c r="Y83">
        <f>IF(EB83&lt;&gt;"Y","",COUNTIFS($EB$2:$EB$1000,"Y",$J$2:$J$1000,"&gt;"&amp;J83)+COUNTIFS($EB$2:$EB$1000,"Y",$J$2:$J$1000,J83,$ED$2:$ED$1000,"&lt;"&amp;ED83)+1)</f>
        <v/>
      </c>
      <c r="Z83" t="n">
        <v>82</v>
      </c>
      <c r="AA83" t="inlineStr">
        <is>
          <t>N</t>
        </is>
      </c>
      <c r="AB83" t="inlineStr">
        <is>
          <t>find Nigel Sielegar at Moon Man (Hello Moon Man) on LinkedIn and paste the profile URL; founder review (under-floor): read founder_review_reason first</t>
        </is>
      </c>
      <c r="AC83" t="inlineStr">
        <is>
          <t>founder</t>
        </is>
      </c>
      <c r="AD83" t="inlineStr">
        <is>
          <t>verified-page</t>
        </is>
      </c>
      <c r="AE83" t="inlineStr">
        <is>
          <t>press, event or podcast page</t>
        </is>
      </c>
      <c r="AF83" t="inlineStr">
        <is>
          <t>https://untappedcities.com/2017/09/29/10-not-to-miss-vendors-at-the-queens-international-night-market/4/</t>
        </is>
      </c>
      <c r="AG83" t="inlineStr">
        <is>
          <t>2026-10-23</t>
        </is>
      </c>
      <c r="AH83" t="inlineStr">
        <is>
          <t>Moon Man Sweet Chili Micro Fries (bag)</t>
        </is>
      </c>
      <c r="AI83" t="inlineStr">
        <is>
          <t>chips-crisps</t>
        </is>
      </c>
      <c r="AJ83" t="inlineStr">
        <is>
          <t>Queens, New York (vendor at Queens Night Market per homepage schedule; HQ address not stated, founder to confirm)</t>
        </is>
      </c>
      <c r="AK83" t="inlineStr">
        <is>
          <t>https://hellomoonman.com</t>
        </is>
      </c>
      <c r="AL83" t="inlineStr">
        <is>
          <t>Y</t>
        </is>
      </c>
      <c r="AM83" t="inlineStr">
        <is>
          <t>Very small maker (market-stall brand); likely under the $500k floor and capacity for 275 units unknown</t>
        </is>
      </c>
      <c r="AN83" t="inlineStr">
        <is>
          <t>AB-243</t>
        </is>
      </c>
      <c r="AO83" t="inlineStr">
        <is>
          <t>N</t>
        </is>
      </c>
      <c r="AR83">
        <f>IF(AND(AU83="pass",AO83&lt;&gt;"Y",C83&lt;&gt;""),"Y","N")</f>
        <v/>
      </c>
      <c r="AS83">
        <f>_xlfn.TEXTJOIN("; ",TRUE,IF(AU83&lt;&gt;"pass","gated out",""),IF(AO83="Y","on hold: "&amp;AP83,""),IF(C83="","no contact named on an opened page",""))</f>
        <v/>
      </c>
      <c r="AU83" t="inlineStr">
        <is>
          <t>pass</t>
        </is>
      </c>
      <c r="AW83" t="inlineStr">
        <is>
          <t>passes all hard gates</t>
        </is>
      </c>
      <c r="AX83" t="inlineStr">
        <is>
          <t>under-floor</t>
        </is>
      </c>
      <c r="AY83" t="inlineStr">
        <is>
          <t>https://hellomoonman.com</t>
        </is>
      </c>
      <c r="AZ83" t="inlineStr">
        <is>
          <t>NY</t>
        </is>
      </c>
      <c r="BA83" t="inlineStr">
        <is>
          <t>nyc (unverified)</t>
        </is>
      </c>
      <c r="BB83" t="inlineStr">
        <is>
          <t>unknown</t>
        </is>
      </c>
      <c r="BD83" t="inlineStr">
        <is>
          <t>Y</t>
        </is>
      </c>
      <c r="BE83" t="inlineStr">
        <is>
          <t>Bagged crunchy snack sold ambient at Pearl River Mart; no shelf-life figure published, founder to confirm</t>
        </is>
      </c>
      <c r="BF83" t="inlineStr">
        <is>
          <t>Y</t>
        </is>
      </c>
      <c r="BG83" t="inlineStr">
        <is>
          <t>Y</t>
        </is>
      </c>
      <c r="BH83" t="inlineStr">
        <is>
          <t>unknown</t>
        </is>
      </c>
      <c r="BJ83" t="inlineStr">
        <is>
          <t>unknown</t>
        </is>
      </c>
      <c r="BK83" t="inlineStr">
        <is>
          <t>N</t>
        </is>
      </c>
      <c r="BL83" t="inlineStr">
        <is>
          <t>N</t>
        </is>
      </c>
      <c r="BO83" t="inlineStr">
        <is>
          <t>N</t>
        </is>
      </c>
      <c r="BP83" t="n">
        <v>0</v>
      </c>
      <c r="BR83" t="inlineStr">
        <is>
          <t>Pearl River Mart Foods (unverified, 11.4 blocks out)</t>
        </is>
      </c>
      <c r="BS83" t="inlineStr">
        <is>
          <t>Pearl River Mart (online catalog); Queens Night Market stall</t>
        </is>
      </c>
      <c r="BT83" t="inlineStr">
        <is>
          <t>https://www.pearlriver.com/products/moon-man-sweet-chili-micro-fries</t>
        </is>
      </c>
      <c r="BU83" t="inlineStr">
        <is>
          <t>listing</t>
        </is>
      </c>
      <c r="BV83" t="n">
        <v>0</v>
      </c>
      <c r="BX83" t="inlineStr">
        <is>
          <t>Nigel Sielegar</t>
        </is>
      </c>
      <c r="BY83" t="inlineStr">
        <is>
          <t>with cousin Wenny Purnomo</t>
        </is>
      </c>
      <c r="CF83" t="inlineStr">
        <is>
          <t>none</t>
        </is>
      </c>
      <c r="CK83" t="inlineStr">
        <is>
          <t>none</t>
        </is>
      </c>
      <c r="CL83" t="n">
        <v>47</v>
      </c>
      <c r="CM83" t="n">
        <v>6</v>
      </c>
      <c r="CN83" t="n">
        <v>17</v>
      </c>
      <c r="CO83" t="n">
        <v>8</v>
      </c>
      <c r="CP83" t="n">
        <v>5</v>
      </c>
      <c r="CQ83" t="n">
        <v>10</v>
      </c>
      <c r="CR83" t="n">
        <v>6</v>
      </c>
      <c r="CS83">
        <f>IF(R83="Y",10,0)</f>
        <v/>
      </c>
      <c r="CT83" t="n">
        <v>-5</v>
      </c>
      <c r="CV83" t="inlineStr">
        <is>
          <t>BR4</t>
        </is>
      </c>
      <c r="CW83" t="inlineStr">
        <is>
          <t>BR4:38</t>
        </is>
      </c>
      <c r="CX83" t="inlineStr">
        <is>
          <t>Southeast Asian desserts and kaya jams brand; micro fries are its packaged snack. Homepage cites an Eater NY feature (2022). Pearl River Mart catalog (pearlriver.com online store; Chelsea Market food store at 75 9th Ave not confirmed for this item)</t>
        </is>
      </c>
      <c r="CY83" t="inlineStr">
        <is>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is>
      </c>
      <c r="DA83" t="inlineStr">
        <is>
          <t>stage 1 only</t>
        </is>
      </c>
      <c r="DY83">
        <f>IF(ISNUMBER(MATCH(U83,{"queued","contacted","replied","call_booked","call_done","yes_in_principle","materials_sent"},0)),"Y","N")</f>
        <v/>
      </c>
      <c r="DZ83">
        <f>IF(COUNTIFS($AN$2:$AN$1000,AN83,$DY$2:$DY$1000,"Y")+COUNTIFS($AN$2:$AN$1000,AN83,$T$2:$T$1000,"Y")&gt;0,"Y","N")</f>
        <v/>
      </c>
      <c r="EA83">
        <f>IF(AND(U83="new",T83="N",AR83="Y",AQ83="",DZ83="N"),"Y","N")</f>
        <v/>
      </c>
      <c r="EB83">
        <f>IF(EA83&lt;&gt;"Y","N",IF(COUNTIFS($AN$2:$AN$1000,AN83,$EA$2:$EA$1000,"Y",$J$2:$J$1000,"&gt;"&amp;J83)+COUNTIFS($AN$2:$AN$1000,AN83,$EA$2:$EA$1000,"Y",$J$2:$J$1000,J83,$ED$2:$ED$1000,"&lt;"&amp;ED83)=0,"Y","N"))</f>
        <v/>
      </c>
      <c r="EC83">
        <f>IF(Y83="","N",IF(Y83&lt;=10,"Y","N"))</f>
        <v/>
      </c>
      <c r="ED83">
        <f>ROW()-1</f>
        <v/>
      </c>
    </row>
    <row r="84">
      <c r="A84" t="inlineStr">
        <is>
          <t>AB-225</t>
        </is>
      </c>
      <c r="B84" t="inlineStr">
        <is>
          <t>Blind Tiger Spirit-Free Cocktails</t>
        </is>
      </c>
      <c r="C84" t="inlineStr">
        <is>
          <t>Rebecca</t>
        </is>
      </c>
      <c r="D84" t="inlineStr">
        <is>
          <t>Styn</t>
        </is>
      </c>
      <c r="E84" t="inlineStr">
        <is>
          <t>Founder and CEO</t>
        </is>
      </c>
      <c r="H84" t="inlineStr">
        <is>
          <t>none</t>
        </is>
      </c>
      <c r="I84" t="inlineStr">
        <is>
          <t>linkedin</t>
        </is>
      </c>
      <c r="J84">
        <f>IF(AU84="pass",CM84+CN84+CO84+CP84+CQ84+CR84+CS84+CT84,0)</f>
        <v/>
      </c>
      <c r="K84" t="inlineStr">
        <is>
          <t>Northeast brand, brand locator shows Whole Foods Market NoMad inside the cluster, news 263 days ago, revenue unknown, contact named; founder review: alcohol-adjacent.</t>
        </is>
      </c>
      <c r="M84" t="inlineStr">
        <is>
          <t>Whole Foods Market NoMad, 63 Madison Ave</t>
        </is>
      </c>
      <c r="N84" t="inlineStr">
        <is>
          <t>brand_claim</t>
        </is>
      </c>
      <c r="O84" t="inlineStr">
        <is>
          <t>Expanded national pilot to 400 Whole Foods Market stores (Jan 26 to end of Feb 2026)</t>
        </is>
      </c>
      <c r="P84" t="inlineStr">
        <is>
          <t>https://startupcpg.com/startup-cpg-newswire-blind-tiger-spirit-free-cocktails-expands-national-pilot-across-400-whole-foods-market-stores/</t>
        </is>
      </c>
      <c r="Q84" t="inlineStr">
        <is>
          <t>2026-02-03</t>
        </is>
      </c>
      <c r="R84" t="inlineStr">
        <is>
          <t>N</t>
        </is>
      </c>
      <c r="S84" t="inlineStr">
        <is>
          <t>Y</t>
        </is>
      </c>
      <c r="T84" t="inlineStr">
        <is>
          <t>N</t>
        </is>
      </c>
      <c r="U84" t="inlineStr">
        <is>
          <t>new</t>
        </is>
      </c>
      <c r="V84" t="inlineStr">
        <is>
          <t>https://blindtigerspiritfree.com/</t>
        </is>
      </c>
      <c r="W84" t="inlineStr">
        <is>
          <t>2026-10-23</t>
        </is>
      </c>
      <c r="X84" t="inlineStr">
        <is>
          <t>brand</t>
        </is>
      </c>
      <c r="Y84">
        <f>IF(EB84&lt;&gt;"Y","",COUNTIFS($EB$2:$EB$1000,"Y",$J$2:$J$1000,"&gt;"&amp;J84)+COUNTIFS($EB$2:$EB$1000,"Y",$J$2:$J$1000,J84,$ED$2:$ED$1000,"&lt;"&amp;ED84)+1)</f>
        <v/>
      </c>
      <c r="Z84" t="n">
        <v>83</v>
      </c>
      <c r="AA84" t="inlineStr">
        <is>
          <t>N</t>
        </is>
      </c>
      <c r="AB84" t="inlineStr">
        <is>
          <t>find Rebecca Styn at Blind Tiger Spirit-Free Cocktails on LinkedIn and paste the profile URL; the retailer line rests on the brand's own store locator: say 'your store locator lists ...'; founder review (alcohol-adjacent): read founder_review_reason first</t>
        </is>
      </c>
      <c r="AC84" t="inlineStr">
        <is>
          <t>founder</t>
        </is>
      </c>
      <c r="AD84" t="inlineStr">
        <is>
          <t>verified-page</t>
        </is>
      </c>
      <c r="AE84" t="inlineStr">
        <is>
          <t>press, event or podcast page</t>
        </is>
      </c>
      <c r="AF84" t="inlineStr">
        <is>
          <t>https://startupcpg.com/startup-cpg-newswire-blind-tiger-spirit-free-cocktails-expands-national-pilot-across-400-whole-foods-market-stores/</t>
        </is>
      </c>
      <c r="AG84" t="inlineStr">
        <is>
          <t>2026-10-23</t>
        </is>
      </c>
      <c r="AH84" t="inlineStr">
        <is>
          <t>Southside Mojito spirit-free cocktail, can (8-can packs online; 4-packs at WFM)</t>
        </is>
      </c>
      <c r="AI84" t="inlineStr">
        <is>
          <t>other-drink</t>
        </is>
      </c>
      <c r="AJ84" t="inlineStr">
        <is>
          <t>Erie</t>
        </is>
      </c>
      <c r="AK84" t="inlineStr">
        <is>
          <t>https://blindtigerspiritfree.com</t>
        </is>
      </c>
      <c r="AL84" t="inlineStr">
        <is>
          <t>Y</t>
        </is>
      </c>
      <c r="AM84" t="inlineStr">
        <is>
          <t>Non-alcoholic cocktail positioned for bars and for mixing with spirits (alcohol-adjacent); an office may veto; 60-day shelf life not stated</t>
        </is>
      </c>
      <c r="AN84" t="inlineStr">
        <is>
          <t>AB-225</t>
        </is>
      </c>
      <c r="AO84" t="inlineStr">
        <is>
          <t>N</t>
        </is>
      </c>
      <c r="AR84">
        <f>IF(AND(AU84="pass",AO84&lt;&gt;"Y",C84&lt;&gt;""),"Y","N")</f>
        <v/>
      </c>
      <c r="AS84">
        <f>_xlfn.TEXTJOIN("; ",TRUE,IF(AU84&lt;&gt;"pass","gated out",""),IF(AO84="Y","on hold: "&amp;AP84,""),IF(C84="","no contact named on an opened page",""))</f>
        <v/>
      </c>
      <c r="AU84" t="inlineStr">
        <is>
          <t>pass</t>
        </is>
      </c>
      <c r="AW84" t="inlineStr">
        <is>
          <t>passes all hard gates</t>
        </is>
      </c>
      <c r="AX84" t="inlineStr">
        <is>
          <t>alcohol-adjacent</t>
        </is>
      </c>
      <c r="AY84" t="inlineStr">
        <is>
          <t>https://blindtigerspiritfree.com</t>
        </is>
      </c>
      <c r="AZ84" t="inlineStr">
        <is>
          <t>PA</t>
        </is>
      </c>
      <c r="BA84" t="inlineStr">
        <is>
          <t>northeast</t>
        </is>
      </c>
      <c r="BB84" t="inlineStr">
        <is>
          <t>unknown</t>
        </is>
      </c>
      <c r="BD84" t="inlineStr">
        <is>
          <t>unknown</t>
        </is>
      </c>
      <c r="BE84" t="inlineStr">
        <is>
          <t>Canned RTD; storage not stated on homepage, founder to confirm</t>
        </is>
      </c>
      <c r="BF84" t="inlineStr">
        <is>
          <t>Y</t>
        </is>
      </c>
      <c r="BG84" t="inlineStr">
        <is>
          <t>Y</t>
        </is>
      </c>
      <c r="BH84" t="inlineStr">
        <is>
          <t>unknown</t>
        </is>
      </c>
      <c r="BJ84" t="inlineStr">
        <is>
          <t>Release: 1,600+ retailers nationwide (store count, not used for band)</t>
        </is>
      </c>
      <c r="BK84" t="inlineStr">
        <is>
          <t>N</t>
        </is>
      </c>
      <c r="BL84" t="inlineStr">
        <is>
          <t>N</t>
        </is>
      </c>
      <c r="BN84" t="n">
        <v>0</v>
      </c>
      <c r="BO84" t="inlineStr">
        <is>
          <t>Y</t>
        </is>
      </c>
      <c r="BP84" t="n">
        <v>3</v>
      </c>
      <c r="BQ84" t="inlineStr">
        <is>
          <t>Whole Foods Market NoMad, 63 Madison Ave (brand_claim, inside);Whole Foods Market Union Square, 4 Union Sq S (brand_claim, inside);Whole Foods Market Chelsea, 250 7th Ave (brand_claim, 3.0 blocks out)</t>
        </is>
      </c>
      <c r="BR84" t="inlineStr">
        <is>
          <t>Whole Foods Market Manhattan West (brand_claim, 13.8 blocks out)</t>
        </is>
      </c>
      <c r="BS84" t="inlineStr">
        <is>
          <t>Whole Foods Market (400-store national pilot Jan-Feb 2026; ~100 stores Nov 2025 incl. New York); Wegmans; Total Wine &amp; More; Royal Caribbean</t>
        </is>
      </c>
      <c r="BT84" t="inlineStr">
        <is>
          <t>https://www.wholefoodsmarket.com/api/search?text=blind%20tiger&amp;store=10773&amp;limit=60&amp;offset=0</t>
        </is>
      </c>
      <c r="BU84" t="inlineStr">
        <is>
          <t>press</t>
        </is>
      </c>
      <c r="BV84" t="n">
        <v>263</v>
      </c>
      <c r="BW84" t="inlineStr">
        <is>
          <t>https://startupcpg.com/startup-cpg-newswire-blind-tiger-spirit-free-cocktails-expands-national-pilot-across-400-whole-foods-market-stores/</t>
        </is>
      </c>
      <c r="BX84" t="inlineStr">
        <is>
          <t>Rebecca Styn</t>
        </is>
      </c>
      <c r="CF84" t="inlineStr">
        <is>
          <t>none</t>
        </is>
      </c>
      <c r="CK84" t="inlineStr">
        <is>
          <t>none</t>
        </is>
      </c>
      <c r="CL84" t="n">
        <v>46</v>
      </c>
      <c r="CM84" t="n">
        <v>17</v>
      </c>
      <c r="CN84" t="n">
        <v>8</v>
      </c>
      <c r="CO84" t="n">
        <v>8</v>
      </c>
      <c r="CP84" t="n">
        <v>5</v>
      </c>
      <c r="CQ84" t="n">
        <v>7</v>
      </c>
      <c r="CR84" t="n">
        <v>6</v>
      </c>
      <c r="CS84">
        <f>IF(R84="Y",10,0)</f>
        <v/>
      </c>
      <c r="CT84" t="n">
        <v>-5</v>
      </c>
      <c r="CV84" t="inlineStr">
        <is>
          <t>BR4</t>
        </is>
      </c>
      <c r="CW84" t="inlineStr">
        <is>
          <t>BR4:20</t>
        </is>
      </c>
      <c r="CX84" t="inlineStr">
        <is>
          <t>Spirit-free (no alcohol) per brand; recorded under other-drink. WFM pilot was time-limited; current cluster listing not found.</t>
        </is>
      </c>
      <c r="CY84" t="inlineStr">
        <is>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is>
      </c>
      <c r="DA84" t="inlineStr">
        <is>
          <t>stage 1 only</t>
        </is>
      </c>
      <c r="DY84">
        <f>IF(ISNUMBER(MATCH(U84,{"queued","contacted","replied","call_booked","call_done","yes_in_principle","materials_sent"},0)),"Y","N")</f>
        <v/>
      </c>
      <c r="DZ84">
        <f>IF(COUNTIFS($AN$2:$AN$1000,AN84,$DY$2:$DY$1000,"Y")+COUNTIFS($AN$2:$AN$1000,AN84,$T$2:$T$1000,"Y")&gt;0,"Y","N")</f>
        <v/>
      </c>
      <c r="EA84">
        <f>IF(AND(U84="new",T84="N",AR84="Y",AQ84="",DZ84="N"),"Y","N")</f>
        <v/>
      </c>
      <c r="EB84">
        <f>IF(EA84&lt;&gt;"Y","N",IF(COUNTIFS($AN$2:$AN$1000,AN84,$EA$2:$EA$1000,"Y",$J$2:$J$1000,"&gt;"&amp;J84)+COUNTIFS($AN$2:$AN$1000,AN84,$EA$2:$EA$1000,"Y",$J$2:$J$1000,J84,$ED$2:$ED$1000,"&lt;"&amp;ED84)=0,"Y","N"))</f>
        <v/>
      </c>
      <c r="EC84">
        <f>IF(Y84="","N",IF(Y84&lt;=10,"Y","N"))</f>
        <v/>
      </c>
      <c r="ED84">
        <f>ROW()-1</f>
        <v/>
      </c>
    </row>
    <row r="85">
      <c r="A85" t="inlineStr">
        <is>
          <t>AB-169</t>
        </is>
      </c>
      <c r="B85" t="inlineStr">
        <is>
          <t>Banagua</t>
        </is>
      </c>
      <c r="C85" t="inlineStr">
        <is>
          <t>Rob</t>
        </is>
      </c>
      <c r="D85" t="inlineStr">
        <is>
          <t>Smithson</t>
        </is>
      </c>
      <c r="E85" t="inlineStr">
        <is>
          <t>Co-founder</t>
        </is>
      </c>
      <c r="H85" t="inlineStr">
        <is>
          <t>none</t>
        </is>
      </c>
      <c r="I85" t="inlineStr">
        <is>
          <t>linkedin</t>
        </is>
      </c>
      <c r="J85">
        <f>IF(AU85="pass",CM85+CN85+CO85+CP85+CQ85+CR85+CS85+CT85,0)</f>
        <v/>
      </c>
      <c r="K85" t="inlineStr">
        <is>
          <t>Brand based outside the Northeast, no graded store within ten blocks, online store only, news 61 days ago, revenue in band, contact named; founder review: claim-borderline.</t>
        </is>
      </c>
      <c r="M85" t="inlineStr">
        <is>
          <t>none found within ten blocks</t>
        </is>
      </c>
      <c r="N85" t="inlineStr">
        <is>
          <t>unverified</t>
        </is>
      </c>
      <c r="O85" t="inlineStr">
        <is>
          <t>Won the 2026 Startup CPG Shelfie Award, Beverage (2026-08-24); announced a 5.5M investment from Hingham Growth Partners and 3,500+ doors incl. Sprouts, Albertsons, Kroger, Erewhon (2026-06-02); named Best New Brand by Beverage Digest (2026-01-12)</t>
        </is>
      </c>
      <c r="P85" t="inlineStr">
        <is>
          <t>https://startupcpg.com/startup-cpg-shelfie-winners-2026/</t>
        </is>
      </c>
      <c r="Q85" t="inlineStr">
        <is>
          <t>2026-08-24</t>
        </is>
      </c>
      <c r="R85" t="inlineStr">
        <is>
          <t>N</t>
        </is>
      </c>
      <c r="S85" t="inlineStr">
        <is>
          <t>Y</t>
        </is>
      </c>
      <c r="T85" t="inlineStr">
        <is>
          <t>N</t>
        </is>
      </c>
      <c r="U85" t="inlineStr">
        <is>
          <t>new</t>
        </is>
      </c>
      <c r="V85" t="inlineStr">
        <is>
          <t>https://banagua.com/pages/about-us</t>
        </is>
      </c>
      <c r="W85" t="inlineStr">
        <is>
          <t>2026-10-23</t>
        </is>
      </c>
      <c r="X85" t="inlineStr">
        <is>
          <t>brand</t>
        </is>
      </c>
      <c r="Y85">
        <f>IF(EB85&lt;&gt;"Y","",COUNTIFS($EB$2:$EB$1000,"Y",$J$2:$J$1000,"&gt;"&amp;J85)+COUNTIFS($EB$2:$EB$1000,"Y",$J$2:$J$1000,J85,$ED$2:$ED$1000,"&lt;"&amp;ED85)+1)</f>
        <v/>
      </c>
      <c r="Z85" t="n">
        <v>84</v>
      </c>
      <c r="AA85" t="inlineStr">
        <is>
          <t>N</t>
        </is>
      </c>
      <c r="AB85" t="inlineStr">
        <is>
          <t>find Rob Smithson at Banagua on LinkedIn and paste the profile URL; founder review (claim-borderline): read founder_review_reason first</t>
        </is>
      </c>
      <c r="AC85" t="inlineStr">
        <is>
          <t>founder</t>
        </is>
      </c>
      <c r="AD85" t="inlineStr">
        <is>
          <t>verified-page</t>
        </is>
      </c>
      <c r="AE85" t="inlineStr">
        <is>
          <t>press, event or podcast page</t>
        </is>
      </c>
      <c r="AF85" t="inlineStr">
        <is>
          <t>https://www.newhope.com/brands/banaguas-rapid-banana-water-growth-rivals-coconut-water</t>
        </is>
      </c>
      <c r="AG85" t="inlineStr">
        <is>
          <t>2026-10-23</t>
        </is>
      </c>
      <c r="AH85" t="inlineStr">
        <is>
          <t>Banagua Original Banana Water, aluminum can</t>
        </is>
      </c>
      <c r="AI85" t="inlineStr">
        <is>
          <t>tea-juice</t>
        </is>
      </c>
      <c r="AJ85" t="inlineStr">
        <is>
          <t>Nashville (office in Smyrna, TN)</t>
        </is>
      </c>
      <c r="AK85" t="inlineStr">
        <is>
          <t>https://banagua.com</t>
        </is>
      </c>
      <c r="AL85" t="inlineStr">
        <is>
          <t>Y</t>
        </is>
      </c>
      <c r="AM85" t="inlineStr">
        <is>
          <t>NYC retail and HQ not confirmed; product copy says 'antioxidant-rich and full of natural energy' (soft wording, check label). Startup CPG community brand, which suits a warm intro; national retail distribution in the why-now ('3,500+ doors'): check the revenue band at intake</t>
        </is>
      </c>
      <c r="AN85" t="inlineStr">
        <is>
          <t>AB-169</t>
        </is>
      </c>
      <c r="AO85" t="inlineStr">
        <is>
          <t>N</t>
        </is>
      </c>
      <c r="AR85">
        <f>IF(AND(AU85="pass",AO85&lt;&gt;"Y",C85&lt;&gt;""),"Y","N")</f>
        <v/>
      </c>
      <c r="AS85">
        <f>_xlfn.TEXTJOIN("; ",TRUE,IF(AU85&lt;&gt;"pass","gated out",""),IF(AO85="Y","on hold: "&amp;AP85,""),IF(C85="","no contact named on an opened page",""))</f>
        <v/>
      </c>
      <c r="AU85" t="inlineStr">
        <is>
          <t>pass</t>
        </is>
      </c>
      <c r="AW85" t="inlineStr">
        <is>
          <t>passes all hard gates</t>
        </is>
      </c>
      <c r="AX85" t="inlineStr">
        <is>
          <t>claim-borderline</t>
        </is>
      </c>
      <c r="AY85" t="inlineStr">
        <is>
          <t>https://banagua.com</t>
        </is>
      </c>
      <c r="AZ85" t="inlineStr">
        <is>
          <t>TN</t>
        </is>
      </c>
      <c r="BA85" t="inlineStr">
        <is>
          <t>elsewhere</t>
        </is>
      </c>
      <c r="BB85" t="inlineStr">
        <is>
          <t>5.5M round led by Hingham Growth Partners (2026); round stage not stated</t>
        </is>
      </c>
      <c r="BD85" t="inlineStr">
        <is>
          <t>Y</t>
        </is>
      </c>
      <c r="BE85" t="inlineStr">
        <is>
          <t>About page: 'lightly pasteurize... aluminum cans... shelf-stable for up to 18 months' (banagua.com/pages/about-us, opened 2026-10-23)</t>
        </is>
      </c>
      <c r="BF85" t="inlineStr">
        <is>
          <t>Y</t>
        </is>
      </c>
      <c r="BG85" t="inlineStr">
        <is>
          <t>Y</t>
        </is>
      </c>
      <c r="BH85" t="inlineStr">
        <is>
          <t>500k-10m</t>
        </is>
      </c>
      <c r="BI85" t="inlineStr">
        <is>
          <t>company projection, not actuals</t>
        </is>
      </c>
      <c r="BJ85" t="inlineStr">
        <is>
          <t>Co-founder Rob Smithson in New Hope 2026-07-22: a little more than $5 million expected in year one; a little over 3,000 doors within four months | about 5M expected in first year (company projection, not actuals)</t>
        </is>
      </c>
      <c r="BK85" t="inlineStr">
        <is>
          <t>N</t>
        </is>
      </c>
      <c r="BL85" t="inlineStr">
        <is>
          <t>N</t>
        </is>
      </c>
      <c r="BO85" t="inlineStr">
        <is>
          <t>N</t>
        </is>
      </c>
      <c r="BP85" t="n">
        <v>0</v>
      </c>
      <c r="BS85" t="inlineStr">
        <is>
          <t>unknown (Destini locator not readable)</t>
        </is>
      </c>
      <c r="BU85" t="inlineStr">
        <is>
          <t>press</t>
        </is>
      </c>
      <c r="BV85" t="n">
        <v>61</v>
      </c>
      <c r="BW85" t="inlineStr">
        <is>
          <t>https://startupcpg.com/startup-cpg-shelfie-winners-2026/</t>
        </is>
      </c>
      <c r="BX85" t="inlineStr">
        <is>
          <t>Rob Smithson</t>
        </is>
      </c>
      <c r="CA85" t="inlineStr">
        <is>
          <t>Jose Carlos Herrera</t>
        </is>
      </c>
      <c r="CB85" t="inlineStr">
        <is>
          <t>Jose</t>
        </is>
      </c>
      <c r="CC85" t="inlineStr">
        <is>
          <t>Carlos Herrera</t>
        </is>
      </c>
      <c r="CD85" t="inlineStr">
        <is>
          <t>Co-founder</t>
        </is>
      </c>
      <c r="CE85" t="inlineStr">
        <is>
          <t>co-founder</t>
        </is>
      </c>
      <c r="CF85" t="inlineStr">
        <is>
          <t>verified-page</t>
        </is>
      </c>
      <c r="CK85" t="inlineStr">
        <is>
          <t>none</t>
        </is>
      </c>
      <c r="CL85" t="n">
        <v>46</v>
      </c>
      <c r="CM85" t="n">
        <v>6</v>
      </c>
      <c r="CN85" t="n">
        <v>3</v>
      </c>
      <c r="CO85" t="n">
        <v>15</v>
      </c>
      <c r="CP85" t="n">
        <v>10</v>
      </c>
      <c r="CQ85" t="n">
        <v>10</v>
      </c>
      <c r="CR85" t="n">
        <v>6</v>
      </c>
      <c r="CS85">
        <f>IF(R85="Y",10,0)</f>
        <v/>
      </c>
      <c r="CT85" t="n">
        <v>-4</v>
      </c>
      <c r="CU85" t="inlineStr">
        <is>
          <t>unknown</t>
        </is>
      </c>
      <c r="CV85" t="inlineStr">
        <is>
          <t>BR3</t>
        </is>
      </c>
      <c r="CW85" t="inlineStr">
        <is>
          <t>BR3:43</t>
        </is>
      </c>
      <c r="CX85" t="inlineStr">
        <is>
          <t>Shelfie finalists page (2026-08-06) describes 'Single ingredient banana water with no funny stuff'. Flavors: Original, Strawberry, Blueberry, Cocoa Vanilla (listed 2025-05-13).</t>
        </is>
      </c>
      <c r="CY85" t="inlineStr">
        <is>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is>
      </c>
      <c r="CZ85" t="inlineStr">
        <is>
          <t>https://www.newhope.com/brands/banaguas-rapid-banana-water-growth-rivals-coconut-water</t>
        </is>
      </c>
      <c r="DA85" t="inlineStr">
        <is>
          <t>stage 1 only</t>
        </is>
      </c>
      <c r="DC85" t="inlineStr">
        <is>
          <t>press, event or podcast page</t>
        </is>
      </c>
      <c r="DY85">
        <f>IF(ISNUMBER(MATCH(U85,{"queued","contacted","replied","call_booked","call_done","yes_in_principle","materials_sent"},0)),"Y","N")</f>
        <v/>
      </c>
      <c r="DZ85">
        <f>IF(COUNTIFS($AN$2:$AN$1000,AN85,$DY$2:$DY$1000,"Y")+COUNTIFS($AN$2:$AN$1000,AN85,$T$2:$T$1000,"Y")&gt;0,"Y","N")</f>
        <v/>
      </c>
      <c r="EA85">
        <f>IF(AND(U85="new",T85="N",AR85="Y",AQ85="",DZ85="N"),"Y","N")</f>
        <v/>
      </c>
      <c r="EB85">
        <f>IF(EA85&lt;&gt;"Y","N",IF(COUNTIFS($AN$2:$AN$1000,AN85,$EA$2:$EA$1000,"Y",$J$2:$J$1000,"&gt;"&amp;J85)+COUNTIFS($AN$2:$AN$1000,AN85,$EA$2:$EA$1000,"Y",$J$2:$J$1000,J85,$ED$2:$ED$1000,"&lt;"&amp;ED85)=0,"Y","N"))</f>
        <v/>
      </c>
      <c r="EC85">
        <f>IF(Y85="","N",IF(Y85&lt;=10,"Y","N"))</f>
        <v/>
      </c>
      <c r="ED85">
        <f>ROW()-1</f>
        <v/>
      </c>
    </row>
    <row r="86">
      <c r="A86" t="inlineStr">
        <is>
          <t>AB-224</t>
        </is>
      </c>
      <c r="B86" t="inlineStr">
        <is>
          <t>Day Out Snacks</t>
        </is>
      </c>
      <c r="C86" t="inlineStr">
        <is>
          <t>Becky</t>
        </is>
      </c>
      <c r="D86" t="inlineStr">
        <is>
          <t>Dheri</t>
        </is>
      </c>
      <c r="E86" t="inlineStr">
        <is>
          <t>Founder and CEO</t>
        </is>
      </c>
      <c r="H86" t="inlineStr">
        <is>
          <t>none</t>
        </is>
      </c>
      <c r="I86" t="inlineStr">
        <is>
          <t>linkedin</t>
        </is>
      </c>
      <c r="J86">
        <f>IF(AU86="pass",CM86+CN86+CO86+CP86+CQ86+CR86+CS86+CT86,0)</f>
        <v/>
      </c>
      <c r="K86" t="inlineStr">
        <is>
          <t>Northeast brand (HQ unverified), no graded store within ten blocks, online store only, news 60 days ago, revenue unknown, contact named; founder review: claim-borderline.</t>
        </is>
      </c>
      <c r="M86" t="inlineStr">
        <is>
          <t>none found within ten blocks</t>
        </is>
      </c>
      <c r="N86" t="inlineStr">
        <is>
          <t>unverified</t>
        </is>
      </c>
      <c r="O86" t="inlineStr">
        <is>
          <t>Launched limited-edition Apple Pie and Pumpkin Cheesecake flavors for fall; landed nationwide at Target in June 2026</t>
        </is>
      </c>
      <c r="P86" t="inlineStr">
        <is>
          <t>https://startupcpg.com/startup-cpg-newswire-day-out-snacks-launches-limited-edition-apple-pie-and-pumpkin-cheesecake-flavors-for-fall/</t>
        </is>
      </c>
      <c r="Q86" t="inlineStr">
        <is>
          <t>2026-08-25</t>
        </is>
      </c>
      <c r="R86" t="inlineStr">
        <is>
          <t>N</t>
        </is>
      </c>
      <c r="S86" t="inlineStr">
        <is>
          <t>Y</t>
        </is>
      </c>
      <c r="T86" t="inlineStr">
        <is>
          <t>N</t>
        </is>
      </c>
      <c r="U86" t="inlineStr">
        <is>
          <t>new</t>
        </is>
      </c>
      <c r="V86" t="inlineStr">
        <is>
          <t>https://startupcpg.com/startup-cpg-newswire-day-out-snacks-lands-nationwide-at-target/</t>
        </is>
      </c>
      <c r="W86" t="inlineStr">
        <is>
          <t>2026-10-23</t>
        </is>
      </c>
      <c r="X86" t="inlineStr">
        <is>
          <t>brand</t>
        </is>
      </c>
      <c r="Y86">
        <f>IF(EB86&lt;&gt;"Y","",COUNTIFS($EB$2:$EB$1000,"Y",$J$2:$J$1000,"&gt;"&amp;J86)+COUNTIFS($EB$2:$EB$1000,"Y",$J$2:$J$1000,J86,$ED$2:$ED$1000,"&lt;"&amp;ED86)+1)</f>
        <v/>
      </c>
      <c r="Z86" t="n">
        <v>85</v>
      </c>
      <c r="AA86" t="inlineStr">
        <is>
          <t>N</t>
        </is>
      </c>
      <c r="AB86" t="inlineStr">
        <is>
          <t>find Becky Dheri at Day Out Snacks on LinkedIn and paste the profile URL; founder review (claim-borderline): read founder_review_reason first</t>
        </is>
      </c>
      <c r="AC86" t="inlineStr">
        <is>
          <t>founder</t>
        </is>
      </c>
      <c r="AD86" t="inlineStr">
        <is>
          <t>verified-page</t>
        </is>
      </c>
      <c r="AE86" t="inlineStr">
        <is>
          <t>press, event or podcast page</t>
        </is>
      </c>
      <c r="AF86" t="inlineStr">
        <is>
          <t>https://startupcpg.com/startup-cpg-newswire-day-out-snacks-launches-limited-edition-apple-pie-and-pumpkin-cheesecake-flavors-for-fall/</t>
        </is>
      </c>
      <c r="AG86" t="inlineStr">
        <is>
          <t>2026-10-23</t>
        </is>
      </c>
      <c r="AH86" t="inlineStr">
        <is>
          <t>Dessert-inspired plant-protein balls, single-serve pouches (4 per box at Target); 4.5 oz resealable bag</t>
        </is>
      </c>
      <c r="AI86" t="inlineStr">
        <is>
          <t>other-snack</t>
        </is>
      </c>
      <c r="AJ86" t="inlineStr">
        <is>
          <t>Red Bank, NJ per the August 2026 release; an October 2026 release dateline and an NJBIZ article give Montville, NJ (search snippets only; unverified, founder to confirm)</t>
        </is>
      </c>
      <c r="AK86" t="inlineStr">
        <is>
          <t>https://getdayout.com</t>
        </is>
      </c>
      <c r="AL86" t="inlineStr">
        <is>
          <t>Y</t>
        </is>
      </c>
      <c r="AM86" t="inlineStr">
        <is>
          <t>Protein positioning ('functional snacking', 9-12g plant protein per serving); kids' activities angle in boilerplate; national retail distribution in the why-now ('nationwide at Target'): check the revenue band at intake</t>
        </is>
      </c>
      <c r="AN86" t="inlineStr">
        <is>
          <t>AB-224</t>
        </is>
      </c>
      <c r="AO86" t="inlineStr">
        <is>
          <t>N</t>
        </is>
      </c>
      <c r="AR86">
        <f>IF(AND(AU86="pass",AO86&lt;&gt;"Y",C86&lt;&gt;""),"Y","N")</f>
        <v/>
      </c>
      <c r="AS86">
        <f>_xlfn.TEXTJOIN("; ",TRUE,IF(AU86&lt;&gt;"pass","gated out",""),IF(AO86="Y","on hold: "&amp;AP86,""),IF(C86="","no contact named on an opened page",""))</f>
        <v/>
      </c>
      <c r="AU86" t="inlineStr">
        <is>
          <t>pass</t>
        </is>
      </c>
      <c r="AW86" t="inlineStr">
        <is>
          <t>passes all hard gates</t>
        </is>
      </c>
      <c r="AX86" t="inlineStr">
        <is>
          <t>claim-borderline</t>
        </is>
      </c>
      <c r="AY86" t="inlineStr">
        <is>
          <t>https://getdayout.com</t>
        </is>
      </c>
      <c r="AZ86" t="inlineStr">
        <is>
          <t>NJ</t>
        </is>
      </c>
      <c r="BA86" t="inlineStr">
        <is>
          <t>northeast (unverified)</t>
        </is>
      </c>
      <c r="BB86" t="inlineStr">
        <is>
          <t>unknown</t>
        </is>
      </c>
      <c r="BD86" t="inlineStr">
        <is>
          <t>Y</t>
        </is>
      </c>
      <c r="BE86" t="inlineStr">
        <is>
          <t>Brand FAQ: 'good for 8 months sealed'; no refrigeration needed ('can be kept at room temperature'); resealable bags</t>
        </is>
      </c>
      <c r="BF86" t="inlineStr">
        <is>
          <t>Y</t>
        </is>
      </c>
      <c r="BG86" t="inlineStr">
        <is>
          <t>Y</t>
        </is>
      </c>
      <c r="BH86" t="inlineStr">
        <is>
          <t>unknown</t>
        </is>
      </c>
      <c r="BJ86" t="inlineStr">
        <is>
          <t>unknown</t>
        </is>
      </c>
      <c r="BK86" t="inlineStr">
        <is>
          <t>N</t>
        </is>
      </c>
      <c r="BL86" t="inlineStr">
        <is>
          <t>N</t>
        </is>
      </c>
      <c r="BO86" t="inlineStr">
        <is>
          <t>N</t>
        </is>
      </c>
      <c r="BP86" t="n">
        <v>0</v>
      </c>
      <c r="BS86" t="inlineStr">
        <is>
          <t>Target nationwide (June 2026; endcaps in ~800 stores June 14-July 25); 54 Costco locations across the Northeast (Sept 2025); ShopRite (rollout before Sept 2025)</t>
        </is>
      </c>
      <c r="BT86" t="inlineStr">
        <is>
          <t>https://startupcpg.com/startup-cpg-newswire-day-out-snacks-lands-nationwide-at-target/</t>
        </is>
      </c>
      <c r="BU86" t="inlineStr">
        <is>
          <t>press</t>
        </is>
      </c>
      <c r="BV86" t="n">
        <v>60</v>
      </c>
      <c r="BW86" t="inlineStr">
        <is>
          <t>https://startupcpg.com/startup-cpg-newswire-day-out-snacks-lands-nationwide-at-target/</t>
        </is>
      </c>
      <c r="BX86" t="inlineStr">
        <is>
          <t>Becky Dheri</t>
        </is>
      </c>
      <c r="CF86" t="inlineStr">
        <is>
          <t>none</t>
        </is>
      </c>
      <c r="CK86" t="inlineStr">
        <is>
          <t>none</t>
        </is>
      </c>
      <c r="CL86" t="n">
        <v>46</v>
      </c>
      <c r="CM86" t="n">
        <v>6</v>
      </c>
      <c r="CN86" t="n">
        <v>8</v>
      </c>
      <c r="CO86" t="n">
        <v>15</v>
      </c>
      <c r="CP86" t="n">
        <v>5</v>
      </c>
      <c r="CQ86" t="n">
        <v>10</v>
      </c>
      <c r="CR86" t="n">
        <v>6</v>
      </c>
      <c r="CS86">
        <f>IF(R86="Y",10,0)</f>
        <v/>
      </c>
      <c r="CT86" t="n">
        <v>-4</v>
      </c>
      <c r="CV86" t="inlineStr">
        <is>
          <t>BR4</t>
        </is>
      </c>
      <c r="CW86" t="inlineStr">
        <is>
          <t>BR4:19</t>
        </is>
      </c>
      <c r="CX86" t="inlineStr">
        <is>
          <t>Boilerplate names 'a busy workday' as a use case. Target's Manhattan stores (e.g., Kips Bay, Herald Square) not checked. Brand website not reached.</t>
        </is>
      </c>
      <c r="CY86" t="inlineStr">
        <is>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is>
      </c>
      <c r="DA86" t="inlineStr">
        <is>
          <t>stage 1 only</t>
        </is>
      </c>
      <c r="DY86">
        <f>IF(ISNUMBER(MATCH(U86,{"queued","contacted","replied","call_booked","call_done","yes_in_principle","materials_sent"},0)),"Y","N")</f>
        <v/>
      </c>
      <c r="DZ86">
        <f>IF(COUNTIFS($AN$2:$AN$1000,AN86,$DY$2:$DY$1000,"Y")+COUNTIFS($AN$2:$AN$1000,AN86,$T$2:$T$1000,"Y")&gt;0,"Y","N")</f>
        <v/>
      </c>
      <c r="EA86">
        <f>IF(AND(U86="new",T86="N",AR86="Y",AQ86="",DZ86="N"),"Y","N")</f>
        <v/>
      </c>
      <c r="EB86">
        <f>IF(EA86&lt;&gt;"Y","N",IF(COUNTIFS($AN$2:$AN$1000,AN86,$EA$2:$EA$1000,"Y",$J$2:$J$1000,"&gt;"&amp;J86)+COUNTIFS($AN$2:$AN$1000,AN86,$EA$2:$EA$1000,"Y",$J$2:$J$1000,J86,$ED$2:$ED$1000,"&lt;"&amp;ED86)=0,"Y","N"))</f>
        <v/>
      </c>
      <c r="EC86">
        <f>IF(Y86="","N",IF(Y86&lt;=10,"Y","N"))</f>
        <v/>
      </c>
      <c r="ED86">
        <f>ROW()-1</f>
        <v/>
      </c>
    </row>
    <row r="87">
      <c r="A87" t="inlineStr">
        <is>
          <t>AB-042</t>
        </is>
      </c>
      <c r="B87" t="inlineStr">
        <is>
          <t>Terranean</t>
        </is>
      </c>
      <c r="C87" t="inlineStr">
        <is>
          <t>Tina</t>
        </is>
      </c>
      <c r="D87" t="inlineStr">
        <is>
          <t>Chamoun</t>
        </is>
      </c>
      <c r="E87" t="inlineStr">
        <is>
          <t>Founder, CPCO</t>
        </is>
      </c>
      <c r="H87" t="inlineStr">
        <is>
          <t>none</t>
        </is>
      </c>
      <c r="I87" t="inlineStr">
        <is>
          <t>linkedin</t>
        </is>
      </c>
      <c r="J87">
        <f>IF(AU87="pass",CM87+CN87+CO87+CP87+CQ87+CR87+CS87+CT87,0)</f>
        <v/>
      </c>
      <c r="K87" t="inlineStr">
        <is>
          <t>Brand based outside the Northeast, no graded store within ten blocks, online store only, news 164 days ago, revenue unknown, contact named.</t>
        </is>
      </c>
      <c r="M87" t="inlineStr">
        <is>
          <t>none found within ten blocks</t>
        </is>
      </c>
      <c r="N87" t="inlineStr">
        <is>
          <t>unverified</t>
        </is>
      </c>
      <c r="O87" t="inlineStr">
        <is>
          <t>Launched Avocado Oil Pita Chips with World Market rollout (June 2026); Spicy Za'atar Pita Chips added 2026-08-16</t>
        </is>
      </c>
      <c r="P87" t="inlineStr">
        <is>
          <t>https://startupcpg.com/startup-cpg-newswire-terranean-expands-avocado-oil-pita-chips-and-national-retail-presence/</t>
        </is>
      </c>
      <c r="Q87" t="inlineStr">
        <is>
          <t>2026-05-13</t>
        </is>
      </c>
      <c r="R87" t="inlineStr">
        <is>
          <t>N</t>
        </is>
      </c>
      <c r="S87" t="inlineStr">
        <is>
          <t>Y</t>
        </is>
      </c>
      <c r="T87" t="inlineStr">
        <is>
          <t>N</t>
        </is>
      </c>
      <c r="U87" t="inlineStr">
        <is>
          <t>new</t>
        </is>
      </c>
      <c r="V87" t="inlineStr">
        <is>
          <t>https://terraneanherbs.com/pages/about-us</t>
        </is>
      </c>
      <c r="W87" t="inlineStr">
        <is>
          <t>2026-10-23</t>
        </is>
      </c>
      <c r="X87" t="inlineStr">
        <is>
          <t>brand</t>
        </is>
      </c>
      <c r="Y87">
        <f>IF(EB87&lt;&gt;"Y","",COUNTIFS($EB$2:$EB$1000,"Y",$J$2:$J$1000,"&gt;"&amp;J87)+COUNTIFS($EB$2:$EB$1000,"Y",$J$2:$J$1000,J87,$ED$2:$ED$1000,"&lt;"&amp;ED87)+1)</f>
        <v/>
      </c>
      <c r="Z87" t="n">
        <v>86</v>
      </c>
      <c r="AA87" t="inlineStr">
        <is>
          <t>N</t>
        </is>
      </c>
      <c r="AB87" t="inlineStr">
        <is>
          <t>find Tina Chamoun at Terranean on LinkedIn and paste the profile URL</t>
        </is>
      </c>
      <c r="AC87" t="inlineStr">
        <is>
          <t>founder</t>
        </is>
      </c>
      <c r="AD87" t="inlineStr">
        <is>
          <t>verified-page</t>
        </is>
      </c>
      <c r="AE87" t="inlineStr">
        <is>
          <t>employer's own site</t>
        </is>
      </c>
      <c r="AF87" t="inlineStr">
        <is>
          <t>https://terraneanherbs.com/pages/about-us</t>
        </is>
      </c>
      <c r="AG87" t="inlineStr">
        <is>
          <t>2026-10-23</t>
        </is>
      </c>
      <c r="AH87" t="inlineStr">
        <is>
          <t>Terranean Za'atar Pita Chips ($6.99 bag); new Spicy Za'atar</t>
        </is>
      </c>
      <c r="AI87" t="inlineStr">
        <is>
          <t>chips-crisps</t>
        </is>
      </c>
      <c r="AJ87" t="inlineStr">
        <is>
          <t>Cleveland</t>
        </is>
      </c>
      <c r="AK87" t="inlineStr">
        <is>
          <t>https://terraneanherbs.com</t>
        </is>
      </c>
      <c r="AL87" t="inlineStr">
        <is>
          <t>N</t>
        </is>
      </c>
      <c r="AN87" t="inlineStr">
        <is>
          <t>AB-042</t>
        </is>
      </c>
      <c r="AO87" t="inlineStr">
        <is>
          <t>N</t>
        </is>
      </c>
      <c r="AR87">
        <f>IF(AND(AU87="pass",AO87&lt;&gt;"Y",C87&lt;&gt;""),"Y","N")</f>
        <v/>
      </c>
      <c r="AS87">
        <f>_xlfn.TEXTJOIN("; ",TRUE,IF(AU87&lt;&gt;"pass","gated out",""),IF(AO87="Y","on hold: "&amp;AP87,""),IF(C87="","no contact named on an opened page",""))</f>
        <v/>
      </c>
      <c r="AU87" t="inlineStr">
        <is>
          <t>pass</t>
        </is>
      </c>
      <c r="AW87" t="inlineStr">
        <is>
          <t>passes all hard gates</t>
        </is>
      </c>
      <c r="AY87" t="inlineStr">
        <is>
          <t>https://terraneanherbs.com</t>
        </is>
      </c>
      <c r="AZ87" t="inlineStr">
        <is>
          <t>OH</t>
        </is>
      </c>
      <c r="BA87" t="inlineStr">
        <is>
          <t>elsewhere</t>
        </is>
      </c>
      <c r="BB87" t="inlineStr">
        <is>
          <t>unknown</t>
        </is>
      </c>
      <c r="BD87" t="inlineStr">
        <is>
          <t>Y</t>
        </is>
      </c>
      <c r="BE87" t="inlineStr">
        <is>
          <t>Twice-baked pita chips in sealed bags, ambient</t>
        </is>
      </c>
      <c r="BF87" t="inlineStr">
        <is>
          <t>N</t>
        </is>
      </c>
      <c r="BG87" t="inlineStr">
        <is>
          <t>Y</t>
        </is>
      </c>
      <c r="BH87" t="inlineStr">
        <is>
          <t>unknown</t>
        </is>
      </c>
      <c r="BJ87" t="inlineStr">
        <is>
          <t>unknown</t>
        </is>
      </c>
      <c r="BK87" t="inlineStr">
        <is>
          <t>N</t>
        </is>
      </c>
      <c r="BL87" t="inlineStr">
        <is>
          <t>N</t>
        </is>
      </c>
      <c r="BO87" t="inlineStr">
        <is>
          <t>N</t>
        </is>
      </c>
      <c r="BP87" t="n">
        <v>0</v>
      </c>
      <c r="BR87" t="inlineStr">
        <is>
          <t>PopUp Grocer (brand_claim, unplaced)</t>
        </is>
      </c>
      <c r="BS87" t="inlineStr">
        <is>
          <t>World Market (from June 2026); Fresh Thyme Market; Sendik's; Festival Foods; Heinen's; PopUp Grocer (NYC)</t>
        </is>
      </c>
      <c r="BT87" t="inlineStr">
        <is>
          <t>https://popupgrocer.com/pages/directory (Terranean Herbs &amp; Spices availability 'NYC Flagship', 2026-10-23); https://popupgrocer.com/products/terranean-herbs-spices</t>
        </is>
      </c>
      <c r="BU87" t="inlineStr">
        <is>
          <t>press</t>
        </is>
      </c>
      <c r="BV87" t="n">
        <v>164</v>
      </c>
      <c r="BW87" t="inlineStr">
        <is>
          <t>https://startupcpg.com/startup-cpg-newswire-terranean-expands-avocado-oil-pita-chips-and-national-retail-presence/</t>
        </is>
      </c>
      <c r="BX87" t="inlineStr">
        <is>
          <t>Tina Chamoun</t>
        </is>
      </c>
      <c r="CA87" t="inlineStr">
        <is>
          <t>Mia Salvano</t>
        </is>
      </c>
      <c r="CB87" t="inlineStr">
        <is>
          <t>Mia</t>
        </is>
      </c>
      <c r="CC87" t="inlineStr">
        <is>
          <t>Salvano</t>
        </is>
      </c>
      <c r="CD87" t="inlineStr">
        <is>
          <t>Product Demo &amp; Store Relations Manager</t>
        </is>
      </c>
      <c r="CE87" t="inlineStr">
        <is>
          <t>marketing</t>
        </is>
      </c>
      <c r="CF87" t="inlineStr">
        <is>
          <t>verified-page</t>
        </is>
      </c>
      <c r="CK87" t="inlineStr">
        <is>
          <t>none</t>
        </is>
      </c>
      <c r="CL87" t="n">
        <v>46</v>
      </c>
      <c r="CM87" t="n">
        <v>6</v>
      </c>
      <c r="CN87" t="n">
        <v>3</v>
      </c>
      <c r="CO87" t="n">
        <v>15</v>
      </c>
      <c r="CP87" t="n">
        <v>5</v>
      </c>
      <c r="CQ87" t="n">
        <v>7</v>
      </c>
      <c r="CR87" t="n">
        <v>10</v>
      </c>
      <c r="CS87">
        <f>IF(R87="Y",10,0)</f>
        <v/>
      </c>
      <c r="CT87" t="n">
        <v>0</v>
      </c>
      <c r="CU87" t="inlineStr">
        <is>
          <t>https://instagram.com/TerraneanHerbs</t>
        </is>
      </c>
      <c r="CV87" t="inlineStr">
        <is>
          <t>BR1</t>
        </is>
      </c>
      <c r="CW87" t="inlineStr">
        <is>
          <t>BR1:43</t>
        </is>
      </c>
      <c r="CX87" t="inlineStr">
        <is>
          <t>Homepage banner: 'Good Housekeeping's Best of List 2026!' An award signal to pair with the May 2026 World Market launch already in why_now.</t>
        </is>
      </c>
      <c r="CY87" t="inlineStr">
        <is>
          <t xml:space="preserve">notes &lt;- https://terraneanherbs.com/ (2026-10-24, opened); </t>
        </is>
      </c>
      <c r="CZ87" t="inlineStr">
        <is>
          <t>https://terraneanherbs.com/</t>
        </is>
      </c>
      <c r="DA87" t="inlineStr">
        <is>
          <t>stage 1 only</t>
        </is>
      </c>
      <c r="DC87" t="inlineStr">
        <is>
          <t>employer's own site</t>
        </is>
      </c>
      <c r="DY87">
        <f>IF(ISNUMBER(MATCH(U87,{"queued","contacted","replied","call_booked","call_done","yes_in_principle","materials_sent"},0)),"Y","N")</f>
        <v/>
      </c>
      <c r="DZ87">
        <f>IF(COUNTIFS($AN$2:$AN$1000,AN87,$DY$2:$DY$1000,"Y")+COUNTIFS($AN$2:$AN$1000,AN87,$T$2:$T$1000,"Y")&gt;0,"Y","N")</f>
        <v/>
      </c>
      <c r="EA87">
        <f>IF(AND(U87="new",T87="N",AR87="Y",AQ87="",DZ87="N"),"Y","N")</f>
        <v/>
      </c>
      <c r="EB87">
        <f>IF(EA87&lt;&gt;"Y","N",IF(COUNTIFS($AN$2:$AN$1000,AN87,$EA$2:$EA$1000,"Y",$J$2:$J$1000,"&gt;"&amp;J87)+COUNTIFS($AN$2:$AN$1000,AN87,$EA$2:$EA$1000,"Y",$J$2:$J$1000,J87,$ED$2:$ED$1000,"&lt;"&amp;ED87)=0,"Y","N"))</f>
        <v/>
      </c>
      <c r="EC87">
        <f>IF(Y87="","N",IF(Y87&lt;=10,"Y","N"))</f>
        <v/>
      </c>
      <c r="ED87">
        <f>ROW()-1</f>
        <v/>
      </c>
    </row>
    <row r="88">
      <c r="A88" t="inlineStr">
        <is>
          <t>AB-218</t>
        </is>
      </c>
      <c r="B88" t="inlineStr">
        <is>
          <t>WildBoard</t>
        </is>
      </c>
      <c r="C88" t="inlineStr">
        <is>
          <t>Amy</t>
        </is>
      </c>
      <c r="D88" t="inlineStr">
        <is>
          <t>Boysen</t>
        </is>
      </c>
      <c r="E88" t="inlineStr">
        <is>
          <t>Co-founder and CEO</t>
        </is>
      </c>
      <c r="H88" t="inlineStr">
        <is>
          <t>none</t>
        </is>
      </c>
      <c r="I88" t="inlineStr">
        <is>
          <t>linkedin</t>
        </is>
      </c>
      <c r="J88">
        <f>IF(AU88="pass",CM88+CN88+CO88+CP88+CQ88+CR88+CS88+CT88,0)</f>
        <v/>
      </c>
      <c r="K88" t="inlineStr">
        <is>
          <t>Northeast brand, no graded store within ten blocks, online store only, news 24 days ago, revenue unknown, contact named; founder review: claim-borderline.</t>
        </is>
      </c>
      <c r="M88" t="inlineStr">
        <is>
          <t>none found within ten blocks</t>
        </is>
      </c>
      <c r="N88" t="inlineStr">
        <is>
          <t>unverified</t>
        </is>
      </c>
      <c r="O88" t="inlineStr">
        <is>
          <t>Launched savory trail mix clusters in three flavors after sampling 3,500+ units incl. Expo West 2026</t>
        </is>
      </c>
      <c r="P88" t="inlineStr">
        <is>
          <t>https://startupcpg.com/startup-cpg-newswire-wildboard-launches-savory-trail-mix-clusters-bringing-the-appetizer-board-to-everyday-snacking/</t>
        </is>
      </c>
      <c r="Q88" t="inlineStr">
        <is>
          <t>2026-09-30</t>
        </is>
      </c>
      <c r="R88" t="inlineStr">
        <is>
          <t>N</t>
        </is>
      </c>
      <c r="S88" t="inlineStr">
        <is>
          <t>Y</t>
        </is>
      </c>
      <c r="T88" t="inlineStr">
        <is>
          <t>N</t>
        </is>
      </c>
      <c r="U88" t="inlineStr">
        <is>
          <t>new</t>
        </is>
      </c>
      <c r="V88" t="inlineStr">
        <is>
          <t>https://wildboardsnacks.com/</t>
        </is>
      </c>
      <c r="W88" t="inlineStr">
        <is>
          <t>2026-10-23</t>
        </is>
      </c>
      <c r="X88" t="inlineStr">
        <is>
          <t>brand</t>
        </is>
      </c>
      <c r="Y88">
        <f>IF(EB88&lt;&gt;"Y","",COUNTIFS($EB$2:$EB$1000,"Y",$J$2:$J$1000,"&gt;"&amp;J88)+COUNTIFS($EB$2:$EB$1000,"Y",$J$2:$J$1000,J88,$ED$2:$ED$1000,"&lt;"&amp;ED88)+1)</f>
        <v/>
      </c>
      <c r="Z88" t="n">
        <v>87</v>
      </c>
      <c r="AA88" t="inlineStr">
        <is>
          <t>N</t>
        </is>
      </c>
      <c r="AB88" t="inlineStr">
        <is>
          <t>find Amy Boysen at WildBoard on LinkedIn and paste the profile URL; founder review (claim-borderline): read founder_review_reason first</t>
        </is>
      </c>
      <c r="AC88" t="inlineStr">
        <is>
          <t>founder</t>
        </is>
      </c>
      <c r="AD88" t="inlineStr">
        <is>
          <t>verified-page</t>
        </is>
      </c>
      <c r="AE88" t="inlineStr">
        <is>
          <t>press, event or podcast page</t>
        </is>
      </c>
      <c r="AF88" t="inlineStr">
        <is>
          <t>https://startupcpg.com/startup-cpg-newswire-wildboard-launches-savory-trail-mix-clusters-bringing-the-appetizer-board-to-everyday-snacking/</t>
        </is>
      </c>
      <c r="AG88" t="inlineStr">
        <is>
          <t>2026-10-23</t>
        </is>
      </c>
      <c r="AH88" t="inlineStr">
        <is>
          <t>Mezze (Pistachios &amp; Za'atar) savory trail mix clusters, 3.5 oz bag</t>
        </is>
      </c>
      <c r="AI88" t="inlineStr">
        <is>
          <t>nuts-seeds-trail</t>
        </is>
      </c>
      <c r="AJ88" t="inlineStr">
        <is>
          <t>Guilford</t>
        </is>
      </c>
      <c r="AK88" t="inlineStr">
        <is>
          <t>https://wildboardsnacks.com</t>
        </is>
      </c>
      <c r="AL88" t="inlineStr">
        <is>
          <t>Y</t>
        </is>
      </c>
      <c r="AM88" t="inlineStr">
        <is>
          <t>Nutrient-content claims (15g protein, 12g fiber per bag); brand just launched, no NYC retailer yet</t>
        </is>
      </c>
      <c r="AN88" t="inlineStr">
        <is>
          <t>AB-218</t>
        </is>
      </c>
      <c r="AO88" t="inlineStr">
        <is>
          <t>N</t>
        </is>
      </c>
      <c r="AR88">
        <f>IF(AND(AU88="pass",AO88&lt;&gt;"Y",C88&lt;&gt;""),"Y","N")</f>
        <v/>
      </c>
      <c r="AS88">
        <f>_xlfn.TEXTJOIN("; ",TRUE,IF(AU88&lt;&gt;"pass","gated out",""),IF(AO88="Y","on hold: "&amp;AP88,""),IF(C88="","no contact named on an opened page",""))</f>
        <v/>
      </c>
      <c r="AU88" t="inlineStr">
        <is>
          <t>pass</t>
        </is>
      </c>
      <c r="AW88" t="inlineStr">
        <is>
          <t>passes all hard gates</t>
        </is>
      </c>
      <c r="AX88" t="inlineStr">
        <is>
          <t>claim-borderline</t>
        </is>
      </c>
      <c r="AY88" t="inlineStr">
        <is>
          <t>https://wildboardsnacks.com</t>
        </is>
      </c>
      <c r="AZ88" t="inlineStr">
        <is>
          <t>CT</t>
        </is>
      </c>
      <c r="BA88" t="inlineStr">
        <is>
          <t>northeast</t>
        </is>
      </c>
      <c r="BB88" t="inlineStr">
        <is>
          <t>unknown</t>
        </is>
      </c>
      <c r="BD88" t="inlineStr">
        <is>
          <t>Y</t>
        </is>
      </c>
      <c r="BE88" t="inlineStr">
        <is>
          <t>Brand product page: '12 months shelf life from production, shelf stable, no refrigeration' (3.5 oz stand-up pouch)</t>
        </is>
      </c>
      <c r="BF88" t="inlineStr">
        <is>
          <t>Y</t>
        </is>
      </c>
      <c r="BG88" t="inlineStr">
        <is>
          <t>Y</t>
        </is>
      </c>
      <c r="BH88" t="inlineStr">
        <is>
          <t>unknown</t>
        </is>
      </c>
      <c r="BJ88" t="inlineStr">
        <is>
          <t>No sales figure published. Launched Sept 2026 (Startup CPG 2026-09-30): early stage, band founder to confirm</t>
        </is>
      </c>
      <c r="BK88" t="inlineStr">
        <is>
          <t>N</t>
        </is>
      </c>
      <c r="BL88" t="inlineStr">
        <is>
          <t>N</t>
        </is>
      </c>
      <c r="BO88" t="inlineStr">
        <is>
          <t>N</t>
        </is>
      </c>
      <c r="BP88" t="n">
        <v>0</v>
      </c>
      <c r="BS88" t="inlineStr">
        <is>
          <t>Online (wildboardsnacks.com); Expo West 2026 sampling</t>
        </is>
      </c>
      <c r="BT88" t="inlineStr">
        <is>
          <t>https://wildboardsnacks.com/</t>
        </is>
      </c>
      <c r="BU88" t="inlineStr">
        <is>
          <t>press</t>
        </is>
      </c>
      <c r="BV88" t="n">
        <v>24</v>
      </c>
      <c r="BW88" t="inlineStr">
        <is>
          <t>https://startupcpg.com/startup-cpg-newswire-wildboard-launches-savory-trail-mix-clusters-bringing-the-appetizer-board-to-everyday-snacking/</t>
        </is>
      </c>
      <c r="BX88" t="inlineStr">
        <is>
          <t>Amy Boysen</t>
        </is>
      </c>
      <c r="CF88" t="inlineStr">
        <is>
          <t>none</t>
        </is>
      </c>
      <c r="CK88" t="inlineStr">
        <is>
          <t>none</t>
        </is>
      </c>
      <c r="CL88" t="n">
        <v>46</v>
      </c>
      <c r="CM88" t="n">
        <v>6</v>
      </c>
      <c r="CN88" t="n">
        <v>8</v>
      </c>
      <c r="CO88" t="n">
        <v>15</v>
      </c>
      <c r="CP88" t="n">
        <v>5</v>
      </c>
      <c r="CQ88" t="n">
        <v>10</v>
      </c>
      <c r="CR88" t="n">
        <v>6</v>
      </c>
      <c r="CS88">
        <f>IF(R88="Y",10,0)</f>
        <v/>
      </c>
      <c r="CT88" t="n">
        <v>-4</v>
      </c>
      <c r="CV88" t="inlineStr">
        <is>
          <t>BR4</t>
        </is>
      </c>
      <c r="CW88" t="inlineStr">
        <is>
          <t>BR4:13</t>
        </is>
      </c>
      <c r="CX88" t="inlineStr">
        <is>
          <t>Homepage positions it as 'Built for the desk' and 'The 3pm slump' snack, a strong office-pantry fit. Release datelined New York, NY but founders are out of Guilford, CT. Women- and LGBTQIA+-owned.</t>
        </is>
      </c>
      <c r="CY88" t="inlineStr">
        <is>
          <t xml:space="preserve">nearest_stocked_retailer &lt;- https://stockist.co/api/v1/map_rq48522q/locations/search?latitude=40.7411&amp;longitude=-73.9897&amp;distance=3&amp;distance_unit=mi (2026-10-24, opened); shelf_stable_basis &lt;- https://wildboardsnacks.com/products.json?limit=250 (2026-10-24, opened); </t>
        </is>
      </c>
      <c r="DA88" t="inlineStr">
        <is>
          <t>stage 1 only</t>
        </is>
      </c>
      <c r="DY88">
        <f>IF(ISNUMBER(MATCH(U88,{"queued","contacted","replied","call_booked","call_done","yes_in_principle","materials_sent"},0)),"Y","N")</f>
        <v/>
      </c>
      <c r="DZ88">
        <f>IF(COUNTIFS($AN$2:$AN$1000,AN88,$DY$2:$DY$1000,"Y")+COUNTIFS($AN$2:$AN$1000,AN88,$T$2:$T$1000,"Y")&gt;0,"Y","N")</f>
        <v/>
      </c>
      <c r="EA88">
        <f>IF(AND(U88="new",T88="N",AR88="Y",AQ88="",DZ88="N"),"Y","N")</f>
        <v/>
      </c>
      <c r="EB88">
        <f>IF(EA88&lt;&gt;"Y","N",IF(COUNTIFS($AN$2:$AN$1000,AN88,$EA$2:$EA$1000,"Y",$J$2:$J$1000,"&gt;"&amp;J88)+COUNTIFS($AN$2:$AN$1000,AN88,$EA$2:$EA$1000,"Y",$J$2:$J$1000,J88,$ED$2:$ED$1000,"&lt;"&amp;ED88)=0,"Y","N"))</f>
        <v/>
      </c>
      <c r="EC88">
        <f>IF(Y88="","N",IF(Y88&lt;=10,"Y","N"))</f>
        <v/>
      </c>
      <c r="ED88">
        <f>ROW()-1</f>
        <v/>
      </c>
    </row>
    <row r="89">
      <c r="A89" t="inlineStr">
        <is>
          <t>AB-007</t>
        </is>
      </c>
      <c r="B89" t="inlineStr">
        <is>
          <t>Eccentric Bagel Chips</t>
        </is>
      </c>
      <c r="C89" t="inlineStr">
        <is>
          <t>Darryn</t>
        </is>
      </c>
      <c r="D89" t="inlineStr">
        <is>
          <t>Weinstein</t>
        </is>
      </c>
      <c r="E89" t="inlineStr">
        <is>
          <t>Founder</t>
        </is>
      </c>
      <c r="H89" t="inlineStr">
        <is>
          <t>none</t>
        </is>
      </c>
      <c r="I89" t="inlineStr">
        <is>
          <t>linkedin</t>
        </is>
      </c>
      <c r="J89">
        <f>IF(AU89="pass",CM89+CN89+CO89+CP89+CQ89+CR89+CS89+CT89,0)</f>
        <v/>
      </c>
      <c r="K89" t="inlineStr">
        <is>
          <t>New York State brand, no graded store within ten blocks, online store only, a new store listing 65 days ago, revenue unknown, contact named.</t>
        </is>
      </c>
      <c r="M89" t="inlineStr">
        <is>
          <t>none found within ten blocks</t>
        </is>
      </c>
      <c r="N89" t="inlineStr">
        <is>
          <t>unverified</t>
        </is>
      </c>
      <c r="O89" t="inlineStr">
        <is>
          <t>Five-flavor mini chip line and variety pack published on new brand store</t>
        </is>
      </c>
      <c r="P89" t="inlineStr">
        <is>
          <t>https://eccentricbagelchips.com/pages/shop</t>
        </is>
      </c>
      <c r="Q89" t="inlineStr">
        <is>
          <t>2026-08-20</t>
        </is>
      </c>
      <c r="R89" t="inlineStr">
        <is>
          <t>N</t>
        </is>
      </c>
      <c r="S89" t="inlineStr">
        <is>
          <t>unknown</t>
        </is>
      </c>
      <c r="T89" t="inlineStr">
        <is>
          <t>N</t>
        </is>
      </c>
      <c r="U89" t="inlineStr">
        <is>
          <t>new</t>
        </is>
      </c>
      <c r="V89" t="inlineStr">
        <is>
          <t>https://eccentricbagelchips.com/pages/about</t>
        </is>
      </c>
      <c r="W89" t="inlineStr">
        <is>
          <t>2026-10-23</t>
        </is>
      </c>
      <c r="X89" t="inlineStr">
        <is>
          <t>brand</t>
        </is>
      </c>
      <c r="Y89">
        <f>IF(EB89&lt;&gt;"Y","",COUNTIFS($EB$2:$EB$1000,"Y",$J$2:$J$1000,"&gt;"&amp;J89)+COUNTIFS($EB$2:$EB$1000,"Y",$J$2:$J$1000,J89,$ED$2:$ED$1000,"&lt;"&amp;ED89)+1)</f>
        <v/>
      </c>
      <c r="Z89" t="n">
        <v>88</v>
      </c>
      <c r="AA89" t="inlineStr">
        <is>
          <t>N</t>
        </is>
      </c>
      <c r="AB89" t="inlineStr">
        <is>
          <t>find Darryn Weinstein at Eccentric Bagel Chips on LinkedIn and paste the profile URL</t>
        </is>
      </c>
      <c r="AC89" t="inlineStr">
        <is>
          <t>founder</t>
        </is>
      </c>
      <c r="AD89" t="inlineStr">
        <is>
          <t>verified-page</t>
        </is>
      </c>
      <c r="AE89" t="inlineStr">
        <is>
          <t>press, event or podcast page</t>
        </is>
      </c>
      <c r="AF89" t="inlineStr">
        <is>
          <t>https://northforker.com/2025/03/my-favorite-things-darryn-weinstein-eccentric-bagel/</t>
        </is>
      </c>
      <c r="AG89" t="inlineStr">
        <is>
          <t>2026-10-23</t>
        </is>
      </c>
      <c r="AH89" t="inlineStr">
        <is>
          <t>Eccentric Bagel Mini Chips, Everything ($8 bag)</t>
        </is>
      </c>
      <c r="AI89" t="inlineStr">
        <is>
          <t>crackers-pretzels</t>
        </is>
      </c>
      <c r="AJ89" t="inlineStr">
        <is>
          <t>Shelter Island</t>
        </is>
      </c>
      <c r="AK89" t="inlineStr">
        <is>
          <t>https://eccentricbagelchips.com/pages/shop</t>
        </is>
      </c>
      <c r="AL89" t="inlineStr">
        <is>
          <t>N</t>
        </is>
      </c>
      <c r="AN89" t="inlineStr">
        <is>
          <t>AB-007</t>
        </is>
      </c>
      <c r="AO89" t="inlineStr">
        <is>
          <t>N</t>
        </is>
      </c>
      <c r="AR89">
        <f>IF(AND(AU89="pass",AO89&lt;&gt;"Y",C89&lt;&gt;""),"Y","N")</f>
        <v/>
      </c>
      <c r="AS89">
        <f>_xlfn.TEXTJOIN("; ",TRUE,IF(AU89&lt;&gt;"pass","gated out",""),IF(AO89="Y","on hold: "&amp;AP89,""),IF(C89="","no contact named on an opened page",""))</f>
        <v/>
      </c>
      <c r="AU89" t="inlineStr">
        <is>
          <t>pass</t>
        </is>
      </c>
      <c r="AW89" t="inlineStr">
        <is>
          <t>passes all hard gates</t>
        </is>
      </c>
      <c r="AY89" t="inlineStr">
        <is>
          <t>https://eccentricbagelchips.com</t>
        </is>
      </c>
      <c r="AZ89" t="inlineStr">
        <is>
          <t>NY</t>
        </is>
      </c>
      <c r="BA89" t="inlineStr">
        <is>
          <t>nys</t>
        </is>
      </c>
      <c r="BB89" t="inlineStr">
        <is>
          <t>unknown</t>
        </is>
      </c>
      <c r="BD89" t="inlineStr">
        <is>
          <t>Y</t>
        </is>
      </c>
      <c r="BE89" t="inlineStr">
        <is>
          <t>Brand FAQ: 'Our bagel chips have a 5-month shelf life when unopened.' Passes the 60-day rule if delivered within about 3 months of bake.</t>
        </is>
      </c>
      <c r="BF89" t="inlineStr">
        <is>
          <t>unknown</t>
        </is>
      </c>
      <c r="BG89" t="inlineStr">
        <is>
          <t>Y</t>
        </is>
      </c>
      <c r="BH89" t="inlineStr">
        <is>
          <t>unknown</t>
        </is>
      </c>
      <c r="BJ89" t="inlineStr">
        <is>
          <t>unknown</t>
        </is>
      </c>
      <c r="BK89" t="inlineStr">
        <is>
          <t>N</t>
        </is>
      </c>
      <c r="BL89" t="inlineStr">
        <is>
          <t>N</t>
        </is>
      </c>
      <c r="BO89" t="inlineStr">
        <is>
          <t>N</t>
        </is>
      </c>
      <c r="BP89" t="n">
        <v>0</v>
      </c>
      <c r="BR89" t="inlineStr">
        <is>
          <t>PopUp Grocer (brand_claim, unplaced)</t>
        </is>
      </c>
      <c r="BS89" t="inlineStr">
        <is>
          <t>PopUp Grocer (NYC)</t>
        </is>
      </c>
      <c r="BT89" t="inlineStr">
        <is>
          <t>https://popupgrocer.com/pages/directory (availability 'NYC Flagship', 2026-10-23); https://popupgrocer.com/products/eccentric-bagel-chips</t>
        </is>
      </c>
      <c r="BU89" t="inlineStr">
        <is>
          <t>listing</t>
        </is>
      </c>
      <c r="BV89" t="n">
        <v>65</v>
      </c>
      <c r="BX89" t="inlineStr">
        <is>
          <t>Darryn Weinstein</t>
        </is>
      </c>
      <c r="CF89" t="inlineStr">
        <is>
          <t>none</t>
        </is>
      </c>
      <c r="CK89" t="inlineStr">
        <is>
          <t>none</t>
        </is>
      </c>
      <c r="CL89" t="n">
        <v>46</v>
      </c>
      <c r="CM89" t="n">
        <v>6</v>
      </c>
      <c r="CN89" t="n">
        <v>13</v>
      </c>
      <c r="CO89" t="n">
        <v>8</v>
      </c>
      <c r="CP89" t="n">
        <v>5</v>
      </c>
      <c r="CQ89" t="n">
        <v>8</v>
      </c>
      <c r="CR89" t="n">
        <v>6</v>
      </c>
      <c r="CS89">
        <f>IF(R89="Y",10,0)</f>
        <v/>
      </c>
      <c r="CT89" t="n">
        <v>0</v>
      </c>
      <c r="CU89" t="inlineStr">
        <is>
          <t>https://instagram.com/eccentricbagelchips</t>
        </is>
      </c>
      <c r="CV89" t="inlineStr">
        <is>
          <t>BR1</t>
        </is>
      </c>
      <c r="CW89" t="inlineStr">
        <is>
          <t>BR1:8</t>
        </is>
      </c>
      <c r="CX89" t="inlineStr">
        <is>
          <t>About page: founder spent 30+ years in luxury travel, started during COVID; Shelter Island NY. Seed-oil free, Jewish- and women-owned per PopUp Grocer tags. why_now date is Shopify published_at (products.json). Bag size not confirmed.</t>
        </is>
      </c>
      <c r="CY89" t="inlineStr">
        <is>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is>
      </c>
      <c r="DA89" t="inlineStr">
        <is>
          <t>stage 1 only</t>
        </is>
      </c>
      <c r="DY89">
        <f>IF(ISNUMBER(MATCH(U89,{"queued","contacted","replied","call_booked","call_done","yes_in_principle","materials_sent"},0)),"Y","N")</f>
        <v/>
      </c>
      <c r="DZ89">
        <f>IF(COUNTIFS($AN$2:$AN$1000,AN89,$DY$2:$DY$1000,"Y")+COUNTIFS($AN$2:$AN$1000,AN89,$T$2:$T$1000,"Y")&gt;0,"Y","N")</f>
        <v/>
      </c>
      <c r="EA89">
        <f>IF(AND(U89="new",T89="N",AR89="Y",AQ89="",DZ89="N"),"Y","N")</f>
        <v/>
      </c>
      <c r="EB89">
        <f>IF(EA89&lt;&gt;"Y","N",IF(COUNTIFS($AN$2:$AN$1000,AN89,$EA$2:$EA$1000,"Y",$J$2:$J$1000,"&gt;"&amp;J89)+COUNTIFS($AN$2:$AN$1000,AN89,$EA$2:$EA$1000,"Y",$J$2:$J$1000,J89,$ED$2:$ED$1000,"&lt;"&amp;ED89)=0,"Y","N"))</f>
        <v/>
      </c>
      <c r="EC89">
        <f>IF(Y89="","N",IF(Y89&lt;=10,"Y","N"))</f>
        <v/>
      </c>
      <c r="ED89">
        <f>ROW()-1</f>
        <v/>
      </c>
    </row>
    <row r="90">
      <c r="A90" t="inlineStr">
        <is>
          <t>AB-136</t>
        </is>
      </c>
      <c r="B90" t="inlineStr">
        <is>
          <t>Hal's New York</t>
        </is>
      </c>
      <c r="C90" t="inlineStr">
        <is>
          <t>Lewis</t>
        </is>
      </c>
      <c r="D90" t="inlineStr">
        <is>
          <t>Hershkowitz</t>
        </is>
      </c>
      <c r="E90" t="inlineStr">
        <is>
          <t>CEO, Big Geyser</t>
        </is>
      </c>
      <c r="H90" t="inlineStr">
        <is>
          <t>none</t>
        </is>
      </c>
      <c r="I90" t="inlineStr">
        <is>
          <t>linkedin</t>
        </is>
      </c>
      <c r="J90">
        <f>IF(AU90="pass",CM90+CN90+CO90+CP90+CQ90+CR90+CS90+CT90,0)</f>
        <v/>
      </c>
      <c r="K90" t="inlineStr">
        <is>
          <t>New York City brand, no graded store within ten blocks, online store only, no dated why-now in the last 12 months, revenue unknown, contact named; founder review: other.</t>
        </is>
      </c>
      <c r="M90" t="inlineStr">
        <is>
          <t>none found within ten blocks</t>
        </is>
      </c>
      <c r="N90" t="inlineStr">
        <is>
          <t>unverified</t>
        </is>
      </c>
      <c r="R90" t="inlineStr">
        <is>
          <t>N</t>
        </is>
      </c>
      <c r="S90" t="inlineStr">
        <is>
          <t>unknown</t>
        </is>
      </c>
      <c r="T90" t="inlineStr">
        <is>
          <t>N</t>
        </is>
      </c>
      <c r="U90" t="inlineStr">
        <is>
          <t>new</t>
        </is>
      </c>
      <c r="V90" t="inlineStr">
        <is>
          <t>https://www.halsnewyork.com/hals-story/</t>
        </is>
      </c>
      <c r="W90" t="inlineStr">
        <is>
          <t>2026-10-23</t>
        </is>
      </c>
      <c r="X90" t="inlineStr">
        <is>
          <t>brand</t>
        </is>
      </c>
      <c r="Y90">
        <f>IF(EB90&lt;&gt;"Y","",COUNTIFS($EB$2:$EB$1000,"Y",$J$2:$J$1000,"&gt;"&amp;J90)+COUNTIFS($EB$2:$EB$1000,"Y",$J$2:$J$1000,J90,$ED$2:$ED$1000,"&lt;"&amp;ED90)+1)</f>
        <v/>
      </c>
      <c r="Z90" t="n">
        <v>89</v>
      </c>
      <c r="AA90" t="inlineStr">
        <is>
          <t>N</t>
        </is>
      </c>
      <c r="AB90" t="inlineStr">
        <is>
          <t>find Lewis Hershkowitz at Hal's New York on LinkedIn and paste the profile URL; founder review (other): read founder_review_reason first</t>
        </is>
      </c>
      <c r="AC90" t="inlineStr">
        <is>
          <t>founder</t>
        </is>
      </c>
      <c r="AD90" t="inlineStr">
        <is>
          <t>verified-page</t>
        </is>
      </c>
      <c r="AE90" t="inlineStr">
        <is>
          <t>press, event or podcast page</t>
        </is>
      </c>
      <c r="AF90" t="inlineStr">
        <is>
          <t>https://www.longisland.com/news/11-09-22/hals-new-york-home-grown-seltzer-snack-company-making-waves-nationwide.html</t>
        </is>
      </c>
      <c r="AG90" t="inlineStr">
        <is>
          <t>2026-10-23</t>
        </is>
      </c>
      <c r="AH90" t="inlineStr">
        <is>
          <t>Hal's New York Seltzer, can; also ginger ale</t>
        </is>
      </c>
      <c r="AI90" t="inlineStr">
        <is>
          <t>sparkling-soda</t>
        </is>
      </c>
      <c r="AJ90" t="inlineStr">
        <is>
          <t>Maspeth (Queens, New York City)</t>
        </is>
      </c>
      <c r="AK90" t="inlineStr">
        <is>
          <t>https://www.halsnewyork.com</t>
        </is>
      </c>
      <c r="AL90" t="inlineStr">
        <is>
          <t>Y</t>
        </is>
      </c>
      <c r="AM90" t="inlineStr">
        <is>
          <t>Brand of a large NY distributor (Big Geyser), so likely not budget-constrained the way an emerging brand is; also sells kettle chips (check snack slices for overlap); 60-day shelf life not stated</t>
        </is>
      </c>
      <c r="AN90" t="inlineStr">
        <is>
          <t>AB-136</t>
        </is>
      </c>
      <c r="AO90" t="inlineStr">
        <is>
          <t>N</t>
        </is>
      </c>
      <c r="AR90">
        <f>IF(AND(AU90="pass",AO90&lt;&gt;"Y",C90&lt;&gt;""),"Y","N")</f>
        <v/>
      </c>
      <c r="AS90">
        <f>_xlfn.TEXTJOIN("; ",TRUE,IF(AU90&lt;&gt;"pass","gated out",""),IF(AO90="Y","on hold: "&amp;AP90,""),IF(C90="","no contact named on an opened page",""))</f>
        <v/>
      </c>
      <c r="AU90" t="inlineStr">
        <is>
          <t>pass</t>
        </is>
      </c>
      <c r="AW90" t="inlineStr">
        <is>
          <t>passes all hard gates</t>
        </is>
      </c>
      <c r="AX90" t="inlineStr">
        <is>
          <t>other</t>
        </is>
      </c>
      <c r="AY90" t="inlineStr">
        <is>
          <t>https://www.halsnewyork.com</t>
        </is>
      </c>
      <c r="AZ90" t="inlineStr">
        <is>
          <t>NY</t>
        </is>
      </c>
      <c r="BA90" t="inlineStr">
        <is>
          <t>nyc</t>
        </is>
      </c>
      <c r="BB90" t="inlineStr">
        <is>
          <t>distributor-owned (Big Geyser, per NOSH 2019 snippet, not opened)</t>
        </is>
      </c>
      <c r="BC90" t="inlineStr">
        <is>
          <t>https://www.nosh.com/news/2019/big-geyser-expands-hals-new-york-into-snacks</t>
        </is>
      </c>
      <c r="BD90" t="inlineStr">
        <is>
          <t>unknown</t>
        </is>
      </c>
      <c r="BE90" t="inlineStr">
        <is>
          <t>Canned seltzer; no shelf-life statement on brand site</t>
        </is>
      </c>
      <c r="BF90" t="inlineStr">
        <is>
          <t>Y</t>
        </is>
      </c>
      <c r="BG90" t="inlineStr">
        <is>
          <t>Y</t>
        </is>
      </c>
      <c r="BH90" t="inlineStr">
        <is>
          <t>unknown</t>
        </is>
      </c>
      <c r="BJ90" t="inlineStr">
        <is>
          <t>No public sales figure found</t>
        </is>
      </c>
      <c r="BK90" t="inlineStr">
        <is>
          <t>N</t>
        </is>
      </c>
      <c r="BL90" t="inlineStr">
        <is>
          <t>N</t>
        </is>
      </c>
      <c r="BO90" t="inlineStr">
        <is>
          <t>N</t>
        </is>
      </c>
      <c r="BP90" t="n">
        <v>0</v>
      </c>
      <c r="BS90" t="inlineStr">
        <is>
          <t>7-Eleven (CSP Daily News headline in search results)</t>
        </is>
      </c>
      <c r="BU90" t="inlineStr">
        <is>
          <t>none</t>
        </is>
      </c>
      <c r="BX90" t="inlineStr">
        <is>
          <t>Lewis Hershkowitz</t>
        </is>
      </c>
      <c r="CA90" t="inlineStr">
        <is>
          <t>Stephanie Reda</t>
        </is>
      </c>
      <c r="CB90" t="inlineStr">
        <is>
          <t>Stephanie</t>
        </is>
      </c>
      <c r="CC90" t="inlineStr">
        <is>
          <t>Reda</t>
        </is>
      </c>
      <c r="CD90" t="inlineStr">
        <is>
          <t>Director of Brand Development</t>
        </is>
      </c>
      <c r="CE90" t="inlineStr">
        <is>
          <t>marketing</t>
        </is>
      </c>
      <c r="CF90" t="inlineStr">
        <is>
          <t>verified-page</t>
        </is>
      </c>
      <c r="CK90" t="inlineStr">
        <is>
          <t>none</t>
        </is>
      </c>
      <c r="CL90" t="n">
        <v>46</v>
      </c>
      <c r="CM90" t="n">
        <v>6</v>
      </c>
      <c r="CN90" t="n">
        <v>20</v>
      </c>
      <c r="CO90" t="n">
        <v>0</v>
      </c>
      <c r="CP90" t="n">
        <v>5</v>
      </c>
      <c r="CQ90" t="n">
        <v>7</v>
      </c>
      <c r="CR90" t="n">
        <v>10</v>
      </c>
      <c r="CS90">
        <f>IF(R90="Y",10,0)</f>
        <v/>
      </c>
      <c r="CT90" t="n">
        <v>-2</v>
      </c>
      <c r="CU90" t="inlineStr">
        <is>
          <t>https://www.instagram.com/halsnewyork</t>
        </is>
      </c>
      <c r="CV90" t="inlineStr">
        <is>
          <t>BR3</t>
        </is>
      </c>
      <c r="CW90" t="inlineStr">
        <is>
          <t>BR3:10</t>
        </is>
      </c>
      <c r="CX90" t="inlineStr">
        <is>
          <t>Site tagline 'New York born, New York made'; store locator is JS (no data read).</t>
        </is>
      </c>
      <c r="CY90" t="inlineStr">
        <is>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is>
      </c>
      <c r="DA90" t="inlineStr">
        <is>
          <t>stage 1 only</t>
        </is>
      </c>
      <c r="DC90" t="inlineStr">
        <is>
          <t>unknown</t>
        </is>
      </c>
      <c r="DY90">
        <f>IF(ISNUMBER(MATCH(U90,{"queued","contacted","replied","call_booked","call_done","yes_in_principle","materials_sent"},0)),"Y","N")</f>
        <v/>
      </c>
      <c r="DZ90">
        <f>IF(COUNTIFS($AN$2:$AN$1000,AN90,$DY$2:$DY$1000,"Y")+COUNTIFS($AN$2:$AN$1000,AN90,$T$2:$T$1000,"Y")&gt;0,"Y","N")</f>
        <v/>
      </c>
      <c r="EA90">
        <f>IF(AND(U90="new",T90="N",AR90="Y",AQ90="",DZ90="N"),"Y","N")</f>
        <v/>
      </c>
      <c r="EB90">
        <f>IF(EA90&lt;&gt;"Y","N",IF(COUNTIFS($AN$2:$AN$1000,AN90,$EA$2:$EA$1000,"Y",$J$2:$J$1000,"&gt;"&amp;J90)+COUNTIFS($AN$2:$AN$1000,AN90,$EA$2:$EA$1000,"Y",$J$2:$J$1000,J90,$ED$2:$ED$1000,"&lt;"&amp;ED90)=0,"Y","N"))</f>
        <v/>
      </c>
      <c r="EC90">
        <f>IF(Y90="","N",IF(Y90&lt;=10,"Y","N"))</f>
        <v/>
      </c>
      <c r="ED90">
        <f>ROW()-1</f>
        <v/>
      </c>
    </row>
    <row r="91">
      <c r="A91" t="inlineStr">
        <is>
          <t>AB-283</t>
        </is>
      </c>
      <c r="B91" t="inlineStr">
        <is>
          <t>Caltein</t>
        </is>
      </c>
      <c r="C91" t="inlineStr">
        <is>
          <t>Aaron</t>
        </is>
      </c>
      <c r="D91" t="inlineStr">
        <is>
          <t>unknown</t>
        </is>
      </c>
      <c r="E91" t="inlineStr">
        <is>
          <t>Founder</t>
        </is>
      </c>
      <c r="H91" t="inlineStr">
        <is>
          <t>none</t>
        </is>
      </c>
      <c r="I91" t="inlineStr">
        <is>
          <t>linkedin</t>
        </is>
      </c>
      <c r="J91">
        <f>IF(AU91="pass",CM91+CN91+CO91+CP91+CQ91+CR91+CS91+CT91,0)</f>
        <v/>
      </c>
      <c r="K91" t="inlineStr">
        <is>
          <t>New York City brand (HQ unverified), brand locator shows CompleteBody Chelsea inside the cluster, no dated why-now in the last 12 months, revenue unknown, contact named (first name only); founder review: claim-borderline.</t>
        </is>
      </c>
      <c r="M91" t="inlineStr">
        <is>
          <t>CompleteBody Chelsea, 22 W 19th St</t>
        </is>
      </c>
      <c r="N91" t="inlineStr">
        <is>
          <t>brand_claim</t>
        </is>
      </c>
      <c r="R91" t="inlineStr">
        <is>
          <t>N</t>
        </is>
      </c>
      <c r="S91" t="inlineStr">
        <is>
          <t>unknown</t>
        </is>
      </c>
      <c r="T91" t="inlineStr">
        <is>
          <t>N</t>
        </is>
      </c>
      <c r="U91" t="inlineStr">
        <is>
          <t>new</t>
        </is>
      </c>
      <c r="V91" t="inlineStr">
        <is>
          <t>https://www.entrepreneurspace.org/clients</t>
        </is>
      </c>
      <c r="W91" t="inlineStr">
        <is>
          <t>2026-10-24</t>
        </is>
      </c>
      <c r="X91" t="inlineStr">
        <is>
          <t>brand</t>
        </is>
      </c>
      <c r="Y91">
        <f>IF(EB91&lt;&gt;"Y","",COUNTIFS($EB$2:$EB$1000,"Y",$J$2:$J$1000,"&gt;"&amp;J91)+COUNTIFS($EB$2:$EB$1000,"Y",$J$2:$J$1000,J91,$ED$2:$ED$1000,"&lt;"&amp;ED91)+1)</f>
        <v/>
      </c>
      <c r="Z91" t="n">
        <v>90</v>
      </c>
      <c r="AA91" t="inlineStr">
        <is>
          <t>N</t>
        </is>
      </c>
      <c r="AB91" t="inlineStr">
        <is>
          <t>find Aaron at Caltein on LinkedIn and paste the profile URL; surname not public: take it from LinkedIn; the retailer line rests on the brand's own store locator: say 'your store locator lists ...'; founder review (claim-borderline): read founder_review_reason first</t>
        </is>
      </c>
      <c r="AC91" t="inlineStr">
        <is>
          <t>founder</t>
        </is>
      </c>
      <c r="AD91" t="inlineStr">
        <is>
          <t>first-name-only</t>
        </is>
      </c>
      <c r="AE91" t="inlineStr">
        <is>
          <t>employer's own site</t>
        </is>
      </c>
      <c r="AF91" t="inlineStr">
        <is>
          <t>https://caltein.com/pages/about-us</t>
        </is>
      </c>
      <c r="AG91" t="inlineStr">
        <is>
          <t>2026-10-24</t>
        </is>
      </c>
      <c r="AH91" t="inlineStr">
        <is>
          <t>Chocolate Chip Protein Butter Cookie pouches, 6-pack</t>
        </is>
      </c>
      <c r="AI91" t="inlineStr">
        <is>
          <t>cookies-baked</t>
        </is>
      </c>
      <c r="AJ91" t="inlineStr">
        <is>
          <t>Queens (Entrepreneur Space client; unverified, founder to confirm)</t>
        </is>
      </c>
      <c r="AK91" t="inlineStr">
        <is>
          <t>https://caltein.com</t>
        </is>
      </c>
      <c r="AL91" t="inlineStr">
        <is>
          <t>Y</t>
        </is>
      </c>
      <c r="AM91" t="inlineStr">
        <is>
          <t>Protein positioning ('protein snacks') is a nutrient-content claim. No dated news in the last 12 months; newest online SKU is from 2025-02; 60-day shelf life not stated</t>
        </is>
      </c>
      <c r="AN91" t="inlineStr">
        <is>
          <t>AB-283</t>
        </is>
      </c>
      <c r="AO91" t="inlineStr">
        <is>
          <t>N</t>
        </is>
      </c>
      <c r="AR91">
        <f>IF(AND(AU91="pass",AO91&lt;&gt;"Y",C91&lt;&gt;""),"Y","N")</f>
        <v/>
      </c>
      <c r="AS91">
        <f>_xlfn.TEXTJOIN("; ",TRUE,IF(AU91&lt;&gt;"pass","gated out",""),IF(AO91="Y","on hold: "&amp;AP91,""),IF(C91="","no contact named on an opened page",""))</f>
        <v/>
      </c>
      <c r="AU91" t="inlineStr">
        <is>
          <t>pass</t>
        </is>
      </c>
      <c r="AW91" t="inlineStr">
        <is>
          <t>passes all hard gates</t>
        </is>
      </c>
      <c r="AX91" t="inlineStr">
        <is>
          <t>claim-borderline</t>
        </is>
      </c>
      <c r="AY91" t="inlineStr">
        <is>
          <t>https://caltein.com</t>
        </is>
      </c>
      <c r="AZ91" t="inlineStr">
        <is>
          <t>NY</t>
        </is>
      </c>
      <c r="BA91" t="inlineStr">
        <is>
          <t>nyc (unverified)</t>
        </is>
      </c>
      <c r="BB91" t="inlineStr">
        <is>
          <t>unknown</t>
        </is>
      </c>
      <c r="BD91" t="inlineStr">
        <is>
          <t>unknown</t>
        </is>
      </c>
      <c r="BE91" t="inlineStr">
        <is>
          <t>Cookie pouches sold online in 6-packs and in gyms and nut shops; shelf life not stated</t>
        </is>
      </c>
      <c r="BF91" t="inlineStr">
        <is>
          <t>Y</t>
        </is>
      </c>
      <c r="BG91" t="inlineStr">
        <is>
          <t>Y</t>
        </is>
      </c>
      <c r="BH91" t="inlineStr">
        <is>
          <t>unknown</t>
        </is>
      </c>
      <c r="BJ91" t="inlineStr">
        <is>
          <t>No sourced sales figure found</t>
        </is>
      </c>
      <c r="BK91" t="inlineStr">
        <is>
          <t>N</t>
        </is>
      </c>
      <c r="BL91" t="inlineStr">
        <is>
          <t>N</t>
        </is>
      </c>
      <c r="BN91" t="n">
        <v>0</v>
      </c>
      <c r="BO91" t="inlineStr">
        <is>
          <t>Y</t>
        </is>
      </c>
      <c r="BP91" t="n">
        <v>1</v>
      </c>
      <c r="BQ91" t="inlineStr">
        <is>
          <t>CompleteBody Chelsea, 22 W 19th St (brand_claim, inside)</t>
        </is>
      </c>
      <c r="BR91" t="inlineStr">
        <is>
          <t>Nuts Factory Union Square (brand_claim, unplaced);Nuts Factory Chelsea (brand_claim, unplaced)</t>
        </is>
      </c>
      <c r="BS91" t="inlineStr">
        <is>
          <t>CompleteBody (Chelsea, Grand Central); Nuts Factory (Chelsea, Union Square, East Village); TMPL; Happier Grocery; The Shelf (brand Stockist locator)</t>
        </is>
      </c>
      <c r="BT91" t="inlineStr">
        <is>
          <t>https://stockist.co/api/v1/map_93ezz7vq/locations/search?latitude=40.7411&amp;longitude=-73.9897&amp;distance=5 (widget on https://caltein.com/pages/store-locator)</t>
        </is>
      </c>
      <c r="BU91" t="inlineStr">
        <is>
          <t>none</t>
        </is>
      </c>
      <c r="BX91" t="inlineStr">
        <is>
          <t>Aaron</t>
        </is>
      </c>
      <c r="BY91" t="inlineStr">
        <is>
          <t>surname not given</t>
        </is>
      </c>
      <c r="CF91" t="inlineStr">
        <is>
          <t>none</t>
        </is>
      </c>
      <c r="CK91" t="inlineStr">
        <is>
          <t>none</t>
        </is>
      </c>
      <c r="CL91" t="n">
        <v>45</v>
      </c>
      <c r="CM91" t="n">
        <v>17</v>
      </c>
      <c r="CN91" t="n">
        <v>17</v>
      </c>
      <c r="CO91" t="n">
        <v>0</v>
      </c>
      <c r="CP91" t="n">
        <v>5</v>
      </c>
      <c r="CQ91" t="n">
        <v>7</v>
      </c>
      <c r="CR91" t="n">
        <v>3</v>
      </c>
      <c r="CS91">
        <f>IF(R91="Y",10,0)</f>
        <v/>
      </c>
      <c r="CT91" t="n">
        <v>-4</v>
      </c>
      <c r="CU91" t="inlineStr">
        <is>
          <t>https://www.instagram.com/eatcaltein/</t>
        </is>
      </c>
      <c r="CV91" t="inlineStr">
        <is>
          <t>BR5</t>
        </is>
      </c>
      <c r="CW91" t="inlineStr">
        <is>
          <t>BR5:19</t>
        </is>
      </c>
      <c r="CX91" t="inlineStr">
        <is>
          <t>Entrepreneur Space current client: 'Caltein, Protein Butter Cookies'. A gym (CompleteBody, 22 W 19th St) inside the cluster is a brand-claimed stockist.</t>
        </is>
      </c>
      <c r="DA91" t="inlineStr">
        <is>
          <t>stage 1 only</t>
        </is>
      </c>
      <c r="DY91">
        <f>IF(ISNUMBER(MATCH(U91,{"queued","contacted","replied","call_booked","call_done","yes_in_principle","materials_sent"},0)),"Y","N")</f>
        <v/>
      </c>
      <c r="DZ91">
        <f>IF(COUNTIFS($AN$2:$AN$1000,AN91,$DY$2:$DY$1000,"Y")+COUNTIFS($AN$2:$AN$1000,AN91,$T$2:$T$1000,"Y")&gt;0,"Y","N")</f>
        <v/>
      </c>
      <c r="EA91">
        <f>IF(AND(U91="new",T91="N",AR91="Y",AQ91="",DZ91="N"),"Y","N")</f>
        <v/>
      </c>
      <c r="EB91">
        <f>IF(EA91&lt;&gt;"Y","N",IF(COUNTIFS($AN$2:$AN$1000,AN91,$EA$2:$EA$1000,"Y",$J$2:$J$1000,"&gt;"&amp;J91)+COUNTIFS($AN$2:$AN$1000,AN91,$EA$2:$EA$1000,"Y",$J$2:$J$1000,J91,$ED$2:$ED$1000,"&lt;"&amp;ED91)=0,"Y","N"))</f>
        <v/>
      </c>
      <c r="EC91">
        <f>IF(Y91="","N",IF(Y91&lt;=10,"Y","N"))</f>
        <v/>
      </c>
      <c r="ED91">
        <f>ROW()-1</f>
        <v/>
      </c>
    </row>
    <row r="92">
      <c r="A92" t="inlineStr">
        <is>
          <t>AB-011</t>
        </is>
      </c>
      <c r="B92" t="inlineStr">
        <is>
          <t>Jöey Nordic Seed Crisps</t>
        </is>
      </c>
      <c r="C92" t="inlineStr">
        <is>
          <t>Joseph</t>
        </is>
      </c>
      <c r="D92" t="inlineStr">
        <is>
          <t>Chen</t>
        </is>
      </c>
      <c r="E92" t="inlineStr">
        <is>
          <t>Founder</t>
        </is>
      </c>
      <c r="H92" t="inlineStr">
        <is>
          <t>none</t>
        </is>
      </c>
      <c r="I92" t="inlineStr">
        <is>
          <t>linkedin</t>
        </is>
      </c>
      <c r="J92">
        <f>IF(AU92="pass",CM92+CN92+CO92+CP92+CQ92+CR92+CS92+CT92,0)</f>
        <v/>
      </c>
      <c r="K92" t="inlineStr">
        <is>
          <t>Brand based outside the Northeast, no graded store within ten blocks, online store only, news 43 days ago, revenue unknown, contact named; founder review: other.</t>
        </is>
      </c>
      <c r="M92" t="inlineStr">
        <is>
          <t>none found within ten blocks</t>
        </is>
      </c>
      <c r="N92" t="inlineStr">
        <is>
          <t>unverified</t>
        </is>
      </c>
      <c r="O92" t="inlineStr">
        <is>
          <t>Won 2026 Startup CPG Shelfie Award, Healthy Snack category</t>
        </is>
      </c>
      <c r="P92" t="inlineStr">
        <is>
          <t>https://startupcpg.com/startup-cpg-newswire-joey-nordic-seed-crisps-wins-2026-shelfie-award-in-the-health-snack-category/</t>
        </is>
      </c>
      <c r="Q92" t="inlineStr">
        <is>
          <t>2026-09-11</t>
        </is>
      </c>
      <c r="R92" t="inlineStr">
        <is>
          <t>N</t>
        </is>
      </c>
      <c r="S92" t="inlineStr">
        <is>
          <t>Y</t>
        </is>
      </c>
      <c r="T92" t="inlineStr">
        <is>
          <t>N</t>
        </is>
      </c>
      <c r="U92" t="inlineStr">
        <is>
          <t>new</t>
        </is>
      </c>
      <c r="V92" t="inlineStr">
        <is>
          <t>https://joeynordicseedcrisps.com/pages/our-founder</t>
        </is>
      </c>
      <c r="W92" t="inlineStr">
        <is>
          <t>2026-10-23</t>
        </is>
      </c>
      <c r="X92" t="inlineStr">
        <is>
          <t>brand</t>
        </is>
      </c>
      <c r="Y92">
        <f>IF(EB92&lt;&gt;"Y","",COUNTIFS($EB$2:$EB$1000,"Y",$J$2:$J$1000,"&gt;"&amp;J92)+COUNTIFS($EB$2:$EB$1000,"Y",$J$2:$J$1000,J92,$ED$2:$ED$1000,"&lt;"&amp;ED92)+1)</f>
        <v/>
      </c>
      <c r="Z92" t="n">
        <v>91</v>
      </c>
      <c r="AA92" t="inlineStr">
        <is>
          <t>N</t>
        </is>
      </c>
      <c r="AB92" t="inlineStr">
        <is>
          <t>find Joseph Chen at Jöey Nordic Seed Crisps on LinkedIn and paste the profile URL; founder review (other): read founder_review_reason first</t>
        </is>
      </c>
      <c r="AC92" t="inlineStr">
        <is>
          <t>founder</t>
        </is>
      </c>
      <c r="AD92" t="inlineStr">
        <is>
          <t>verified-page</t>
        </is>
      </c>
      <c r="AE92" t="inlineStr">
        <is>
          <t>employer's own site</t>
        </is>
      </c>
      <c r="AF92" t="inlineStr">
        <is>
          <t>https://joeynordicseedcrisps.com/pages/our-founder</t>
        </is>
      </c>
      <c r="AG92" t="inlineStr">
        <is>
          <t>2026-10-23</t>
        </is>
      </c>
      <c r="AH92" t="inlineStr">
        <is>
          <t>Jöey Rosemary &amp; Black Pepper Nordic Seed Crisps</t>
        </is>
      </c>
      <c r="AI92" t="inlineStr">
        <is>
          <t>crackers-pretzels</t>
        </is>
      </c>
      <c r="AJ92" t="inlineStr">
        <is>
          <t>Toronto</t>
        </is>
      </c>
      <c r="AK92" t="inlineStr">
        <is>
          <t>https://joeynordicseedcrisps.com</t>
        </is>
      </c>
      <c r="AL92" t="inlineStr">
        <is>
          <t>Y</t>
        </is>
      </c>
      <c r="AM92" t="inlineStr">
        <is>
          <t>Canadian brand (Toronto); US shipping of 275 units and US product liability coverage need checking</t>
        </is>
      </c>
      <c r="AN92" t="inlineStr">
        <is>
          <t>AB-011</t>
        </is>
      </c>
      <c r="AO92" t="inlineStr">
        <is>
          <t>N</t>
        </is>
      </c>
      <c r="AR92">
        <f>IF(AND(AU92="pass",AO92&lt;&gt;"Y",C92&lt;&gt;""),"Y","N")</f>
        <v/>
      </c>
      <c r="AS92">
        <f>_xlfn.TEXTJOIN("; ",TRUE,IF(AU92&lt;&gt;"pass","gated out",""),IF(AO92="Y","on hold: "&amp;AP92,""),IF(C92="","no contact named on an opened page",""))</f>
        <v/>
      </c>
      <c r="AU92" t="inlineStr">
        <is>
          <t>pass</t>
        </is>
      </c>
      <c r="AW92" t="inlineStr">
        <is>
          <t>passes all hard gates</t>
        </is>
      </c>
      <c r="AX92" t="inlineStr">
        <is>
          <t>other</t>
        </is>
      </c>
      <c r="AY92" t="inlineStr">
        <is>
          <t>https://joeynordicseedcrisps.com</t>
        </is>
      </c>
      <c r="AZ92" t="inlineStr">
        <is>
          <t>ON (Canada)</t>
        </is>
      </c>
      <c r="BA92" t="inlineStr">
        <is>
          <t>elsewhere</t>
        </is>
      </c>
      <c r="BB92" t="inlineStr">
        <is>
          <t>unknown</t>
        </is>
      </c>
      <c r="BD92" t="inlineStr">
        <is>
          <t>Y</t>
        </is>
      </c>
      <c r="BE92" t="inlineStr">
        <is>
          <t>Brand wholesale FAQ: 'can be stored for 9 months (up to 274 days)' in a cool, dry place.</t>
        </is>
      </c>
      <c r="BF92" t="inlineStr">
        <is>
          <t>unknown</t>
        </is>
      </c>
      <c r="BG92" t="inlineStr">
        <is>
          <t>Y</t>
        </is>
      </c>
      <c r="BH92" t="inlineStr">
        <is>
          <t>unknown</t>
        </is>
      </c>
      <c r="BJ92" t="inlineStr">
        <is>
          <t>unknown</t>
        </is>
      </c>
      <c r="BK92" t="inlineStr">
        <is>
          <t>N</t>
        </is>
      </c>
      <c r="BL92" t="inlineStr">
        <is>
          <t>N</t>
        </is>
      </c>
      <c r="BO92" t="inlineStr">
        <is>
          <t>N</t>
        </is>
      </c>
      <c r="BP92" t="n">
        <v>0</v>
      </c>
      <c r="BR92" t="inlineStr">
        <is>
          <t>PopUp Grocer (brand_claim, unplaced)</t>
        </is>
      </c>
      <c r="BS92" t="inlineStr">
        <is>
          <t>PopUp Grocer (NYC); brand store locator</t>
        </is>
      </c>
      <c r="BT92" t="inlineStr">
        <is>
          <t>https://popupgrocer.com/pages/directory (availability 'NYC Flagship', 2026-10-23); https://popupgrocer.com/products/joey-nordic-seed-crisps</t>
        </is>
      </c>
      <c r="BU92" t="inlineStr">
        <is>
          <t>press</t>
        </is>
      </c>
      <c r="BV92" t="n">
        <v>43</v>
      </c>
      <c r="BW92" t="inlineStr">
        <is>
          <t>https://startupcpg.com/startup-cpg-newswire-joey-nordic-seed-crisps-wins-2026-shelfie-award-in-the-health-snack-category/</t>
        </is>
      </c>
      <c r="BX92" t="inlineStr">
        <is>
          <t>Joseph Chen</t>
        </is>
      </c>
      <c r="CA92" t="inlineStr">
        <is>
          <t>Zach Goodwin</t>
        </is>
      </c>
      <c r="CB92" t="inlineStr">
        <is>
          <t>Zach</t>
        </is>
      </c>
      <c r="CC92" t="inlineStr">
        <is>
          <t>Goodwin</t>
        </is>
      </c>
      <c r="CD92" t="inlineStr">
        <is>
          <t>Press contact named on release</t>
        </is>
      </c>
      <c r="CE92" t="inlineStr">
        <is>
          <t>marketing</t>
        </is>
      </c>
      <c r="CF92" t="inlineStr">
        <is>
          <t>verified-page</t>
        </is>
      </c>
      <c r="CK92" t="inlineStr">
        <is>
          <t>none</t>
        </is>
      </c>
      <c r="CL92" t="n">
        <v>45</v>
      </c>
      <c r="CM92" t="n">
        <v>6</v>
      </c>
      <c r="CN92" t="n">
        <v>3</v>
      </c>
      <c r="CO92" t="n">
        <v>15</v>
      </c>
      <c r="CP92" t="n">
        <v>5</v>
      </c>
      <c r="CQ92" t="n">
        <v>8</v>
      </c>
      <c r="CR92" t="n">
        <v>10</v>
      </c>
      <c r="CS92">
        <f>IF(R92="Y",10,0)</f>
        <v/>
      </c>
      <c r="CT92" t="n">
        <v>-2</v>
      </c>
      <c r="CU92" t="inlineStr">
        <is>
          <t>https://instagram.com/joeyseedcrisps</t>
        </is>
      </c>
      <c r="CV92" t="inlineStr">
        <is>
          <t>BR1</t>
        </is>
      </c>
      <c r="CW92" t="inlineStr">
        <is>
          <t>BR1:12</t>
        </is>
      </c>
      <c r="CX92" t="inlineStr">
        <is>
          <t>Founder previously worked at Kraft, Unilever, Hershey, McDonald's, Mondelez (founder page). Release datelined Toronto ON.</t>
        </is>
      </c>
      <c r="CY92" t="inlineStr">
        <is>
          <t xml:space="preserve">shelf_stable_basis &lt;- https://joeynordicseedcrisps.com/pages/wholesale (2026-10-24, opened); </t>
        </is>
      </c>
      <c r="CZ92" t="inlineStr">
        <is>
          <t>https://startupcpg.com/startup-cpg-newswire-joey-nordic-seed-crisps-wins-2026-shelfie-award-in-the-health-snack-category/</t>
        </is>
      </c>
      <c r="DA92" t="inlineStr">
        <is>
          <t>stage 1 only</t>
        </is>
      </c>
      <c r="DC92" t="inlineStr">
        <is>
          <t>press, event or podcast page</t>
        </is>
      </c>
      <c r="DY92">
        <f>IF(ISNUMBER(MATCH(U92,{"queued","contacted","replied","call_booked","call_done","yes_in_principle","materials_sent"},0)),"Y","N")</f>
        <v/>
      </c>
      <c r="DZ92">
        <f>IF(COUNTIFS($AN$2:$AN$1000,AN92,$DY$2:$DY$1000,"Y")+COUNTIFS($AN$2:$AN$1000,AN92,$T$2:$T$1000,"Y")&gt;0,"Y","N")</f>
        <v/>
      </c>
      <c r="EA92">
        <f>IF(AND(U92="new",T92="N",AR92="Y",AQ92="",DZ92="N"),"Y","N")</f>
        <v/>
      </c>
      <c r="EB92">
        <f>IF(EA92&lt;&gt;"Y","N",IF(COUNTIFS($AN$2:$AN$1000,AN92,$EA$2:$EA$1000,"Y",$J$2:$J$1000,"&gt;"&amp;J92)+COUNTIFS($AN$2:$AN$1000,AN92,$EA$2:$EA$1000,"Y",$J$2:$J$1000,J92,$ED$2:$ED$1000,"&lt;"&amp;ED92)=0,"Y","N"))</f>
        <v/>
      </c>
      <c r="EC92">
        <f>IF(Y92="","N",IF(Y92&lt;=10,"Y","N"))</f>
        <v/>
      </c>
      <c r="ED92">
        <f>ROW()-1</f>
        <v/>
      </c>
    </row>
    <row r="93">
      <c r="A93" t="inlineStr">
        <is>
          <t>AB-056</t>
        </is>
      </c>
      <c r="B93" t="inlineStr">
        <is>
          <t>Stellar Snacks</t>
        </is>
      </c>
      <c r="C93" t="inlineStr">
        <is>
          <t>Elisabeth</t>
        </is>
      </c>
      <c r="D93" t="inlineStr">
        <is>
          <t>Galvin</t>
        </is>
      </c>
      <c r="E93" t="inlineStr">
        <is>
          <t>Founder</t>
        </is>
      </c>
      <c r="H93" t="inlineStr">
        <is>
          <t>none</t>
        </is>
      </c>
      <c r="I93" t="inlineStr">
        <is>
          <t>linkedin</t>
        </is>
      </c>
      <c r="J93">
        <f>IF(AU93="pass",CM93+CN93+CO93+CP93+CQ93+CR93+CS93+CT93,0)</f>
        <v/>
      </c>
      <c r="K93" t="inlineStr">
        <is>
          <t>Brand based outside the Northeast, no graded store within ten blocks, online store only, news 65 days ago, revenue unknown, contact named; founder review: other.</t>
        </is>
      </c>
      <c r="M93" t="inlineStr">
        <is>
          <t>none found within ten blocks</t>
        </is>
      </c>
      <c r="N93" t="inlineStr">
        <is>
          <t>unverified</t>
        </is>
      </c>
      <c r="O93" t="inlineStr">
        <is>
          <t>Trade-press interview on pretzel growth and new flavors</t>
        </is>
      </c>
      <c r="P93" t="inlineStr">
        <is>
          <t>https://www.snackandbakery.com/articles/116213-stellar-snacks-cofounders-rosy-about-the-future-of-pretzels</t>
        </is>
      </c>
      <c r="Q93" t="inlineStr">
        <is>
          <t>2026-08-20</t>
        </is>
      </c>
      <c r="R93" t="inlineStr">
        <is>
          <t>N</t>
        </is>
      </c>
      <c r="S93" t="inlineStr">
        <is>
          <t>unknown</t>
        </is>
      </c>
      <c r="T93" t="inlineStr">
        <is>
          <t>N</t>
        </is>
      </c>
      <c r="U93" t="inlineStr">
        <is>
          <t>new</t>
        </is>
      </c>
      <c r="V93" t="inlineStr">
        <is>
          <t>https://www.snackandbakery.com/articles/116213-stellar-snacks-cofounders-rosy-about-the-future-of-pretzels</t>
        </is>
      </c>
      <c r="W93" t="inlineStr">
        <is>
          <t>2026-10-23</t>
        </is>
      </c>
      <c r="X93" t="inlineStr">
        <is>
          <t>brand</t>
        </is>
      </c>
      <c r="Y93">
        <f>IF(EB93&lt;&gt;"Y","",COUNTIFS($EB$2:$EB$1000,"Y",$J$2:$J$1000,"&gt;"&amp;J93)+COUNTIFS($EB$2:$EB$1000,"Y",$J$2:$J$1000,J93,$ED$2:$ED$1000,"&lt;"&amp;ED93)+1)</f>
        <v/>
      </c>
      <c r="Z93" t="n">
        <v>92</v>
      </c>
      <c r="AA93" t="inlineStr">
        <is>
          <t>N</t>
        </is>
      </c>
      <c r="AB93" t="inlineStr">
        <is>
          <t>find Elisabeth Galvin at Stellar Snacks on LinkedIn and paste the profile URL; founder review (other): read founder_review_reason first</t>
        </is>
      </c>
      <c r="AC93" t="inlineStr">
        <is>
          <t>founder</t>
        </is>
      </c>
      <c r="AD93" t="inlineStr">
        <is>
          <t>verified-page</t>
        </is>
      </c>
      <c r="AE93" t="inlineStr">
        <is>
          <t>press, event or podcast page</t>
        </is>
      </c>
      <c r="AF93" t="inlineStr">
        <is>
          <t>https://www.snackandbakery.com/articles/116213-stellar-snacks-cofounders-rosy-about-the-future-of-pretzels</t>
        </is>
      </c>
      <c r="AG93" t="inlineStr">
        <is>
          <t>2026-10-23</t>
        </is>
      </c>
      <c r="AH93" t="inlineStr">
        <is>
          <t>Stellar Snacks clean-label pretzels (flavored)</t>
        </is>
      </c>
      <c r="AI93" t="inlineStr">
        <is>
          <t>crackers-pretzels</t>
        </is>
      </c>
      <c r="AJ93" t="inlineStr">
        <is>
          <t>Carson City</t>
        </is>
      </c>
      <c r="AK93" t="inlineStr">
        <is>
          <t>https://stellarsnacks.com/collections/all</t>
        </is>
      </c>
      <c r="AL93" t="inlineStr">
        <is>
          <t>Y</t>
        </is>
      </c>
      <c r="AM93" t="inlineStr">
        <is>
          <t>Only one trade article opened; site, HQ, retail and pack sizes unconfirmed</t>
        </is>
      </c>
      <c r="AN93" t="inlineStr">
        <is>
          <t>AB-056</t>
        </is>
      </c>
      <c r="AO93" t="inlineStr">
        <is>
          <t>N</t>
        </is>
      </c>
      <c r="AR93">
        <f>IF(AND(AU93="pass",AO93&lt;&gt;"Y",C93&lt;&gt;""),"Y","N")</f>
        <v/>
      </c>
      <c r="AS93">
        <f>_xlfn.TEXTJOIN("; ",TRUE,IF(AU93&lt;&gt;"pass","gated out",""),IF(AO93="Y","on hold: "&amp;AP93,""),IF(C93="","no contact named on an opened page",""))</f>
        <v/>
      </c>
      <c r="AU93" t="inlineStr">
        <is>
          <t>pass</t>
        </is>
      </c>
      <c r="AW93" t="inlineStr">
        <is>
          <t>passes all hard gates</t>
        </is>
      </c>
      <c r="AX93" t="inlineStr">
        <is>
          <t>other</t>
        </is>
      </c>
      <c r="AY93" t="inlineStr">
        <is>
          <t>https://stellarsnacks.com</t>
        </is>
      </c>
      <c r="AZ93" t="inlineStr">
        <is>
          <t>NV</t>
        </is>
      </c>
      <c r="BA93" t="inlineStr">
        <is>
          <t>elsewhere</t>
        </is>
      </c>
      <c r="BB93" t="inlineStr">
        <is>
          <t>unknown</t>
        </is>
      </c>
      <c r="BD93" t="inlineStr">
        <is>
          <t>Y</t>
        </is>
      </c>
      <c r="BE93" t="inlineStr">
        <is>
          <t>Baked pretzels, ambient</t>
        </is>
      </c>
      <c r="BF93" t="inlineStr">
        <is>
          <t>unknown</t>
        </is>
      </c>
      <c r="BG93" t="inlineStr">
        <is>
          <t>Y</t>
        </is>
      </c>
      <c r="BH93" t="inlineStr">
        <is>
          <t>unknown</t>
        </is>
      </c>
      <c r="BJ93" t="inlineStr">
        <is>
          <t>unknown</t>
        </is>
      </c>
      <c r="BK93" t="inlineStr">
        <is>
          <t>N</t>
        </is>
      </c>
      <c r="BL93" t="inlineStr">
        <is>
          <t>N</t>
        </is>
      </c>
      <c r="BO93" t="inlineStr">
        <is>
          <t>N</t>
        </is>
      </c>
      <c r="BP93" t="n">
        <v>0</v>
      </c>
      <c r="BS93" t="inlineStr">
        <is>
          <t>unknown</t>
        </is>
      </c>
      <c r="BU93" t="inlineStr">
        <is>
          <t>press</t>
        </is>
      </c>
      <c r="BV93" t="n">
        <v>65</v>
      </c>
      <c r="BX93" t="inlineStr">
        <is>
          <t>Elisabeth Galvin</t>
        </is>
      </c>
      <c r="CA93" t="inlineStr">
        <is>
          <t>Andy Yee</t>
        </is>
      </c>
      <c r="CB93" t="inlineStr">
        <is>
          <t>Andy</t>
        </is>
      </c>
      <c r="CC93" t="inlineStr">
        <is>
          <t>Yee</t>
        </is>
      </c>
      <c r="CD93" t="inlineStr">
        <is>
          <t>Senior Brand Manager</t>
        </is>
      </c>
      <c r="CE93" t="inlineStr">
        <is>
          <t>marketing</t>
        </is>
      </c>
      <c r="CF93" t="inlineStr">
        <is>
          <t>verified-page</t>
        </is>
      </c>
      <c r="CK93" t="inlineStr">
        <is>
          <t>none</t>
        </is>
      </c>
      <c r="CL93" t="n">
        <v>45</v>
      </c>
      <c r="CM93" t="n">
        <v>6</v>
      </c>
      <c r="CN93" t="n">
        <v>3</v>
      </c>
      <c r="CO93" t="n">
        <v>15</v>
      </c>
      <c r="CP93" t="n">
        <v>5</v>
      </c>
      <c r="CQ93" t="n">
        <v>8</v>
      </c>
      <c r="CR93" t="n">
        <v>10</v>
      </c>
      <c r="CS93">
        <f>IF(R93="Y",10,0)</f>
        <v/>
      </c>
      <c r="CT93" t="n">
        <v>-2</v>
      </c>
      <c r="CU93" t="inlineStr">
        <is>
          <t>unknown</t>
        </is>
      </c>
      <c r="CV93" t="inlineStr">
        <is>
          <t>BR1</t>
        </is>
      </c>
      <c r="CW93" t="inlineStr">
        <is>
          <t>BR1:57</t>
        </is>
      </c>
      <c r="CX93" t="inlineStr">
        <is>
          <t>Thin row; keep only if a second pass confirms NYC buy path. | Stage 1 online-store check 2026-10-24: Shopify store: products.json lists 21 products, 20 variants available (https://stellarsnacks.com/products.json)</t>
        </is>
      </c>
      <c r="CY93" t="inlineStr">
        <is>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is>
      </c>
      <c r="CZ93" t="inlineStr">
        <is>
          <t>https://stellarsnacks.com/pages/about</t>
        </is>
      </c>
      <c r="DA93" t="inlineStr">
        <is>
          <t>stage 1 only</t>
        </is>
      </c>
      <c r="DC93" t="inlineStr">
        <is>
          <t>employer's own site</t>
        </is>
      </c>
      <c r="DY93">
        <f>IF(ISNUMBER(MATCH(U93,{"queued","contacted","replied","call_booked","call_done","yes_in_principle","materials_sent"},0)),"Y","N")</f>
        <v/>
      </c>
      <c r="DZ93">
        <f>IF(COUNTIFS($AN$2:$AN$1000,AN93,$DY$2:$DY$1000,"Y")+COUNTIFS($AN$2:$AN$1000,AN93,$T$2:$T$1000,"Y")&gt;0,"Y","N")</f>
        <v/>
      </c>
      <c r="EA93">
        <f>IF(AND(U93="new",T93="N",AR93="Y",AQ93="",DZ93="N"),"Y","N")</f>
        <v/>
      </c>
      <c r="EB93">
        <f>IF(EA93&lt;&gt;"Y","N",IF(COUNTIFS($AN$2:$AN$1000,AN93,$EA$2:$EA$1000,"Y",$J$2:$J$1000,"&gt;"&amp;J93)+COUNTIFS($AN$2:$AN$1000,AN93,$EA$2:$EA$1000,"Y",$J$2:$J$1000,J93,$ED$2:$ED$1000,"&lt;"&amp;ED93)=0,"Y","N"))</f>
        <v/>
      </c>
      <c r="EC93">
        <f>IF(Y93="","N",IF(Y93&lt;=10,"Y","N"))</f>
        <v/>
      </c>
      <c r="ED93">
        <f>ROW()-1</f>
        <v/>
      </c>
    </row>
    <row r="94">
      <c r="A94" t="inlineStr">
        <is>
          <t>AB-267</t>
        </is>
      </c>
      <c r="B94" t="inlineStr">
        <is>
          <t>Heartland NY Popcorn</t>
        </is>
      </c>
      <c r="H94" t="inlineStr">
        <is>
          <t>none</t>
        </is>
      </c>
      <c r="J94">
        <f>IF(AU94="pass",CM94+CN94+CO94+CP94+CQ94+CR94+CS94+CT94,0)</f>
        <v/>
      </c>
      <c r="K94" t="inlineStr">
        <is>
          <t>New York City brand, no graded store within ten blocks, online store only, a new store listing 121 days ago, revenue unknown, no contact named; founder review: claim-borderline.</t>
        </is>
      </c>
      <c r="M94" t="inlineStr">
        <is>
          <t>none found within ten blocks</t>
        </is>
      </c>
      <c r="N94" t="inlineStr">
        <is>
          <t>unverified</t>
        </is>
      </c>
      <c r="O94" t="inlineStr">
        <is>
          <t>Launched its own-brand popcorn line (six flavors) in June 2026 and showed it at the 2026 Summer Fancy Food Show</t>
        </is>
      </c>
      <c r="P94" t="inlineStr">
        <is>
          <t>https://heartlandnystore.com/products.json</t>
        </is>
      </c>
      <c r="Q94" t="inlineStr">
        <is>
          <t>2026-06-25</t>
        </is>
      </c>
      <c r="R94" t="inlineStr">
        <is>
          <t>N</t>
        </is>
      </c>
      <c r="S94" t="inlineStr">
        <is>
          <t>unknown</t>
        </is>
      </c>
      <c r="T94" t="inlineStr">
        <is>
          <t>N</t>
        </is>
      </c>
      <c r="U94" t="inlineStr">
        <is>
          <t>new</t>
        </is>
      </c>
      <c r="V94" t="inlineStr">
        <is>
          <t>https://events.specialtyfood.com/event/2026-summer-fancy-food-show/exhibitor/RXhoaWJpdG9yXzI0NTQwOTM=</t>
        </is>
      </c>
      <c r="W94" t="inlineStr">
        <is>
          <t>2026-10-24</t>
        </is>
      </c>
      <c r="X94" t="inlineStr">
        <is>
          <t>brand</t>
        </is>
      </c>
      <c r="Y94">
        <f>IF(EB94&lt;&gt;"Y","",COUNTIFS($EB$2:$EB$1000,"Y",$J$2:$J$1000,"&gt;"&amp;J94)+COUNTIFS($EB$2:$EB$1000,"Y",$J$2:$J$1000,J94,$ED$2:$ED$1000,"&lt;"&amp;ED94)+1)</f>
        <v/>
      </c>
      <c r="Z94" t="n">
        <v>93</v>
      </c>
      <c r="AA94" t="inlineStr">
        <is>
          <t>N</t>
        </is>
      </c>
      <c r="AB94" t="inlineStr">
        <is>
          <t>no person named on an opened page: not ready; founder review (claim-borderline): read founder_review_reason first</t>
        </is>
      </c>
      <c r="AD94" t="inlineStr">
        <is>
          <t>none</t>
        </is>
      </c>
      <c r="AH94" t="inlineStr">
        <is>
          <t>Heartland NY Matcha Popcorn, 50 g (1.76 oz) bag</t>
        </is>
      </c>
      <c r="AI94" t="inlineStr">
        <is>
          <t>popcorn-puffs</t>
        </is>
      </c>
      <c r="AJ94" t="inlineStr">
        <is>
          <t>Flushing (Queens)</t>
        </is>
      </c>
      <c r="AK94" t="inlineStr">
        <is>
          <t>https://heartlandnystore.com/products/heartland-ny-matcha-popcorn</t>
        </is>
      </c>
      <c r="AL94" t="inlineStr">
        <is>
          <t>Y</t>
        </is>
      </c>
      <c r="AM94" t="inlineStr">
        <is>
          <t>Made in Taiwan and sold by a Flushing vegetarian grocery under its own label; check whether it can ship 275 units and has US product liability cover. Seaweed SKU carries a '7g protein' nutrient claim (use a different SKU or review)</t>
        </is>
      </c>
      <c r="AN94" t="inlineStr">
        <is>
          <t>AB-267</t>
        </is>
      </c>
      <c r="AO94" t="inlineStr">
        <is>
          <t>N</t>
        </is>
      </c>
      <c r="AR94">
        <f>IF(AND(AU94="pass",AO94&lt;&gt;"Y",C94&lt;&gt;""),"Y","N")</f>
        <v/>
      </c>
      <c r="AS94">
        <f>_xlfn.TEXTJOIN("; ",TRUE,IF(AU94&lt;&gt;"pass","gated out",""),IF(AO94="Y","on hold: "&amp;AP94,""),IF(C94="","no contact named on an opened page",""))</f>
        <v/>
      </c>
      <c r="AU94" t="inlineStr">
        <is>
          <t>pass</t>
        </is>
      </c>
      <c r="AW94" t="inlineStr">
        <is>
          <t>passes all hard gates</t>
        </is>
      </c>
      <c r="AX94" t="inlineStr">
        <is>
          <t>claim-borderline</t>
        </is>
      </c>
      <c r="AY94" t="inlineStr">
        <is>
          <t>https://heartlandnystore.com</t>
        </is>
      </c>
      <c r="AZ94" t="inlineStr">
        <is>
          <t>NY</t>
        </is>
      </c>
      <c r="BA94" t="inlineStr">
        <is>
          <t>nyc</t>
        </is>
      </c>
      <c r="BB94" t="inlineStr">
        <is>
          <t>unknown</t>
        </is>
      </c>
      <c r="BD94" t="inlineStr">
        <is>
          <t>Y</t>
        </is>
      </c>
      <c r="BE94" t="inlineStr">
        <is>
          <t>Product page states 'Shelf Life: One Year'; sealed 50 g bag; allergen statement (soy, shared facility) printed on page</t>
        </is>
      </c>
      <c r="BF94" t="inlineStr">
        <is>
          <t>Y</t>
        </is>
      </c>
      <c r="BG94" t="inlineStr">
        <is>
          <t>Y</t>
        </is>
      </c>
      <c r="BH94" t="inlineStr">
        <is>
          <t>unknown</t>
        </is>
      </c>
      <c r="BJ94" t="inlineStr">
        <is>
          <t>No sourced sales figure found</t>
        </is>
      </c>
      <c r="BK94" t="inlineStr">
        <is>
          <t>N</t>
        </is>
      </c>
      <c r="BL94" t="inlineStr">
        <is>
          <t>N</t>
        </is>
      </c>
      <c r="BO94" t="inlineStr">
        <is>
          <t>N</t>
        </is>
      </c>
      <c r="BP94" t="n">
        <v>0</v>
      </c>
      <c r="BS94" t="inlineStr">
        <is>
          <t>Own Heartland NY store (Flushing) and online store</t>
        </is>
      </c>
      <c r="BU94" t="inlineStr">
        <is>
          <t>listing</t>
        </is>
      </c>
      <c r="BV94" t="n">
        <v>121</v>
      </c>
      <c r="CF94" t="inlineStr">
        <is>
          <t>none</t>
        </is>
      </c>
      <c r="CK94" t="inlineStr">
        <is>
          <t>none</t>
        </is>
      </c>
      <c r="CL94" t="n">
        <v>45</v>
      </c>
      <c r="CM94" t="n">
        <v>6</v>
      </c>
      <c r="CN94" t="n">
        <v>20</v>
      </c>
      <c r="CO94" t="n">
        <v>8</v>
      </c>
      <c r="CP94" t="n">
        <v>5</v>
      </c>
      <c r="CQ94" t="n">
        <v>10</v>
      </c>
      <c r="CR94" t="n">
        <v>0</v>
      </c>
      <c r="CS94">
        <f>IF(R94="Y",10,0)</f>
        <v/>
      </c>
      <c r="CT94" t="n">
        <v>-4</v>
      </c>
      <c r="CU94" t="inlineStr">
        <is>
          <t>https://www.instagram.com/heartlandny/</t>
        </is>
      </c>
      <c r="CV94" t="inlineStr">
        <is>
          <t>BR5</t>
        </is>
      </c>
      <c r="CW94" t="inlineStr">
        <is>
          <t>BR5:3</t>
        </is>
      </c>
      <c r="CX94" t="inlineStr">
        <is>
          <t>SFFS listing: 'based in Flushing NY... new product - Taiwan inspired fun flavors Popcorn'. Product pages say 'Product of Taiwan'. why_now date is Shopify published_at for the popcorn SKUs (opened 2026-10-24). Store is a retailer as well as the brand owner.</t>
        </is>
      </c>
      <c r="DA94" t="inlineStr">
        <is>
          <t>stage 1 only</t>
        </is>
      </c>
      <c r="DY94">
        <f>IF(ISNUMBER(MATCH(U94,{"queued","contacted","replied","call_booked","call_done","yes_in_principle","materials_sent"},0)),"Y","N")</f>
        <v/>
      </c>
      <c r="DZ94">
        <f>IF(COUNTIFS($AN$2:$AN$1000,AN94,$DY$2:$DY$1000,"Y")+COUNTIFS($AN$2:$AN$1000,AN94,$T$2:$T$1000,"Y")&gt;0,"Y","N")</f>
        <v/>
      </c>
      <c r="EA94">
        <f>IF(AND(U94="new",T94="N",AR94="Y",AQ94="",DZ94="N"),"Y","N")</f>
        <v/>
      </c>
      <c r="EB94">
        <f>IF(EA94&lt;&gt;"Y","N",IF(COUNTIFS($AN$2:$AN$1000,AN94,$EA$2:$EA$1000,"Y",$J$2:$J$1000,"&gt;"&amp;J94)+COUNTIFS($AN$2:$AN$1000,AN94,$EA$2:$EA$1000,"Y",$J$2:$J$1000,J94,$ED$2:$ED$1000,"&lt;"&amp;ED94)=0,"Y","N"))</f>
        <v/>
      </c>
      <c r="EC94">
        <f>IF(Y94="","N",IF(Y94&lt;=10,"Y","N"))</f>
        <v/>
      </c>
      <c r="ED94">
        <f>ROW()-1</f>
        <v/>
      </c>
    </row>
    <row r="95">
      <c r="A95" t="inlineStr">
        <is>
          <t>AB-126</t>
        </is>
      </c>
      <c r="B95" t="inlineStr">
        <is>
          <t>MarieBelle New York</t>
        </is>
      </c>
      <c r="C95" t="inlineStr">
        <is>
          <t>Maribel</t>
        </is>
      </c>
      <c r="D95" t="inlineStr">
        <is>
          <t>Lieberman</t>
        </is>
      </c>
      <c r="E95" t="inlineStr">
        <is>
          <t>Founder</t>
        </is>
      </c>
      <c r="H95" t="inlineStr">
        <is>
          <t>none</t>
        </is>
      </c>
      <c r="I95" t="inlineStr">
        <is>
          <t>linkedin</t>
        </is>
      </c>
      <c r="J95">
        <f>IF(AU95="pass",CM95+CN95+CO95+CP95+CQ95+CR95+CS95+CT95,0)</f>
        <v/>
      </c>
      <c r="K95" t="inlineStr">
        <is>
          <t>New York City brand, no graded store within ten blocks, online store only, news 255 days ago, revenue unknown, contact named; founder review: not-emerging.</t>
        </is>
      </c>
      <c r="M95" t="inlineStr">
        <is>
          <t>none found within ten blocks</t>
        </is>
      </c>
      <c r="N95" t="inlineStr">
        <is>
          <t>unverified</t>
        </is>
      </c>
      <c r="O95" t="inlineStr">
        <is>
          <t>Unveiled Valentine's Day 2026 collection (ganache boxes, truffles, bars)</t>
        </is>
      </c>
      <c r="P95" t="inlineStr">
        <is>
          <t>https://www.snackandbakery.com/articles/115193-mariebelle-new-york-unwraps-its-valentines-collection</t>
        </is>
      </c>
      <c r="Q95" t="inlineStr">
        <is>
          <t>2026-02-11</t>
        </is>
      </c>
      <c r="R95" t="inlineStr">
        <is>
          <t>N</t>
        </is>
      </c>
      <c r="S95" t="inlineStr">
        <is>
          <t>unknown</t>
        </is>
      </c>
      <c r="T95" t="inlineStr">
        <is>
          <t>N</t>
        </is>
      </c>
      <c r="U95" t="inlineStr">
        <is>
          <t>new</t>
        </is>
      </c>
      <c r="V95" t="inlineStr">
        <is>
          <t>https://mariebelle.com/pages/faqs</t>
        </is>
      </c>
      <c r="W95" t="inlineStr">
        <is>
          <t>2026-10-23</t>
        </is>
      </c>
      <c r="X95" t="inlineStr">
        <is>
          <t>brand</t>
        </is>
      </c>
      <c r="Y95">
        <f>IF(EB95&lt;&gt;"Y","",COUNTIFS($EB$2:$EB$1000,"Y",$J$2:$J$1000,"&gt;"&amp;J95)+COUNTIFS($EB$2:$EB$1000,"Y",$J$2:$J$1000,J95,$ED$2:$ED$1000,"&lt;"&amp;ED95)+1)</f>
        <v/>
      </c>
      <c r="Z95" t="n">
        <v>94</v>
      </c>
      <c r="AA95" t="inlineStr">
        <is>
          <t>N</t>
        </is>
      </c>
      <c r="AB95" t="inlineStr">
        <is>
          <t>find Maribel Lieberman at MarieBelle New York on LinkedIn and paste the profile URL; founder review (not-emerging): read founder_review_reason first</t>
        </is>
      </c>
      <c r="AC95" t="inlineStr">
        <is>
          <t>founder</t>
        </is>
      </c>
      <c r="AD95" t="inlineStr">
        <is>
          <t>verified-page</t>
        </is>
      </c>
      <c r="AE95" t="inlineStr">
        <is>
          <t>employer's own site</t>
        </is>
      </c>
      <c r="AF95" t="inlineStr">
        <is>
          <t>https://mariebelle.com/pages/our-story</t>
        </is>
      </c>
      <c r="AG95" t="inlineStr">
        <is>
          <t>2026-10-23</t>
        </is>
      </c>
      <c r="AH95" t="inlineStr">
        <is>
          <t>9g Cacao Market Mini Chocolate Bars; Grace Pin-Up Dark Chocolate Bar</t>
        </is>
      </c>
      <c r="AI95" t="inlineStr">
        <is>
          <t>chocolate-candy</t>
        </is>
      </c>
      <c r="AJ95" t="inlineStr">
        <is>
          <t>New York</t>
        </is>
      </c>
      <c r="AK95" t="inlineStr">
        <is>
          <t>https://mariebelle.com</t>
        </is>
      </c>
      <c r="AL95" t="inlineStr">
        <is>
          <t>Y</t>
        </is>
      </c>
      <c r="AM95" t="inlineStr">
        <is>
          <t>Luxury gift chocolatier (30+ years), not an emerging snack brand; only bars and minis meet the 60-day rule</t>
        </is>
      </c>
      <c r="AN95" t="inlineStr">
        <is>
          <t>AB-126</t>
        </is>
      </c>
      <c r="AO95" t="inlineStr">
        <is>
          <t>N</t>
        </is>
      </c>
      <c r="AR95">
        <f>IF(AND(AU95="pass",AO95&lt;&gt;"Y",C95&lt;&gt;""),"Y","N")</f>
        <v/>
      </c>
      <c r="AS95">
        <f>_xlfn.TEXTJOIN("; ",TRUE,IF(AU95&lt;&gt;"pass","gated out",""),IF(AO95="Y","on hold: "&amp;AP95,""),IF(C95="","no contact named on an opened page",""))</f>
        <v/>
      </c>
      <c r="AU95" t="inlineStr">
        <is>
          <t>pass</t>
        </is>
      </c>
      <c r="AW95" t="inlineStr">
        <is>
          <t>passes all hard gates</t>
        </is>
      </c>
      <c r="AX95" t="inlineStr">
        <is>
          <t>not-emerging</t>
        </is>
      </c>
      <c r="AY95" t="inlineStr">
        <is>
          <t>https://mariebelle.com</t>
        </is>
      </c>
      <c r="AZ95" t="inlineStr">
        <is>
          <t>NY</t>
        </is>
      </c>
      <c r="BA95" t="inlineStr">
        <is>
          <t>nyc</t>
        </is>
      </c>
      <c r="BB95" t="inlineStr">
        <is>
          <t>unknown</t>
        </is>
      </c>
      <c r="BD95" t="inlineStr">
        <is>
          <t>Y</t>
        </is>
      </c>
      <c r="BE95" t="inlineStr">
        <is>
          <t>Brand FAQ: chocolate bars have a shelf life of 2 years, caramels 6 months (ganache 6 weeks, brownies 1 week: exclude those)</t>
        </is>
      </c>
      <c r="BF95" t="inlineStr">
        <is>
          <t>Y</t>
        </is>
      </c>
      <c r="BG95" t="inlineStr">
        <is>
          <t>Y</t>
        </is>
      </c>
      <c r="BH95" t="inlineStr">
        <is>
          <t>unknown</t>
        </is>
      </c>
      <c r="BJ95" t="inlineStr">
        <is>
          <t>unknown</t>
        </is>
      </c>
      <c r="BK95" t="inlineStr">
        <is>
          <t>N</t>
        </is>
      </c>
      <c r="BL95" t="inlineStr">
        <is>
          <t>N</t>
        </is>
      </c>
      <c r="BO95" t="inlineStr">
        <is>
          <t>N</t>
        </is>
      </c>
      <c r="BP95" t="n">
        <v>0</v>
      </c>
      <c r="BS95" t="inlineStr">
        <is>
          <t>Own stores (brand FAQ 'Our Stores')</t>
        </is>
      </c>
      <c r="BT95" t="inlineStr">
        <is>
          <t>https://www.wholefoodsmarket.com/api/search?text=mariebelle&amp;store=10162&amp;limit=60&amp;offset=0</t>
        </is>
      </c>
      <c r="BU95" t="inlineStr">
        <is>
          <t>press</t>
        </is>
      </c>
      <c r="BV95" t="n">
        <v>255</v>
      </c>
      <c r="BX95" t="inlineStr">
        <is>
          <t>Maribel Lieberman</t>
        </is>
      </c>
      <c r="CF95" t="inlineStr">
        <is>
          <t>none</t>
        </is>
      </c>
      <c r="CK95" t="inlineStr">
        <is>
          <t>none</t>
        </is>
      </c>
      <c r="CL95" t="n">
        <v>45</v>
      </c>
      <c r="CM95" t="n">
        <v>6</v>
      </c>
      <c r="CN95" t="n">
        <v>20</v>
      </c>
      <c r="CO95" t="n">
        <v>8</v>
      </c>
      <c r="CP95" t="n">
        <v>5</v>
      </c>
      <c r="CQ95" t="n">
        <v>10</v>
      </c>
      <c r="CR95" t="n">
        <v>6</v>
      </c>
      <c r="CS95">
        <f>IF(R95="Y",10,0)</f>
        <v/>
      </c>
      <c r="CT95" t="n">
        <v>-10</v>
      </c>
      <c r="CU95" t="inlineStr">
        <is>
          <t>https://www.instagram.com/mariebelleofficial/</t>
        </is>
      </c>
      <c r="CV95" t="inlineStr">
        <is>
          <t>BR2</t>
        </is>
      </c>
      <c r="CW95" t="inlineStr">
        <is>
          <t>BR2:64</t>
        </is>
      </c>
      <c r="CX95" t="inlineStr">
        <is>
          <t>Not in WFM cluster catalogs. Why-now from Shopify publish dates.</t>
        </is>
      </c>
      <c r="CY95" t="inlineStr">
        <is>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is>
      </c>
      <c r="DA95" t="inlineStr">
        <is>
          <t>stage 1 only</t>
        </is>
      </c>
      <c r="DY95">
        <f>IF(ISNUMBER(MATCH(U95,{"queued","contacted","replied","call_booked","call_done","yes_in_principle","materials_sent"},0)),"Y","N")</f>
        <v/>
      </c>
      <c r="DZ95">
        <f>IF(COUNTIFS($AN$2:$AN$1000,AN95,$DY$2:$DY$1000,"Y")+COUNTIFS($AN$2:$AN$1000,AN95,$T$2:$T$1000,"Y")&gt;0,"Y","N")</f>
        <v/>
      </c>
      <c r="EA95">
        <f>IF(AND(U95="new",T95="N",AR95="Y",AQ95="",DZ95="N"),"Y","N")</f>
        <v/>
      </c>
      <c r="EB95">
        <f>IF(EA95&lt;&gt;"Y","N",IF(COUNTIFS($AN$2:$AN$1000,AN95,$EA$2:$EA$1000,"Y",$J$2:$J$1000,"&gt;"&amp;J95)+COUNTIFS($AN$2:$AN$1000,AN95,$EA$2:$EA$1000,"Y",$J$2:$J$1000,J95,$ED$2:$ED$1000,"&lt;"&amp;ED95)=0,"Y","N"))</f>
        <v/>
      </c>
      <c r="EC95">
        <f>IF(Y95="","N",IF(Y95&lt;=10,"Y","N"))</f>
        <v/>
      </c>
      <c r="ED95">
        <f>ROW()-1</f>
        <v/>
      </c>
    </row>
    <row r="96">
      <c r="A96" t="inlineStr">
        <is>
          <t>AB-280</t>
        </is>
      </c>
      <c r="B96" t="inlineStr">
        <is>
          <t>Sivaro Snacks</t>
        </is>
      </c>
      <c r="H96" t="inlineStr">
        <is>
          <t>none</t>
        </is>
      </c>
      <c r="J96">
        <f>IF(AU96="pass",CM96+CN96+CO96+CP96+CQ96+CR96+CS96+CT96,0)</f>
        <v/>
      </c>
      <c r="K96" t="inlineStr">
        <is>
          <t>New York City brand, no graded store within ten blocks, online store only, a new store listing 4 days ago, revenue unknown, no contact named; founder review: claim-borderline.</t>
        </is>
      </c>
      <c r="M96" t="inlineStr">
        <is>
          <t>none found within ten blocks</t>
        </is>
      </c>
      <c r="N96" t="inlineStr">
        <is>
          <t>unverified</t>
        </is>
      </c>
      <c r="O96" t="inlineStr">
        <is>
          <t>Launched limited-edition Pumpkin Spice Cashews</t>
        </is>
      </c>
      <c r="P96" t="inlineStr">
        <is>
          <t>https://www.thesivarosnacks.com/products.json</t>
        </is>
      </c>
      <c r="Q96" t="inlineStr">
        <is>
          <t>2026-10-20</t>
        </is>
      </c>
      <c r="R96" t="inlineStr">
        <is>
          <t>N</t>
        </is>
      </c>
      <c r="S96" t="inlineStr">
        <is>
          <t>unknown</t>
        </is>
      </c>
      <c r="T96" t="inlineStr">
        <is>
          <t>N</t>
        </is>
      </c>
      <c r="U96" t="inlineStr">
        <is>
          <t>new</t>
        </is>
      </c>
      <c r="V96" t="inlineStr">
        <is>
          <t>https://www.entrepreneurspace.org/clients</t>
        </is>
      </c>
      <c r="W96" t="inlineStr">
        <is>
          <t>2026-10-24</t>
        </is>
      </c>
      <c r="X96" t="inlineStr">
        <is>
          <t>brand</t>
        </is>
      </c>
      <c r="Y96">
        <f>IF(EB96&lt;&gt;"Y","",COUNTIFS($EB$2:$EB$1000,"Y",$J$2:$J$1000,"&gt;"&amp;J96)+COUNTIFS($EB$2:$EB$1000,"Y",$J$2:$J$1000,J96,$ED$2:$ED$1000,"&lt;"&amp;ED96)+1)</f>
        <v/>
      </c>
      <c r="Z96" t="n">
        <v>95</v>
      </c>
      <c r="AA96" t="inlineStr">
        <is>
          <t>N</t>
        </is>
      </c>
      <c r="AB96" t="inlineStr">
        <is>
          <t>no person named on an opened page: not ready; founder review (claim-borderline): read founder_review_reason first</t>
        </is>
      </c>
      <c r="AD96" t="inlineStr">
        <is>
          <t>none</t>
        </is>
      </c>
      <c r="AH96" t="inlineStr">
        <is>
          <t>Everything Bagel Cashews, seed-oil-free, 3.5 oz bag</t>
        </is>
      </c>
      <c r="AI96" t="inlineStr">
        <is>
          <t>nuts-seeds-trail</t>
        </is>
      </c>
      <c r="AJ96" t="inlineStr">
        <is>
          <t>Queens</t>
        </is>
      </c>
      <c r="AK96" t="inlineStr">
        <is>
          <t>https://www.thesivarosnacks.com</t>
        </is>
      </c>
      <c r="AL96" t="inlineStr">
        <is>
          <t>Y</t>
        </is>
      </c>
      <c r="AM96" t="inlineStr">
        <is>
          <t>Founder unnamed and no retailer list found. 'Seed oil free' and 'no added sulfites' are absence claims, not health claims, but check the pack</t>
        </is>
      </c>
      <c r="AN96" t="inlineStr">
        <is>
          <t>AB-280</t>
        </is>
      </c>
      <c r="AO96" t="inlineStr">
        <is>
          <t>N</t>
        </is>
      </c>
      <c r="AR96">
        <f>IF(AND(AU96="pass",AO96&lt;&gt;"Y",C96&lt;&gt;""),"Y","N")</f>
        <v/>
      </c>
      <c r="AS96">
        <f>_xlfn.TEXTJOIN("; ",TRUE,IF(AU96&lt;&gt;"pass","gated out",""),IF(AO96="Y","on hold: "&amp;AP96,""),IF(C96="","no contact named on an opened page",""))</f>
        <v/>
      </c>
      <c r="AU96" t="inlineStr">
        <is>
          <t>pass</t>
        </is>
      </c>
      <c r="AW96" t="inlineStr">
        <is>
          <t>passes all hard gates</t>
        </is>
      </c>
      <c r="AX96" t="inlineStr">
        <is>
          <t>claim-borderline</t>
        </is>
      </c>
      <c r="AY96" t="inlineStr">
        <is>
          <t>https://www.thesivarosnacks.com</t>
        </is>
      </c>
      <c r="AZ96" t="inlineStr">
        <is>
          <t>NY</t>
        </is>
      </c>
      <c r="BA96" t="inlineStr">
        <is>
          <t>nyc</t>
        </is>
      </c>
      <c r="BB96" t="inlineStr">
        <is>
          <t>unknown</t>
        </is>
      </c>
      <c r="BD96" t="inlineStr">
        <is>
          <t>Y</t>
        </is>
      </c>
      <c r="BE96" t="inlineStr">
        <is>
          <t>Maple-roasted nuts and unsulfured dried fruit in sealed 3.5 oz and 5 oz bags; shelf life not stated</t>
        </is>
      </c>
      <c r="BF96" t="inlineStr">
        <is>
          <t>Y</t>
        </is>
      </c>
      <c r="BG96" t="inlineStr">
        <is>
          <t>Y</t>
        </is>
      </c>
      <c r="BH96" t="inlineStr">
        <is>
          <t>unknown</t>
        </is>
      </c>
      <c r="BJ96" t="inlineStr">
        <is>
          <t>No sourced sales figure found</t>
        </is>
      </c>
      <c r="BK96" t="inlineStr">
        <is>
          <t>N</t>
        </is>
      </c>
      <c r="BL96" t="inlineStr">
        <is>
          <t>N</t>
        </is>
      </c>
      <c r="BO96" t="inlineStr">
        <is>
          <t>N</t>
        </is>
      </c>
      <c r="BP96" t="n">
        <v>0</v>
      </c>
      <c r="BS96" t="inlineStr">
        <is>
          <t>unknown</t>
        </is>
      </c>
      <c r="BU96" t="inlineStr">
        <is>
          <t>listing</t>
        </is>
      </c>
      <c r="BV96" t="n">
        <v>4</v>
      </c>
      <c r="CF96" t="inlineStr">
        <is>
          <t>none</t>
        </is>
      </c>
      <c r="CK96" t="inlineStr">
        <is>
          <t>none</t>
        </is>
      </c>
      <c r="CL96" t="n">
        <v>45</v>
      </c>
      <c r="CM96" t="n">
        <v>6</v>
      </c>
      <c r="CN96" t="n">
        <v>20</v>
      </c>
      <c r="CO96" t="n">
        <v>8</v>
      </c>
      <c r="CP96" t="n">
        <v>5</v>
      </c>
      <c r="CQ96" t="n">
        <v>10</v>
      </c>
      <c r="CR96" t="n">
        <v>0</v>
      </c>
      <c r="CS96">
        <f>IF(R96="Y",10,0)</f>
        <v/>
      </c>
      <c r="CT96" t="n">
        <v>-4</v>
      </c>
      <c r="CU96" t="inlineStr">
        <is>
          <t>https://www.instagram.com/sivarosnacks/</t>
        </is>
      </c>
      <c r="CV96" t="inlineStr">
        <is>
          <t>BR5</t>
        </is>
      </c>
      <c r="CW96" t="inlineStr">
        <is>
          <t>BR5:16</t>
        </is>
      </c>
      <c r="CX96" t="inlineStr">
        <is>
          <t>Entrepreneur Space current client: 'Sivaro Snacks, Nuts and Dried Fruits'. Homepage: 'Queens family business · MWBE · ACDBE · NMSDC', 'hand-packed in Queens'. why_now date is Shopify published_at.</t>
        </is>
      </c>
      <c r="DA96" t="inlineStr">
        <is>
          <t>stage 1 only</t>
        </is>
      </c>
      <c r="DY96">
        <f>IF(ISNUMBER(MATCH(U96,{"queued","contacted","replied","call_booked","call_done","yes_in_principle","materials_sent"},0)),"Y","N")</f>
        <v/>
      </c>
      <c r="DZ96">
        <f>IF(COUNTIFS($AN$2:$AN$1000,AN96,$DY$2:$DY$1000,"Y")+COUNTIFS($AN$2:$AN$1000,AN96,$T$2:$T$1000,"Y")&gt;0,"Y","N")</f>
        <v/>
      </c>
      <c r="EA96">
        <f>IF(AND(U96="new",T96="N",AR96="Y",AQ96="",DZ96="N"),"Y","N")</f>
        <v/>
      </c>
      <c r="EB96">
        <f>IF(EA96&lt;&gt;"Y","N",IF(COUNTIFS($AN$2:$AN$1000,AN96,$EA$2:$EA$1000,"Y",$J$2:$J$1000,"&gt;"&amp;J96)+COUNTIFS($AN$2:$AN$1000,AN96,$EA$2:$EA$1000,"Y",$J$2:$J$1000,J96,$ED$2:$ED$1000,"&lt;"&amp;ED96)=0,"Y","N"))</f>
        <v/>
      </c>
      <c r="EC96">
        <f>IF(Y96="","N",IF(Y96&lt;=10,"Y","N"))</f>
        <v/>
      </c>
      <c r="ED96">
        <f>ROW()-1</f>
        <v/>
      </c>
    </row>
    <row r="97">
      <c r="A97" t="inlineStr">
        <is>
          <t>AB-271</t>
        </is>
      </c>
      <c r="B97" t="inlineStr">
        <is>
          <t>Upstate Stock (Birch Sap Seltzer)</t>
        </is>
      </c>
      <c r="H97" t="inlineStr">
        <is>
          <t>none</t>
        </is>
      </c>
      <c r="J97">
        <f>IF(AU97="pass",CM97+CN97+CO97+CP97+CQ97+CR97+CS97+CT97,0)</f>
        <v/>
      </c>
      <c r="K97" t="inlineStr">
        <is>
          <t>New York City brand, no graded store within ten blocks, online store only, a new store listing 80 days ago, revenue unknown, no contact named; founder review: claim-borderline.</t>
        </is>
      </c>
      <c r="M97" t="inlineStr">
        <is>
          <t>none found within ten blocks</t>
        </is>
      </c>
      <c r="N97" t="inlineStr">
        <is>
          <t>unverified</t>
        </is>
      </c>
      <c r="O97" t="inlineStr">
        <is>
          <t>Launched the Original Birch Sap Seltzer, after a three-flavor variety pack in March 2026</t>
        </is>
      </c>
      <c r="P97" t="inlineStr">
        <is>
          <t>https://www.upstatestock.com/products/original-100-pute-ny-organic-birch-sap-seltzer</t>
        </is>
      </c>
      <c r="Q97" t="inlineStr">
        <is>
          <t>2026-08-05</t>
        </is>
      </c>
      <c r="R97" t="inlineStr">
        <is>
          <t>N</t>
        </is>
      </c>
      <c r="S97" t="inlineStr">
        <is>
          <t>unknown</t>
        </is>
      </c>
      <c r="T97" t="inlineStr">
        <is>
          <t>N</t>
        </is>
      </c>
      <c r="U97" t="inlineStr">
        <is>
          <t>new</t>
        </is>
      </c>
      <c r="V97" t="inlineStr">
        <is>
          <t>https://events.specialtyfood.com/event/2026-summer-fancy-food-show/exhibitor/RXhoaWJpdG9yXzI0MjEzMDQ=</t>
        </is>
      </c>
      <c r="W97" t="inlineStr">
        <is>
          <t>2026-10-24</t>
        </is>
      </c>
      <c r="X97" t="inlineStr">
        <is>
          <t>brand</t>
        </is>
      </c>
      <c r="Y97">
        <f>IF(EB97&lt;&gt;"Y","",COUNTIFS($EB$2:$EB$1000,"Y",$J$2:$J$1000,"&gt;"&amp;J97)+COUNTIFS($EB$2:$EB$1000,"Y",$J$2:$J$1000,J97,$ED$2:$ED$1000,"&lt;"&amp;ED97)+1)</f>
        <v/>
      </c>
      <c r="Z97" t="n">
        <v>96</v>
      </c>
      <c r="AA97" t="inlineStr">
        <is>
          <t>N</t>
        </is>
      </c>
      <c r="AB97" t="inlineStr">
        <is>
          <t>no person named on an opened page: not ready; founder review (claim-borderline): read founder_review_reason first</t>
        </is>
      </c>
      <c r="AD97" t="inlineStr">
        <is>
          <t>none</t>
        </is>
      </c>
      <c r="AH97" t="inlineStr">
        <is>
          <t>Original 100% Pure NY Organic Birch Sap Seltzer (can); variety pack of three</t>
        </is>
      </c>
      <c r="AI97" t="inlineStr">
        <is>
          <t>sparkling-soda</t>
        </is>
      </c>
      <c r="AJ97" t="inlineStr">
        <is>
          <t>Brooklyn (Gowanus factory; shop at 2 Berry St, Williamsburg)</t>
        </is>
      </c>
      <c r="AK97" t="inlineStr">
        <is>
          <t>https://www.upstatestock.com/products/varierty-pack-birch-sap-seltzer</t>
        </is>
      </c>
      <c r="AL97" t="inlineStr">
        <is>
          <t>Y</t>
        </is>
      </c>
      <c r="AM97" t="inlineStr">
        <is>
          <t>Website and SFFS listing say birch sap 'offers numerous health benefits' and cite electrolytes and antioxidants; check the can for health wording before approving. Company is mainly a knitwear and goods maker; drinks are a new line</t>
        </is>
      </c>
      <c r="AN97" t="inlineStr">
        <is>
          <t>AB-271</t>
        </is>
      </c>
      <c r="AO97" t="inlineStr">
        <is>
          <t>N</t>
        </is>
      </c>
      <c r="AR97">
        <f>IF(AND(AU97="pass",AO97&lt;&gt;"Y",C97&lt;&gt;""),"Y","N")</f>
        <v/>
      </c>
      <c r="AS97">
        <f>_xlfn.TEXTJOIN("; ",TRUE,IF(AU97&lt;&gt;"pass","gated out",""),IF(AO97="Y","on hold: "&amp;AP97,""),IF(C97="","no contact named on an opened page",""))</f>
        <v/>
      </c>
      <c r="AU97" t="inlineStr">
        <is>
          <t>pass</t>
        </is>
      </c>
      <c r="AW97" t="inlineStr">
        <is>
          <t>passes all hard gates</t>
        </is>
      </c>
      <c r="AX97" t="inlineStr">
        <is>
          <t>claim-borderline</t>
        </is>
      </c>
      <c r="AY97" t="inlineStr">
        <is>
          <t>https://www.upstatestock.com</t>
        </is>
      </c>
      <c r="AZ97" t="inlineStr">
        <is>
          <t>NY</t>
        </is>
      </c>
      <c r="BA97" t="inlineStr">
        <is>
          <t>nyc</t>
        </is>
      </c>
      <c r="BB97" t="inlineStr">
        <is>
          <t>unknown</t>
        </is>
      </c>
      <c r="BD97" t="inlineStr">
        <is>
          <t>Y</t>
        </is>
      </c>
      <c r="BE97" t="inlineStr">
        <is>
          <t>Canned seltzer, 'canned in New Hampshire'; 'best served chilled' (not 'keep refrigerated')</t>
        </is>
      </c>
      <c r="BF97" t="inlineStr">
        <is>
          <t>Y</t>
        </is>
      </c>
      <c r="BG97" t="inlineStr">
        <is>
          <t>Y</t>
        </is>
      </c>
      <c r="BH97" t="inlineStr">
        <is>
          <t>unknown</t>
        </is>
      </c>
      <c r="BJ97" t="inlineStr">
        <is>
          <t>No sourced sales figure found</t>
        </is>
      </c>
      <c r="BK97" t="inlineStr">
        <is>
          <t>Y</t>
        </is>
      </c>
      <c r="BL97" t="inlineStr">
        <is>
          <t>N</t>
        </is>
      </c>
      <c r="BO97" t="inlineStr">
        <is>
          <t>N</t>
        </is>
      </c>
      <c r="BP97" t="n">
        <v>0</v>
      </c>
      <c r="BR97" t="inlineStr">
        <is>
          <t>Upstate Stock (unverified, 39.9 blocks out)</t>
        </is>
      </c>
      <c r="BS97" t="inlineStr">
        <is>
          <t>Own Upstate Stock shop; stocks other NY makers</t>
        </is>
      </c>
      <c r="BU97" t="inlineStr">
        <is>
          <t>listing</t>
        </is>
      </c>
      <c r="BV97" t="n">
        <v>80</v>
      </c>
      <c r="CF97" t="inlineStr">
        <is>
          <t>none</t>
        </is>
      </c>
      <c r="CK97" t="inlineStr">
        <is>
          <t>none</t>
        </is>
      </c>
      <c r="CL97" t="n">
        <v>45</v>
      </c>
      <c r="CM97" t="n">
        <v>6</v>
      </c>
      <c r="CN97" t="n">
        <v>20</v>
      </c>
      <c r="CO97" t="n">
        <v>8</v>
      </c>
      <c r="CP97" t="n">
        <v>5</v>
      </c>
      <c r="CQ97" t="n">
        <v>10</v>
      </c>
      <c r="CR97" t="n">
        <v>0</v>
      </c>
      <c r="CS97">
        <f>IF(R97="Y",10,0)</f>
        <v/>
      </c>
      <c r="CT97" t="n">
        <v>-4</v>
      </c>
      <c r="CU97" t="inlineStr">
        <is>
          <t>https://instagram.com/upstatestock</t>
        </is>
      </c>
      <c r="CV97" t="inlineStr">
        <is>
          <t>BR5</t>
        </is>
      </c>
      <c r="CW97" t="inlineStr">
        <is>
          <t>BR5:7</t>
        </is>
      </c>
      <c r="CX97" t="inlineStr">
        <is>
          <t>Berry St address comes from Figa's Stockist list (Upstate Stock is a Figa stockist), not from Upstate Stock's own site. why_now dates are Shopify published_at (variety pack 2026-03-22). SFFS flags 'In The Fancy Bodega' and 'Has a New Product'.</t>
        </is>
      </c>
      <c r="DA97" t="inlineStr">
        <is>
          <t>stage 1 only</t>
        </is>
      </c>
      <c r="DY97">
        <f>IF(ISNUMBER(MATCH(U97,{"queued","contacted","replied","call_booked","call_done","yes_in_principle","materials_sent"},0)),"Y","N")</f>
        <v/>
      </c>
      <c r="DZ97">
        <f>IF(COUNTIFS($AN$2:$AN$1000,AN97,$DY$2:$DY$1000,"Y")+COUNTIFS($AN$2:$AN$1000,AN97,$T$2:$T$1000,"Y")&gt;0,"Y","N")</f>
        <v/>
      </c>
      <c r="EA97">
        <f>IF(AND(U97="new",T97="N",AR97="Y",AQ97="",DZ97="N"),"Y","N")</f>
        <v/>
      </c>
      <c r="EB97">
        <f>IF(EA97&lt;&gt;"Y","N",IF(COUNTIFS($AN$2:$AN$1000,AN97,$EA$2:$EA$1000,"Y",$J$2:$J$1000,"&gt;"&amp;J97)+COUNTIFS($AN$2:$AN$1000,AN97,$EA$2:$EA$1000,"Y",$J$2:$J$1000,J97,$ED$2:$ED$1000,"&lt;"&amp;ED97)=0,"Y","N"))</f>
        <v/>
      </c>
      <c r="EC97">
        <f>IF(Y97="","N",IF(Y97&lt;=10,"Y","N"))</f>
        <v/>
      </c>
      <c r="ED97">
        <f>ROW()-1</f>
        <v/>
      </c>
    </row>
    <row r="98">
      <c r="A98" t="inlineStr">
        <is>
          <t>AB-143</t>
        </is>
      </c>
      <c r="B98" t="inlineStr">
        <is>
          <t>Irving Farm New York</t>
        </is>
      </c>
      <c r="C98" t="inlineStr">
        <is>
          <t>David</t>
        </is>
      </c>
      <c r="D98" t="inlineStr">
        <is>
          <t>Elwell</t>
        </is>
      </c>
      <c r="E98" t="inlineStr">
        <is>
          <t>Co-founder and original owners</t>
        </is>
      </c>
      <c r="H98" t="inlineStr">
        <is>
          <t>none</t>
        </is>
      </c>
      <c r="I98" t="inlineStr">
        <is>
          <t>linkedin</t>
        </is>
      </c>
      <c r="J98">
        <f>IF(AU98="pass",CM98+CN98+CO98+CP98+CQ98+CR98+CS98+CT98,0)</f>
        <v/>
      </c>
      <c r="K98" t="inlineStr">
        <is>
          <t>New York City brand, no graded store within ten blocks, online store only, a new store listing 193 days ago, revenue unknown, contact named; founder review: not-emerging.</t>
        </is>
      </c>
      <c r="M98" t="inlineStr">
        <is>
          <t>Irving Farm cafe Gramercy, 71 Irving Place</t>
        </is>
      </c>
      <c r="N98" t="inlineStr">
        <is>
          <t>unverified</t>
        </is>
      </c>
      <c r="O98" t="inlineStr">
        <is>
          <t>Launched RTD cold brew cans: 12 x 12 oz pack (store listing 2025-11-05), then a four-pack (2026-04-14)</t>
        </is>
      </c>
      <c r="P98" t="inlineStr">
        <is>
          <t>https://irvingfarmcoffee.com/products/cold-brew-can-four-pack</t>
        </is>
      </c>
      <c r="Q98" t="inlineStr">
        <is>
          <t>2026-04-14</t>
        </is>
      </c>
      <c r="R98" t="inlineStr">
        <is>
          <t>N</t>
        </is>
      </c>
      <c r="S98" t="inlineStr">
        <is>
          <t>unknown</t>
        </is>
      </c>
      <c r="T98" t="inlineStr">
        <is>
          <t>N</t>
        </is>
      </c>
      <c r="U98" t="inlineStr">
        <is>
          <t>new</t>
        </is>
      </c>
      <c r="V98" t="inlineStr">
        <is>
          <t>https://irvingfarmcoffee.com/pages/history</t>
        </is>
      </c>
      <c r="W98" t="inlineStr">
        <is>
          <t>2026-10-23</t>
        </is>
      </c>
      <c r="X98" t="inlineStr">
        <is>
          <t>brand</t>
        </is>
      </c>
      <c r="Y98">
        <f>IF(EB98&lt;&gt;"Y","",COUNTIFS($EB$2:$EB$1000,"Y",$J$2:$J$1000,"&gt;"&amp;J98)+COUNTIFS($EB$2:$EB$1000,"Y",$J$2:$J$1000,J98,$ED$2:$ED$1000,"&lt;"&amp;ED98)+1)</f>
        <v/>
      </c>
      <c r="Z98" t="n">
        <v>97</v>
      </c>
      <c r="AA98" t="inlineStr">
        <is>
          <t>N</t>
        </is>
      </c>
      <c r="AB98" t="inlineStr">
        <is>
          <t>find David Elwell at Irving Farm New York on LinkedIn and paste the profile URL; founder review (not-emerging): read founder_review_reason first</t>
        </is>
      </c>
      <c r="AC98" t="inlineStr">
        <is>
          <t>founder</t>
        </is>
      </c>
      <c r="AD98" t="inlineStr">
        <is>
          <t>verified-page</t>
        </is>
      </c>
      <c r="AE98" t="inlineStr">
        <is>
          <t>press, event or podcast page</t>
        </is>
      </c>
      <c r="AF98" t="inlineStr">
        <is>
          <t>https://lakevillejournal.com/former-owners-return-and-irving-farm-returns-its-roots</t>
        </is>
      </c>
      <c r="AG98" t="inlineStr">
        <is>
          <t>2026-10-23</t>
        </is>
      </c>
      <c r="AH98" t="inlineStr">
        <is>
          <t>Irving Farm Cold Brew, 12 oz shelf-stable can (Blackstrap blend)</t>
        </is>
      </c>
      <c r="AI98" t="inlineStr">
        <is>
          <t>coffee-rtd</t>
        </is>
      </c>
      <c r="AJ98" t="inlineStr">
        <is>
          <t>New York (cafes); roastery Millerton</t>
        </is>
      </c>
      <c r="AK98" t="inlineStr">
        <is>
          <t>https://irvingfarmcoffee.com/products/cold-brew-can-four-pack</t>
        </is>
      </c>
      <c r="AL98" t="inlineStr">
        <is>
          <t>Y</t>
        </is>
      </c>
      <c r="AM98" t="inlineStr">
        <is>
          <t>Coffee roaster and cafe group rather than a pure CPG brand; revenue band unknown; RTD cans are a new line, which is the why-now. Has an office subscription and wholesale program</t>
        </is>
      </c>
      <c r="AN98" t="inlineStr">
        <is>
          <t>AB-143</t>
        </is>
      </c>
      <c r="AO98" t="inlineStr">
        <is>
          <t>N</t>
        </is>
      </c>
      <c r="AR98">
        <f>IF(AND(AU98="pass",AO98&lt;&gt;"Y",C98&lt;&gt;""),"Y","N")</f>
        <v/>
      </c>
      <c r="AS98">
        <f>_xlfn.TEXTJOIN("; ",TRUE,IF(AU98&lt;&gt;"pass","gated out",""),IF(AO98="Y","on hold: "&amp;AP98,""),IF(C98="","no contact named on an opened page",""))</f>
        <v/>
      </c>
      <c r="AU98" t="inlineStr">
        <is>
          <t>pass</t>
        </is>
      </c>
      <c r="AW98" t="inlineStr">
        <is>
          <t>passes all hard gates</t>
        </is>
      </c>
      <c r="AX98" t="inlineStr">
        <is>
          <t>not-emerging</t>
        </is>
      </c>
      <c r="AY98" t="inlineStr">
        <is>
          <t>https://irvingfarmcoffee.com</t>
        </is>
      </c>
      <c r="AZ98" t="inlineStr">
        <is>
          <t>NY</t>
        </is>
      </c>
      <c r="BA98" t="inlineStr">
        <is>
          <t>nyc</t>
        </is>
      </c>
      <c r="BB98" t="inlineStr">
        <is>
          <t>unknown</t>
        </is>
      </c>
      <c r="BD98" t="inlineStr">
        <is>
          <t>Y</t>
        </is>
      </c>
      <c r="BE98" t="inlineStr">
        <is>
          <t>Product pages: '12-pack of 12oz shelf-stable cans' and 'These cans can be stored at room temperature' (irvingfarmcoffee.com/products.json, read 2026-10-23)</t>
        </is>
      </c>
      <c r="BF98" t="inlineStr">
        <is>
          <t>Y</t>
        </is>
      </c>
      <c r="BG98" t="inlineStr">
        <is>
          <t>Y</t>
        </is>
      </c>
      <c r="BH98" t="inlineStr">
        <is>
          <t>unknown</t>
        </is>
      </c>
      <c r="BJ98" t="inlineStr">
        <is>
          <t>No public sales figure found</t>
        </is>
      </c>
      <c r="BK98" t="inlineStr">
        <is>
          <t>N</t>
        </is>
      </c>
      <c r="BL98" t="inlineStr">
        <is>
          <t>N</t>
        </is>
      </c>
      <c r="BN98" t="n">
        <v>0.9</v>
      </c>
      <c r="BO98" t="inlineStr">
        <is>
          <t>N</t>
        </is>
      </c>
      <c r="BP98" t="n">
        <v>0</v>
      </c>
      <c r="BQ98" t="inlineStr">
        <is>
          <t>Irving Farm cafe Gramercy, 71 Irving Place (unverified, 0.9 blocks out);Irving Farm cafe, 79 E 10th St (unverified, 2.4 blocks out)</t>
        </is>
      </c>
      <c r="BS98" t="inlineStr">
        <is>
          <t>Own cafes: Gramercy (71 Irving Place), 79 E 10th St, Washington Square (78 W 3rd St), Olympic Tower, Upper West Side, Hudson Valley</t>
        </is>
      </c>
      <c r="BT98" t="inlineStr">
        <is>
          <t>https://irvingfarmcoffee.com/pages/locations</t>
        </is>
      </c>
      <c r="BU98" t="inlineStr">
        <is>
          <t>listing</t>
        </is>
      </c>
      <c r="BV98" t="n">
        <v>193</v>
      </c>
      <c r="BX98" t="inlineStr">
        <is>
          <t>David Elwell</t>
        </is>
      </c>
      <c r="CA98" t="inlineStr">
        <is>
          <t>Chad Freilino</t>
        </is>
      </c>
      <c r="CB98" t="inlineStr">
        <is>
          <t>Chad</t>
        </is>
      </c>
      <c r="CC98" t="inlineStr">
        <is>
          <t>Freilino</t>
        </is>
      </c>
      <c r="CD98" t="inlineStr">
        <is>
          <t>CEO since 2020</t>
        </is>
      </c>
      <c r="CE98" t="inlineStr">
        <is>
          <t>marketing</t>
        </is>
      </c>
      <c r="CF98" t="inlineStr">
        <is>
          <t>verified-page</t>
        </is>
      </c>
      <c r="CG98" t="inlineStr">
        <is>
          <t>CEO, not a marketing title</t>
        </is>
      </c>
      <c r="CK98" t="inlineStr">
        <is>
          <t>none</t>
        </is>
      </c>
      <c r="CL98" t="n">
        <v>45</v>
      </c>
      <c r="CM98" t="n">
        <v>6</v>
      </c>
      <c r="CN98" t="n">
        <v>20</v>
      </c>
      <c r="CO98" t="n">
        <v>4</v>
      </c>
      <c r="CP98" t="n">
        <v>5</v>
      </c>
      <c r="CQ98" t="n">
        <v>10</v>
      </c>
      <c r="CR98" t="n">
        <v>10</v>
      </c>
      <c r="CS98">
        <f>IF(R98="Y",10,0)</f>
        <v/>
      </c>
      <c r="CT98" t="n">
        <v>-10</v>
      </c>
      <c r="CU98" t="inlineStr">
        <is>
          <t>https://www.instagram.com/irvingfarmcoffee</t>
        </is>
      </c>
      <c r="CV98" t="inlineStr">
        <is>
          <t>BR3</t>
        </is>
      </c>
      <c r="CW98" t="inlineStr">
        <is>
          <t>BR3:17</t>
        </is>
      </c>
      <c r="CX98" t="inlineStr">
        <is>
          <t>History page: first cafe at 52 Irving Place (1996), flagship 71 Irving Place since 2001, roasts in Millerton NY. Flagship cafe is inside the cluster, a natural tie-in. Dates are Shopify publish dates.</t>
        </is>
      </c>
      <c r="CY98" t="inlineStr">
        <is>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is>
      </c>
      <c r="CZ98" t="inlineStr">
        <is>
          <t>https://mastmarket.com/blogs/the-mast-journal/focusing-on-the-origin-with-chad-freilino</t>
        </is>
      </c>
      <c r="DA98" t="inlineStr">
        <is>
          <t>stage 1 only</t>
        </is>
      </c>
      <c r="DC98" t="inlineStr">
        <is>
          <t>press, event or podcast page</t>
        </is>
      </c>
      <c r="DY98">
        <f>IF(ISNUMBER(MATCH(U98,{"queued","contacted","replied","call_booked","call_done","yes_in_principle","materials_sent"},0)),"Y","N")</f>
        <v/>
      </c>
      <c r="DZ98">
        <f>IF(COUNTIFS($AN$2:$AN$1000,AN98,$DY$2:$DY$1000,"Y")+COUNTIFS($AN$2:$AN$1000,AN98,$T$2:$T$1000,"Y")&gt;0,"Y","N")</f>
        <v/>
      </c>
      <c r="EA98">
        <f>IF(AND(U98="new",T98="N",AR98="Y",AQ98="",DZ98="N"),"Y","N")</f>
        <v/>
      </c>
      <c r="EB98">
        <f>IF(EA98&lt;&gt;"Y","N",IF(COUNTIFS($AN$2:$AN$1000,AN98,$EA$2:$EA$1000,"Y",$J$2:$J$1000,"&gt;"&amp;J98)+COUNTIFS($AN$2:$AN$1000,AN98,$EA$2:$EA$1000,"Y",$J$2:$J$1000,J98,$ED$2:$ED$1000,"&lt;"&amp;ED98)=0,"Y","N"))</f>
        <v/>
      </c>
      <c r="EC98">
        <f>IF(Y98="","N",IF(Y98&lt;=10,"Y","N"))</f>
        <v/>
      </c>
      <c r="ED98">
        <f>ROW()-1</f>
        <v/>
      </c>
    </row>
    <row r="99">
      <c r="A99" t="inlineStr">
        <is>
          <t>AB-157</t>
        </is>
      </c>
      <c r="B99" t="inlineStr">
        <is>
          <t>JUST Water</t>
        </is>
      </c>
      <c r="C99" t="inlineStr">
        <is>
          <t>Jaden</t>
        </is>
      </c>
      <c r="D99" t="inlineStr">
        <is>
          <t>Smith</t>
        </is>
      </c>
      <c r="E99" t="inlineStr">
        <is>
          <t>Founder</t>
        </is>
      </c>
      <c r="H99" t="inlineStr">
        <is>
          <t>none</t>
        </is>
      </c>
      <c r="I99" t="inlineStr">
        <is>
          <t>linkedin</t>
        </is>
      </c>
      <c r="J99">
        <f>IF(AU99="pass",CM99+CN99+CO99+CP99+CQ99+CR99+CS99+CT99,0)</f>
        <v/>
      </c>
      <c r="K99" t="inlineStr">
        <is>
          <t>New York City brand, no graded store within ten blocks, online store only, no dated why-now in the last 12 months, revenue unknown, contact named; founder review: other.</t>
        </is>
      </c>
      <c r="M99" t="inlineStr">
        <is>
          <t>none found within ten blocks</t>
        </is>
      </c>
      <c r="N99" t="inlineStr">
        <is>
          <t>unverified</t>
        </is>
      </c>
      <c r="R99" t="inlineStr">
        <is>
          <t>N</t>
        </is>
      </c>
      <c r="S99" t="inlineStr">
        <is>
          <t>unknown</t>
        </is>
      </c>
      <c r="T99" t="inlineStr">
        <is>
          <t>N</t>
        </is>
      </c>
      <c r="U99" t="inlineStr">
        <is>
          <t>new</t>
        </is>
      </c>
      <c r="V99" t="inlineStr">
        <is>
          <t>https://justwater.com/pages/faqs</t>
        </is>
      </c>
      <c r="W99" t="inlineStr">
        <is>
          <t>2026-10-23</t>
        </is>
      </c>
      <c r="X99" t="inlineStr">
        <is>
          <t>brand</t>
        </is>
      </c>
      <c r="Y99">
        <f>IF(EB99&lt;&gt;"Y","",COUNTIFS($EB$2:$EB$1000,"Y",$J$2:$J$1000,"&gt;"&amp;J99)+COUNTIFS($EB$2:$EB$1000,"Y",$J$2:$J$1000,J99,$ED$2:$ED$1000,"&lt;"&amp;ED99)+1)</f>
        <v/>
      </c>
      <c r="Z99" t="n">
        <v>98</v>
      </c>
      <c r="AA99" t="inlineStr">
        <is>
          <t>N</t>
        </is>
      </c>
      <c r="AB99" t="inlineStr">
        <is>
          <t>find Jaden Smith at JUST Water on LinkedIn and paste the profile URL; founder review (other): read founder_review_reason first</t>
        </is>
      </c>
      <c r="AC99" t="inlineStr">
        <is>
          <t>founder</t>
        </is>
      </c>
      <c r="AD99" t="inlineStr">
        <is>
          <t>verified-page</t>
        </is>
      </c>
      <c r="AE99" t="inlineStr">
        <is>
          <t>employer's own site</t>
        </is>
      </c>
      <c r="AF99" t="inlineStr">
        <is>
          <t>https://justwater.com/pages/about</t>
        </is>
      </c>
      <c r="AG99" t="inlineStr">
        <is>
          <t>2026-10-23</t>
        </is>
      </c>
      <c r="AH99" t="inlineStr">
        <is>
          <t>JUST Spring Water 16.9 fl oz plant-based carton; JUST Bubbles flavored sparkling water</t>
        </is>
      </c>
      <c r="AI99" t="inlineStr">
        <is>
          <t>other-drink</t>
        </is>
      </c>
      <c r="AJ99" t="inlineStr">
        <is>
          <t>New York</t>
        </is>
      </c>
      <c r="AK99" t="inlineStr">
        <is>
          <t>https://justwater.com</t>
        </is>
      </c>
      <c r="AL99" t="inlineStr">
        <is>
          <t>Y</t>
        </is>
      </c>
      <c r="AM99" t="inlineStr">
        <is>
          <t>Celebrity-founded national water brand; probably not budget-constrained like an emerging brand; plain water is a weak trial product for a survey</t>
        </is>
      </c>
      <c r="AN99" t="inlineStr">
        <is>
          <t>AB-157</t>
        </is>
      </c>
      <c r="AO99" t="inlineStr">
        <is>
          <t>N</t>
        </is>
      </c>
      <c r="AR99">
        <f>IF(AND(AU99="pass",AO99&lt;&gt;"Y",C99&lt;&gt;""),"Y","N")</f>
        <v/>
      </c>
      <c r="AS99">
        <f>_xlfn.TEXTJOIN("; ",TRUE,IF(AU99&lt;&gt;"pass","gated out",""),IF(AO99="Y","on hold: "&amp;AP99,""),IF(C99="","no contact named on an opened page",""))</f>
        <v/>
      </c>
      <c r="AU99" t="inlineStr">
        <is>
          <t>pass</t>
        </is>
      </c>
      <c r="AW99" t="inlineStr">
        <is>
          <t>passes all hard gates</t>
        </is>
      </c>
      <c r="AX99" t="inlineStr">
        <is>
          <t>other</t>
        </is>
      </c>
      <c r="AY99" t="inlineStr">
        <is>
          <t>https://justwater.com</t>
        </is>
      </c>
      <c r="AZ99" t="inlineStr">
        <is>
          <t>NY</t>
        </is>
      </c>
      <c r="BA99" t="inlineStr">
        <is>
          <t>nyc</t>
        </is>
      </c>
      <c r="BB99" t="inlineStr">
        <is>
          <t>unknown</t>
        </is>
      </c>
      <c r="BD99" t="inlineStr">
        <is>
          <t>Y</t>
        </is>
      </c>
      <c r="BE99" t="inlineStr">
        <is>
          <t>Brand FAQ: Still best within 18 months of bottling, Bubbles within 12 months; store in a cool, dry place (justwater.com/pages/faqs, opened 2026-10-24)</t>
        </is>
      </c>
      <c r="BF99" t="inlineStr">
        <is>
          <t>Y</t>
        </is>
      </c>
      <c r="BG99" t="inlineStr">
        <is>
          <t>Y</t>
        </is>
      </c>
      <c r="BH99" t="inlineStr">
        <is>
          <t>unknown</t>
        </is>
      </c>
      <c r="BJ99" t="inlineStr">
        <is>
          <t>No public sales figure found</t>
        </is>
      </c>
      <c r="BK99" t="inlineStr">
        <is>
          <t>N</t>
        </is>
      </c>
      <c r="BL99" t="inlineStr">
        <is>
          <t>N</t>
        </is>
      </c>
      <c r="BO99" t="inlineStr">
        <is>
          <t>N</t>
        </is>
      </c>
      <c r="BP99" t="n">
        <v>0</v>
      </c>
      <c r="BS99" t="inlineStr">
        <is>
          <t>unknown</t>
        </is>
      </c>
      <c r="BU99" t="inlineStr">
        <is>
          <t>none</t>
        </is>
      </c>
      <c r="BX99" t="inlineStr">
        <is>
          <t>Jaden Smith</t>
        </is>
      </c>
      <c r="CF99" t="inlineStr">
        <is>
          <t>none</t>
        </is>
      </c>
      <c r="CK99" t="inlineStr">
        <is>
          <t>none</t>
        </is>
      </c>
      <c r="CL99" t="n">
        <v>45</v>
      </c>
      <c r="CM99" t="n">
        <v>6</v>
      </c>
      <c r="CN99" t="n">
        <v>20</v>
      </c>
      <c r="CO99" t="n">
        <v>0</v>
      </c>
      <c r="CP99" t="n">
        <v>5</v>
      </c>
      <c r="CQ99" t="n">
        <v>10</v>
      </c>
      <c r="CR99" t="n">
        <v>6</v>
      </c>
      <c r="CS99">
        <f>IF(R99="Y",10,0)</f>
        <v/>
      </c>
      <c r="CT99" t="n">
        <v>-2</v>
      </c>
      <c r="CU99" t="inlineStr">
        <is>
          <t>unknown</t>
        </is>
      </c>
      <c r="CV99" t="inlineStr">
        <is>
          <t>BR3</t>
        </is>
      </c>
      <c r="CW99" t="inlineStr">
        <is>
          <t>BR3:31</t>
        </is>
      </c>
      <c r="CX99" t="inlineStr">
        <is>
          <t>FAQ: still water sourced from the Glens Falls watershed, Adirondacks, upstate New York, under an agreement with the City of Glens Falls. Company HQ not stated.</t>
        </is>
      </c>
      <c r="CY99" t="inlineStr">
        <is>
          <t xml:space="preserve">hq_city &lt;- https://justwater.com/policies/privacy-policy (2026-10-24, opened); hq_state &lt;- https://justwater.com/policies/privacy-policy (2026-10-24, opened); shelf_stable &lt;- https://justwater.com/pages/faqs (2026-10-24, opened); shelf_stable_basis &lt;- https://justwater.com/pages/faqs (2026-10-24, opened); </t>
        </is>
      </c>
      <c r="DA99" t="inlineStr">
        <is>
          <t>stage 1 only</t>
        </is>
      </c>
      <c r="DY99">
        <f>IF(ISNUMBER(MATCH(U99,{"queued","contacted","replied","call_booked","call_done","yes_in_principle","materials_sent"},0)),"Y","N")</f>
        <v/>
      </c>
      <c r="DZ99">
        <f>IF(COUNTIFS($AN$2:$AN$1000,AN99,$DY$2:$DY$1000,"Y")+COUNTIFS($AN$2:$AN$1000,AN99,$T$2:$T$1000,"Y")&gt;0,"Y","N")</f>
        <v/>
      </c>
      <c r="EA99">
        <f>IF(AND(U99="new",T99="N",AR99="Y",AQ99="",DZ99="N"),"Y","N")</f>
        <v/>
      </c>
      <c r="EB99">
        <f>IF(EA99&lt;&gt;"Y","N",IF(COUNTIFS($AN$2:$AN$1000,AN99,$EA$2:$EA$1000,"Y",$J$2:$J$1000,"&gt;"&amp;J99)+COUNTIFS($AN$2:$AN$1000,AN99,$EA$2:$EA$1000,"Y",$J$2:$J$1000,J99,$ED$2:$ED$1000,"&lt;"&amp;ED99)=0,"Y","N"))</f>
        <v/>
      </c>
      <c r="EC99">
        <f>IF(Y99="","N",IF(Y99&lt;=10,"Y","N"))</f>
        <v/>
      </c>
      <c r="ED99">
        <f>ROW()-1</f>
        <v/>
      </c>
    </row>
    <row r="100">
      <c r="A100" t="inlineStr">
        <is>
          <t>AB-260</t>
        </is>
      </c>
      <c r="B100" t="inlineStr">
        <is>
          <t>Sol Cacao</t>
        </is>
      </c>
      <c r="C100" t="inlineStr">
        <is>
          <t>Daniel</t>
        </is>
      </c>
      <c r="D100" t="inlineStr">
        <is>
          <t>Maloney</t>
        </is>
      </c>
      <c r="E100" t="inlineStr">
        <is>
          <t>Co-founder</t>
        </is>
      </c>
      <c r="H100" t="inlineStr">
        <is>
          <t>none</t>
        </is>
      </c>
      <c r="I100" t="inlineStr">
        <is>
          <t>linkedin</t>
        </is>
      </c>
      <c r="J100">
        <f>IF(AU100="pass",CM100+CN100+CO100+CP100+CQ100+CR100+CS100+CT100,0)</f>
        <v/>
      </c>
      <c r="K100" t="inlineStr">
        <is>
          <t>New York City brand, no graded store within ten blocks, online store only, no dated why-now in the last 12 months, revenue unknown, contact named; founder review: other.</t>
        </is>
      </c>
      <c r="M100" t="inlineStr">
        <is>
          <t>none found within ten blocks</t>
        </is>
      </c>
      <c r="N100" t="inlineStr">
        <is>
          <t>unverified</t>
        </is>
      </c>
      <c r="R100" t="inlineStr">
        <is>
          <t>N</t>
        </is>
      </c>
      <c r="S100" t="inlineStr">
        <is>
          <t>unknown</t>
        </is>
      </c>
      <c r="T100" t="inlineStr">
        <is>
          <t>N</t>
        </is>
      </c>
      <c r="U100" t="inlineStr">
        <is>
          <t>new</t>
        </is>
      </c>
      <c r="V100" t="inlineStr">
        <is>
          <t>https://www.solcacao.com/about-us</t>
        </is>
      </c>
      <c r="W100" t="inlineStr">
        <is>
          <t>2026-10-23</t>
        </is>
      </c>
      <c r="X100" t="inlineStr">
        <is>
          <t>brand</t>
        </is>
      </c>
      <c r="Y100">
        <f>IF(EB100&lt;&gt;"Y","",COUNTIFS($EB$2:$EB$1000,"Y",$J$2:$J$1000,"&gt;"&amp;J100)+COUNTIFS($EB$2:$EB$1000,"Y",$J$2:$J$1000,J100,$ED$2:$ED$1000,"&lt;"&amp;ED100)+1)</f>
        <v/>
      </c>
      <c r="Z100" t="n">
        <v>99</v>
      </c>
      <c r="AA100" t="inlineStr">
        <is>
          <t>N</t>
        </is>
      </c>
      <c r="AB100" t="inlineStr">
        <is>
          <t>find Daniel Maloney at Sol Cacao on LinkedIn and paste the profile URL; founder review (other): read founder_review_reason first</t>
        </is>
      </c>
      <c r="AC100" t="inlineStr">
        <is>
          <t>founder</t>
        </is>
      </c>
      <c r="AD100" t="inlineStr">
        <is>
          <t>verified-page</t>
        </is>
      </c>
      <c r="AE100" t="inlineStr">
        <is>
          <t>press, event or podcast page</t>
        </is>
      </c>
      <c r="AF100" t="inlineStr">
        <is>
          <t>https://business.bronxchamber.org/list/member/sol-cacao-llc-4669</t>
        </is>
      </c>
      <c r="AG100" t="inlineStr">
        <is>
          <t>2026-10-23</t>
        </is>
      </c>
      <c r="AH100" t="inlineStr">
        <is>
          <t>70% Peru single-origin dark chocolate bar, 1.86 oz</t>
        </is>
      </c>
      <c r="AI100" t="inlineStr">
        <is>
          <t>chocolate-candy</t>
        </is>
      </c>
      <c r="AJ100" t="inlineStr">
        <is>
          <t>Bronx (780 E 133rd St)</t>
        </is>
      </c>
      <c r="AK100" t="inlineStr">
        <is>
          <t>https://www.solcacao.com</t>
        </is>
      </c>
      <c r="AL100" t="inlineStr">
        <is>
          <t>Y</t>
        </is>
      </c>
      <c r="AM100" t="inlineStr">
        <is>
          <t>Small family bean-to-bar maker; capacity for 275 units and budget unknown; no cluster retailer found (online shop is the buy path)</t>
        </is>
      </c>
      <c r="AN100" t="inlineStr">
        <is>
          <t>AB-260</t>
        </is>
      </c>
      <c r="AO100" t="inlineStr">
        <is>
          <t>N</t>
        </is>
      </c>
      <c r="AR100">
        <f>IF(AND(AU100="pass",AO100&lt;&gt;"Y",C100&lt;&gt;""),"Y","N")</f>
        <v/>
      </c>
      <c r="AS100">
        <f>_xlfn.TEXTJOIN("; ",TRUE,IF(AU100&lt;&gt;"pass","gated out",""),IF(AO100="Y","on hold: "&amp;AP100,""),IF(C100="","no contact named on an opened page",""))</f>
        <v/>
      </c>
      <c r="AU100" t="inlineStr">
        <is>
          <t>pass</t>
        </is>
      </c>
      <c r="AW100" t="inlineStr">
        <is>
          <t>passes all hard gates</t>
        </is>
      </c>
      <c r="AX100" t="inlineStr">
        <is>
          <t>other</t>
        </is>
      </c>
      <c r="AY100" t="inlineStr">
        <is>
          <t>https://www.solcacao.com</t>
        </is>
      </c>
      <c r="AZ100" t="inlineStr">
        <is>
          <t>NY</t>
        </is>
      </c>
      <c r="BA100" t="inlineStr">
        <is>
          <t>nyc</t>
        </is>
      </c>
      <c r="BB100" t="inlineStr">
        <is>
          <t>family business (about page)</t>
        </is>
      </c>
      <c r="BC100" t="inlineStr">
        <is>
          <t>https://www.solcacao.com/about-us</t>
        </is>
      </c>
      <c r="BD100" t="inlineStr">
        <is>
          <t>Y</t>
        </is>
      </c>
      <c r="BE100" t="inlineStr">
        <is>
          <t>Wrapped dark chocolate bars sold ambient; no shelf-life figure published, founder to confirm</t>
        </is>
      </c>
      <c r="BF100" t="inlineStr">
        <is>
          <t>Y</t>
        </is>
      </c>
      <c r="BG100" t="inlineStr">
        <is>
          <t>Y</t>
        </is>
      </c>
      <c r="BH100" t="inlineStr">
        <is>
          <t>unknown</t>
        </is>
      </c>
      <c r="BJ100" t="inlineStr">
        <is>
          <t>unknown</t>
        </is>
      </c>
      <c r="BK100" t="inlineStr">
        <is>
          <t>N</t>
        </is>
      </c>
      <c r="BL100" t="inlineStr">
        <is>
          <t>N</t>
        </is>
      </c>
      <c r="BO100" t="inlineStr">
        <is>
          <t>N</t>
        </is>
      </c>
      <c r="BP100" t="n">
        <v>0</v>
      </c>
      <c r="BS100" t="inlineStr">
        <is>
          <t>Whole Foods Market Williamsburg, Brooklyn (WFM catalog, flagged Local); brand online shop</t>
        </is>
      </c>
      <c r="BT100" t="inlineStr">
        <is>
          <t>https://www.wholefoodsmarket.com/api/search?text=chocolate&amp;store=10487&amp;limit=60&amp;offset=0&amp;featured=local</t>
        </is>
      </c>
      <c r="BU100" t="inlineStr">
        <is>
          <t>none</t>
        </is>
      </c>
      <c r="BX100" t="inlineStr">
        <is>
          <t>Daniel Maloney</t>
        </is>
      </c>
      <c r="BY100" t="inlineStr">
        <is>
          <t>with brothers Dominic and Nicholas Maloney</t>
        </is>
      </c>
      <c r="CF100" t="inlineStr">
        <is>
          <t>none</t>
        </is>
      </c>
      <c r="CK100" t="inlineStr">
        <is>
          <t>none</t>
        </is>
      </c>
      <c r="CL100" t="n">
        <v>45</v>
      </c>
      <c r="CM100" t="n">
        <v>6</v>
      </c>
      <c r="CN100" t="n">
        <v>20</v>
      </c>
      <c r="CO100" t="n">
        <v>0</v>
      </c>
      <c r="CP100" t="n">
        <v>5</v>
      </c>
      <c r="CQ100" t="n">
        <v>10</v>
      </c>
      <c r="CR100" t="n">
        <v>6</v>
      </c>
      <c r="CS100">
        <f>IF(R100="Y",10,0)</f>
        <v/>
      </c>
      <c r="CT100" t="n">
        <v>-2</v>
      </c>
      <c r="CV100" t="inlineStr">
        <is>
          <t>BR4</t>
        </is>
      </c>
      <c r="CW100" t="inlineStr">
        <is>
          <t>BR4:55</t>
        </is>
      </c>
      <c r="CX100" t="inlineStr">
        <is>
          <t>'First bean to bar chocolate factory in the Bronx' (about page). Strong NYC story for an office card. WFM Williamsburg (store 10487) lists Ecuador, Madagascar and Peru bars, flagged Local (2026-10-23).</t>
        </is>
      </c>
      <c r="CY100" t="inlineStr">
        <is>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is>
      </c>
      <c r="DA100" t="inlineStr">
        <is>
          <t>stage 1 only</t>
        </is>
      </c>
      <c r="DY100">
        <f>IF(ISNUMBER(MATCH(U100,{"queued","contacted","replied","call_booked","call_done","yes_in_principle","materials_sent"},0)),"Y","N")</f>
        <v/>
      </c>
      <c r="DZ100">
        <f>IF(COUNTIFS($AN$2:$AN$1000,AN100,$DY$2:$DY$1000,"Y")+COUNTIFS($AN$2:$AN$1000,AN100,$T$2:$T$1000,"Y")&gt;0,"Y","N")</f>
        <v/>
      </c>
      <c r="EA100">
        <f>IF(AND(U100="new",T100="N",AR100="Y",AQ100="",DZ100="N"),"Y","N")</f>
        <v/>
      </c>
      <c r="EB100">
        <f>IF(EA100&lt;&gt;"Y","N",IF(COUNTIFS($AN$2:$AN$1000,AN100,$EA$2:$EA$1000,"Y",$J$2:$J$1000,"&gt;"&amp;J100)+COUNTIFS($AN$2:$AN$1000,AN100,$EA$2:$EA$1000,"Y",$J$2:$J$1000,J100,$ED$2:$ED$1000,"&lt;"&amp;ED100)=0,"Y","N"))</f>
        <v/>
      </c>
      <c r="EC100">
        <f>IF(Y100="","N",IF(Y100&lt;=10,"Y","N"))</f>
        <v/>
      </c>
      <c r="ED100">
        <f>ROW()-1</f>
        <v/>
      </c>
    </row>
    <row r="101">
      <c r="A101" t="inlineStr">
        <is>
          <t>AB-240</t>
        </is>
      </c>
      <c r="B101" t="inlineStr">
        <is>
          <t>Bessou</t>
        </is>
      </c>
      <c r="C101" t="inlineStr">
        <is>
          <t>Maiko</t>
        </is>
      </c>
      <c r="D101" t="inlineStr">
        <is>
          <t>Kyogoku</t>
        </is>
      </c>
      <c r="E101" t="inlineStr">
        <is>
          <t>Founder</t>
        </is>
      </c>
      <c r="H101" t="inlineStr">
        <is>
          <t>none</t>
        </is>
      </c>
      <c r="I101" t="inlineStr">
        <is>
          <t>linkedin</t>
        </is>
      </c>
      <c r="J101">
        <f>IF(AU101="pass",CM101+CN101+CO101+CP101+CQ101+CR101+CS101+CT101,0)</f>
        <v/>
      </c>
      <c r="K101" t="inlineStr">
        <is>
          <t>New York City brand, brand locator shows Rose Bakery (Dover Street Market) 0.8 blocks outside it, no dated why-now in the last 12 months, revenue unknown, contact named; founder review: not-emerging.</t>
        </is>
      </c>
      <c r="M101" t="inlineStr">
        <is>
          <t>Rose Bakery (Dover Street Market), 160 Lexington Ave</t>
        </is>
      </c>
      <c r="N101" t="inlineStr">
        <is>
          <t>brand_claim</t>
        </is>
      </c>
      <c r="O101" t="inlineStr">
        <is>
          <t>Ran a Bessou Snack Shop pop-up at Bryant Park (Pom Pom Popcorn and Japanese bodega-style snacks) through 2026-01-04, and reopened as a kiosk at the Pier 57 food hall (unverified, founder to confirm)</t>
        </is>
      </c>
      <c r="P101" t="inlineStr">
        <is>
          <t>https://www.trendhunter.com/trends/bessou-snack-shop</t>
        </is>
      </c>
      <c r="Q101" t="inlineStr">
        <is>
          <t>2026-01-04</t>
        </is>
      </c>
      <c r="R101" t="inlineStr">
        <is>
          <t>N</t>
        </is>
      </c>
      <c r="S101" t="inlineStr">
        <is>
          <t>unknown</t>
        </is>
      </c>
      <c r="T101" t="inlineStr">
        <is>
          <t>N</t>
        </is>
      </c>
      <c r="U101" t="inlineStr">
        <is>
          <t>new</t>
        </is>
      </c>
      <c r="V101" t="inlineStr">
        <is>
          <t>https://bessou.nyc/</t>
        </is>
      </c>
      <c r="W101" t="inlineStr">
        <is>
          <t>2026-10-23</t>
        </is>
      </c>
      <c r="X101" t="inlineStr">
        <is>
          <t>brand</t>
        </is>
      </c>
      <c r="Y101">
        <f>IF(EB101&lt;&gt;"Y","",COUNTIFS($EB$2:$EB$1000,"Y",$J$2:$J$1000,"&gt;"&amp;J101)+COUNTIFS($EB$2:$EB$1000,"Y",$J$2:$J$1000,J101,$ED$2:$ED$1000,"&lt;"&amp;ED101)+1)</f>
        <v/>
      </c>
      <c r="Z101" t="n">
        <v>100</v>
      </c>
      <c r="AA101" t="inlineStr">
        <is>
          <t>N</t>
        </is>
      </c>
      <c r="AB101" t="inlineStr">
        <is>
          <t>find Maiko Kyogoku at Bessou on LinkedIn and paste the profile URL; the retailer line rests on the brand's own store locator: say 'your store locator lists ...'; founder review (not-emerging): read founder_review_reason first</t>
        </is>
      </c>
      <c r="AC101" t="inlineStr">
        <is>
          <t>founder</t>
        </is>
      </c>
      <c r="AD101" t="inlineStr">
        <is>
          <t>verified-page</t>
        </is>
      </c>
      <c r="AE101" t="inlineStr">
        <is>
          <t>employer's own site</t>
        </is>
      </c>
      <c r="AF101" t="inlineStr">
        <is>
          <t>https://bessou.nyc/pages/meet-the-team</t>
        </is>
      </c>
      <c r="AG101" t="inlineStr">
        <is>
          <t>2026-10-23</t>
        </is>
      </c>
      <c r="AH101" t="inlineStr">
        <is>
          <t>Nori Crunch Popcorn (box of 3 online); Japanese-flavored popcorn bags (Shiso Sour Cream, Miso Caramel Corn)</t>
        </is>
      </c>
      <c r="AI101" t="inlineStr">
        <is>
          <t>popcorn-puffs</t>
        </is>
      </c>
      <c r="AJ101" t="inlineStr">
        <is>
          <t>New York, Manhattan (privacy policy: 25 11th Avenue, Bessou Kiosk 9, Pier 57, New York NY 10011)</t>
        </is>
      </c>
      <c r="AK101" t="inlineStr">
        <is>
          <t>https://bessou.nyc</t>
        </is>
      </c>
      <c r="AL101" t="inlineStr">
        <is>
          <t>Y</t>
        </is>
      </c>
      <c r="AM101" t="inlineStr">
        <is>
          <t>Restaurant-led side line; production scale and wholesale capacity for 275 units unknown</t>
        </is>
      </c>
      <c r="AN101" t="inlineStr">
        <is>
          <t>AB-240</t>
        </is>
      </c>
      <c r="AO101" t="inlineStr">
        <is>
          <t>N</t>
        </is>
      </c>
      <c r="AR101">
        <f>IF(AND(AU101="pass",AO101&lt;&gt;"Y",C101&lt;&gt;""),"Y","N")</f>
        <v/>
      </c>
      <c r="AS101">
        <f>_xlfn.TEXTJOIN("; ",TRUE,IF(AU101&lt;&gt;"pass","gated out",""),IF(AO101="Y","on hold: "&amp;AP101,""),IF(C101="","no contact named on an opened page",""))</f>
        <v/>
      </c>
      <c r="AU101" t="inlineStr">
        <is>
          <t>pass</t>
        </is>
      </c>
      <c r="AW101" t="inlineStr">
        <is>
          <t>passes all hard gates</t>
        </is>
      </c>
      <c r="AX101" t="inlineStr">
        <is>
          <t>not-emerging</t>
        </is>
      </c>
      <c r="AY101" t="inlineStr">
        <is>
          <t>https://bessou.nyc</t>
        </is>
      </c>
      <c r="AZ101" t="inlineStr">
        <is>
          <t>NY</t>
        </is>
      </c>
      <c r="BA101" t="inlineStr">
        <is>
          <t>nyc</t>
        </is>
      </c>
      <c r="BB101" t="inlineStr">
        <is>
          <t>unknown</t>
        </is>
      </c>
      <c r="BD101" t="inlineStr">
        <is>
          <t>Y</t>
        </is>
      </c>
      <c r="BE101" t="inlineStr">
        <is>
          <t>Bagged popcorn sold ambient at Pearl River Mart; no shelf-life figure published, founder to confirm</t>
        </is>
      </c>
      <c r="BF101" t="inlineStr">
        <is>
          <t>Y</t>
        </is>
      </c>
      <c r="BG101" t="inlineStr">
        <is>
          <t>Y</t>
        </is>
      </c>
      <c r="BH101" t="inlineStr">
        <is>
          <t>unknown</t>
        </is>
      </c>
      <c r="BJ101" t="inlineStr">
        <is>
          <t>unknown</t>
        </is>
      </c>
      <c r="BK101" t="inlineStr">
        <is>
          <t>N</t>
        </is>
      </c>
      <c r="BL101" t="inlineStr">
        <is>
          <t>N</t>
        </is>
      </c>
      <c r="BN101" t="n">
        <v>0.8</v>
      </c>
      <c r="BO101" t="inlineStr">
        <is>
          <t>N</t>
        </is>
      </c>
      <c r="BP101" t="n">
        <v>2</v>
      </c>
      <c r="BQ101" t="inlineStr">
        <is>
          <t>Rose Bakery (Dover Street Market), 160 Lexington Ave (brand_claim, 0.8 blocks out);The Locavore Variety Store, 434 6th Ave (brand_claim, 3.7 blocks out)</t>
        </is>
      </c>
      <c r="BS101" t="inlineStr">
        <is>
          <t>Pearl River Mart (online catalog); 'Find Bessou Goods' locations page; Bessou restaurant</t>
        </is>
      </c>
      <c r="BT101" t="inlineStr">
        <is>
          <t>https://www.pearlriver.com/products/bessou-japanese-flavored-popcorn; https://stockist.co/api/v1/map_p3x8ne63/locations/search?latitude=40.7411&amp;longitude=-73.9897&amp;distance=3&amp;distance_unit=mi</t>
        </is>
      </c>
      <c r="BU101" t="inlineStr">
        <is>
          <t>unverified</t>
        </is>
      </c>
      <c r="BV101" t="n">
        <v>293</v>
      </c>
      <c r="BX101" t="inlineStr">
        <is>
          <t>Maiko Kyogoku</t>
        </is>
      </c>
      <c r="CF101" t="inlineStr">
        <is>
          <t>none</t>
        </is>
      </c>
      <c r="CK101" t="inlineStr">
        <is>
          <t>none</t>
        </is>
      </c>
      <c r="CL101" t="n">
        <v>44</v>
      </c>
      <c r="CM101" t="n">
        <v>13</v>
      </c>
      <c r="CN101" t="n">
        <v>20</v>
      </c>
      <c r="CO101" t="n">
        <v>0</v>
      </c>
      <c r="CP101" t="n">
        <v>5</v>
      </c>
      <c r="CQ101" t="n">
        <v>10</v>
      </c>
      <c r="CR101" t="n">
        <v>6</v>
      </c>
      <c r="CS101">
        <f>IF(R101="Y",10,0)</f>
        <v/>
      </c>
      <c r="CT101" t="n">
        <v>-10</v>
      </c>
      <c r="CV101" t="inlineStr">
        <is>
          <t>BR4</t>
        </is>
      </c>
      <c r="CW101" t="inlineStr">
        <is>
          <t>BR4:35</t>
        </is>
      </c>
      <c r="CX101" t="inlineStr">
        <is>
          <t>AAPI- and woman-owned (Pearl River listing). Site sells Signature Popcorn Tin and Pom Pom Popcorn; has a 'Find Bessou Goods' page (not opened). Pearl River Mart catalog (pearlriver.com online store; Chelsea Market food store at 75 9th Ave not confirmed for this item)</t>
        </is>
      </c>
      <c r="CY101" t="inlineStr">
        <is>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is>
      </c>
      <c r="DA101" t="inlineStr">
        <is>
          <t>stage 1 only</t>
        </is>
      </c>
      <c r="DY101">
        <f>IF(ISNUMBER(MATCH(U101,{"queued","contacted","replied","call_booked","call_done","yes_in_principle","materials_sent"},0)),"Y","N")</f>
        <v/>
      </c>
      <c r="DZ101">
        <f>IF(COUNTIFS($AN$2:$AN$1000,AN101,$DY$2:$DY$1000,"Y")+COUNTIFS($AN$2:$AN$1000,AN101,$T$2:$T$1000,"Y")&gt;0,"Y","N")</f>
        <v/>
      </c>
      <c r="EA101">
        <f>IF(AND(U101="new",T101="N",AR101="Y",AQ101="",DZ101="N"),"Y","N")</f>
        <v/>
      </c>
      <c r="EB101">
        <f>IF(EA101&lt;&gt;"Y","N",IF(COUNTIFS($AN$2:$AN$1000,AN101,$EA$2:$EA$1000,"Y",$J$2:$J$1000,"&gt;"&amp;J101)+COUNTIFS($AN$2:$AN$1000,AN101,$EA$2:$EA$1000,"Y",$J$2:$J$1000,J101,$ED$2:$ED$1000,"&lt;"&amp;ED101)=0,"Y","N"))</f>
        <v/>
      </c>
      <c r="EC101">
        <f>IF(Y101="","N",IF(Y101&lt;=10,"Y","N"))</f>
        <v/>
      </c>
      <c r="ED101">
        <f>ROW()-1</f>
        <v/>
      </c>
    </row>
    <row r="102">
      <c r="A102" t="inlineStr">
        <is>
          <t>AB-293</t>
        </is>
      </c>
      <c r="B102" t="inlineStr">
        <is>
          <t>Ivy's Gourmet</t>
        </is>
      </c>
      <c r="C102" t="inlineStr">
        <is>
          <t>Sarah</t>
        </is>
      </c>
      <c r="D102" t="inlineStr">
        <is>
          <t>Tamm</t>
        </is>
      </c>
      <c r="E102" t="inlineStr">
        <is>
          <t>Founder</t>
        </is>
      </c>
      <c r="H102" t="inlineStr">
        <is>
          <t>none</t>
        </is>
      </c>
      <c r="I102" t="inlineStr">
        <is>
          <t>linkedin</t>
        </is>
      </c>
      <c r="J102">
        <f>IF(AU102="pass",CM102+CN102+CO102+CP102+CQ102+CR102+CS102+CT102,0)</f>
        <v/>
      </c>
      <c r="K102" t="inlineStr">
        <is>
          <t>Northeast brand, no graded store within ten blocks, online store only, news 118 days ago, revenue unknown, contact named; founder review: format.</t>
        </is>
      </c>
      <c r="M102" t="inlineStr">
        <is>
          <t>none found within ten blocks</t>
        </is>
      </c>
      <c r="N102" t="inlineStr">
        <is>
          <t>unverified</t>
        </is>
      </c>
      <c r="O102" t="inlineStr">
        <is>
          <t>First-time exhibitor at the 2026 Summer Fancy Food Show, billed as a sofi Award finalist</t>
        </is>
      </c>
      <c r="P102" t="inlineStr">
        <is>
          <t>https://events.specialtyfood.com/event/2026-summer-fancy-food-show/exhibitor/RXhoaWJpdG9yXzIzMzA2ODA=</t>
        </is>
      </c>
      <c r="Q102" t="inlineStr">
        <is>
          <t>2026-06-28</t>
        </is>
      </c>
      <c r="R102" t="inlineStr">
        <is>
          <t>N</t>
        </is>
      </c>
      <c r="S102" t="inlineStr">
        <is>
          <t>unknown</t>
        </is>
      </c>
      <c r="T102" t="inlineStr">
        <is>
          <t>N</t>
        </is>
      </c>
      <c r="U102" t="inlineStr">
        <is>
          <t>new</t>
        </is>
      </c>
      <c r="V102" t="inlineStr">
        <is>
          <t>https://events.specialtyfood.com/event/2026-summer-fancy-food-show/exhibitor/RXhoaWJpdG9yXzIzMzA2ODA=</t>
        </is>
      </c>
      <c r="W102" t="inlineStr">
        <is>
          <t>2026-10-24</t>
        </is>
      </c>
      <c r="X102" t="inlineStr">
        <is>
          <t>brand</t>
        </is>
      </c>
      <c r="Y102">
        <f>IF(EB102&lt;&gt;"Y","",COUNTIFS($EB$2:$EB$1000,"Y",$J$2:$J$1000,"&gt;"&amp;J102)+COUNTIFS($EB$2:$EB$1000,"Y",$J$2:$J$1000,J102,$ED$2:$ED$1000,"&lt;"&amp;ED102)+1)</f>
        <v/>
      </c>
      <c r="Z102" t="n">
        <v>101</v>
      </c>
      <c r="AA102" t="inlineStr">
        <is>
          <t>N</t>
        </is>
      </c>
      <c r="AB102" t="inlineStr">
        <is>
          <t>find Sarah Tamm at Ivy's Gourmet on LinkedIn and paste the profile URL; founder review (format): read founder_review_reason first</t>
        </is>
      </c>
      <c r="AC102" t="inlineStr">
        <is>
          <t>founder</t>
        </is>
      </c>
      <c r="AD102" t="inlineStr">
        <is>
          <t>verified-page</t>
        </is>
      </c>
      <c r="AE102" t="inlineStr">
        <is>
          <t>press, event or podcast page</t>
        </is>
      </c>
      <c r="AF102" t="inlineStr">
        <is>
          <t>https://events.specialtyfood.com/event/2026-summer-fancy-food-show/exhibitor/RXhoaWJpdG9yXzIzMzA2ODA=</t>
        </is>
      </c>
      <c r="AG102" t="inlineStr">
        <is>
          <t>2026-10-24</t>
        </is>
      </c>
      <c r="AH102" t="inlineStr">
        <is>
          <t>Hazelnut Coffee Granola (gluten-free)</t>
        </is>
      </c>
      <c r="AI102" t="inlineStr">
        <is>
          <t>other-snack</t>
        </is>
      </c>
      <c r="AJ102" t="inlineStr">
        <is>
          <t>Westport</t>
        </is>
      </c>
      <c r="AK102" t="inlineStr">
        <is>
          <t>https://www.ivysgourmet.com</t>
        </is>
      </c>
      <c r="AL102" t="inlineStr">
        <is>
          <t>Y</t>
        </is>
      </c>
      <c r="AM102" t="inlineStr">
        <is>
          <t>Single-serve format not seen; granola is usually a breakfast item, so check fit with the pantry brief</t>
        </is>
      </c>
      <c r="AN102" t="inlineStr">
        <is>
          <t>AB-293</t>
        </is>
      </c>
      <c r="AO102" t="inlineStr">
        <is>
          <t>N</t>
        </is>
      </c>
      <c r="AR102">
        <f>IF(AND(AU102="pass",AO102&lt;&gt;"Y",C102&lt;&gt;""),"Y","N")</f>
        <v/>
      </c>
      <c r="AS102">
        <f>_xlfn.TEXTJOIN("; ",TRUE,IF(AU102&lt;&gt;"pass","gated out",""),IF(AO102="Y","on hold: "&amp;AP102,""),IF(C102="","no contact named on an opened page",""))</f>
        <v/>
      </c>
      <c r="AU102" t="inlineStr">
        <is>
          <t>pass</t>
        </is>
      </c>
      <c r="AW102" t="inlineStr">
        <is>
          <t>passes all hard gates</t>
        </is>
      </c>
      <c r="AX102" t="inlineStr">
        <is>
          <t>format</t>
        </is>
      </c>
      <c r="AY102" t="inlineStr">
        <is>
          <t>https://www.ivysgourmet.com</t>
        </is>
      </c>
      <c r="AZ102" t="inlineStr">
        <is>
          <t>CT</t>
        </is>
      </c>
      <c r="BA102" t="inlineStr">
        <is>
          <t>northeast</t>
        </is>
      </c>
      <c r="BB102" t="inlineStr">
        <is>
          <t>unknown</t>
        </is>
      </c>
      <c r="BD102" t="inlineStr">
        <is>
          <t>Y</t>
        </is>
      </c>
      <c r="BE102" t="inlineStr">
        <is>
          <t>Packaged granola; site says 'baked daily, our freshness is guaranteed'; shelf life not stated</t>
        </is>
      </c>
      <c r="BF102" t="inlineStr">
        <is>
          <t>unknown</t>
        </is>
      </c>
      <c r="BG102" t="inlineStr">
        <is>
          <t>Y</t>
        </is>
      </c>
      <c r="BH102" t="inlineStr">
        <is>
          <t>unknown</t>
        </is>
      </c>
      <c r="BJ102" t="inlineStr">
        <is>
          <t>No sourced sales figure found</t>
        </is>
      </c>
      <c r="BK102" t="inlineStr">
        <is>
          <t>N</t>
        </is>
      </c>
      <c r="BL102" t="inlineStr">
        <is>
          <t>N</t>
        </is>
      </c>
      <c r="BO102" t="inlineStr">
        <is>
          <t>N</t>
        </is>
      </c>
      <c r="BP102" t="n">
        <v>0</v>
      </c>
      <c r="BS102" t="inlineStr">
        <is>
          <t>unknown (ships to CT, NY, NJ per site)</t>
        </is>
      </c>
      <c r="BU102" t="inlineStr">
        <is>
          <t>press</t>
        </is>
      </c>
      <c r="BV102" t="n">
        <v>118</v>
      </c>
      <c r="BX102" t="inlineStr">
        <is>
          <t>Sarah Tamm</t>
        </is>
      </c>
      <c r="CF102" t="inlineStr">
        <is>
          <t>none</t>
        </is>
      </c>
      <c r="CK102" t="inlineStr">
        <is>
          <t>none</t>
        </is>
      </c>
      <c r="CL102" t="n">
        <v>44</v>
      </c>
      <c r="CM102" t="n">
        <v>6</v>
      </c>
      <c r="CN102" t="n">
        <v>8</v>
      </c>
      <c r="CO102" t="n">
        <v>15</v>
      </c>
      <c r="CP102" t="n">
        <v>5</v>
      </c>
      <c r="CQ102" t="n">
        <v>8</v>
      </c>
      <c r="CR102" t="n">
        <v>6</v>
      </c>
      <c r="CS102">
        <f>IF(R102="Y",10,0)</f>
        <v/>
      </c>
      <c r="CT102" t="n">
        <v>-4</v>
      </c>
      <c r="CV102" t="inlineStr">
        <is>
          <t>BR5</t>
        </is>
      </c>
      <c r="CW102" t="inlineStr">
        <is>
          <t>BR5:29</t>
        </is>
      </c>
      <c r="CX102" t="inlineStr">
        <is>
          <t>SFFS 2026: 'founded in 2017 in Westport, CT by Sarah Tamm'; brands field reads 'sofi Award finalist; First time exhibitor; 18+ flavors of granola'. Its 2026 sofi finalist listing (Hazelnut Coffee Granola) was published 2025-10-23, just outside the 12-month window.</t>
        </is>
      </c>
      <c r="DA102" t="inlineStr">
        <is>
          <t>stage 1 only</t>
        </is>
      </c>
      <c r="DY102">
        <f>IF(ISNUMBER(MATCH(U102,{"queued","contacted","replied","call_booked","call_done","yes_in_principle","materials_sent"},0)),"Y","N")</f>
        <v/>
      </c>
      <c r="DZ102">
        <f>IF(COUNTIFS($AN$2:$AN$1000,AN102,$DY$2:$DY$1000,"Y")+COUNTIFS($AN$2:$AN$1000,AN102,$T$2:$T$1000,"Y")&gt;0,"Y","N")</f>
        <v/>
      </c>
      <c r="EA102">
        <f>IF(AND(U102="new",T102="N",AR102="Y",AQ102="",DZ102="N"),"Y","N")</f>
        <v/>
      </c>
      <c r="EB102">
        <f>IF(EA102&lt;&gt;"Y","N",IF(COUNTIFS($AN$2:$AN$1000,AN102,$EA$2:$EA$1000,"Y",$J$2:$J$1000,"&gt;"&amp;J102)+COUNTIFS($AN$2:$AN$1000,AN102,$EA$2:$EA$1000,"Y",$J$2:$J$1000,J102,$ED$2:$ED$1000,"&lt;"&amp;ED102)=0,"Y","N"))</f>
        <v/>
      </c>
      <c r="EC102">
        <f>IF(Y102="","N",IF(Y102&lt;=10,"Y","N"))</f>
        <v/>
      </c>
      <c r="ED102">
        <f>ROW()-1</f>
        <v/>
      </c>
    </row>
    <row r="103">
      <c r="A103" t="inlineStr">
        <is>
          <t>AB-068</t>
        </is>
      </c>
      <c r="B103" t="inlineStr">
        <is>
          <t>Partake Foods</t>
        </is>
      </c>
      <c r="C103" t="inlineStr">
        <is>
          <t>Denise</t>
        </is>
      </c>
      <c r="D103" t="inlineStr">
        <is>
          <t>Woodard</t>
        </is>
      </c>
      <c r="E103" t="inlineStr">
        <is>
          <t>Founder</t>
        </is>
      </c>
      <c r="F103" t="inlineStr">
        <is>
          <t>https://www.linkedin.com/in/denisegwoodard/</t>
        </is>
      </c>
      <c r="H103" t="inlineStr">
        <is>
          <t>none</t>
        </is>
      </c>
      <c r="I103" t="inlineStr">
        <is>
          <t>linkedin</t>
        </is>
      </c>
      <c r="J103">
        <f>IF(AU103="pass",CM103+CN103+CO103+CP103+CQ103+CR103+CS103+CT103,0)</f>
        <v/>
      </c>
      <c r="K103" t="inlineStr">
        <is>
          <t>New York State brand (HQ unverified), no graded store within ten blocks, online store only, news 46 days ago, revenue unknown, contact named; founder review: scale.</t>
        </is>
      </c>
      <c r="M103" t="inlineStr">
        <is>
          <t>none found within ten blocks</t>
        </is>
      </c>
      <c r="N103" t="inlineStr">
        <is>
          <t>unverified</t>
        </is>
      </c>
      <c r="O103" t="inlineStr">
        <is>
          <t>Girl Scouts announced Sparkables, its first allergy-friendly cookie, developed with Partake; on sale online from January 2027</t>
        </is>
      </c>
      <c r="P103" t="inlineStr">
        <is>
          <t>https://www.wowt.com/2026/09/08/girl-scouts-debuts-2-new-cookie-flavors-heres-what-they-are/</t>
        </is>
      </c>
      <c r="Q103" t="inlineStr">
        <is>
          <t>2026-09-08</t>
        </is>
      </c>
      <c r="R103" t="inlineStr">
        <is>
          <t>N</t>
        </is>
      </c>
      <c r="S103" t="inlineStr">
        <is>
          <t>unknown</t>
        </is>
      </c>
      <c r="T103" t="inlineStr">
        <is>
          <t>N</t>
        </is>
      </c>
      <c r="U103" t="inlineStr">
        <is>
          <t>new</t>
        </is>
      </c>
      <c r="V103" t="inlineStr">
        <is>
          <t>https://partakefoods.com/pages/about</t>
        </is>
      </c>
      <c r="W103" t="inlineStr">
        <is>
          <t>2026-10-23</t>
        </is>
      </c>
      <c r="X103" t="inlineStr">
        <is>
          <t>brand</t>
        </is>
      </c>
      <c r="Y103">
        <f>IF(EB103&lt;&gt;"Y","",COUNTIFS($EB$2:$EB$1000,"Y",$J$2:$J$1000,"&gt;"&amp;J103)+COUNTIFS($EB$2:$EB$1000,"Y",$J$2:$J$1000,J103,$ED$2:$ED$1000,"&lt;"&amp;ED103)+1)</f>
        <v/>
      </c>
      <c r="Z103" t="n">
        <v>102</v>
      </c>
      <c r="AA103" t="inlineStr">
        <is>
          <t>N</t>
        </is>
      </c>
      <c r="AB103" t="inlineStr">
        <is>
          <t>founder review (scale): read founder_review_reason first</t>
        </is>
      </c>
      <c r="AC103" t="inlineStr">
        <is>
          <t>founder</t>
        </is>
      </c>
      <c r="AD103" t="inlineStr">
        <is>
          <t>verified-page</t>
        </is>
      </c>
      <c r="AE103" t="inlineStr">
        <is>
          <t>employer's own site</t>
        </is>
      </c>
      <c r="AF103" t="inlineStr">
        <is>
          <t>https://partakefoods.com/pages/about</t>
        </is>
      </c>
      <c r="AG103" t="inlineStr">
        <is>
          <t>2026-10-23</t>
        </is>
      </c>
      <c r="AH103" t="inlineStr">
        <is>
          <t>Teeny Tiny Chocolate Chip cookie snack packs</t>
        </is>
      </c>
      <c r="AI103" t="inlineStr">
        <is>
          <t>cookies-baked</t>
        </is>
      </c>
      <c r="AJ103" t="inlineStr">
        <is>
          <t>Jersey City (search snippets: company profile 'Jersey City, NJ' and founder lives in Jersey City; unverified, founder to confirm)</t>
        </is>
      </c>
      <c r="AK103" t="inlineStr">
        <is>
          <t>https://partakefoods.com</t>
        </is>
      </c>
      <c r="AL103" t="inlineStr">
        <is>
          <t>Y</t>
        </is>
      </c>
      <c r="AM103" t="inlineStr">
        <is>
          <t>Kids/lunchbox positioning; 11,000+ doors may put it above the $10M ceiling</t>
        </is>
      </c>
      <c r="AN103" t="inlineStr">
        <is>
          <t>AB-068</t>
        </is>
      </c>
      <c r="AO103" t="inlineStr">
        <is>
          <t>N</t>
        </is>
      </c>
      <c r="AR103">
        <f>IF(AND(AU103="pass",AO103&lt;&gt;"Y",C103&lt;&gt;""),"Y","N")</f>
        <v/>
      </c>
      <c r="AS103">
        <f>_xlfn.TEXTJOIN("; ",TRUE,IF(AU103&lt;&gt;"pass","gated out",""),IF(AO103="Y","on hold: "&amp;AP103,""),IF(C103="","no contact named on an opened page",""))</f>
        <v/>
      </c>
      <c r="AU103" t="inlineStr">
        <is>
          <t>pass</t>
        </is>
      </c>
      <c r="AW103" t="inlineStr">
        <is>
          <t>passes all hard gates</t>
        </is>
      </c>
      <c r="AX103" t="inlineStr">
        <is>
          <t>scale</t>
        </is>
      </c>
      <c r="AY103" t="inlineStr">
        <is>
          <t>https://partakefoods.com</t>
        </is>
      </c>
      <c r="AZ103" t="inlineStr">
        <is>
          <t>NY or NJ (unverified)</t>
        </is>
      </c>
      <c r="BA103" t="inlineStr">
        <is>
          <t>nys (unverified)</t>
        </is>
      </c>
      <c r="BB103" t="inlineStr">
        <is>
          <t>venture-backed (seed led by Marcy Venture Partners, $1M, per brand about page; later rounds unknown)</t>
        </is>
      </c>
      <c r="BC103" t="inlineStr">
        <is>
          <t>https://partakefoods.com/pages/about</t>
        </is>
      </c>
      <c r="BD103" t="inlineStr">
        <is>
          <t>Y</t>
        </is>
      </c>
      <c r="BE103" t="inlineStr">
        <is>
          <t>Brand FAQ: shelf life 12 months</t>
        </is>
      </c>
      <c r="BF103" t="inlineStr">
        <is>
          <t>Y</t>
        </is>
      </c>
      <c r="BG103" t="inlineStr">
        <is>
          <t>Y</t>
        </is>
      </c>
      <c r="BH103" t="inlineStr">
        <is>
          <t>unknown</t>
        </is>
      </c>
      <c r="BJ103" t="inlineStr">
        <is>
          <t>Brand about page says 11,000+ stores (store count, not used for band)</t>
        </is>
      </c>
      <c r="BK103" t="inlineStr">
        <is>
          <t>N</t>
        </is>
      </c>
      <c r="BL103" t="inlineStr">
        <is>
          <t>N</t>
        </is>
      </c>
      <c r="BO103" t="inlineStr">
        <is>
          <t>N</t>
        </is>
      </c>
      <c r="BP103" t="n">
        <v>0</v>
      </c>
      <c r="BS103" t="inlineStr">
        <is>
          <t>Whole Foods; 11,000+ stores</t>
        </is>
      </c>
      <c r="BT103" t="inlineStr">
        <is>
          <t>https://www.wholefoodsmarket.com/api/search?text=partake&amp;store=10162&amp;limit=60&amp;offset=0</t>
        </is>
      </c>
      <c r="BU103" t="inlineStr">
        <is>
          <t>press</t>
        </is>
      </c>
      <c r="BV103" t="n">
        <v>46</v>
      </c>
      <c r="BX103" t="inlineStr">
        <is>
          <t>Denise Woodard</t>
        </is>
      </c>
      <c r="BZ103" t="inlineStr">
        <is>
          <t>search result, not opened</t>
        </is>
      </c>
      <c r="CA103" t="inlineStr">
        <is>
          <t>Nikita McKinney</t>
        </is>
      </c>
      <c r="CE103" t="inlineStr">
        <is>
          <t>marketing</t>
        </is>
      </c>
      <c r="CF103" t="inlineStr">
        <is>
          <t>unverified</t>
        </is>
      </c>
      <c r="CG103" t="inlineStr">
        <is>
          <t>LinkedIn snippet; unverified, founder to confirm</t>
        </is>
      </c>
      <c r="CH103" t="inlineStr">
        <is>
          <t>https://www.linkedin.com/in/niki-mckinney/</t>
        </is>
      </c>
      <c r="CI103" t="inlineStr">
        <is>
          <t>search result, not opened</t>
        </is>
      </c>
      <c r="CK103" t="inlineStr">
        <is>
          <t>none</t>
        </is>
      </c>
      <c r="CL103" t="n">
        <v>44</v>
      </c>
      <c r="CM103" t="n">
        <v>6</v>
      </c>
      <c r="CN103" t="n">
        <v>10</v>
      </c>
      <c r="CO103" t="n">
        <v>15</v>
      </c>
      <c r="CP103" t="n">
        <v>5</v>
      </c>
      <c r="CQ103" t="n">
        <v>10</v>
      </c>
      <c r="CR103" t="n">
        <v>10</v>
      </c>
      <c r="CS103">
        <f>IF(R103="Y",10,0)</f>
        <v/>
      </c>
      <c r="CT103" t="n">
        <v>-12</v>
      </c>
      <c r="CU103" t="inlineStr">
        <is>
          <t>https://www.instagram.com/partakefoods/</t>
        </is>
      </c>
      <c r="CV103" t="inlineStr">
        <is>
          <t>BR2</t>
        </is>
      </c>
      <c r="CW103" t="inlineStr">
        <is>
          <t>BR2:5</t>
        </is>
      </c>
      <c r="CX103" t="inlineStr">
        <is>
          <t>Free of top 9 allergens; certified B Corp per brand about page. Not found in WFM cluster store catalogs on 2026-10-23.</t>
        </is>
      </c>
      <c r="CY103" t="inlineStr">
        <is>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is>
      </c>
      <c r="DA103" t="inlineStr">
        <is>
          <t>stage 1 only</t>
        </is>
      </c>
      <c r="DC103" t="inlineStr">
        <is>
          <t>unknown</t>
        </is>
      </c>
      <c r="DY103">
        <f>IF(ISNUMBER(MATCH(U103,{"queued","contacted","replied","call_booked","call_done","yes_in_principle","materials_sent"},0)),"Y","N")</f>
        <v/>
      </c>
      <c r="DZ103">
        <f>IF(COUNTIFS($AN$2:$AN$1000,AN103,$DY$2:$DY$1000,"Y")+COUNTIFS($AN$2:$AN$1000,AN103,$T$2:$T$1000,"Y")&gt;0,"Y","N")</f>
        <v/>
      </c>
      <c r="EA103">
        <f>IF(AND(U103="new",T103="N",AR103="Y",AQ103="",DZ103="N"),"Y","N")</f>
        <v/>
      </c>
      <c r="EB103">
        <f>IF(EA103&lt;&gt;"Y","N",IF(COUNTIFS($AN$2:$AN$1000,AN103,$EA$2:$EA$1000,"Y",$J$2:$J$1000,"&gt;"&amp;J103)+COUNTIFS($AN$2:$AN$1000,AN103,$EA$2:$EA$1000,"Y",$J$2:$J$1000,J103,$ED$2:$ED$1000,"&lt;"&amp;ED103)=0,"Y","N"))</f>
        <v/>
      </c>
      <c r="EC103">
        <f>IF(Y103="","N",IF(Y103&lt;=10,"Y","N"))</f>
        <v/>
      </c>
      <c r="ED103">
        <f>ROW()-1</f>
        <v/>
      </c>
    </row>
    <row r="104">
      <c r="A104" t="inlineStr">
        <is>
          <t>AB-063</t>
        </is>
      </c>
      <c r="B104" t="inlineStr">
        <is>
          <t>The Hermit (calamari jerky)</t>
        </is>
      </c>
      <c r="C104" t="inlineStr">
        <is>
          <t>Steven</t>
        </is>
      </c>
      <c r="D104" t="inlineStr">
        <is>
          <t>Shonts</t>
        </is>
      </c>
      <c r="E104" t="inlineStr">
        <is>
          <t>Press contact on release</t>
        </is>
      </c>
      <c r="H104" t="inlineStr">
        <is>
          <t>none</t>
        </is>
      </c>
      <c r="I104" t="inlineStr">
        <is>
          <t>linkedin</t>
        </is>
      </c>
      <c r="J104">
        <f>IF(AU104="pass",CM104+CN104+CO104+CP104+CQ104+CR104+CS104+CT104,0)</f>
        <v/>
      </c>
      <c r="K104" t="inlineStr">
        <is>
          <t>Brand based outside the Northeast, no graded store within ten blocks, online store only, news 143 days ago, revenue unknown, contact named; founder review: under-floor, claim-borderline.</t>
        </is>
      </c>
      <c r="M104" t="inlineStr">
        <is>
          <t>none found within ten blocks</t>
        </is>
      </c>
      <c r="N104" t="inlineStr">
        <is>
          <t>unverified</t>
        </is>
      </c>
      <c r="O104" t="inlineStr">
        <is>
          <t>Relaunched calamari jerky line with reformulated texture (limited 500-bag run)</t>
        </is>
      </c>
      <c r="P104" t="inlineStr">
        <is>
          <t>https://startupcpg.com/startup-cpg-newswire-the-hermit-relaunches-wild-caught-calamari-jerky-with-improved-texture/</t>
        </is>
      </c>
      <c r="Q104" t="inlineStr">
        <is>
          <t>2026-06-03</t>
        </is>
      </c>
      <c r="R104" t="inlineStr">
        <is>
          <t>N</t>
        </is>
      </c>
      <c r="S104" t="inlineStr">
        <is>
          <t>Y</t>
        </is>
      </c>
      <c r="T104" t="inlineStr">
        <is>
          <t>N</t>
        </is>
      </c>
      <c r="U104" t="inlineStr">
        <is>
          <t>new</t>
        </is>
      </c>
      <c r="V104" t="inlineStr">
        <is>
          <t>https://startupcpg.com/startup-cpg-newswire-the-hermit-relaunches-wild-caught-calamari-jerky-with-improved-texture/</t>
        </is>
      </c>
      <c r="W104" t="inlineStr">
        <is>
          <t>2026-10-23</t>
        </is>
      </c>
      <c r="X104" t="inlineStr">
        <is>
          <t>brand</t>
        </is>
      </c>
      <c r="Y104">
        <f>IF(EB104&lt;&gt;"Y","",COUNTIFS($EB$2:$EB$1000,"Y",$J$2:$J$1000,"&gt;"&amp;J104)+COUNTIFS($EB$2:$EB$1000,"Y",$J$2:$J$1000,J104,$ED$2:$ED$1000,"&lt;"&amp;ED104)+1)</f>
        <v/>
      </c>
      <c r="Z104" t="n">
        <v>103</v>
      </c>
      <c r="AA104" t="inlineStr">
        <is>
          <t>N</t>
        </is>
      </c>
      <c r="AB104" t="inlineStr">
        <is>
          <t>find Steven Shonts at The Hermit (calamari jerky) on LinkedIn and paste the profile URL; founder review (under-floor, claim-borderline): read founder_review_reason first</t>
        </is>
      </c>
      <c r="AC104" t="inlineStr">
        <is>
          <t>marketing</t>
        </is>
      </c>
      <c r="AD104" t="inlineStr">
        <is>
          <t>verified-page</t>
        </is>
      </c>
      <c r="AE104" t="inlineStr">
        <is>
          <t>press, event or podcast page</t>
        </is>
      </c>
      <c r="AF104" t="inlineStr">
        <is>
          <t>https://startupcpg.com/startup-cpg-newswire-the-hermit-relaunches-wild-caught-calamari-jerky-with-improved-texture/</t>
        </is>
      </c>
      <c r="AG104" t="inlineStr">
        <is>
          <t>2026-10-23</t>
        </is>
      </c>
      <c r="AH104" t="inlineStr">
        <is>
          <t>The Hermit Calamari Jerky, Thai Chili Lime, 2 oz</t>
        </is>
      </c>
      <c r="AI104" t="inlineStr">
        <is>
          <t>meat-snacks</t>
        </is>
      </c>
      <c r="AJ104" t="inlineStr">
        <is>
          <t>Reno</t>
        </is>
      </c>
      <c r="AK104" t="inlineStr">
        <is>
          <t>https://thehermit.com</t>
        </is>
      </c>
      <c r="AL104" t="inlineStr">
        <is>
          <t>Y</t>
        </is>
      </c>
      <c r="AM104" t="inlineStr">
        <is>
          <t>Very early stage (500-bag batches); release leads with protein, collagen and omega-3 amounts; shellfish/mollusk allergen for shared pantries</t>
        </is>
      </c>
      <c r="AN104" t="inlineStr">
        <is>
          <t>AB-063</t>
        </is>
      </c>
      <c r="AO104" t="inlineStr">
        <is>
          <t>N</t>
        </is>
      </c>
      <c r="AR104">
        <f>IF(AND(AU104="pass",AO104&lt;&gt;"Y",C104&lt;&gt;""),"Y","N")</f>
        <v/>
      </c>
      <c r="AS104">
        <f>_xlfn.TEXTJOIN("; ",TRUE,IF(AU104&lt;&gt;"pass","gated out",""),IF(AO104="Y","on hold: "&amp;AP104,""),IF(C104="","no contact named on an opened page",""))</f>
        <v/>
      </c>
      <c r="AU104" t="inlineStr">
        <is>
          <t>pass</t>
        </is>
      </c>
      <c r="AW104" t="inlineStr">
        <is>
          <t>passes all hard gates</t>
        </is>
      </c>
      <c r="AX104" t="inlineStr">
        <is>
          <t>under-floor;claim-borderline</t>
        </is>
      </c>
      <c r="AY104" t="inlineStr">
        <is>
          <t>https://thehermit.com</t>
        </is>
      </c>
      <c r="AZ104" t="inlineStr">
        <is>
          <t>NV</t>
        </is>
      </c>
      <c r="BA104" t="inlineStr">
        <is>
          <t>elsewhere</t>
        </is>
      </c>
      <c r="BB104" t="inlineStr">
        <is>
          <t>unknown</t>
        </is>
      </c>
      <c r="BD104" t="inlineStr">
        <is>
          <t>Y</t>
        </is>
      </c>
      <c r="BE104" t="inlineStr">
        <is>
          <t>Smoked, dried calamari jerky in 2 oz bags, sold ambient DTC</t>
        </is>
      </c>
      <c r="BF104" t="inlineStr">
        <is>
          <t>Y</t>
        </is>
      </c>
      <c r="BG104" t="inlineStr">
        <is>
          <t>Y</t>
        </is>
      </c>
      <c r="BH104" t="inlineStr">
        <is>
          <t>unknown</t>
        </is>
      </c>
      <c r="BJ104" t="inlineStr">
        <is>
          <t>Not banded: release (2026-06-03) describes a limited 500-bag relaunch run at $11.99 per bag; batch size is not a sales figure</t>
        </is>
      </c>
      <c r="BK104" t="inlineStr">
        <is>
          <t>N</t>
        </is>
      </c>
      <c r="BL104" t="inlineStr">
        <is>
          <t>N</t>
        </is>
      </c>
      <c r="BO104" t="inlineStr">
        <is>
          <t>N</t>
        </is>
      </c>
      <c r="BP104" t="n">
        <v>0</v>
      </c>
      <c r="BS104" t="inlineStr">
        <is>
          <t>DTC only</t>
        </is>
      </c>
      <c r="BU104" t="inlineStr">
        <is>
          <t>press</t>
        </is>
      </c>
      <c r="BV104" t="n">
        <v>143</v>
      </c>
      <c r="BW104" t="inlineStr">
        <is>
          <t>https://startupcpg.com/startup-cpg-newswire-the-hermit-relaunches-wild-caught-calamari-jerky-with-improved-texture/</t>
        </is>
      </c>
      <c r="BX104" t="inlineStr">
        <is>
          <t>Steven Shonts</t>
        </is>
      </c>
      <c r="CF104" t="inlineStr">
        <is>
          <t>none</t>
        </is>
      </c>
      <c r="CK104" t="inlineStr">
        <is>
          <t>none</t>
        </is>
      </c>
      <c r="CL104" t="n">
        <v>44</v>
      </c>
      <c r="CM104" t="n">
        <v>6</v>
      </c>
      <c r="CN104" t="n">
        <v>3</v>
      </c>
      <c r="CO104" t="n">
        <v>15</v>
      </c>
      <c r="CP104" t="n">
        <v>5</v>
      </c>
      <c r="CQ104" t="n">
        <v>10</v>
      </c>
      <c r="CR104" t="n">
        <v>10</v>
      </c>
      <c r="CS104">
        <f>IF(R104="Y",10,0)</f>
        <v/>
      </c>
      <c r="CT104" t="n">
        <v>-5</v>
      </c>
      <c r="CU104" t="inlineStr">
        <is>
          <t>unknown</t>
        </is>
      </c>
      <c r="CV104" t="inlineStr">
        <is>
          <t>BR1</t>
        </is>
      </c>
      <c r="CW104" t="inlineStr">
        <is>
          <t>BR1:64</t>
        </is>
      </c>
      <c r="CX104" t="inlineStr">
        <is>
          <t>Revenue band inferred only from the release's own batch size statement (500 bags x $11.99); treat as indicative.</t>
        </is>
      </c>
      <c r="DA104" t="inlineStr">
        <is>
          <t>stage 1 only</t>
        </is>
      </c>
      <c r="DY104">
        <f>IF(ISNUMBER(MATCH(U104,{"queued","contacted","replied","call_booked","call_done","yes_in_principle","materials_sent"},0)),"Y","N")</f>
        <v/>
      </c>
      <c r="DZ104">
        <f>IF(COUNTIFS($AN$2:$AN$1000,AN104,$DY$2:$DY$1000,"Y")+COUNTIFS($AN$2:$AN$1000,AN104,$T$2:$T$1000,"Y")&gt;0,"Y","N")</f>
        <v/>
      </c>
      <c r="EA104">
        <f>IF(AND(U104="new",T104="N",AR104="Y",AQ104="",DZ104="N"),"Y","N")</f>
        <v/>
      </c>
      <c r="EB104">
        <f>IF(EA104&lt;&gt;"Y","N",IF(COUNTIFS($AN$2:$AN$1000,AN104,$EA$2:$EA$1000,"Y",$J$2:$J$1000,"&gt;"&amp;J104)+COUNTIFS($AN$2:$AN$1000,AN104,$EA$2:$EA$1000,"Y",$J$2:$J$1000,J104,$ED$2:$ED$1000,"&lt;"&amp;ED104)=0,"Y","N"))</f>
        <v/>
      </c>
      <c r="EC104">
        <f>IF(Y104="","N",IF(Y104&lt;=10,"Y","N"))</f>
        <v/>
      </c>
      <c r="ED104">
        <f>ROW()-1</f>
        <v/>
      </c>
    </row>
    <row r="105">
      <c r="A105" t="inlineStr">
        <is>
          <t>AB-272</t>
        </is>
      </c>
      <c r="B105" t="inlineStr">
        <is>
          <t>Namkeen Queens</t>
        </is>
      </c>
      <c r="C105" t="inlineStr">
        <is>
          <t>Aiswarya</t>
        </is>
      </c>
      <c r="D105" t="inlineStr">
        <is>
          <t>unknown</t>
        </is>
      </c>
      <c r="E105" t="inlineStr">
        <is>
          <t>Co-founder</t>
        </is>
      </c>
      <c r="H105" t="inlineStr">
        <is>
          <t>none</t>
        </is>
      </c>
      <c r="I105" t="inlineStr">
        <is>
          <t>linkedin</t>
        </is>
      </c>
      <c r="J105">
        <f>IF(AU105="pass",CM105+CN105+CO105+CP105+CQ105+CR105+CS105+CT105,0)</f>
        <v/>
      </c>
      <c r="K105" t="inlineStr">
        <is>
          <t>New York City brand, no graded store within ten blocks, online store only, a new store listing 17 days ago, revenue unknown, contact named (first name only); founder review: under-floor.</t>
        </is>
      </c>
      <c r="M105" t="inlineStr">
        <is>
          <t>none found within ten blocks</t>
        </is>
      </c>
      <c r="N105" t="inlineStr">
        <is>
          <t>unverified</t>
        </is>
      </c>
      <c r="O105" t="inlineStr">
        <is>
          <t>Launched the NamQueen Gift Box with single ladoos and 4 oz chivda (a Diwali gift add-on followed on 2026-10-18)</t>
        </is>
      </c>
      <c r="P105" t="inlineStr">
        <is>
          <t>https://namkeenqueens.com/products.json</t>
        </is>
      </c>
      <c r="Q105" t="inlineStr">
        <is>
          <t>2026-10-07</t>
        </is>
      </c>
      <c r="R105" t="inlineStr">
        <is>
          <t>N</t>
        </is>
      </c>
      <c r="S105" t="inlineStr">
        <is>
          <t>unknown</t>
        </is>
      </c>
      <c r="T105" t="inlineStr">
        <is>
          <t>N</t>
        </is>
      </c>
      <c r="U105" t="inlineStr">
        <is>
          <t>new</t>
        </is>
      </c>
      <c r="V105" t="inlineStr">
        <is>
          <t>https://events.specialtyfood.com/event/2026-summer-fancy-food-show/exhibitor/RXhoaWJpdG9yXzI0Mzk0OTY=</t>
        </is>
      </c>
      <c r="W105" t="inlineStr">
        <is>
          <t>2026-10-24</t>
        </is>
      </c>
      <c r="X105" t="inlineStr">
        <is>
          <t>brand</t>
        </is>
      </c>
      <c r="Y105">
        <f>IF(EB105&lt;&gt;"Y","",COUNTIFS($EB$2:$EB$1000,"Y",$J$2:$J$1000,"&gt;"&amp;J105)+COUNTIFS($EB$2:$EB$1000,"Y",$J$2:$J$1000,J105,$ED$2:$ED$1000,"&lt;"&amp;ED105)+1)</f>
        <v/>
      </c>
      <c r="Z105" t="n">
        <v>104</v>
      </c>
      <c r="AA105" t="inlineStr">
        <is>
          <t>N</t>
        </is>
      </c>
      <c r="AB105" t="inlineStr">
        <is>
          <t>find Aiswarya at Namkeen Queens on LinkedIn and paste the profile URL; surname not public: take it from LinkedIn; founder review (under-floor): read founder_review_reason first</t>
        </is>
      </c>
      <c r="AC105" t="inlineStr">
        <is>
          <t>founder</t>
        </is>
      </c>
      <c r="AD105" t="inlineStr">
        <is>
          <t>first-name-only</t>
        </is>
      </c>
      <c r="AE105" t="inlineStr">
        <is>
          <t>employer's own site</t>
        </is>
      </c>
      <c r="AF105" t="inlineStr">
        <is>
          <t>https://namkeenqueens.com/pages/about</t>
        </is>
      </c>
      <c r="AG105" t="inlineStr">
        <is>
          <t>2026-10-24</t>
        </is>
      </c>
      <c r="AH105" t="inlineStr">
        <is>
          <t>Chivda 4 oz snack mix; Besan Ladoo single</t>
        </is>
      </c>
      <c r="AI105" t="inlineStr">
        <is>
          <t>other-snack</t>
        </is>
      </c>
      <c r="AJ105" t="inlineStr">
        <is>
          <t>New York (packaged in NY; handmade in Mumbai)</t>
        </is>
      </c>
      <c r="AK105" t="inlineStr">
        <is>
          <t>https://namkeenqueens.com</t>
        </is>
      </c>
      <c r="AL105" t="inlineStr">
        <is>
          <t>Y</t>
        </is>
      </c>
      <c r="AM105" t="inlineStr">
        <is>
          <t>Shelf life of ladoos and chivda unknown (60-day test); products are handmade in Mumbai and packaged in New York, so labeling, import and insurance need checking; very small brand; 60-day shelf life not stated</t>
        </is>
      </c>
      <c r="AN105" t="inlineStr">
        <is>
          <t>AB-272</t>
        </is>
      </c>
      <c r="AO105" t="inlineStr">
        <is>
          <t>N</t>
        </is>
      </c>
      <c r="AR105">
        <f>IF(AND(AU105="pass",AO105&lt;&gt;"Y",C105&lt;&gt;""),"Y","N")</f>
        <v/>
      </c>
      <c r="AS105">
        <f>_xlfn.TEXTJOIN("; ",TRUE,IF(AU105&lt;&gt;"pass","gated out",""),IF(AO105="Y","on hold: "&amp;AP105,""),IF(C105="","no contact named on an opened page",""))</f>
        <v/>
      </c>
      <c r="AU105" t="inlineStr">
        <is>
          <t>pass</t>
        </is>
      </c>
      <c r="AW105" t="inlineStr">
        <is>
          <t>passes all hard gates</t>
        </is>
      </c>
      <c r="AX105" t="inlineStr">
        <is>
          <t>under-floor</t>
        </is>
      </c>
      <c r="AY105" t="inlineStr">
        <is>
          <t>https://namkeenqueens.com</t>
        </is>
      </c>
      <c r="AZ105" t="inlineStr">
        <is>
          <t>NY</t>
        </is>
      </c>
      <c r="BA105" t="inlineStr">
        <is>
          <t>nyc</t>
        </is>
      </c>
      <c r="BB105" t="inlineStr">
        <is>
          <t>unknown</t>
        </is>
      </c>
      <c r="BD105" t="inlineStr">
        <is>
          <t>unknown</t>
        </is>
      </c>
      <c r="BE105" t="inlineStr">
        <is>
          <t>Dry savory mix and ladoos shipped ambient; site gives no shelf life and calls the snacks 'homemade'</t>
        </is>
      </c>
      <c r="BF105" t="inlineStr">
        <is>
          <t>Y</t>
        </is>
      </c>
      <c r="BG105" t="inlineStr">
        <is>
          <t>Y</t>
        </is>
      </c>
      <c r="BH105" t="inlineStr">
        <is>
          <t>unknown</t>
        </is>
      </c>
      <c r="BJ105" t="inlineStr">
        <is>
          <t>No sourced sales figure found</t>
        </is>
      </c>
      <c r="BK105" t="inlineStr">
        <is>
          <t>N</t>
        </is>
      </c>
      <c r="BL105" t="inlineStr">
        <is>
          <t>N</t>
        </is>
      </c>
      <c r="BO105" t="inlineStr">
        <is>
          <t>N</t>
        </is>
      </c>
      <c r="BP105" t="n">
        <v>0</v>
      </c>
      <c r="BS105" t="inlineStr">
        <is>
          <t>Online only (ships across the US)</t>
        </is>
      </c>
      <c r="BU105" t="inlineStr">
        <is>
          <t>listing</t>
        </is>
      </c>
      <c r="BV105" t="n">
        <v>17</v>
      </c>
      <c r="BX105" t="inlineStr">
        <is>
          <t>Aiswarya</t>
        </is>
      </c>
      <c r="BY105" t="inlineStr">
        <is>
          <t>surnames not given</t>
        </is>
      </c>
      <c r="CA105" t="inlineStr">
        <is>
          <t>Sushila</t>
        </is>
      </c>
      <c r="CB105" t="inlineStr">
        <is>
          <t>Sushila</t>
        </is>
      </c>
      <c r="CC105" t="inlineStr">
        <is>
          <t>unknown</t>
        </is>
      </c>
      <c r="CD105" t="inlineStr">
        <is>
          <t>Co-founder</t>
        </is>
      </c>
      <c r="CE105" t="inlineStr">
        <is>
          <t>co-founder</t>
        </is>
      </c>
      <c r="CF105" t="inlineStr">
        <is>
          <t>first-name-only</t>
        </is>
      </c>
      <c r="CG105" t="inlineStr">
        <is>
          <t>surnames not given</t>
        </is>
      </c>
      <c r="CK105" t="inlineStr">
        <is>
          <t>none</t>
        </is>
      </c>
      <c r="CL105" t="n">
        <v>44</v>
      </c>
      <c r="CM105" t="n">
        <v>6</v>
      </c>
      <c r="CN105" t="n">
        <v>20</v>
      </c>
      <c r="CO105" t="n">
        <v>8</v>
      </c>
      <c r="CP105" t="n">
        <v>5</v>
      </c>
      <c r="CQ105" t="n">
        <v>7</v>
      </c>
      <c r="CR105" t="n">
        <v>3</v>
      </c>
      <c r="CS105">
        <f>IF(R105="Y",10,0)</f>
        <v/>
      </c>
      <c r="CT105" t="n">
        <v>-5</v>
      </c>
      <c r="CU105" t="inlineStr">
        <is>
          <t>https://instagram.com/thenamkeenqueens/</t>
        </is>
      </c>
      <c r="CV105" t="inlineStr">
        <is>
          <t>BR5</t>
        </is>
      </c>
      <c r="CW105" t="inlineStr">
        <is>
          <t>BR5:8</t>
        </is>
      </c>
      <c r="CX105" t="inlineStr">
        <is>
          <t>Found in the SFFS 2026 exhibitor directory (State: New York). Homepage: 'Handmade in Mumbai. Packaged in New York.' why_now date is Shopify published_at of the gift box and its single-unit components.</t>
        </is>
      </c>
      <c r="CZ105" t="inlineStr">
        <is>
          <t>https://namkeenqueens.com/pages/about</t>
        </is>
      </c>
      <c r="DA105" t="inlineStr">
        <is>
          <t>stage 1 only</t>
        </is>
      </c>
      <c r="DC105" t="inlineStr">
        <is>
          <t>employer's own site</t>
        </is>
      </c>
      <c r="DY105">
        <f>IF(ISNUMBER(MATCH(U105,{"queued","contacted","replied","call_booked","call_done","yes_in_principle","materials_sent"},0)),"Y","N")</f>
        <v/>
      </c>
      <c r="DZ105">
        <f>IF(COUNTIFS($AN$2:$AN$1000,AN105,$DY$2:$DY$1000,"Y")+COUNTIFS($AN$2:$AN$1000,AN105,$T$2:$T$1000,"Y")&gt;0,"Y","N")</f>
        <v/>
      </c>
      <c r="EA105">
        <f>IF(AND(U105="new",T105="N",AR105="Y",AQ105="",DZ105="N"),"Y","N")</f>
        <v/>
      </c>
      <c r="EB105">
        <f>IF(EA105&lt;&gt;"Y","N",IF(COUNTIFS($AN$2:$AN$1000,AN105,$EA$2:$EA$1000,"Y",$J$2:$J$1000,"&gt;"&amp;J105)+COUNTIFS($AN$2:$AN$1000,AN105,$EA$2:$EA$1000,"Y",$J$2:$J$1000,J105,$ED$2:$ED$1000,"&lt;"&amp;ED105)=0,"Y","N"))</f>
        <v/>
      </c>
      <c r="EC105">
        <f>IF(Y105="","N",IF(Y105&lt;=10,"Y","N"))</f>
        <v/>
      </c>
      <c r="ED105">
        <f>ROW()-1</f>
        <v/>
      </c>
    </row>
    <row r="106">
      <c r="A106" t="inlineStr">
        <is>
          <t>AB-184</t>
        </is>
      </c>
      <c r="B106" t="inlineStr">
        <is>
          <t>nero black coffee</t>
        </is>
      </c>
      <c r="H106" t="inlineStr">
        <is>
          <t>none</t>
        </is>
      </c>
      <c r="J106">
        <f>IF(AU106="pass",CM106+CN106+CO106+CP106+CQ106+CR106+CS106+CT106,0)</f>
        <v/>
      </c>
      <c r="K106" t="inlineStr">
        <is>
          <t>New York City brand, no graded store within ten blocks, online store only, a new store listing 115 days ago, revenue unknown, no contact named; founder review: under-floor.</t>
        </is>
      </c>
      <c r="M106" t="inlineStr">
        <is>
          <t>none found within ten blocks</t>
        </is>
      </c>
      <c r="N106" t="inlineStr">
        <is>
          <t>unverified</t>
        </is>
      </c>
      <c r="O106" t="inlineStr">
        <is>
          <t>Appeared in Pop Up Grocer directory (listed 2026-07-01, now a past brand)</t>
        </is>
      </c>
      <c r="P106" t="inlineStr">
        <is>
          <t>https://popupgrocer.com/products/nero-black-coffee</t>
        </is>
      </c>
      <c r="Q106" t="inlineStr">
        <is>
          <t>2026-07-01</t>
        </is>
      </c>
      <c r="R106" t="inlineStr">
        <is>
          <t>N</t>
        </is>
      </c>
      <c r="S106" t="inlineStr">
        <is>
          <t>unknown</t>
        </is>
      </c>
      <c r="T106" t="inlineStr">
        <is>
          <t>N</t>
        </is>
      </c>
      <c r="U106" t="inlineStr">
        <is>
          <t>new</t>
        </is>
      </c>
      <c r="V106" t="inlineStr">
        <is>
          <t>https://drinknero.com/pages/about-us</t>
        </is>
      </c>
      <c r="W106" t="inlineStr">
        <is>
          <t>2026-10-23</t>
        </is>
      </c>
      <c r="X106" t="inlineStr">
        <is>
          <t>brand</t>
        </is>
      </c>
      <c r="Y106">
        <f>IF(EB106&lt;&gt;"Y","",COUNTIFS($EB$2:$EB$1000,"Y",$J$2:$J$1000,"&gt;"&amp;J106)+COUNTIFS($EB$2:$EB$1000,"Y",$J$2:$J$1000,J106,$ED$2:$ED$1000,"&lt;"&amp;ED106)+1)</f>
        <v/>
      </c>
      <c r="Z106" t="n">
        <v>105</v>
      </c>
      <c r="AA106" t="inlineStr">
        <is>
          <t>N</t>
        </is>
      </c>
      <c r="AB106" t="inlineStr">
        <is>
          <t>no person named on an opened page: not ready; founder review (under-floor): read founder_review_reason first</t>
        </is>
      </c>
      <c r="AD106" t="inlineStr">
        <is>
          <t>none</t>
        </is>
      </c>
      <c r="AH106" t="inlineStr">
        <is>
          <t>nero ready-to-drink unsweetened black coffee, can (100 mg caffeine)</t>
        </is>
      </c>
      <c r="AI106" t="inlineStr">
        <is>
          <t>coffee-rtd</t>
        </is>
      </c>
      <c r="AJ106" t="inlineStr">
        <is>
          <t>Brooklyn</t>
        </is>
      </c>
      <c r="AK106" t="inlineStr">
        <is>
          <t>https://drinknero.com</t>
        </is>
      </c>
      <c r="AL106" t="inlineStr">
        <is>
          <t>Y</t>
        </is>
      </c>
      <c r="AM106" t="inlineStr">
        <is>
          <t>Very small, little public information (no founder or HQ); find-in-store page lists no stores</t>
        </is>
      </c>
      <c r="AN106" t="inlineStr">
        <is>
          <t>AB-184</t>
        </is>
      </c>
      <c r="AO106" t="inlineStr">
        <is>
          <t>N</t>
        </is>
      </c>
      <c r="AR106">
        <f>IF(AND(AU106="pass",AO106&lt;&gt;"Y",C106&lt;&gt;""),"Y","N")</f>
        <v/>
      </c>
      <c r="AS106">
        <f>_xlfn.TEXTJOIN("; ",TRUE,IF(AU106&lt;&gt;"pass","gated out",""),IF(AO106="Y","on hold: "&amp;AP106,""),IF(C106="","no contact named on an opened page",""))</f>
        <v/>
      </c>
      <c r="AU106" t="inlineStr">
        <is>
          <t>pass</t>
        </is>
      </c>
      <c r="AW106" t="inlineStr">
        <is>
          <t>passes all hard gates</t>
        </is>
      </c>
      <c r="AX106" t="inlineStr">
        <is>
          <t>under-floor</t>
        </is>
      </c>
      <c r="AY106" t="inlineStr">
        <is>
          <t>https://drinknero.com</t>
        </is>
      </c>
      <c r="AZ106" t="inlineStr">
        <is>
          <t>NY</t>
        </is>
      </c>
      <c r="BA106" t="inlineStr">
        <is>
          <t>nyc</t>
        </is>
      </c>
      <c r="BB106" t="inlineStr">
        <is>
          <t>unknown</t>
        </is>
      </c>
      <c r="BD106" t="inlineStr">
        <is>
          <t>Y</t>
        </is>
      </c>
      <c r="BE106" t="inlineStr">
        <is>
          <t>Product copy: Shelf-stable and ready to drink, no fridge needed (drinknero.com/products.json, nero-black-coffee-can-12-pack, read 2026-10-24)</t>
        </is>
      </c>
      <c r="BF106" t="inlineStr">
        <is>
          <t>Y</t>
        </is>
      </c>
      <c r="BG106" t="inlineStr">
        <is>
          <t>Y</t>
        </is>
      </c>
      <c r="BH106" t="inlineStr">
        <is>
          <t>unknown</t>
        </is>
      </c>
      <c r="BJ106" t="inlineStr">
        <is>
          <t>No public sales figure found</t>
        </is>
      </c>
      <c r="BK106" t="inlineStr">
        <is>
          <t>N</t>
        </is>
      </c>
      <c r="BL106" t="inlineStr">
        <is>
          <t>N</t>
        </is>
      </c>
      <c r="BO106" t="inlineStr">
        <is>
          <t>N</t>
        </is>
      </c>
      <c r="BP106" t="n">
        <v>0</v>
      </c>
      <c r="BS106" t="inlineStr">
        <is>
          <t>Pop Up Grocer (past brand, directory)</t>
        </is>
      </c>
      <c r="BT106" t="inlineStr">
        <is>
          <t>https://popupgrocer.com/products/nero-black-coffee</t>
        </is>
      </c>
      <c r="BU106" t="inlineStr">
        <is>
          <t>listing</t>
        </is>
      </c>
      <c r="BV106" t="n">
        <v>115</v>
      </c>
      <c r="CF106" t="inlineStr">
        <is>
          <t>none</t>
        </is>
      </c>
      <c r="CK106" t="inlineStr">
        <is>
          <t>none</t>
        </is>
      </c>
      <c r="CL106" t="n">
        <v>44</v>
      </c>
      <c r="CM106" t="n">
        <v>6</v>
      </c>
      <c r="CN106" t="n">
        <v>20</v>
      </c>
      <c r="CO106" t="n">
        <v>8</v>
      </c>
      <c r="CP106" t="n">
        <v>5</v>
      </c>
      <c r="CQ106" t="n">
        <v>10</v>
      </c>
      <c r="CR106" t="n">
        <v>0</v>
      </c>
      <c r="CS106">
        <f>IF(R106="Y",10,0)</f>
        <v/>
      </c>
      <c r="CT106" t="n">
        <v>-5</v>
      </c>
      <c r="CU106" t="inlineStr">
        <is>
          <t>unknown</t>
        </is>
      </c>
      <c r="CV106" t="inlineStr">
        <is>
          <t>BR3</t>
        </is>
      </c>
      <c r="CW106" t="inlineStr">
        <is>
          <t>BR3:58</t>
        </is>
      </c>
      <c r="CX106" t="inlineStr">
        <is>
          <t>Two-ingredient canned black coffee, 12-pack $24.99. Low priority.</t>
        </is>
      </c>
      <c r="CY106" t="inlineStr">
        <is>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t>
        </is>
      </c>
      <c r="DA106" t="inlineStr">
        <is>
          <t>stage 1 only</t>
        </is>
      </c>
      <c r="DY106">
        <f>IF(ISNUMBER(MATCH(U106,{"queued","contacted","replied","call_booked","call_done","yes_in_principle","materials_sent"},0)),"Y","N")</f>
        <v/>
      </c>
      <c r="DZ106">
        <f>IF(COUNTIFS($AN$2:$AN$1000,AN106,$DY$2:$DY$1000,"Y")+COUNTIFS($AN$2:$AN$1000,AN106,$T$2:$T$1000,"Y")&gt;0,"Y","N")</f>
        <v/>
      </c>
      <c r="EA106">
        <f>IF(AND(U106="new",T106="N",AR106="Y",AQ106="",DZ106="N"),"Y","N")</f>
        <v/>
      </c>
      <c r="EB106">
        <f>IF(EA106&lt;&gt;"Y","N",IF(COUNTIFS($AN$2:$AN$1000,AN106,$EA$2:$EA$1000,"Y",$J$2:$J$1000,"&gt;"&amp;J106)+COUNTIFS($AN$2:$AN$1000,AN106,$EA$2:$EA$1000,"Y",$J$2:$J$1000,J106,$ED$2:$ED$1000,"&lt;"&amp;ED106)=0,"Y","N"))</f>
        <v/>
      </c>
      <c r="EC106">
        <f>IF(Y106="","N",IF(Y106&lt;=10,"Y","N"))</f>
        <v/>
      </c>
      <c r="ED106">
        <f>ROW()-1</f>
        <v/>
      </c>
    </row>
    <row r="107">
      <c r="A107" t="inlineStr">
        <is>
          <t>AB-066</t>
        </is>
      </c>
      <c r="B107" t="inlineStr">
        <is>
          <t>Rip Van</t>
        </is>
      </c>
      <c r="C107" t="inlineStr">
        <is>
          <t>Rip</t>
        </is>
      </c>
      <c r="D107" t="inlineStr">
        <is>
          <t>Pruisken</t>
        </is>
      </c>
      <c r="E107" t="inlineStr">
        <is>
          <t>Co-founder</t>
        </is>
      </c>
      <c r="H107" t="inlineStr">
        <is>
          <t>none</t>
        </is>
      </c>
      <c r="I107" t="inlineStr">
        <is>
          <t>linkedin</t>
        </is>
      </c>
      <c r="J107">
        <f>IF(AU107="pass",CM107+CN107+CO107+CP107+CQ107+CR107+CS107+CT107,0)</f>
        <v/>
      </c>
      <c r="K107" t="inlineStr">
        <is>
          <t>New York City brand, store page shows Whole Foods Market NoMad inside the cluster, news 17 days ago, revenue over $10M, contact named; founder review: scale-reported, scale, claim-borderline.</t>
        </is>
      </c>
      <c r="M107" t="inlineStr">
        <is>
          <t>Whole Foods Market NoMad, 63 Madison Ave</t>
        </is>
      </c>
      <c r="N107" t="inlineStr">
        <is>
          <t>store_selector</t>
        </is>
      </c>
      <c r="O107" t="inlineStr">
        <is>
          <t>Named former Hershey US president Todd Tillemans CEO; adding ~1,800 doors at Albertsons, Walmart, BJ's and Wawa</t>
        </is>
      </c>
      <c r="P107" t="inlineStr">
        <is>
          <t>https://theshelbyreport.com/2026/10/07/rip-van-names-former-hershey-u-s-president-as-ceo/</t>
        </is>
      </c>
      <c r="Q107" t="inlineStr">
        <is>
          <t>2026-10-07</t>
        </is>
      </c>
      <c r="R107" t="inlineStr">
        <is>
          <t>N</t>
        </is>
      </c>
      <c r="S107" t="inlineStr">
        <is>
          <t>unknown</t>
        </is>
      </c>
      <c r="T107" t="inlineStr">
        <is>
          <t>N</t>
        </is>
      </c>
      <c r="U107" t="inlineStr">
        <is>
          <t>new</t>
        </is>
      </c>
      <c r="V107" t="inlineStr">
        <is>
          <t>https://theshelbyreport.com/2026/10/07/rip-van-names-former-hershey-u-s-president-as-ceo/</t>
        </is>
      </c>
      <c r="W107" t="inlineStr">
        <is>
          <t>2026-10-23</t>
        </is>
      </c>
      <c r="X107" t="inlineStr">
        <is>
          <t>brand</t>
        </is>
      </c>
      <c r="Y107">
        <f>IF(EB107&lt;&gt;"Y","",COUNTIFS($EB$2:$EB$1000,"Y",$J$2:$J$1000,"&gt;"&amp;J107)+COUNTIFS($EB$2:$EB$1000,"Y",$J$2:$J$1000,J107,$ED$2:$ED$1000,"&lt;"&amp;ED107)+1)</f>
        <v/>
      </c>
      <c r="Z107" t="n">
        <v>106</v>
      </c>
      <c r="AA107" t="inlineStr">
        <is>
          <t>N</t>
        </is>
      </c>
      <c r="AB107" t="inlineStr">
        <is>
          <t>find Rip Pruisken at Rip Van on LinkedIn and paste the profile URL; before using the retailer line, check Whole Foods Market NoMad still lists it: https://www.wholefoodsmarket.com/search?text=Rip%20Van with your store set to NoMad (catalogs change daily); founder review (scale-reported, scale, claim-borderline): read founder_review_reason first</t>
        </is>
      </c>
      <c r="AC107" t="inlineStr">
        <is>
          <t>founder</t>
        </is>
      </c>
      <c r="AD107" t="inlineStr">
        <is>
          <t>verified-page</t>
        </is>
      </c>
      <c r="AE107" t="inlineStr">
        <is>
          <t>press, event or podcast page</t>
        </is>
      </c>
      <c r="AF107" t="inlineStr">
        <is>
          <t>https://theshelbyreport.com/2026/10/07/rip-van-names-former-hershey-u-s-president-as-ceo/</t>
        </is>
      </c>
      <c r="AG107" t="inlineStr">
        <is>
          <t>2026-10-23</t>
        </is>
      </c>
      <c r="AH107" t="inlineStr">
        <is>
          <t>Dutch Caramel &amp; Vanilla Wafels (stroopwafel); Crispy Dunes wafer sticks</t>
        </is>
      </c>
      <c r="AI107" t="inlineStr">
        <is>
          <t>cookies-baked</t>
        </is>
      </c>
      <c r="AJ107" t="inlineStr">
        <is>
          <t>New York</t>
        </is>
      </c>
      <c r="AK107" t="inlineStr">
        <is>
          <t>https://www.ripvan.com</t>
        </is>
      </c>
      <c r="AL107" t="inlineStr">
        <is>
          <t>Y</t>
        </is>
      </c>
      <c r="AM107" t="inlineStr">
        <is>
          <t>Likely above the $10M ceiling (&gt;$100M retail sales, 26,000 doors, ex-Hershey CEO); prebiotic fiber and low-sugar nutrient positioning; 60-day shelf life not stated</t>
        </is>
      </c>
      <c r="AN107" t="inlineStr">
        <is>
          <t>AB-066</t>
        </is>
      </c>
      <c r="AO107" t="inlineStr">
        <is>
          <t>N</t>
        </is>
      </c>
      <c r="AR107">
        <f>IF(AND(AU107="pass",AO107&lt;&gt;"Y",C107&lt;&gt;""),"Y","N")</f>
        <v/>
      </c>
      <c r="AS107">
        <f>_xlfn.TEXTJOIN("; ",TRUE,IF(AU107&lt;&gt;"pass","gated out",""),IF(AO107="Y","on hold: "&amp;AP107,""),IF(C107="","no contact named on an opened page",""))</f>
        <v/>
      </c>
      <c r="AU107" t="inlineStr">
        <is>
          <t>pass</t>
        </is>
      </c>
      <c r="AW107" t="inlineStr">
        <is>
          <t>passes all hard gates</t>
        </is>
      </c>
      <c r="AX107" t="inlineStr">
        <is>
          <t>scale-reported;scale;claim-borderline</t>
        </is>
      </c>
      <c r="AY107" t="inlineStr">
        <is>
          <t>https://www.ripvan.com</t>
        </is>
      </c>
      <c r="AZ107" t="inlineStr">
        <is>
          <t>NY</t>
        </is>
      </c>
      <c r="BA107" t="inlineStr">
        <is>
          <t>nyc</t>
        </is>
      </c>
      <c r="BB107" t="inlineStr">
        <is>
          <t>venture-backed (stage unknown); Kickstarter origin per brand Our Story</t>
        </is>
      </c>
      <c r="BC107" t="inlineStr">
        <is>
          <t>https://www.ripvan.com/pages/our-story</t>
        </is>
      </c>
      <c r="BD107" t="inlineStr">
        <is>
          <t>likely</t>
        </is>
      </c>
      <c r="BE107" t="inlineStr">
        <is>
          <t>Brand product page: 'Each wafel is individually wrapped'; sold ambient online and in grocery; no shelf-life figure published (founder to confirm 60+ days)</t>
        </is>
      </c>
      <c r="BF107" t="inlineStr">
        <is>
          <t>Y</t>
        </is>
      </c>
      <c r="BG107" t="inlineStr">
        <is>
          <t>Y</t>
        </is>
      </c>
      <c r="BH107" t="inlineStr">
        <is>
          <t>over-10m</t>
        </is>
      </c>
      <c r="BI107" t="inlineStr">
        <is>
          <t>reported</t>
        </is>
      </c>
      <c r="BJ107" t="inlineStr">
        <is>
          <t>Shelby Report 2026-10-07: company 'surpasses $100 million in retail sales' (retail sales, period not stated)</t>
        </is>
      </c>
      <c r="BK107" t="inlineStr">
        <is>
          <t>N</t>
        </is>
      </c>
      <c r="BL107" t="inlineStr">
        <is>
          <t>N</t>
        </is>
      </c>
      <c r="BN107" t="n">
        <v>0</v>
      </c>
      <c r="BO107" t="inlineStr">
        <is>
          <t>Y</t>
        </is>
      </c>
      <c r="BP107" t="n">
        <v>3</v>
      </c>
      <c r="BQ107" t="inlineStr">
        <is>
          <t>Whole Foods Market NoMad, 63 Madison Ave (store_selector, inside);Whole Foods Market Union Square, 4 Union Sq S (store_selector, inside);Whole Foods Market Chelsea, 250 7th Ave (store_selector, 3.0 blocks out)</t>
        </is>
      </c>
      <c r="BS107" t="inlineStr">
        <is>
          <t>Whole Foods; Costco; Starbucks; Albertsons; Walmart; BJ's; Wawa; 26,000+ doors</t>
        </is>
      </c>
      <c r="BT107" t="inlineStr">
        <is>
          <t>https://www.wholefoodsmarket.com/api/search?text=rip%20van&amp;store=10162&amp;limit=60&amp;offset=0; https://www.wholefoodsmarket.com/api/search?text=rip%20van&amp;store=10773&amp;limit=60&amp;offset=0; https://www.wholefoodsmarket.com/api/search?text=rip%20van&amp;store=10131&amp;limit=60&amp;offset=0</t>
        </is>
      </c>
      <c r="BU107" t="inlineStr">
        <is>
          <t>press</t>
        </is>
      </c>
      <c r="BV107" t="n">
        <v>17</v>
      </c>
      <c r="BX107" t="inlineStr">
        <is>
          <t>Rip Pruisken</t>
        </is>
      </c>
      <c r="CA107" t="inlineStr">
        <is>
          <t>Mollie Crudden</t>
        </is>
      </c>
      <c r="CE107" t="inlineStr">
        <is>
          <t>marketing</t>
        </is>
      </c>
      <c r="CF107" t="inlineStr">
        <is>
          <t>unverified</t>
        </is>
      </c>
      <c r="CG107" t="inlineStr">
        <is>
          <t>LinkedIn snippet; unverified, founder to confirm</t>
        </is>
      </c>
      <c r="CK107" t="inlineStr">
        <is>
          <t>none</t>
        </is>
      </c>
      <c r="CL107" t="n">
        <v>43</v>
      </c>
      <c r="CM107" t="n">
        <v>25</v>
      </c>
      <c r="CN107" t="n">
        <v>20</v>
      </c>
      <c r="CO107" t="n">
        <v>15</v>
      </c>
      <c r="CP107" t="n">
        <v>0</v>
      </c>
      <c r="CQ107" t="n">
        <v>8</v>
      </c>
      <c r="CR107" t="n">
        <v>10</v>
      </c>
      <c r="CS107">
        <f>IF(R107="Y",10,0)</f>
        <v/>
      </c>
      <c r="CT107" t="n">
        <v>-35</v>
      </c>
      <c r="CU107" t="inlineStr">
        <is>
          <t>https://www.instagram.com/ripvansnacks/</t>
        </is>
      </c>
      <c r="CV107" t="inlineStr">
        <is>
          <t>BR2</t>
        </is>
      </c>
      <c r="CW107" t="inlineStr">
        <is>
          <t>BR2:3</t>
        </is>
      </c>
      <c r="CX107" t="inlineStr">
        <is>
          <t>Co-founder Marco De Leon is CFO (Shelby Report). WFM catalog: wafel cookies and Leos at Union Square and NoMad; 2 SKUs at Chelsea. WFM evidence = wholefoodsmarket.com store-scoped catalog search, opened 2026-10-23; catalog listing is not proof of shelf stock.</t>
        </is>
      </c>
      <c r="CY107" t="inlineStr">
        <is>
          <t xml:space="preserve">marketing_name &lt;- https://www.linkedin.com/company/ripvan (2026-10-24, snippet-unverified); marketing_title &lt;- https://www.linkedin.com/company/ripvan (2026-10-24, snippet-unverified); </t>
        </is>
      </c>
      <c r="DA107" t="inlineStr">
        <is>
          <t>stage 1 only</t>
        </is>
      </c>
      <c r="DC107" t="inlineStr">
        <is>
          <t>unknown</t>
        </is>
      </c>
      <c r="DY107">
        <f>IF(ISNUMBER(MATCH(U107,{"queued","contacted","replied","call_booked","call_done","yes_in_principle","materials_sent"},0)),"Y","N")</f>
        <v/>
      </c>
      <c r="DZ107">
        <f>IF(COUNTIFS($AN$2:$AN$1000,AN107,$DY$2:$DY$1000,"Y")+COUNTIFS($AN$2:$AN$1000,AN107,$T$2:$T$1000,"Y")&gt;0,"Y","N")</f>
        <v/>
      </c>
      <c r="EA107">
        <f>IF(AND(U107="new",T107="N",AR107="Y",AQ107="",DZ107="N"),"Y","N")</f>
        <v/>
      </c>
      <c r="EB107">
        <f>IF(EA107&lt;&gt;"Y","N",IF(COUNTIFS($AN$2:$AN$1000,AN107,$EA$2:$EA$1000,"Y",$J$2:$J$1000,"&gt;"&amp;J107)+COUNTIFS($AN$2:$AN$1000,AN107,$EA$2:$EA$1000,"Y",$J$2:$J$1000,J107,$ED$2:$ED$1000,"&lt;"&amp;ED107)=0,"Y","N"))</f>
        <v/>
      </c>
      <c r="EC107">
        <f>IF(Y107="","N",IF(Y107&lt;=10,"Y","N"))</f>
        <v/>
      </c>
      <c r="ED107">
        <f>ROW()-1</f>
        <v/>
      </c>
    </row>
    <row r="108">
      <c r="A108" t="inlineStr">
        <is>
          <t>AB-116</t>
        </is>
      </c>
      <c r="B108" t="inlineStr">
        <is>
          <t>Bobo's</t>
        </is>
      </c>
      <c r="C108" t="inlineStr">
        <is>
          <t>Beryl</t>
        </is>
      </c>
      <c r="D108" t="inlineStr">
        <is>
          <t>Stafford</t>
        </is>
      </c>
      <c r="E108" t="inlineStr">
        <is>
          <t>Founder</t>
        </is>
      </c>
      <c r="H108" t="inlineStr">
        <is>
          <t>none</t>
        </is>
      </c>
      <c r="I108" t="inlineStr">
        <is>
          <t>linkedin</t>
        </is>
      </c>
      <c r="J108">
        <f>IF(AU108="pass",CM108+CN108+CO108+CP108+CQ108+CR108+CS108+CT108,0)</f>
        <v/>
      </c>
      <c r="K108" t="inlineStr">
        <is>
          <t>Brand based outside the Northeast, store page shows Whole Foods Market NoMad inside the cluster, a new store listing 11 days ago, revenue unknown, contact named; founder review: scale, claim-borderline.</t>
        </is>
      </c>
      <c r="M108" t="inlineStr">
        <is>
          <t>Whole Foods Market NoMad, 63 Madison Ave</t>
        </is>
      </c>
      <c r="N108" t="inlineStr">
        <is>
          <t>store_selector</t>
        </is>
      </c>
      <c r="O108" t="inlineStr">
        <is>
          <t>Launched Blueberry and Raspberry Breakfast Bars on brand store, Oct 2026</t>
        </is>
      </c>
      <c r="P108" t="inlineStr">
        <is>
          <t>https://eatbobos.com/</t>
        </is>
      </c>
      <c r="Q108" t="inlineStr">
        <is>
          <t>2026-10-13</t>
        </is>
      </c>
      <c r="R108" t="inlineStr">
        <is>
          <t>N</t>
        </is>
      </c>
      <c r="S108" t="inlineStr">
        <is>
          <t>unknown</t>
        </is>
      </c>
      <c r="T108" t="inlineStr">
        <is>
          <t>N</t>
        </is>
      </c>
      <c r="U108" t="inlineStr">
        <is>
          <t>new</t>
        </is>
      </c>
      <c r="V108" t="inlineStr">
        <is>
          <t>https://eatbobos.com/pages/our-story</t>
        </is>
      </c>
      <c r="W108" t="inlineStr">
        <is>
          <t>2026-10-23</t>
        </is>
      </c>
      <c r="X108" t="inlineStr">
        <is>
          <t>brand</t>
        </is>
      </c>
      <c r="Y108">
        <f>IF(EB108&lt;&gt;"Y","",COUNTIFS($EB$2:$EB$1000,"Y",$J$2:$J$1000,"&gt;"&amp;J108)+COUNTIFS($EB$2:$EB$1000,"Y",$J$2:$J$1000,J108,$ED$2:$ED$1000,"&lt;"&amp;ED108)+1)</f>
        <v/>
      </c>
      <c r="Z108" t="n">
        <v>107</v>
      </c>
      <c r="AA108" t="inlineStr">
        <is>
          <t>N</t>
        </is>
      </c>
      <c r="AB108" t="inlineStr">
        <is>
          <t>find Beryl Stafford at Bobo's on LinkedIn and paste the profile URL; before using the retailer line, check Whole Foods Market NoMad still lists it: https://www.wholefoodsmarket.com/search?text=Bobo%27s with your store set to NoMad (catalogs change daily); founder review (scale, claim-borderline): read founder_review_reason first</t>
        </is>
      </c>
      <c r="AC108" t="inlineStr">
        <is>
          <t>founder</t>
        </is>
      </c>
      <c r="AD108" t="inlineStr">
        <is>
          <t>verified-page</t>
        </is>
      </c>
      <c r="AE108" t="inlineStr">
        <is>
          <t>employer's own site</t>
        </is>
      </c>
      <c r="AF108" t="inlineStr">
        <is>
          <t>https://eatbobos.com/pages/our-story</t>
        </is>
      </c>
      <c r="AG108" t="inlineStr">
        <is>
          <t>2026-10-23</t>
        </is>
      </c>
      <c r="AH108" t="inlineStr">
        <is>
          <t>Chocolate Chip Oat Bar 3 oz; Stuff'd Oat Bars</t>
        </is>
      </c>
      <c r="AI108" t="inlineStr">
        <is>
          <t>bars</t>
        </is>
      </c>
      <c r="AJ108" t="inlineStr">
        <is>
          <t>Loveland (bakery location per brand FAQ; founded in Boulder)</t>
        </is>
      </c>
      <c r="AK108" t="inlineStr">
        <is>
          <t>https://eatbobos.com</t>
        </is>
      </c>
      <c r="AL108" t="inlineStr">
        <is>
          <t>Y</t>
        </is>
      </c>
      <c r="AM108" t="inlineStr">
        <is>
          <t>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is>
      </c>
      <c r="AN108" t="inlineStr">
        <is>
          <t>AB-116</t>
        </is>
      </c>
      <c r="AO108" t="inlineStr">
        <is>
          <t>N</t>
        </is>
      </c>
      <c r="AR108">
        <f>IF(AND(AU108="pass",AO108&lt;&gt;"Y",C108&lt;&gt;""),"Y","N")</f>
        <v/>
      </c>
      <c r="AS108">
        <f>_xlfn.TEXTJOIN("; ",TRUE,IF(AU108&lt;&gt;"pass","gated out",""),IF(AO108="Y","on hold: "&amp;AP108,""),IF(C108="","no contact named on an opened page",""))</f>
        <v/>
      </c>
      <c r="AU108" t="inlineStr">
        <is>
          <t>pass</t>
        </is>
      </c>
      <c r="AW108" t="inlineStr">
        <is>
          <t>passes all hard gates</t>
        </is>
      </c>
      <c r="AX108" t="inlineStr">
        <is>
          <t>scale;claim-borderline</t>
        </is>
      </c>
      <c r="AY108" t="inlineStr">
        <is>
          <t>https://eatbobos.com</t>
        </is>
      </c>
      <c r="AZ108" t="inlineStr">
        <is>
          <t>CO</t>
        </is>
      </c>
      <c r="BA108" t="inlineStr">
        <is>
          <t>elsewhere</t>
        </is>
      </c>
      <c r="BB108" t="inlineStr">
        <is>
          <t>unknown</t>
        </is>
      </c>
      <c r="BD108" t="inlineStr">
        <is>
          <t>likely</t>
        </is>
      </c>
      <c r="BE108" t="inlineStr">
        <is>
          <t>Wrapped baked oat bars sold ambient at Whole Foods; shelf-life figure not found</t>
        </is>
      </c>
      <c r="BF108" t="inlineStr">
        <is>
          <t>Y</t>
        </is>
      </c>
      <c r="BG108" t="inlineStr">
        <is>
          <t>Y</t>
        </is>
      </c>
      <c r="BH108" t="inlineStr">
        <is>
          <t>unknown</t>
        </is>
      </c>
      <c r="BJ108" t="inlineStr">
        <is>
          <t>unknown</t>
        </is>
      </c>
      <c r="BK108" t="inlineStr">
        <is>
          <t>N</t>
        </is>
      </c>
      <c r="BL108" t="inlineStr">
        <is>
          <t>N</t>
        </is>
      </c>
      <c r="BN108" t="n">
        <v>0</v>
      </c>
      <c r="BO108" t="inlineStr">
        <is>
          <t>Y</t>
        </is>
      </c>
      <c r="BP108" t="n">
        <v>3</v>
      </c>
      <c r="BQ108" t="inlineStr">
        <is>
          <t>Whole Foods Market NoMad, 63 Madison Ave (store_selector, inside);Whole Foods Market Union Square, 4 Union Sq S (store_selector, inside);Whole Foods Market Chelsea, 250 7th Ave (store_selector, 3.0 blocks out)</t>
        </is>
      </c>
      <c r="BS108" t="inlineStr">
        <is>
          <t>Whole Foods; retailer locator</t>
        </is>
      </c>
      <c r="BT108" t="inlineStr">
        <is>
          <t>https://www.wholefoodsmarket.com/api/search?text=bobos&amp;store=10162&amp;limit=60&amp;offset=0; https://www.wholefoodsmarket.com/api/search?text=bobos&amp;store=10773&amp;limit=60&amp;offset=0; https://www.wholefoodsmarket.com/api/search?text=bobos&amp;store=10131&amp;limit=60&amp;offset=0</t>
        </is>
      </c>
      <c r="BU108" t="inlineStr">
        <is>
          <t>listing</t>
        </is>
      </c>
      <c r="BV108" t="n">
        <v>11</v>
      </c>
      <c r="BX108" t="inlineStr">
        <is>
          <t>Beryl Stafford</t>
        </is>
      </c>
      <c r="CF108" t="inlineStr">
        <is>
          <t>none</t>
        </is>
      </c>
      <c r="CK108" t="inlineStr">
        <is>
          <t>none</t>
        </is>
      </c>
      <c r="CL108" t="n">
        <v>43</v>
      </c>
      <c r="CM108" t="n">
        <v>25</v>
      </c>
      <c r="CN108" t="n">
        <v>3</v>
      </c>
      <c r="CO108" t="n">
        <v>8</v>
      </c>
      <c r="CP108" t="n">
        <v>5</v>
      </c>
      <c r="CQ108" t="n">
        <v>8</v>
      </c>
      <c r="CR108" t="n">
        <v>6</v>
      </c>
      <c r="CS108">
        <f>IF(R108="Y",10,0)</f>
        <v/>
      </c>
      <c r="CT108" t="n">
        <v>-12</v>
      </c>
      <c r="CU108" t="inlineStr">
        <is>
          <t>https://www.instagram.com/eatbobos/</t>
        </is>
      </c>
      <c r="CV108" t="inlineStr">
        <is>
          <t>BR2</t>
        </is>
      </c>
      <c r="CW108" t="inlineStr">
        <is>
          <t>BR2:54</t>
        </is>
      </c>
      <c r="CX108" t="inlineStr">
        <is>
          <t>Gluten-free whole grain oat bars. Why-now from Shopify publish dates.</t>
        </is>
      </c>
      <c r="CY108" t="inlineStr">
        <is>
          <t xml:space="preserve">founder_review_reason &lt;- https://eatbobos.com (2026-10-24, stage 3 correction); </t>
        </is>
      </c>
      <c r="DA108" t="inlineStr">
        <is>
          <t>stage 1 only</t>
        </is>
      </c>
      <c r="DY108">
        <f>IF(ISNUMBER(MATCH(U108,{"queued","contacted","replied","call_booked","call_done","yes_in_principle","materials_sent"},0)),"Y","N")</f>
        <v/>
      </c>
      <c r="DZ108">
        <f>IF(COUNTIFS($AN$2:$AN$1000,AN108,$DY$2:$DY$1000,"Y")+COUNTIFS($AN$2:$AN$1000,AN108,$T$2:$T$1000,"Y")&gt;0,"Y","N")</f>
        <v/>
      </c>
      <c r="EA108">
        <f>IF(AND(U108="new",T108="N",AR108="Y",AQ108="",DZ108="N"),"Y","N")</f>
        <v/>
      </c>
      <c r="EB108">
        <f>IF(EA108&lt;&gt;"Y","N",IF(COUNTIFS($AN$2:$AN$1000,AN108,$EA$2:$EA$1000,"Y",$J$2:$J$1000,"&gt;"&amp;J108)+COUNTIFS($AN$2:$AN$1000,AN108,$EA$2:$EA$1000,"Y",$J$2:$J$1000,J108,$ED$2:$ED$1000,"&lt;"&amp;ED108)=0,"Y","N"))</f>
        <v/>
      </c>
      <c r="EC108">
        <f>IF(Y108="","N",IF(Y108&lt;=10,"Y","N"))</f>
        <v/>
      </c>
      <c r="ED108">
        <f>ROW()-1</f>
        <v/>
      </c>
    </row>
    <row r="109">
      <c r="A109" t="inlineStr">
        <is>
          <t>AB-112</t>
        </is>
      </c>
      <c r="B109" t="inlineStr">
        <is>
          <t>ChocXO</t>
        </is>
      </c>
      <c r="H109" t="inlineStr">
        <is>
          <t>none</t>
        </is>
      </c>
      <c r="J109">
        <f>IF(AU109="pass",CM109+CN109+CO109+CP109+CQ109+CR109+CS109+CT109,0)</f>
        <v/>
      </c>
      <c r="K109" t="inlineStr">
        <is>
          <t>Brand based outside the Northeast, store page shows Whole Foods Market NoMad inside the cluster, a new store listing 23 days ago, revenue unknown, no contact named; founder review: claim-borderline.</t>
        </is>
      </c>
      <c r="M109" t="inlineStr">
        <is>
          <t>Whole Foods Market NoMad, 63 Madison Ave</t>
        </is>
      </c>
      <c r="N109" t="inlineStr">
        <is>
          <t>store_selector</t>
        </is>
      </c>
      <c r="O109" t="inlineStr">
        <is>
          <t>Launched Milk Chocolate Cookie Butter Cups on brand store, Oct 2026</t>
        </is>
      </c>
      <c r="P109" t="inlineStr">
        <is>
          <t>https://chocxo.com/</t>
        </is>
      </c>
      <c r="Q109" t="inlineStr">
        <is>
          <t>2026-10-01</t>
        </is>
      </c>
      <c r="R109" t="inlineStr">
        <is>
          <t>N</t>
        </is>
      </c>
      <c r="S109" t="inlineStr">
        <is>
          <t>unknown</t>
        </is>
      </c>
      <c r="T109" t="inlineStr">
        <is>
          <t>N</t>
        </is>
      </c>
      <c r="U109" t="inlineStr">
        <is>
          <t>new</t>
        </is>
      </c>
      <c r="V109" t="inlineStr">
        <is>
          <t>https://chocxo.com/pages/about-chocxo</t>
        </is>
      </c>
      <c r="W109" t="inlineStr">
        <is>
          <t>2026-10-23</t>
        </is>
      </c>
      <c r="X109" t="inlineStr">
        <is>
          <t>brand</t>
        </is>
      </c>
      <c r="Y109">
        <f>IF(EB109&lt;&gt;"Y","",COUNTIFS($EB$2:$EB$1000,"Y",$J$2:$J$1000,"&gt;"&amp;J109)+COUNTIFS($EB$2:$EB$1000,"Y",$J$2:$J$1000,J109,$ED$2:$ED$1000,"&lt;"&amp;ED109)+1)</f>
        <v/>
      </c>
      <c r="Z109" t="n">
        <v>108</v>
      </c>
      <c r="AA109" t="inlineStr">
        <is>
          <t>N</t>
        </is>
      </c>
      <c r="AB109" t="inlineStr">
        <is>
          <t>no person named on an opened page: not ready; before using the retailer line, check Whole Foods Market NoMad still lists it: https://www.wholefoodsmarket.com/search?text=ChocXO with your store set to NoMad (catalogs change daily); founder review (claim-borderline): read founder_review_reason first</t>
        </is>
      </c>
      <c r="AD109" t="inlineStr">
        <is>
          <t>none</t>
        </is>
      </c>
      <c r="AH109" t="inlineStr">
        <is>
          <t>Organic Dubai Style Pistachio Cups 3.45 oz; Milk Chocolate Cookie Butter Cups</t>
        </is>
      </c>
      <c r="AI109" t="inlineStr">
        <is>
          <t>chocolate-candy</t>
        </is>
      </c>
      <c r="AJ109" t="inlineStr">
        <is>
          <t>Delta, BC (address on brand about page)</t>
        </is>
      </c>
      <c r="AK109" t="inlineStr">
        <is>
          <t>https://chocxo.com</t>
        </is>
      </c>
      <c r="AL109" t="inlineStr">
        <is>
          <t>Y</t>
        </is>
      </c>
      <c r="AM109" t="inlineStr">
        <is>
          <t>Canadian brand (cross-border freight and insurance); 'naturally lower in sugar' positioning; 60-day shelf life not stated</t>
        </is>
      </c>
      <c r="AN109" t="inlineStr">
        <is>
          <t>AB-112</t>
        </is>
      </c>
      <c r="AO109" t="inlineStr">
        <is>
          <t>N</t>
        </is>
      </c>
      <c r="AR109">
        <f>IF(AND(AU109="pass",AO109&lt;&gt;"Y",C109&lt;&gt;""),"Y","N")</f>
        <v/>
      </c>
      <c r="AS109">
        <f>_xlfn.TEXTJOIN("; ",TRUE,IF(AU109&lt;&gt;"pass","gated out",""),IF(AO109="Y","on hold: "&amp;AP109,""),IF(C109="","no contact named on an opened page",""))</f>
        <v/>
      </c>
      <c r="AU109" t="inlineStr">
        <is>
          <t>pass</t>
        </is>
      </c>
      <c r="AW109" t="inlineStr">
        <is>
          <t>passes all hard gates</t>
        </is>
      </c>
      <c r="AX109" t="inlineStr">
        <is>
          <t>claim-borderline</t>
        </is>
      </c>
      <c r="AY109" t="inlineStr">
        <is>
          <t>https://chocxo.com</t>
        </is>
      </c>
      <c r="AZ109" t="inlineStr">
        <is>
          <t>BC (Canada)</t>
        </is>
      </c>
      <c r="BA109" t="inlineStr">
        <is>
          <t>elsewhere</t>
        </is>
      </c>
      <c r="BB109" t="inlineStr">
        <is>
          <t>unknown</t>
        </is>
      </c>
      <c r="BD109" t="inlineStr">
        <is>
          <t>likely</t>
        </is>
      </c>
      <c r="BE109" t="inlineStr">
        <is>
          <t>Packaged chocolate cups sold ambient at Whole Foods; shelf-life figure not found</t>
        </is>
      </c>
      <c r="BF109" t="inlineStr">
        <is>
          <t>unknown</t>
        </is>
      </c>
      <c r="BG109" t="inlineStr">
        <is>
          <t>Y</t>
        </is>
      </c>
      <c r="BH109" t="inlineStr">
        <is>
          <t>unknown</t>
        </is>
      </c>
      <c r="BJ109" t="inlineStr">
        <is>
          <t>unknown</t>
        </is>
      </c>
      <c r="BK109" t="inlineStr">
        <is>
          <t>N</t>
        </is>
      </c>
      <c r="BL109" t="inlineStr">
        <is>
          <t>N</t>
        </is>
      </c>
      <c r="BN109" t="n">
        <v>0</v>
      </c>
      <c r="BO109" t="inlineStr">
        <is>
          <t>Y</t>
        </is>
      </c>
      <c r="BP109" t="n">
        <v>3</v>
      </c>
      <c r="BQ109" t="inlineStr">
        <is>
          <t>Whole Foods Market NoMad, 63 Madison Ave (store_selector, inside);Whole Foods Market Union Square, 4 Union Sq S (store_selector, inside);Whole Foods Market Chelsea, 250 7th Ave (store_selector, 3.0 blocks out)</t>
        </is>
      </c>
      <c r="BS109" t="inlineStr">
        <is>
          <t>Whole Foods</t>
        </is>
      </c>
      <c r="BT109" t="inlineStr">
        <is>
          <t>https://www.wholefoodsmarket.com/api/search?text=chocxo&amp;store=10162&amp;limit=60&amp;offset=0; https://www.wholefoodsmarket.com/api/search?text=chocxo&amp;store=10773&amp;limit=60&amp;offset=0; https://www.wholefoodsmarket.com/api/search?text=chocxo&amp;store=10131&amp;limit=60&amp;offset=0</t>
        </is>
      </c>
      <c r="BU109" t="inlineStr">
        <is>
          <t>listing</t>
        </is>
      </c>
      <c r="BV109" t="n">
        <v>23</v>
      </c>
      <c r="CF109" t="inlineStr">
        <is>
          <t>none</t>
        </is>
      </c>
      <c r="CK109" t="inlineStr">
        <is>
          <t>none</t>
        </is>
      </c>
      <c r="CL109" t="n">
        <v>43</v>
      </c>
      <c r="CM109" t="n">
        <v>25</v>
      </c>
      <c r="CN109" t="n">
        <v>3</v>
      </c>
      <c r="CO109" t="n">
        <v>8</v>
      </c>
      <c r="CP109" t="n">
        <v>5</v>
      </c>
      <c r="CQ109" t="n">
        <v>6</v>
      </c>
      <c r="CR109" t="n">
        <v>0</v>
      </c>
      <c r="CS109">
        <f>IF(R109="Y",10,0)</f>
        <v/>
      </c>
      <c r="CT109" t="n">
        <v>-4</v>
      </c>
      <c r="CU109" t="inlineStr">
        <is>
          <t>https://www.instagram.com/chocxochocolatier/</t>
        </is>
      </c>
      <c r="CV109" t="inlineStr">
        <is>
          <t>BR2</t>
        </is>
      </c>
      <c r="CW109" t="inlineStr">
        <is>
          <t>BR2:50</t>
        </is>
      </c>
      <c r="CX109" t="inlineStr">
        <is>
          <t>Organic. Why-now from Shopify publish date.</t>
        </is>
      </c>
      <c r="DA109" t="inlineStr">
        <is>
          <t>stage 1 only</t>
        </is>
      </c>
      <c r="DY109">
        <f>IF(ISNUMBER(MATCH(U109,{"queued","contacted","replied","call_booked","call_done","yes_in_principle","materials_sent"},0)),"Y","N")</f>
        <v/>
      </c>
      <c r="DZ109">
        <f>IF(COUNTIFS($AN$2:$AN$1000,AN109,$DY$2:$DY$1000,"Y")+COUNTIFS($AN$2:$AN$1000,AN109,$T$2:$T$1000,"Y")&gt;0,"Y","N")</f>
        <v/>
      </c>
      <c r="EA109">
        <f>IF(AND(U109="new",T109="N",AR109="Y",AQ109="",DZ109="N"),"Y","N")</f>
        <v/>
      </c>
      <c r="EB109">
        <f>IF(EA109&lt;&gt;"Y","N",IF(COUNTIFS($AN$2:$AN$1000,AN109,$EA$2:$EA$1000,"Y",$J$2:$J$1000,"&gt;"&amp;J109)+COUNTIFS($AN$2:$AN$1000,AN109,$EA$2:$EA$1000,"Y",$J$2:$J$1000,J109,$ED$2:$ED$1000,"&lt;"&amp;ED109)=0,"Y","N"))</f>
        <v/>
      </c>
      <c r="EC109">
        <f>IF(Y109="","N",IF(Y109&lt;=10,"Y","N"))</f>
        <v/>
      </c>
      <c r="ED109">
        <f>ROW()-1</f>
        <v/>
      </c>
    </row>
    <row r="110">
      <c r="A110" t="inlineStr">
        <is>
          <t>AB-055</t>
        </is>
      </c>
      <c r="B110" t="inlineStr">
        <is>
          <t>American Ostrich Farms</t>
        </is>
      </c>
      <c r="C110" t="inlineStr">
        <is>
          <t>Alex</t>
        </is>
      </c>
      <c r="D110" t="inlineStr">
        <is>
          <t>McCoy</t>
        </is>
      </c>
      <c r="E110" t="inlineStr">
        <is>
          <t>Founder and CEO</t>
        </is>
      </c>
      <c r="H110" t="inlineStr">
        <is>
          <t>none</t>
        </is>
      </c>
      <c r="I110" t="inlineStr">
        <is>
          <t>linkedin</t>
        </is>
      </c>
      <c r="J110">
        <f>IF(AU110="pass",CM110+CN110+CO110+CP110+CQ110+CR110+CS110+CT110,0)</f>
        <v/>
      </c>
      <c r="K110" t="inlineStr">
        <is>
          <t>Brand based outside the Northeast, no graded store within ten blocks, online store only, news 4 days ago, revenue unknown, contact named; founder review: other.</t>
        </is>
      </c>
      <c r="M110" t="inlineStr">
        <is>
          <t>none found within ten blocks</t>
        </is>
      </c>
      <c r="N110" t="inlineStr">
        <is>
          <t>unverified</t>
        </is>
      </c>
      <c r="O110" t="inlineStr">
        <is>
          <t>Nationwide launch of Ostrich &amp; Beef Snack Sticks (Original, Jalapeño) on Amazon and brand site</t>
        </is>
      </c>
      <c r="P110" t="inlineStr">
        <is>
          <t>https://www.snackandbakery.com/articles/116497-american-ostrich-farms-launches-blended-meat-snacks</t>
        </is>
      </c>
      <c r="Q110" t="inlineStr">
        <is>
          <t>2026-10-20</t>
        </is>
      </c>
      <c r="R110" t="inlineStr">
        <is>
          <t>N</t>
        </is>
      </c>
      <c r="S110" t="inlineStr">
        <is>
          <t>unknown</t>
        </is>
      </c>
      <c r="T110" t="inlineStr">
        <is>
          <t>N</t>
        </is>
      </c>
      <c r="U110" t="inlineStr">
        <is>
          <t>new</t>
        </is>
      </c>
      <c r="V110" t="inlineStr">
        <is>
          <t>https://www.snackandbakery.com/articles/116497-american-ostrich-farms-launches-blended-meat-snacks</t>
        </is>
      </c>
      <c r="W110" t="inlineStr">
        <is>
          <t>2026-10-23</t>
        </is>
      </c>
      <c r="X110" t="inlineStr">
        <is>
          <t>brand</t>
        </is>
      </c>
      <c r="Y110">
        <f>IF(EB110&lt;&gt;"Y","",COUNTIFS($EB$2:$EB$1000,"Y",$J$2:$J$1000,"&gt;"&amp;J110)+COUNTIFS($EB$2:$EB$1000,"Y",$J$2:$J$1000,J110,$ED$2:$ED$1000,"&lt;"&amp;ED110)+1)</f>
        <v/>
      </c>
      <c r="Z110" t="n">
        <v>109</v>
      </c>
      <c r="AA110" t="inlineStr">
        <is>
          <t>N</t>
        </is>
      </c>
      <c r="AB110" t="inlineStr">
        <is>
          <t>find Alex McCoy at American Ostrich Farms on LinkedIn and paste the profile URL; founder review (other): read founder_review_reason first</t>
        </is>
      </c>
      <c r="AC110" t="inlineStr">
        <is>
          <t>founder</t>
        </is>
      </c>
      <c r="AD110" t="inlineStr">
        <is>
          <t>verified-page</t>
        </is>
      </c>
      <c r="AE110" t="inlineStr">
        <is>
          <t>press, event or podcast page</t>
        </is>
      </c>
      <c r="AF110" t="inlineStr">
        <is>
          <t>https://www.snackandbakery.com/articles/116497-american-ostrich-farms-launches-blended-meat-snacks</t>
        </is>
      </c>
      <c r="AG110" t="inlineStr">
        <is>
          <t>2026-10-23</t>
        </is>
      </c>
      <c r="AH110" t="inlineStr">
        <is>
          <t>American Ostrich Farms Ostrich &amp; Beef Snack Stick, Original</t>
        </is>
      </c>
      <c r="AI110" t="inlineStr">
        <is>
          <t>meat-snacks</t>
        </is>
      </c>
      <c r="AJ110" t="inlineStr">
        <is>
          <t>Kuna</t>
        </is>
      </c>
      <c r="AK110" t="inlineStr">
        <is>
          <t>https://americanostrich.com</t>
        </is>
      </c>
      <c r="AL110" t="inlineStr">
        <is>
          <t>Y</t>
        </is>
      </c>
      <c r="AM110" t="inlineStr">
        <is>
          <t>Online-only launch; core business is fresh/frozen ostrich meat, so snack budget owner unclear</t>
        </is>
      </c>
      <c r="AN110" t="inlineStr">
        <is>
          <t>AB-055</t>
        </is>
      </c>
      <c r="AO110" t="inlineStr">
        <is>
          <t>N</t>
        </is>
      </c>
      <c r="AR110">
        <f>IF(AND(AU110="pass",AO110&lt;&gt;"Y",C110&lt;&gt;""),"Y","N")</f>
        <v/>
      </c>
      <c r="AS110">
        <f>_xlfn.TEXTJOIN("; ",TRUE,IF(AU110&lt;&gt;"pass","gated out",""),IF(AO110="Y","on hold: "&amp;AP110,""),IF(C110="","no contact named on an opened page",""))</f>
        <v/>
      </c>
      <c r="AU110" t="inlineStr">
        <is>
          <t>pass</t>
        </is>
      </c>
      <c r="AW110" t="inlineStr">
        <is>
          <t>passes all hard gates</t>
        </is>
      </c>
      <c r="AX110" t="inlineStr">
        <is>
          <t>other</t>
        </is>
      </c>
      <c r="AY110" t="inlineStr">
        <is>
          <t>https://americanostrich.com</t>
        </is>
      </c>
      <c r="AZ110" t="inlineStr">
        <is>
          <t>ID</t>
        </is>
      </c>
      <c r="BA110" t="inlineStr">
        <is>
          <t>elsewhere</t>
        </is>
      </c>
      <c r="BB110" t="inlineStr">
        <is>
          <t>unknown</t>
        </is>
      </c>
      <c r="BD110" t="inlineStr">
        <is>
          <t>Y</t>
        </is>
      </c>
      <c r="BE110" t="inlineStr">
        <is>
          <t>Trade press: first shelf-stable, ready-to-eat product from the brand</t>
        </is>
      </c>
      <c r="BF110" t="inlineStr">
        <is>
          <t>Y</t>
        </is>
      </c>
      <c r="BG110" t="inlineStr">
        <is>
          <t>Y</t>
        </is>
      </c>
      <c r="BH110" t="inlineStr">
        <is>
          <t>unknown</t>
        </is>
      </c>
      <c r="BJ110" t="inlineStr">
        <is>
          <t>unknown</t>
        </is>
      </c>
      <c r="BK110" t="inlineStr">
        <is>
          <t>N</t>
        </is>
      </c>
      <c r="BL110" t="inlineStr">
        <is>
          <t>N</t>
        </is>
      </c>
      <c r="BO110" t="inlineStr">
        <is>
          <t>N</t>
        </is>
      </c>
      <c r="BP110" t="n">
        <v>0</v>
      </c>
      <c r="BS110" t="inlineStr">
        <is>
          <t>Amazon; AmericanOstrich.com</t>
        </is>
      </c>
      <c r="BT110" t="inlineStr">
        <is>
          <t>https://www.snackandbakery.com/articles/116497-american-ostrich-farms-launches-blended-meat-snacks</t>
        </is>
      </c>
      <c r="BU110" t="inlineStr">
        <is>
          <t>press</t>
        </is>
      </c>
      <c r="BV110" t="n">
        <v>4</v>
      </c>
      <c r="BX110" t="inlineStr">
        <is>
          <t>Alex McCoy</t>
        </is>
      </c>
      <c r="CF110" t="inlineStr">
        <is>
          <t>none</t>
        </is>
      </c>
      <c r="CK110" t="inlineStr">
        <is>
          <t>none</t>
        </is>
      </c>
      <c r="CL110" t="n">
        <v>43</v>
      </c>
      <c r="CM110" t="n">
        <v>6</v>
      </c>
      <c r="CN110" t="n">
        <v>3</v>
      </c>
      <c r="CO110" t="n">
        <v>15</v>
      </c>
      <c r="CP110" t="n">
        <v>5</v>
      </c>
      <c r="CQ110" t="n">
        <v>10</v>
      </c>
      <c r="CR110" t="n">
        <v>6</v>
      </c>
      <c r="CS110">
        <f>IF(R110="Y",10,0)</f>
        <v/>
      </c>
      <c r="CT110" t="n">
        <v>-2</v>
      </c>
      <c r="CU110" t="inlineStr">
        <is>
          <t>unknown</t>
        </is>
      </c>
      <c r="CV110" t="inlineStr">
        <is>
          <t>BR1</t>
        </is>
      </c>
      <c r="CW110" t="inlineStr">
        <is>
          <t>BR1:56</t>
        </is>
      </c>
      <c r="CX110" t="inlineStr">
        <is>
          <t>Website domain taken from the trade article text ('AmericanOstrich.com'); site itself not opened.</t>
        </is>
      </c>
      <c r="CY110" t="inlineStr">
        <is>
          <t xml:space="preserve">hq_city &lt;- https://www.americanostrichfarms.com/ (2026-10-24, opened); </t>
        </is>
      </c>
      <c r="DA110" t="inlineStr">
        <is>
          <t>stage 1 only</t>
        </is>
      </c>
      <c r="DY110">
        <f>IF(ISNUMBER(MATCH(U110,{"queued","contacted","replied","call_booked","call_done","yes_in_principle","materials_sent"},0)),"Y","N")</f>
        <v/>
      </c>
      <c r="DZ110">
        <f>IF(COUNTIFS($AN$2:$AN$1000,AN110,$DY$2:$DY$1000,"Y")+COUNTIFS($AN$2:$AN$1000,AN110,$T$2:$T$1000,"Y")&gt;0,"Y","N")</f>
        <v/>
      </c>
      <c r="EA110">
        <f>IF(AND(U110="new",T110="N",AR110="Y",AQ110="",DZ110="N"),"Y","N")</f>
        <v/>
      </c>
      <c r="EB110">
        <f>IF(EA110&lt;&gt;"Y","N",IF(COUNTIFS($AN$2:$AN$1000,AN110,$EA$2:$EA$1000,"Y",$J$2:$J$1000,"&gt;"&amp;J110)+COUNTIFS($AN$2:$AN$1000,AN110,$EA$2:$EA$1000,"Y",$J$2:$J$1000,J110,$ED$2:$ED$1000,"&lt;"&amp;ED110)=0,"Y","N"))</f>
        <v/>
      </c>
      <c r="EC110">
        <f>IF(Y110="","N",IF(Y110&lt;=10,"Y","N"))</f>
        <v/>
      </c>
      <c r="ED110">
        <f>ROW()-1</f>
        <v/>
      </c>
    </row>
    <row r="111">
      <c r="A111" t="inlineStr">
        <is>
          <t>AB-284</t>
        </is>
      </c>
      <c r="B111" t="inlineStr">
        <is>
          <t>Keya's Snacks</t>
        </is>
      </c>
      <c r="C111" t="inlineStr">
        <is>
          <t>Keya</t>
        </is>
      </c>
      <c r="D111" t="inlineStr">
        <is>
          <t>Wingfield</t>
        </is>
      </c>
      <c r="E111" t="inlineStr">
        <is>
          <t>Founder</t>
        </is>
      </c>
      <c r="H111" t="inlineStr">
        <is>
          <t>none</t>
        </is>
      </c>
      <c r="I111" t="inlineStr">
        <is>
          <t>linkedin</t>
        </is>
      </c>
      <c r="J111">
        <f>IF(AU111="pass",CM111+CN111+CO111+CP111+CQ111+CR111+CS111+CT111,0)</f>
        <v/>
      </c>
      <c r="K111" t="inlineStr">
        <is>
          <t>Brand based outside the Northeast, no graded store within ten blocks, online store only, news 144 days ago, revenue unknown, contact named; founder review: other.</t>
        </is>
      </c>
      <c r="M111" t="inlineStr">
        <is>
          <t>none found within ten blocks</t>
        </is>
      </c>
      <c r="N111" t="inlineStr">
        <is>
          <t>unverified</t>
        </is>
      </c>
      <c r="O111" t="inlineStr">
        <is>
          <t>Runner-up in Naturally New York's 2026 Next Fairway Find; Fairway extended its service prize package to the brand</t>
        </is>
      </c>
      <c r="P111" t="inlineStr">
        <is>
          <t>https://www.snackandbakery.com/articles/115817-naturally-new-york-announces-pitch-competition-winner</t>
        </is>
      </c>
      <c r="Q111" t="inlineStr">
        <is>
          <t>2026-06-02</t>
        </is>
      </c>
      <c r="R111" t="inlineStr">
        <is>
          <t>N</t>
        </is>
      </c>
      <c r="S111" t="inlineStr">
        <is>
          <t>Y</t>
        </is>
      </c>
      <c r="T111" t="inlineStr">
        <is>
          <t>N</t>
        </is>
      </c>
      <c r="U111" t="inlineStr">
        <is>
          <t>new</t>
        </is>
      </c>
      <c r="V111" t="inlineStr">
        <is>
          <t>https://events.specialtyfood.com/event/2026-summer-fancy-food-show/exhibitor/RXhoaWJpdG9yXzI0NTEzMTc=</t>
        </is>
      </c>
      <c r="W111" t="inlineStr">
        <is>
          <t>2026-10-24</t>
        </is>
      </c>
      <c r="X111" t="inlineStr">
        <is>
          <t>brand</t>
        </is>
      </c>
      <c r="Y111">
        <f>IF(EB111&lt;&gt;"Y","",COUNTIFS($EB$2:$EB$1000,"Y",$J$2:$J$1000,"&gt;"&amp;J111)+COUNTIFS($EB$2:$EB$1000,"Y",$J$2:$J$1000,J111,$ED$2:$ED$1000,"&lt;"&amp;ED111)+1)</f>
        <v/>
      </c>
      <c r="Z111" t="n">
        <v>110</v>
      </c>
      <c r="AA111" t="inlineStr">
        <is>
          <t>N</t>
        </is>
      </c>
      <c r="AB111" t="inlineStr">
        <is>
          <t>find Keya Wingfield at Keya's Snacks on LinkedIn and paste the profile URL; founder review (other): read founder_review_reason first</t>
        </is>
      </c>
      <c r="AC111" t="inlineStr">
        <is>
          <t>founder</t>
        </is>
      </c>
      <c r="AD111" t="inlineStr">
        <is>
          <t>verified-page</t>
        </is>
      </c>
      <c r="AE111" t="inlineStr">
        <is>
          <t>press, event or podcast page</t>
        </is>
      </c>
      <c r="AF111" t="inlineStr">
        <is>
          <t>https://startupcpg.com/14-chip-brands-taking-your-tastebuds-on-a-flavor-tour/</t>
        </is>
      </c>
      <c r="AG111" t="inlineStr">
        <is>
          <t>2026-10-24</t>
        </is>
      </c>
      <c r="AH111" t="inlineStr">
        <is>
          <t>Bombay Spice kettle potato chips, 1.5 oz bag</t>
        </is>
      </c>
      <c r="AI111" t="inlineStr">
        <is>
          <t>chips-crisps</t>
        </is>
      </c>
      <c r="AJ111" t="inlineStr">
        <is>
          <t>unknown (Daksh Foods Inc.)</t>
        </is>
      </c>
      <c r="AK111" t="inlineStr">
        <is>
          <t>https://keyassnacks.com/shop</t>
        </is>
      </c>
      <c r="AL111" t="inlineStr">
        <is>
          <t>Y</t>
        </is>
      </c>
      <c r="AM111" t="inlineStr">
        <is>
          <t>HQ is outside the Northeast (SFFS lists Virginia). Fairway placement is a prize, not a confirmed shelf</t>
        </is>
      </c>
      <c r="AN111" t="inlineStr">
        <is>
          <t>AB-284</t>
        </is>
      </c>
      <c r="AO111" t="inlineStr">
        <is>
          <t>N</t>
        </is>
      </c>
      <c r="AR111">
        <f>IF(AND(AU111="pass",AO111&lt;&gt;"Y",C111&lt;&gt;""),"Y","N")</f>
        <v/>
      </c>
      <c r="AS111">
        <f>_xlfn.TEXTJOIN("; ",TRUE,IF(AU111&lt;&gt;"pass","gated out",""),IF(AO111="Y","on hold: "&amp;AP111,""),IF(C111="","no contact named on an opened page",""))</f>
        <v/>
      </c>
      <c r="AU111" t="inlineStr">
        <is>
          <t>pass</t>
        </is>
      </c>
      <c r="AW111" t="inlineStr">
        <is>
          <t>passes all hard gates</t>
        </is>
      </c>
      <c r="AX111" t="inlineStr">
        <is>
          <t>other</t>
        </is>
      </c>
      <c r="AY111" t="inlineStr">
        <is>
          <t>https://keyassnacks.com</t>
        </is>
      </c>
      <c r="AZ111" t="inlineStr">
        <is>
          <t>VA</t>
        </is>
      </c>
      <c r="BA111" t="inlineStr">
        <is>
          <t>elsewhere</t>
        </is>
      </c>
      <c r="BB111" t="inlineStr">
        <is>
          <t>unknown</t>
        </is>
      </c>
      <c r="BD111" t="inlineStr">
        <is>
          <t>Y</t>
        </is>
      </c>
      <c r="BE111" t="inlineStr">
        <is>
          <t>FAQ: 'How long do the chips last? 6 months.' Sealed 1.5 oz and 6 oz bags</t>
        </is>
      </c>
      <c r="BF111" t="inlineStr">
        <is>
          <t>Y</t>
        </is>
      </c>
      <c r="BG111" t="inlineStr">
        <is>
          <t>Y</t>
        </is>
      </c>
      <c r="BH111" t="inlineStr">
        <is>
          <t>unknown</t>
        </is>
      </c>
      <c r="BJ111" t="inlineStr">
        <is>
          <t>No sales figure. Startup CPG (2026-07-21) says 'In 1,800 doors nationwide'; distribution KeHE, UNFI, Rainforest, DSD, Faire, Airgoods</t>
        </is>
      </c>
      <c r="BK111" t="inlineStr">
        <is>
          <t>N</t>
        </is>
      </c>
      <c r="BL111" t="inlineStr">
        <is>
          <t>N</t>
        </is>
      </c>
      <c r="BO111" t="inlineStr">
        <is>
          <t>N</t>
        </is>
      </c>
      <c r="BP111" t="n">
        <v>0</v>
      </c>
      <c r="BS111" t="inlineStr">
        <is>
          <t>1,800 doors nationwide; Fairway Market prize package as runner-up of Naturally NY's Next Fairway Find (2026)</t>
        </is>
      </c>
      <c r="BU111" t="inlineStr">
        <is>
          <t>press</t>
        </is>
      </c>
      <c r="BV111" t="n">
        <v>144</v>
      </c>
      <c r="BW111" t="inlineStr">
        <is>
          <t>https://startupcpg.com/startup-cpg-pavilion-at-summer-fancy-food-2026/</t>
        </is>
      </c>
      <c r="BX111" t="inlineStr">
        <is>
          <t>Keya Wingfield</t>
        </is>
      </c>
      <c r="CF111" t="inlineStr">
        <is>
          <t>none</t>
        </is>
      </c>
      <c r="CK111" t="inlineStr">
        <is>
          <t>none</t>
        </is>
      </c>
      <c r="CL111" t="n">
        <v>43</v>
      </c>
      <c r="CM111" t="n">
        <v>6</v>
      </c>
      <c r="CN111" t="n">
        <v>3</v>
      </c>
      <c r="CO111" t="n">
        <v>15</v>
      </c>
      <c r="CP111" t="n">
        <v>5</v>
      </c>
      <c r="CQ111" t="n">
        <v>10</v>
      </c>
      <c r="CR111" t="n">
        <v>6</v>
      </c>
      <c r="CS111">
        <f>IF(R111="Y",10,0)</f>
        <v/>
      </c>
      <c r="CT111" t="n">
        <v>-2</v>
      </c>
      <c r="CU111" t="inlineStr">
        <is>
          <t>https://www.instagram.com/keyaandco/</t>
        </is>
      </c>
      <c r="CV111" t="inlineStr">
        <is>
          <t>BR5</t>
        </is>
      </c>
      <c r="CW111" t="inlineStr">
        <is>
          <t>BR5:20</t>
        </is>
      </c>
      <c r="CX111" t="inlineStr">
        <is>
          <t>SFFS 2026 exhibitor as Daksh Foods Inc. (State: Virginia); also in the Startup CPG SFFS 2026 pavilion and the Newtopia Now 2026 Startup CPG section; 2025 Shelfie winner (Bombay Spice). FAQ: first sold in 2021; kosher, vegan, gluten-free.</t>
        </is>
      </c>
      <c r="DA111" t="inlineStr">
        <is>
          <t>stage 1 only</t>
        </is>
      </c>
      <c r="DY111">
        <f>IF(ISNUMBER(MATCH(U111,{"queued","contacted","replied","call_booked","call_done","yes_in_principle","materials_sent"},0)),"Y","N")</f>
        <v/>
      </c>
      <c r="DZ111">
        <f>IF(COUNTIFS($AN$2:$AN$1000,AN111,$DY$2:$DY$1000,"Y")+COUNTIFS($AN$2:$AN$1000,AN111,$T$2:$T$1000,"Y")&gt;0,"Y","N")</f>
        <v/>
      </c>
      <c r="EA111">
        <f>IF(AND(U111="new",T111="N",AR111="Y",AQ111="",DZ111="N"),"Y","N")</f>
        <v/>
      </c>
      <c r="EB111">
        <f>IF(EA111&lt;&gt;"Y","N",IF(COUNTIFS($AN$2:$AN$1000,AN111,$EA$2:$EA$1000,"Y",$J$2:$J$1000,"&gt;"&amp;J111)+COUNTIFS($AN$2:$AN$1000,AN111,$EA$2:$EA$1000,"Y",$J$2:$J$1000,J111,$ED$2:$ED$1000,"&lt;"&amp;ED111)=0,"Y","N"))</f>
        <v/>
      </c>
      <c r="EC111">
        <f>IF(Y111="","N",IF(Y111&lt;=10,"Y","N"))</f>
        <v/>
      </c>
      <c r="ED111">
        <f>ROW()-1</f>
        <v/>
      </c>
    </row>
    <row r="112">
      <c r="A112" t="inlineStr">
        <is>
          <t>AB-170</t>
        </is>
      </c>
      <c r="B112" t="inlineStr">
        <is>
          <t>Little Green Cyclo</t>
        </is>
      </c>
      <c r="C112" t="inlineStr">
        <is>
          <t>Monica</t>
        </is>
      </c>
      <c r="D112" t="inlineStr">
        <is>
          <t>Wong</t>
        </is>
      </c>
      <c r="E112" t="inlineStr">
        <is>
          <t>Co-founder and CEO</t>
        </is>
      </c>
      <c r="H112" t="inlineStr">
        <is>
          <t>none</t>
        </is>
      </c>
      <c r="I112" t="inlineStr">
        <is>
          <t>linkedin</t>
        </is>
      </c>
      <c r="J112">
        <f>IF(AU112="pass",CM112+CN112+CO112+CP112+CQ112+CR112+CS112+CT112,0)</f>
        <v/>
      </c>
      <c r="K112" t="inlineStr">
        <is>
          <t>Brand based outside the Northeast, no graded store within ten blocks, online store only, news 79 days ago, revenue unknown, contact named; founder review: other.</t>
        </is>
      </c>
      <c r="M112" t="inlineStr">
        <is>
          <t>none found within ten blocks</t>
        </is>
      </c>
      <c r="N112" t="inlineStr">
        <is>
          <t>unverified</t>
        </is>
      </c>
      <c r="O112" t="inlineStr">
        <is>
          <t>2026 Startup CPG Shelfie Award finalist, Coffee category (Passion Fruit Sparkling Vietnamese Coffee)</t>
        </is>
      </c>
      <c r="P112" t="inlineStr">
        <is>
          <t>https://startupcpg.com/startup-cpg-shelfie-finalists-2026/</t>
        </is>
      </c>
      <c r="Q112" t="inlineStr">
        <is>
          <t>2026-08-06</t>
        </is>
      </c>
      <c r="R112" t="inlineStr">
        <is>
          <t>N</t>
        </is>
      </c>
      <c r="S112" t="inlineStr">
        <is>
          <t>Y</t>
        </is>
      </c>
      <c r="T112" t="inlineStr">
        <is>
          <t>N</t>
        </is>
      </c>
      <c r="U112" t="inlineStr">
        <is>
          <t>new</t>
        </is>
      </c>
      <c r="V112" t="inlineStr">
        <is>
          <t>https://coffeelgc.com/pages/founder-story</t>
        </is>
      </c>
      <c r="W112" t="inlineStr">
        <is>
          <t>2026-10-23</t>
        </is>
      </c>
      <c r="X112" t="inlineStr">
        <is>
          <t>brand</t>
        </is>
      </c>
      <c r="Y112">
        <f>IF(EB112&lt;&gt;"Y","",COUNTIFS($EB$2:$EB$1000,"Y",$J$2:$J$1000,"&gt;"&amp;J112)+COUNTIFS($EB$2:$EB$1000,"Y",$J$2:$J$1000,J112,$ED$2:$ED$1000,"&lt;"&amp;ED112)+1)</f>
        <v/>
      </c>
      <c r="Z112" t="n">
        <v>111</v>
      </c>
      <c r="AA112" t="inlineStr">
        <is>
          <t>N</t>
        </is>
      </c>
      <c r="AB112" t="inlineStr">
        <is>
          <t>find Monica Wong at Little Green Cyclo on LinkedIn and paste the profile URL; founder review (other): read founder_review_reason first</t>
        </is>
      </c>
      <c r="AC112" t="inlineStr">
        <is>
          <t>founder</t>
        </is>
      </c>
      <c r="AD112" t="inlineStr">
        <is>
          <t>verified-page</t>
        </is>
      </c>
      <c r="AE112" t="inlineStr">
        <is>
          <t>employer's own site</t>
        </is>
      </c>
      <c r="AF112" t="inlineStr">
        <is>
          <t>https://coffeelgc.com/pages/founder-story</t>
        </is>
      </c>
      <c r="AG112" t="inlineStr">
        <is>
          <t>2026-10-23</t>
        </is>
      </c>
      <c r="AH112" t="inlineStr">
        <is>
          <t>Little Green Cyclo ca phe sua da RTD Vietnamese coffee, 7.5 fl oz can</t>
        </is>
      </c>
      <c r="AI112" t="inlineStr">
        <is>
          <t>coffee-rtd</t>
        </is>
      </c>
      <c r="AJ112" t="inlineStr">
        <is>
          <t>San Francisco Bay Area</t>
        </is>
      </c>
      <c r="AK112" t="inlineStr">
        <is>
          <t>https://coffeelgc.com</t>
        </is>
      </c>
      <c r="AL112" t="inlineStr">
        <is>
          <t>Y</t>
        </is>
      </c>
      <c r="AM112" t="inlineStr">
        <is>
          <t>California brand with no NYC retail found; buy path is online only (discount code route)</t>
        </is>
      </c>
      <c r="AN112" t="inlineStr">
        <is>
          <t>AB-170</t>
        </is>
      </c>
      <c r="AO112" t="inlineStr">
        <is>
          <t>N</t>
        </is>
      </c>
      <c r="AR112">
        <f>IF(AND(AU112="pass",AO112&lt;&gt;"Y",C112&lt;&gt;""),"Y","N")</f>
        <v/>
      </c>
      <c r="AS112">
        <f>_xlfn.TEXTJOIN("; ",TRUE,IF(AU112&lt;&gt;"pass","gated out",""),IF(AO112="Y","on hold: "&amp;AP112,""),IF(C112="","no contact named on an opened page",""))</f>
        <v/>
      </c>
      <c r="AU112" t="inlineStr">
        <is>
          <t>pass</t>
        </is>
      </c>
      <c r="AW112" t="inlineStr">
        <is>
          <t>passes all hard gates</t>
        </is>
      </c>
      <c r="AX112" t="inlineStr">
        <is>
          <t>other</t>
        </is>
      </c>
      <c r="AY112" t="inlineStr">
        <is>
          <t>https://coffeelgc.com</t>
        </is>
      </c>
      <c r="AZ112" t="inlineStr">
        <is>
          <t>CA</t>
        </is>
      </c>
      <c r="BA112" t="inlineStr">
        <is>
          <t>elsewhere</t>
        </is>
      </c>
      <c r="BB112" t="inlineStr">
        <is>
          <t>unknown</t>
        </is>
      </c>
      <c r="BD112" t="inlineStr">
        <is>
          <t>Y</t>
        </is>
      </c>
      <c r="BE112" t="inlineStr">
        <is>
          <t>Product copy: '7.5 fl oz (222 ml) 12 cans per case Shelf stable product' (coffeelgc.com/products.json, read 2026-10-23)</t>
        </is>
      </c>
      <c r="BF112" t="inlineStr">
        <is>
          <t>Y</t>
        </is>
      </c>
      <c r="BG112" t="inlineStr">
        <is>
          <t>Y</t>
        </is>
      </c>
      <c r="BH112" t="inlineStr">
        <is>
          <t>unknown</t>
        </is>
      </c>
      <c r="BJ112" t="inlineStr">
        <is>
          <t>No public sales figure found</t>
        </is>
      </c>
      <c r="BK112" t="inlineStr">
        <is>
          <t>N</t>
        </is>
      </c>
      <c r="BL112" t="inlineStr">
        <is>
          <t>N</t>
        </is>
      </c>
      <c r="BO112" t="inlineStr">
        <is>
          <t>N</t>
        </is>
      </c>
      <c r="BP112" t="n">
        <v>0</v>
      </c>
      <c r="BS112" t="inlineStr">
        <is>
          <t>unknown (Stockist returned no NYC-area points)</t>
        </is>
      </c>
      <c r="BT112" t="inlineStr">
        <is>
          <t>https://stockist.co/api/v1/u6870/locations/search?latitude=40.7400&amp;longitude=-73.9900&amp;distance=3</t>
        </is>
      </c>
      <c r="BU112" t="inlineStr">
        <is>
          <t>press</t>
        </is>
      </c>
      <c r="BV112" t="n">
        <v>79</v>
      </c>
      <c r="BW112" t="inlineStr">
        <is>
          <t>https://startupcpg.com/startup-cpg-shelfie-finalists-2026/</t>
        </is>
      </c>
      <c r="BX112" t="inlineStr">
        <is>
          <t>Monica Wong</t>
        </is>
      </c>
      <c r="CF112" t="inlineStr">
        <is>
          <t>none</t>
        </is>
      </c>
      <c r="CK112" t="inlineStr">
        <is>
          <t>none</t>
        </is>
      </c>
      <c r="CL112" t="n">
        <v>43</v>
      </c>
      <c r="CM112" t="n">
        <v>6</v>
      </c>
      <c r="CN112" t="n">
        <v>3</v>
      </c>
      <c r="CO112" t="n">
        <v>15</v>
      </c>
      <c r="CP112" t="n">
        <v>5</v>
      </c>
      <c r="CQ112" t="n">
        <v>10</v>
      </c>
      <c r="CR112" t="n">
        <v>6</v>
      </c>
      <c r="CS112">
        <f>IF(R112="Y",10,0)</f>
        <v/>
      </c>
      <c r="CT112" t="n">
        <v>-2</v>
      </c>
      <c r="CU112" t="inlineStr">
        <is>
          <t>unknown</t>
        </is>
      </c>
      <c r="CV112" t="inlineStr">
        <is>
          <t>BR3</t>
        </is>
      </c>
      <c r="CW112" t="inlineStr">
        <is>
          <t>BR3:44</t>
        </is>
      </c>
      <c r="CX112" t="inlineStr">
        <is>
          <t>Founder story: founded in the San Francisco Bay Area in 2010; women- and AAPI-owned. Complete Set listed 2025-10-15.</t>
        </is>
      </c>
      <c r="DA112" t="inlineStr">
        <is>
          <t>stage 1 only</t>
        </is>
      </c>
      <c r="DY112">
        <f>IF(ISNUMBER(MATCH(U112,{"queued","contacted","replied","call_booked","call_done","yes_in_principle","materials_sent"},0)),"Y","N")</f>
        <v/>
      </c>
      <c r="DZ112">
        <f>IF(COUNTIFS($AN$2:$AN$1000,AN112,$DY$2:$DY$1000,"Y")+COUNTIFS($AN$2:$AN$1000,AN112,$T$2:$T$1000,"Y")&gt;0,"Y","N")</f>
        <v/>
      </c>
      <c r="EA112">
        <f>IF(AND(U112="new",T112="N",AR112="Y",AQ112="",DZ112="N"),"Y","N")</f>
        <v/>
      </c>
      <c r="EB112">
        <f>IF(EA112&lt;&gt;"Y","N",IF(COUNTIFS($AN$2:$AN$1000,AN112,$EA$2:$EA$1000,"Y",$J$2:$J$1000,"&gt;"&amp;J112)+COUNTIFS($AN$2:$AN$1000,AN112,$EA$2:$EA$1000,"Y",$J$2:$J$1000,J112,$ED$2:$ED$1000,"&lt;"&amp;ED112)=0,"Y","N"))</f>
        <v/>
      </c>
      <c r="EC112">
        <f>IF(Y112="","N",IF(Y112&lt;=10,"Y","N"))</f>
        <v/>
      </c>
      <c r="ED112">
        <f>ROW()-1</f>
        <v/>
      </c>
    </row>
    <row r="113">
      <c r="A113" t="inlineStr">
        <is>
          <t>AB-009</t>
        </is>
      </c>
      <c r="B113" t="inlineStr">
        <is>
          <t>Sfizi</t>
        </is>
      </c>
      <c r="C113" t="inlineStr">
        <is>
          <t>Joe</t>
        </is>
      </c>
      <c r="D113" t="inlineStr">
        <is>
          <t>Fiorenzo</t>
        </is>
      </c>
      <c r="E113" t="inlineStr">
        <is>
          <t>Co-founder</t>
        </is>
      </c>
      <c r="H113" t="inlineStr">
        <is>
          <t>none</t>
        </is>
      </c>
      <c r="I113" t="inlineStr">
        <is>
          <t>linkedin</t>
        </is>
      </c>
      <c r="J113">
        <f>IF(AU113="pass",CM113+CN113+CO113+CP113+CQ113+CR113+CS113+CT113,0)</f>
        <v/>
      </c>
      <c r="K113" t="inlineStr">
        <is>
          <t>Brand based outside the Northeast, no graded store within ten blocks, online store only, news 37 days ago, revenue unknown, contact named.</t>
        </is>
      </c>
      <c r="M113" t="inlineStr">
        <is>
          <t>none found within ten blocks</t>
        </is>
      </c>
      <c r="N113" t="inlineStr">
        <is>
          <t>unverified</t>
        </is>
      </c>
      <c r="O113" t="inlineStr">
        <is>
          <t>Launched fourth flavor, Spicy Taralli</t>
        </is>
      </c>
      <c r="P113" t="inlineStr">
        <is>
          <t>https://www.snackandbakery.com/articles/116338-sfizi-gets-fiery-with-fourth-flavor-addition-to-its-snack-lineup</t>
        </is>
      </c>
      <c r="Q113" t="inlineStr">
        <is>
          <t>2026-09-17</t>
        </is>
      </c>
      <c r="R113" t="inlineStr">
        <is>
          <t>N</t>
        </is>
      </c>
      <c r="S113" t="inlineStr">
        <is>
          <t>Y</t>
        </is>
      </c>
      <c r="T113" t="inlineStr">
        <is>
          <t>N</t>
        </is>
      </c>
      <c r="U113" t="inlineStr">
        <is>
          <t>new</t>
        </is>
      </c>
      <c r="V113" t="inlineStr">
        <is>
          <t>https://eatsfizi.com/pages/about</t>
        </is>
      </c>
      <c r="W113" t="inlineStr">
        <is>
          <t>2026-10-23</t>
        </is>
      </c>
      <c r="X113" t="inlineStr">
        <is>
          <t>brand</t>
        </is>
      </c>
      <c r="Y113">
        <f>IF(EB113&lt;&gt;"Y","",COUNTIFS($EB$2:$EB$1000,"Y",$J$2:$J$1000,"&gt;"&amp;J113)+COUNTIFS($EB$2:$EB$1000,"Y",$J$2:$J$1000,J113,$ED$2:$ED$1000,"&lt;"&amp;ED113)+1)</f>
        <v/>
      </c>
      <c r="Z113" t="n">
        <v>112</v>
      </c>
      <c r="AA113" t="inlineStr">
        <is>
          <t>N</t>
        </is>
      </c>
      <c r="AB113" t="inlineStr">
        <is>
          <t>find Joe Fiorenzo at Sfizi on LinkedIn and paste the profile URL</t>
        </is>
      </c>
      <c r="AC113" t="inlineStr">
        <is>
          <t>founder</t>
        </is>
      </c>
      <c r="AD113" t="inlineStr">
        <is>
          <t>verified-page</t>
        </is>
      </c>
      <c r="AE113" t="inlineStr">
        <is>
          <t>employer's own site</t>
        </is>
      </c>
      <c r="AF113" t="inlineStr">
        <is>
          <t>https://eatsfizi.com/pages/about</t>
        </is>
      </c>
      <c r="AG113" t="inlineStr">
        <is>
          <t>2026-10-23</t>
        </is>
      </c>
      <c r="AH113" t="inlineStr">
        <is>
          <t>Sfizi Classic Taralli ($9 bag); new Spicy Taralli</t>
        </is>
      </c>
      <c r="AI113" t="inlineStr">
        <is>
          <t>crackers-pretzels</t>
        </is>
      </c>
      <c r="AJ113" t="inlineStr">
        <is>
          <t>Davidson</t>
        </is>
      </c>
      <c r="AK113" t="inlineStr">
        <is>
          <t>https://eatsfizi.com</t>
        </is>
      </c>
      <c r="AL113" t="inlineStr">
        <is>
          <t>N</t>
        </is>
      </c>
      <c r="AN113" t="inlineStr">
        <is>
          <t>AB-009</t>
        </is>
      </c>
      <c r="AO113" t="inlineStr">
        <is>
          <t>N</t>
        </is>
      </c>
      <c r="AR113">
        <f>IF(AND(AU113="pass",AO113&lt;&gt;"Y",C113&lt;&gt;""),"Y","N")</f>
        <v/>
      </c>
      <c r="AS113">
        <f>_xlfn.TEXTJOIN("; ",TRUE,IF(AU113&lt;&gt;"pass","gated out",""),IF(AO113="Y","on hold: "&amp;AP113,""),IF(C113="","no contact named on an opened page",""))</f>
        <v/>
      </c>
      <c r="AU113" t="inlineStr">
        <is>
          <t>pass</t>
        </is>
      </c>
      <c r="AW113" t="inlineStr">
        <is>
          <t>passes all hard gates</t>
        </is>
      </c>
      <c r="AY113" t="inlineStr">
        <is>
          <t>https://eatsfizi.com</t>
        </is>
      </c>
      <c r="AZ113" t="inlineStr">
        <is>
          <t>NC</t>
        </is>
      </c>
      <c r="BA113" t="inlineStr">
        <is>
          <t>elsewhere</t>
        </is>
      </c>
      <c r="BB113" t="inlineStr">
        <is>
          <t>unknown</t>
        </is>
      </c>
      <c r="BD113" t="inlineStr">
        <is>
          <t>Y</t>
        </is>
      </c>
      <c r="BE113" t="inlineStr">
        <is>
          <t>Baked Italian taralli crackers sold ambient</t>
        </is>
      </c>
      <c r="BF113" t="inlineStr">
        <is>
          <t>unknown</t>
        </is>
      </c>
      <c r="BG113" t="inlineStr">
        <is>
          <t>Y</t>
        </is>
      </c>
      <c r="BH113" t="inlineStr">
        <is>
          <t>unknown</t>
        </is>
      </c>
      <c r="BJ113" t="inlineStr">
        <is>
          <t>unknown</t>
        </is>
      </c>
      <c r="BK113" t="inlineStr">
        <is>
          <t>N</t>
        </is>
      </c>
      <c r="BL113" t="inlineStr">
        <is>
          <t>N</t>
        </is>
      </c>
      <c r="BO113" t="inlineStr">
        <is>
          <t>N</t>
        </is>
      </c>
      <c r="BP113" t="n">
        <v>0</v>
      </c>
      <c r="BR113" t="inlineStr">
        <is>
          <t>PopUp Grocer (brand_claim, unplaced)</t>
        </is>
      </c>
      <c r="BS113" t="inlineStr">
        <is>
          <t>PopUp Grocer (NYC)</t>
        </is>
      </c>
      <c r="BT113" t="inlineStr">
        <is>
          <t>https://popupgrocer.com/pages/directory (availability 'NYC Flagship', 2026-10-23); https://popupgrocer.com/products/sfizi</t>
        </is>
      </c>
      <c r="BU113" t="inlineStr">
        <is>
          <t>press</t>
        </is>
      </c>
      <c r="BV113" t="n">
        <v>37</v>
      </c>
      <c r="BW113" t="inlineStr">
        <is>
          <t>https://startupcpg.com/startup-cpg-shelfie-finalists-2026/</t>
        </is>
      </c>
      <c r="BX113" t="inlineStr">
        <is>
          <t>Joe Fiorenzo</t>
        </is>
      </c>
      <c r="CA113" t="inlineStr">
        <is>
          <t>Sheela Prakash</t>
        </is>
      </c>
      <c r="CB113" t="inlineStr">
        <is>
          <t>Sheela</t>
        </is>
      </c>
      <c r="CC113" t="inlineStr">
        <is>
          <t>Prakash</t>
        </is>
      </c>
      <c r="CD113" t="inlineStr">
        <is>
          <t>Co-founder</t>
        </is>
      </c>
      <c r="CE113" t="inlineStr">
        <is>
          <t>co-founder</t>
        </is>
      </c>
      <c r="CF113" t="inlineStr">
        <is>
          <t>verified-page</t>
        </is>
      </c>
      <c r="CK113" t="inlineStr">
        <is>
          <t>none</t>
        </is>
      </c>
      <c r="CL113" t="n">
        <v>43</v>
      </c>
      <c r="CM113" t="n">
        <v>6</v>
      </c>
      <c r="CN113" t="n">
        <v>3</v>
      </c>
      <c r="CO113" t="n">
        <v>15</v>
      </c>
      <c r="CP113" t="n">
        <v>5</v>
      </c>
      <c r="CQ113" t="n">
        <v>8</v>
      </c>
      <c r="CR113" t="n">
        <v>6</v>
      </c>
      <c r="CS113">
        <f>IF(R113="Y",10,0)</f>
        <v/>
      </c>
      <c r="CT113" t="n">
        <v>0</v>
      </c>
      <c r="CU113" t="inlineStr">
        <is>
          <t>https://instagram.com/eatsfizi</t>
        </is>
      </c>
      <c r="CV113" t="inlineStr">
        <is>
          <t>BR1</t>
        </is>
      </c>
      <c r="CW113" t="inlineStr">
        <is>
          <t>BR1:10</t>
        </is>
      </c>
      <c r="CX113" t="inlineStr">
        <is>
          <t>Taralli made by the Campanella brothers in Puglia (trade press). Business city from brand privacy policy (Sfizi LLC, Davidson NC). Sheela Prakash is a cookbook author and food writer (brand about page).</t>
        </is>
      </c>
      <c r="CY113" t="inlineStr">
        <is>
          <t xml:space="preserve">startup_cpg_member &lt;- https://startupcpg.com/startup-cpg-shelfie-finalists-2026/ (2026-10-24, opened); startup_cpg_evidence_url &lt;- https://startupcpg.com/startup-cpg-shelfie-finalists-2026/ (2026-10-24, opened); </t>
        </is>
      </c>
      <c r="CZ113" t="inlineStr">
        <is>
          <t>https://eatsfizi.com/pages/about</t>
        </is>
      </c>
      <c r="DA113" t="inlineStr">
        <is>
          <t>stage 1 only</t>
        </is>
      </c>
      <c r="DC113" t="inlineStr">
        <is>
          <t>employer's own site</t>
        </is>
      </c>
      <c r="DY113">
        <f>IF(ISNUMBER(MATCH(U113,{"queued","contacted","replied","call_booked","call_done","yes_in_principle","materials_sent"},0)),"Y","N")</f>
        <v/>
      </c>
      <c r="DZ113">
        <f>IF(COUNTIFS($AN$2:$AN$1000,AN113,$DY$2:$DY$1000,"Y")+COUNTIFS($AN$2:$AN$1000,AN113,$T$2:$T$1000,"Y")&gt;0,"Y","N")</f>
        <v/>
      </c>
      <c r="EA113">
        <f>IF(AND(U113="new",T113="N",AR113="Y",AQ113="",DZ113="N"),"Y","N")</f>
        <v/>
      </c>
      <c r="EB113">
        <f>IF(EA113&lt;&gt;"Y","N",IF(COUNTIFS($AN$2:$AN$1000,AN113,$EA$2:$EA$1000,"Y",$J$2:$J$1000,"&gt;"&amp;J113)+COUNTIFS($AN$2:$AN$1000,AN113,$EA$2:$EA$1000,"Y",$J$2:$J$1000,J113,$ED$2:$ED$1000,"&lt;"&amp;ED113)=0,"Y","N"))</f>
        <v/>
      </c>
      <c r="EC113">
        <f>IF(Y113="","N",IF(Y113&lt;=10,"Y","N"))</f>
        <v/>
      </c>
      <c r="ED113">
        <f>ROW()-1</f>
        <v/>
      </c>
    </row>
    <row r="114">
      <c r="A114" t="inlineStr">
        <is>
          <t>AB-015</t>
        </is>
      </c>
      <c r="B114" t="inlineStr">
        <is>
          <t>Beefy's Own</t>
        </is>
      </c>
      <c r="C114" t="inlineStr">
        <is>
          <t>Ethan</t>
        </is>
      </c>
      <c r="D114" t="inlineStr">
        <is>
          <t>Bender</t>
        </is>
      </c>
      <c r="E114" t="inlineStr">
        <is>
          <t>CEO</t>
        </is>
      </c>
      <c r="H114" t="inlineStr">
        <is>
          <t>none</t>
        </is>
      </c>
      <c r="I114" t="inlineStr">
        <is>
          <t>linkedin</t>
        </is>
      </c>
      <c r="J114">
        <f>IF(AU114="pass",CM114+CN114+CO114+CP114+CQ114+CR114+CS114+CT114,0)</f>
        <v/>
      </c>
      <c r="K114" t="inlineStr">
        <is>
          <t>Northeast brand (HQ unverified), no graded store within ten blocks, online store only, a new store listing 37 days ago, revenue unknown, contact named.</t>
        </is>
      </c>
      <c r="M114" t="inlineStr">
        <is>
          <t>none found within ten blocks</t>
        </is>
      </c>
      <c r="N114" t="inlineStr">
        <is>
          <t>unverified</t>
        </is>
      </c>
      <c r="O114" t="inlineStr">
        <is>
          <t>Distributor-pack SKU added to brand store; family brand expanded to a dedicated production facility (2023)</t>
        </is>
      </c>
      <c r="P114" t="inlineStr">
        <is>
          <t>https://beefysown.com/products/beef-tallow-potato-chips-copy</t>
        </is>
      </c>
      <c r="Q114" t="inlineStr">
        <is>
          <t>2026-09-17</t>
        </is>
      </c>
      <c r="R114" t="inlineStr">
        <is>
          <t>N</t>
        </is>
      </c>
      <c r="S114" t="inlineStr">
        <is>
          <t>unknown</t>
        </is>
      </c>
      <c r="T114" t="inlineStr">
        <is>
          <t>N</t>
        </is>
      </c>
      <c r="U114" t="inlineStr">
        <is>
          <t>new</t>
        </is>
      </c>
      <c r="V114" t="inlineStr">
        <is>
          <t>https://beefysown.com/pages/our-story</t>
        </is>
      </c>
      <c r="W114" t="inlineStr">
        <is>
          <t>2026-10-23</t>
        </is>
      </c>
      <c r="X114" t="inlineStr">
        <is>
          <t>brand</t>
        </is>
      </c>
      <c r="Y114">
        <f>IF(EB114&lt;&gt;"Y","",COUNTIFS($EB$2:$EB$1000,"Y",$J$2:$J$1000,"&gt;"&amp;J114)+COUNTIFS($EB$2:$EB$1000,"Y",$J$2:$J$1000,J114,$ED$2:$ED$1000,"&lt;"&amp;ED114)+1)</f>
        <v/>
      </c>
      <c r="Z114" t="n">
        <v>113</v>
      </c>
      <c r="AA114" t="inlineStr">
        <is>
          <t>N</t>
        </is>
      </c>
      <c r="AB114" t="inlineStr">
        <is>
          <t>find Ethan Bender at Beefy's Own on LinkedIn and paste the profile URL</t>
        </is>
      </c>
      <c r="AC114" t="inlineStr">
        <is>
          <t>founder</t>
        </is>
      </c>
      <c r="AD114" t="inlineStr">
        <is>
          <t>verified-page</t>
        </is>
      </c>
      <c r="AE114" t="inlineStr">
        <is>
          <t>employer's own site</t>
        </is>
      </c>
      <c r="AF114" t="inlineStr">
        <is>
          <t>https://beefysown.com/</t>
        </is>
      </c>
      <c r="AG114" t="inlineStr">
        <is>
          <t>2026-10-23</t>
        </is>
      </c>
      <c r="AH114" t="inlineStr">
        <is>
          <t>Beefy's Own Beef Tallow Potato Chips, Sea Salt (single bag)</t>
        </is>
      </c>
      <c r="AI114" t="inlineStr">
        <is>
          <t>chips-crisps</t>
        </is>
      </c>
      <c r="AJ114" t="inlineStr">
        <is>
          <t>Derry (returns address; unverified as HQ)</t>
        </is>
      </c>
      <c r="AK114" t="inlineStr">
        <is>
          <t>https://beefysown.com/products/beef-tallow-potato-chips</t>
        </is>
      </c>
      <c r="AL114" t="inlineStr">
        <is>
          <t>N</t>
        </is>
      </c>
      <c r="AN114" t="inlineStr">
        <is>
          <t>AB-015</t>
        </is>
      </c>
      <c r="AO114" t="inlineStr">
        <is>
          <t>N</t>
        </is>
      </c>
      <c r="AR114">
        <f>IF(AND(AU114="pass",AO114&lt;&gt;"Y",C114&lt;&gt;""),"Y","N")</f>
        <v/>
      </c>
      <c r="AS114">
        <f>_xlfn.TEXTJOIN("; ",TRUE,IF(AU114&lt;&gt;"pass","gated out",""),IF(AO114="Y","on hold: "&amp;AP114,""),IF(C114="","no contact named on an opened page",""))</f>
        <v/>
      </c>
      <c r="AU114" t="inlineStr">
        <is>
          <t>pass</t>
        </is>
      </c>
      <c r="AW114" t="inlineStr">
        <is>
          <t>passes all hard gates</t>
        </is>
      </c>
      <c r="AY114" t="inlineStr">
        <is>
          <t>https://beefysown.com</t>
        </is>
      </c>
      <c r="AZ114" t="inlineStr">
        <is>
          <t>NH</t>
        </is>
      </c>
      <c r="BA114" t="inlineStr">
        <is>
          <t>northeast (unverified)</t>
        </is>
      </c>
      <c r="BB114" t="inlineStr">
        <is>
          <t>unknown</t>
        </is>
      </c>
      <c r="BD114" t="inlineStr">
        <is>
          <t>Y</t>
        </is>
      </c>
      <c r="BE114" t="inlineStr">
        <is>
          <t>Product page (Beef Tallow Potato Chips, 5 oz): 'Six Month Shelf Life'.</t>
        </is>
      </c>
      <c r="BF114" t="inlineStr">
        <is>
          <t>Y</t>
        </is>
      </c>
      <c r="BG114" t="inlineStr">
        <is>
          <t>Y</t>
        </is>
      </c>
      <c r="BH114" t="inlineStr">
        <is>
          <t>unknown</t>
        </is>
      </c>
      <c r="BJ114" t="inlineStr">
        <is>
          <t>unknown</t>
        </is>
      </c>
      <c r="BK114" t="inlineStr">
        <is>
          <t>N</t>
        </is>
      </c>
      <c r="BL114" t="inlineStr">
        <is>
          <t>N</t>
        </is>
      </c>
      <c r="BO114" t="inlineStr">
        <is>
          <t>N</t>
        </is>
      </c>
      <c r="BP114" t="n">
        <v>0</v>
      </c>
      <c r="BR114" t="inlineStr">
        <is>
          <t>PopUp Grocer (brand_claim, unplaced)</t>
        </is>
      </c>
      <c r="BS114" t="inlineStr">
        <is>
          <t>PopUp Grocer (NYC); distributor listing on brand store</t>
        </is>
      </c>
      <c r="BT114" t="inlineStr">
        <is>
          <t>https://popupgrocer.com/pages/directory (availability 'NYC Flagship', 2026-10-23); https://popupgrocer.com/products/beefys-own</t>
        </is>
      </c>
      <c r="BU114" t="inlineStr">
        <is>
          <t>listing</t>
        </is>
      </c>
      <c r="BV114" t="n">
        <v>37</v>
      </c>
      <c r="BX114" t="inlineStr">
        <is>
          <t>Ethan Bender</t>
        </is>
      </c>
      <c r="CF114" t="inlineStr">
        <is>
          <t>none</t>
        </is>
      </c>
      <c r="CK114" t="inlineStr">
        <is>
          <t>none</t>
        </is>
      </c>
      <c r="CL114" t="n">
        <v>43</v>
      </c>
      <c r="CM114" t="n">
        <v>6</v>
      </c>
      <c r="CN114" t="n">
        <v>8</v>
      </c>
      <c r="CO114" t="n">
        <v>8</v>
      </c>
      <c r="CP114" t="n">
        <v>5</v>
      </c>
      <c r="CQ114" t="n">
        <v>10</v>
      </c>
      <c r="CR114" t="n">
        <v>6</v>
      </c>
      <c r="CS114">
        <f>IF(R114="Y",10,0)</f>
        <v/>
      </c>
      <c r="CT114" t="n">
        <v>0</v>
      </c>
      <c r="CU114" t="inlineStr">
        <is>
          <t>https://instagram.com/beefysown</t>
        </is>
      </c>
      <c r="CV114" t="inlineStr">
        <is>
          <t>BR1</t>
        </is>
      </c>
      <c r="CW114" t="inlineStr">
        <is>
          <t>BR1:16</t>
        </is>
      </c>
      <c r="CX114" t="inlineStr">
        <is>
          <t>Northeast (New Hampshire) family-run brand, est. 2022. why_now is weak (new distro SKU, Shopify published_at).</t>
        </is>
      </c>
      <c r="CY114" t="inlineStr">
        <is>
          <t xml:space="preserve">shelf_stable_basis &lt;- https://beefysown.com/products/beef-tallow-potato-chips (2026-10-24, opened); </t>
        </is>
      </c>
      <c r="DA114" t="inlineStr">
        <is>
          <t>stage 1 only</t>
        </is>
      </c>
      <c r="DY114">
        <f>IF(ISNUMBER(MATCH(U114,{"queued","contacted","replied","call_booked","call_done","yes_in_principle","materials_sent"},0)),"Y","N")</f>
        <v/>
      </c>
      <c r="DZ114">
        <f>IF(COUNTIFS($AN$2:$AN$1000,AN114,$DY$2:$DY$1000,"Y")+COUNTIFS($AN$2:$AN$1000,AN114,$T$2:$T$1000,"Y")&gt;0,"Y","N")</f>
        <v/>
      </c>
      <c r="EA114">
        <f>IF(AND(U114="new",T114="N",AR114="Y",AQ114="",DZ114="N"),"Y","N")</f>
        <v/>
      </c>
      <c r="EB114">
        <f>IF(EA114&lt;&gt;"Y","N",IF(COUNTIFS($AN$2:$AN$1000,AN114,$EA$2:$EA$1000,"Y",$J$2:$J$1000,"&gt;"&amp;J114)+COUNTIFS($AN$2:$AN$1000,AN114,$EA$2:$EA$1000,"Y",$J$2:$J$1000,J114,$ED$2:$ED$1000,"&lt;"&amp;ED114)=0,"Y","N"))</f>
        <v/>
      </c>
      <c r="EC114">
        <f>IF(Y114="","N",IF(Y114&lt;=10,"Y","N"))</f>
        <v/>
      </c>
      <c r="ED114">
        <f>ROW()-1</f>
        <v/>
      </c>
    </row>
    <row r="115">
      <c r="A115" t="inlineStr">
        <is>
          <t>AB-127</t>
        </is>
      </c>
      <c r="B115" t="inlineStr">
        <is>
          <t>Li-Lac Chocolates</t>
        </is>
      </c>
      <c r="C115" t="inlineStr">
        <is>
          <t>George</t>
        </is>
      </c>
      <c r="D115" t="inlineStr">
        <is>
          <t>Demetrious</t>
        </is>
      </c>
      <c r="E115" t="inlineStr">
        <is>
          <t>Founder</t>
        </is>
      </c>
      <c r="H115" t="inlineStr">
        <is>
          <t>none</t>
        </is>
      </c>
      <c r="I115" t="inlineStr">
        <is>
          <t>linkedin</t>
        </is>
      </c>
      <c r="J115">
        <f>IF(AU115="pass",CM115+CN115+CO115+CP115+CQ115+CR115+CS115+CT115,0)</f>
        <v/>
      </c>
      <c r="K115" t="inlineStr">
        <is>
          <t>New York City brand, no graded store within ten blocks, online store only, a new store listing 2 days ago, revenue unknown, contact named; founder review: not-emerging.</t>
        </is>
      </c>
      <c r="M115" t="inlineStr">
        <is>
          <t>none found within ten blocks</t>
        </is>
      </c>
      <c r="N115" t="inlineStr">
        <is>
          <t>unverified</t>
        </is>
      </c>
      <c r="O115" t="inlineStr">
        <is>
          <t>Holiday 2026 advent calendars and Halloween items added to brand store, Oct 2026</t>
        </is>
      </c>
      <c r="P115" t="inlineStr">
        <is>
          <t>https://www.li-lacchocolates.com/</t>
        </is>
      </c>
      <c r="Q115" t="inlineStr">
        <is>
          <t>2026-10-22</t>
        </is>
      </c>
      <c r="R115" t="inlineStr">
        <is>
          <t>N</t>
        </is>
      </c>
      <c r="S115" t="inlineStr">
        <is>
          <t>unknown</t>
        </is>
      </c>
      <c r="T115" t="inlineStr">
        <is>
          <t>N</t>
        </is>
      </c>
      <c r="U115" t="inlineStr">
        <is>
          <t>new</t>
        </is>
      </c>
      <c r="V115" t="inlineStr">
        <is>
          <t>https://www.li-lacchocolates.com/pages/about-us</t>
        </is>
      </c>
      <c r="W115" t="inlineStr">
        <is>
          <t>2026-10-23</t>
        </is>
      </c>
      <c r="X115" t="inlineStr">
        <is>
          <t>brand</t>
        </is>
      </c>
      <c r="Y115">
        <f>IF(EB115&lt;&gt;"Y","",COUNTIFS($EB$2:$EB$1000,"Y",$J$2:$J$1000,"&gt;"&amp;J115)+COUNTIFS($EB$2:$EB$1000,"Y",$J$2:$J$1000,J115,$ED$2:$ED$1000,"&lt;"&amp;ED115)+1)</f>
        <v/>
      </c>
      <c r="Z115" t="n">
        <v>114</v>
      </c>
      <c r="AA115" t="inlineStr">
        <is>
          <t>N</t>
        </is>
      </c>
      <c r="AB115" t="inlineStr">
        <is>
          <t>find George Demetrious at Li-Lac Chocolates on LinkedIn and paste the profile URL; founder review (not-emerging): read founder_review_reason first</t>
        </is>
      </c>
      <c r="AC115" t="inlineStr">
        <is>
          <t>founder</t>
        </is>
      </c>
      <c r="AD115" t="inlineStr">
        <is>
          <t>verified-page</t>
        </is>
      </c>
      <c r="AE115" t="inlineStr">
        <is>
          <t>employer's own site</t>
        </is>
      </c>
      <c r="AF115" t="inlineStr">
        <is>
          <t>https://www.li-lacchocolates.com/pages/about-us</t>
        </is>
      </c>
      <c r="AG115" t="inlineStr">
        <is>
          <t>2026-10-23</t>
        </is>
      </c>
      <c r="AH115" t="inlineStr">
        <is>
          <t>3 oz Chocolate Bar with custom wrapper (200-bar minimum, business gifts); Chocolate Pumpkin Discs</t>
        </is>
      </c>
      <c r="AI115" t="inlineStr">
        <is>
          <t>chocolate-candy</t>
        </is>
      </c>
      <c r="AJ115" t="inlineStr">
        <is>
          <t>New York (founded at 120 Christopher St, 1923)</t>
        </is>
      </c>
      <c r="AK115" t="inlineStr">
        <is>
          <t>https://www.li-lacchocolates.com</t>
        </is>
      </c>
      <c r="AL115" t="inlineStr">
        <is>
          <t>Y</t>
        </is>
      </c>
      <c r="AM115" t="inlineStr">
        <is>
          <t>Heritage chocolatier (since 1923), gift-focused, not an emerging CPG brand; has a custom business-bar program that may compete with or complement office drops; 60-day shelf life not stated</t>
        </is>
      </c>
      <c r="AN115" t="inlineStr">
        <is>
          <t>AB-127</t>
        </is>
      </c>
      <c r="AO115" t="inlineStr">
        <is>
          <t>N</t>
        </is>
      </c>
      <c r="AR115">
        <f>IF(AND(AU115="pass",AO115&lt;&gt;"Y",C115&lt;&gt;""),"Y","N")</f>
        <v/>
      </c>
      <c r="AS115">
        <f>_xlfn.TEXTJOIN("; ",TRUE,IF(AU115&lt;&gt;"pass","gated out",""),IF(AO115="Y","on hold: "&amp;AP115,""),IF(C115="","no contact named on an opened page",""))</f>
        <v/>
      </c>
      <c r="AU115" t="inlineStr">
        <is>
          <t>pass</t>
        </is>
      </c>
      <c r="AW115" t="inlineStr">
        <is>
          <t>passes all hard gates</t>
        </is>
      </c>
      <c r="AX115" t="inlineStr">
        <is>
          <t>not-emerging</t>
        </is>
      </c>
      <c r="AY115" t="inlineStr">
        <is>
          <t>https://www.li-lacchocolates.com</t>
        </is>
      </c>
      <c r="AZ115" t="inlineStr">
        <is>
          <t>NY</t>
        </is>
      </c>
      <c r="BA115" t="inlineStr">
        <is>
          <t>nyc</t>
        </is>
      </c>
      <c r="BB115" t="inlineStr">
        <is>
          <t>unknown</t>
        </is>
      </c>
      <c r="BD115" t="inlineStr">
        <is>
          <t>likely</t>
        </is>
      </c>
      <c r="BE115" t="inlineStr">
        <is>
          <t>Brand FAQ: solid milk and dark chocolate stay fresh for about nine months, solid white chocolate about 6 months; filled confections are guaranteed fresh for at least 21 days.</t>
        </is>
      </c>
      <c r="BF115" t="inlineStr">
        <is>
          <t>Y</t>
        </is>
      </c>
      <c r="BG115" t="inlineStr">
        <is>
          <t>Y</t>
        </is>
      </c>
      <c r="BH115" t="inlineStr">
        <is>
          <t>unknown</t>
        </is>
      </c>
      <c r="BJ115" t="inlineStr">
        <is>
          <t>unknown</t>
        </is>
      </c>
      <c r="BK115" t="inlineStr">
        <is>
          <t>N</t>
        </is>
      </c>
      <c r="BL115" t="inlineStr">
        <is>
          <t>N</t>
        </is>
      </c>
      <c r="BO115" t="inlineStr">
        <is>
          <t>N</t>
        </is>
      </c>
      <c r="BP115" t="n">
        <v>0</v>
      </c>
      <c r="BS115" t="inlineStr">
        <is>
          <t>Own shops (contact page 'Store Hours &amp; Locations'; addresses not captured)</t>
        </is>
      </c>
      <c r="BT115" t="inlineStr">
        <is>
          <t>https://www.li-lacchocolates.com/pages/contact-us</t>
        </is>
      </c>
      <c r="BU115" t="inlineStr">
        <is>
          <t>listing</t>
        </is>
      </c>
      <c r="BV115" t="n">
        <v>2</v>
      </c>
      <c r="BX115" t="inlineStr">
        <is>
          <t>George Demetrious</t>
        </is>
      </c>
      <c r="CF115" t="inlineStr">
        <is>
          <t>none</t>
        </is>
      </c>
      <c r="CK115" t="inlineStr">
        <is>
          <t>none</t>
        </is>
      </c>
      <c r="CL115" t="n">
        <v>43</v>
      </c>
      <c r="CM115" t="n">
        <v>6</v>
      </c>
      <c r="CN115" t="n">
        <v>20</v>
      </c>
      <c r="CO115" t="n">
        <v>8</v>
      </c>
      <c r="CP115" t="n">
        <v>5</v>
      </c>
      <c r="CQ115" t="n">
        <v>8</v>
      </c>
      <c r="CR115" t="n">
        <v>6</v>
      </c>
      <c r="CS115">
        <f>IF(R115="Y",10,0)</f>
        <v/>
      </c>
      <c r="CT115" t="n">
        <v>-10</v>
      </c>
      <c r="CU115" t="inlineStr">
        <is>
          <t>https://www.instagram.com/lilacchocolates/</t>
        </is>
      </c>
      <c r="CV115" t="inlineStr">
        <is>
          <t>BR2</t>
        </is>
      </c>
      <c r="CW115" t="inlineStr">
        <is>
          <t>BR2:65</t>
        </is>
      </c>
      <c r="CX115" t="inlineStr">
        <is>
          <t>'New York's oldest chocolate house'. Current owners not identified. Why-now from Shopify publish dates.</t>
        </is>
      </c>
      <c r="CY115" t="inlineStr">
        <is>
          <t xml:space="preserve">shelf_stable_basis &lt;- https://www.li-lacchocolates.com/pages/frequently-asked-questions (2026-10-24, opened); </t>
        </is>
      </c>
      <c r="DA115" t="inlineStr">
        <is>
          <t>stage 1 only</t>
        </is>
      </c>
      <c r="DY115">
        <f>IF(ISNUMBER(MATCH(U115,{"queued","contacted","replied","call_booked","call_done","yes_in_principle","materials_sent"},0)),"Y","N")</f>
        <v/>
      </c>
      <c r="DZ115">
        <f>IF(COUNTIFS($AN$2:$AN$1000,AN115,$DY$2:$DY$1000,"Y")+COUNTIFS($AN$2:$AN$1000,AN115,$T$2:$T$1000,"Y")&gt;0,"Y","N")</f>
        <v/>
      </c>
      <c r="EA115">
        <f>IF(AND(U115="new",T115="N",AR115="Y",AQ115="",DZ115="N"),"Y","N")</f>
        <v/>
      </c>
      <c r="EB115">
        <f>IF(EA115&lt;&gt;"Y","N",IF(COUNTIFS($AN$2:$AN$1000,AN115,$EA$2:$EA$1000,"Y",$J$2:$J$1000,"&gt;"&amp;J115)+COUNTIFS($AN$2:$AN$1000,AN115,$EA$2:$EA$1000,"Y",$J$2:$J$1000,J115,$ED$2:$ED$1000,"&lt;"&amp;ED115)=0,"Y","N"))</f>
        <v/>
      </c>
      <c r="EC115">
        <f>IF(Y115="","N",IF(Y115&lt;=10,"Y","N"))</f>
        <v/>
      </c>
      <c r="ED115">
        <f>ROW()-1</f>
        <v/>
      </c>
    </row>
    <row r="116">
      <c r="A116" t="inlineStr">
        <is>
          <t>AB-026</t>
        </is>
      </c>
      <c r="B116" t="inlineStr">
        <is>
          <t>Righteous Felon</t>
        </is>
      </c>
      <c r="C116" t="inlineStr">
        <is>
          <t>Brendan</t>
        </is>
      </c>
      <c r="D116" t="inlineStr">
        <is>
          <t>Cawley</t>
        </is>
      </c>
      <c r="E116" t="inlineStr">
        <is>
          <t>Founder &amp; CEO</t>
        </is>
      </c>
      <c r="H116" t="inlineStr">
        <is>
          <t>none</t>
        </is>
      </c>
      <c r="I116" t="inlineStr">
        <is>
          <t>linkedin</t>
        </is>
      </c>
      <c r="J116">
        <f>IF(AU116="pass",CM116+CN116+CO116+CP116+CQ116+CR116+CS116+CT116,0)</f>
        <v/>
      </c>
      <c r="K116" t="inlineStr">
        <is>
          <t>Northeast brand, no graded store within ten blocks, online store only, a new store listing 80 days ago, revenue unknown, contact named.</t>
        </is>
      </c>
      <c r="M116" t="inlineStr">
        <is>
          <t>none found within ten blocks</t>
        </is>
      </c>
      <c r="N116" t="inlineStr">
        <is>
          <t>unverified</t>
        </is>
      </c>
      <c r="O116" t="inlineStr">
        <is>
          <t>New 18- and 30-count variety meat stick packs published on brand store</t>
        </is>
      </c>
      <c r="P116" t="inlineStr">
        <is>
          <t>https://www.righteousfelon.com/products/savoury-variety-sticks-30pack</t>
        </is>
      </c>
      <c r="Q116" t="inlineStr">
        <is>
          <t>2026-08-05</t>
        </is>
      </c>
      <c r="R116" t="inlineStr">
        <is>
          <t>N</t>
        </is>
      </c>
      <c r="S116" t="inlineStr">
        <is>
          <t>Y</t>
        </is>
      </c>
      <c r="T116" t="inlineStr">
        <is>
          <t>N</t>
        </is>
      </c>
      <c r="U116" t="inlineStr">
        <is>
          <t>new</t>
        </is>
      </c>
      <c r="V116" t="inlineStr">
        <is>
          <t>https://www.righteousfelon.com/pages/about</t>
        </is>
      </c>
      <c r="W116" t="inlineStr">
        <is>
          <t>2026-10-23</t>
        </is>
      </c>
      <c r="X116" t="inlineStr">
        <is>
          <t>brand</t>
        </is>
      </c>
      <c r="Y116">
        <f>IF(EB116&lt;&gt;"Y","",COUNTIFS($EB$2:$EB$1000,"Y",$J$2:$J$1000,"&gt;"&amp;J116)+COUNTIFS($EB$2:$EB$1000,"Y",$J$2:$J$1000,J116,$ED$2:$ED$1000,"&lt;"&amp;ED116)+1)</f>
        <v/>
      </c>
      <c r="Z116" t="n">
        <v>115</v>
      </c>
      <c r="AA116" t="inlineStr">
        <is>
          <t>N</t>
        </is>
      </c>
      <c r="AB116" t="inlineStr">
        <is>
          <t>find Brendan Cawley at Righteous Felon on LinkedIn and paste the profile URL</t>
        </is>
      </c>
      <c r="AC116" t="inlineStr">
        <is>
          <t>founder</t>
        </is>
      </c>
      <c r="AD116" t="inlineStr">
        <is>
          <t>verified-page</t>
        </is>
      </c>
      <c r="AE116" t="inlineStr">
        <is>
          <t>press, event or podcast page</t>
        </is>
      </c>
      <c r="AF116" t="inlineStr">
        <is>
          <t>https://startupcpg.com/startup-cpg-newswire-righteous-felon-craft-jerky-hits-the-gas-on-the-getaway-car-expands-retail-presence-dominates-holiday-gifting-season/</t>
        </is>
      </c>
      <c r="AG116" t="inlineStr">
        <is>
          <t>2026-10-23</t>
        </is>
      </c>
      <c r="AH116" t="inlineStr">
        <is>
          <t>Righteous Felon O.G. Hickory Beef Stick (9-pack); Lil' Rebels mini sticks</t>
        </is>
      </c>
      <c r="AI116" t="inlineStr">
        <is>
          <t>meat-snacks</t>
        </is>
      </c>
      <c r="AJ116" t="inlineStr">
        <is>
          <t>West Chester</t>
        </is>
      </c>
      <c r="AK116" t="inlineStr">
        <is>
          <t>https://www.righteousfelon.com</t>
        </is>
      </c>
      <c r="AL116" t="inlineStr">
        <is>
          <t>N</t>
        </is>
      </c>
      <c r="AN116" t="inlineStr">
        <is>
          <t>AB-026</t>
        </is>
      </c>
      <c r="AO116" t="inlineStr">
        <is>
          <t>N</t>
        </is>
      </c>
      <c r="AR116">
        <f>IF(AND(AU116="pass",AO116&lt;&gt;"Y",C116&lt;&gt;""),"Y","N")</f>
        <v/>
      </c>
      <c r="AS116">
        <f>_xlfn.TEXTJOIN("; ",TRUE,IF(AU116&lt;&gt;"pass","gated out",""),IF(AO116="Y","on hold: "&amp;AP116,""),IF(C116="","no contact named on an opened page",""))</f>
        <v/>
      </c>
      <c r="AU116" t="inlineStr">
        <is>
          <t>pass</t>
        </is>
      </c>
      <c r="AW116" t="inlineStr">
        <is>
          <t>passes all hard gates</t>
        </is>
      </c>
      <c r="AY116" t="inlineStr">
        <is>
          <t>https://www.righteousfelon.com</t>
        </is>
      </c>
      <c r="AZ116" t="inlineStr">
        <is>
          <t>PA</t>
        </is>
      </c>
      <c r="BA116" t="inlineStr">
        <is>
          <t>northeast</t>
        </is>
      </c>
      <c r="BB116" t="inlineStr">
        <is>
          <t>unknown</t>
        </is>
      </c>
      <c r="BD116" t="inlineStr">
        <is>
          <t>Y</t>
        </is>
      </c>
      <c r="BE116" t="inlineStr">
        <is>
          <t>Brand FAQ: 'Shelf Life from time of production: Jerky = 18 months, Biltong = 9 months, Sticks = 12 months.' Refrigerate after opening.</t>
        </is>
      </c>
      <c r="BF116" t="inlineStr">
        <is>
          <t>Y</t>
        </is>
      </c>
      <c r="BG116" t="inlineStr">
        <is>
          <t>Y</t>
        </is>
      </c>
      <c r="BH116" t="inlineStr">
        <is>
          <t>unknown</t>
        </is>
      </c>
      <c r="BJ116" t="inlineStr">
        <is>
          <t>unknown</t>
        </is>
      </c>
      <c r="BK116" t="inlineStr">
        <is>
          <t>N</t>
        </is>
      </c>
      <c r="BL116" t="inlineStr">
        <is>
          <t>N</t>
        </is>
      </c>
      <c r="BO116" t="inlineStr">
        <is>
          <t>N</t>
        </is>
      </c>
      <c r="BP116" t="n">
        <v>0</v>
      </c>
      <c r="BS116" t="inlineStr">
        <is>
          <t>Find a Dealer locator on brand site (not readable without JavaScript); Amazon (Buy with Prime)</t>
        </is>
      </c>
      <c r="BT116" t="inlineStr">
        <is>
          <t>https://www.wholefoodsmarket.com/search?text=righteous%20felon (no results in cluster stores, 2026-10-23)</t>
        </is>
      </c>
      <c r="BU116" t="inlineStr">
        <is>
          <t>listing</t>
        </is>
      </c>
      <c r="BV116" t="n">
        <v>80</v>
      </c>
      <c r="BW116" t="inlineStr">
        <is>
          <t>https://startupcpg.com/startup-cpg-newswire-righteous-felon-craft-jerky-hits-the-gas-on-the-getaway-car-expands-retail-presence-dominates-holiday-gifting-season/</t>
        </is>
      </c>
      <c r="BX116" t="inlineStr">
        <is>
          <t>Brendan Cawley</t>
        </is>
      </c>
      <c r="CF116" t="inlineStr">
        <is>
          <t>none</t>
        </is>
      </c>
      <c r="CK116" t="inlineStr">
        <is>
          <t>none</t>
        </is>
      </c>
      <c r="CL116" t="n">
        <v>43</v>
      </c>
      <c r="CM116" t="n">
        <v>6</v>
      </c>
      <c r="CN116" t="n">
        <v>8</v>
      </c>
      <c r="CO116" t="n">
        <v>8</v>
      </c>
      <c r="CP116" t="n">
        <v>5</v>
      </c>
      <c r="CQ116" t="n">
        <v>10</v>
      </c>
      <c r="CR116" t="n">
        <v>6</v>
      </c>
      <c r="CS116">
        <f>IF(R116="Y",10,0)</f>
        <v/>
      </c>
      <c r="CT116" t="n">
        <v>0</v>
      </c>
      <c r="CU116" t="inlineStr">
        <is>
          <t>unknown</t>
        </is>
      </c>
      <c r="CV116" t="inlineStr">
        <is>
          <t>BR1</t>
        </is>
      </c>
      <c r="CW116" t="inlineStr">
        <is>
          <t>BR1:27</t>
        </is>
      </c>
      <c r="CX116" t="inlineStr">
        <is>
          <t>Craft jerky and meat sticks; site has an 18+ age gate. Also runs a wholesale/delivery program for luxury operators (rtzn-wholesale page). why_now is Shopify published_at.</t>
        </is>
      </c>
      <c r="CY116" t="inlineStr">
        <is>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t>
        </is>
      </c>
      <c r="DA116" t="inlineStr">
        <is>
          <t>stage 1 only</t>
        </is>
      </c>
      <c r="DY116">
        <f>IF(ISNUMBER(MATCH(U116,{"queued","contacted","replied","call_booked","call_done","yes_in_principle","materials_sent"},0)),"Y","N")</f>
        <v/>
      </c>
      <c r="DZ116">
        <f>IF(COUNTIFS($AN$2:$AN$1000,AN116,$DY$2:$DY$1000,"Y")+COUNTIFS($AN$2:$AN$1000,AN116,$T$2:$T$1000,"Y")&gt;0,"Y","N")</f>
        <v/>
      </c>
      <c r="EA116">
        <f>IF(AND(U116="new",T116="N",AR116="Y",AQ116="",DZ116="N"),"Y","N")</f>
        <v/>
      </c>
      <c r="EB116">
        <f>IF(EA116&lt;&gt;"Y","N",IF(COUNTIFS($AN$2:$AN$1000,AN116,$EA$2:$EA$1000,"Y",$J$2:$J$1000,"&gt;"&amp;J116)+COUNTIFS($AN$2:$AN$1000,AN116,$EA$2:$EA$1000,"Y",$J$2:$J$1000,J116,$ED$2:$ED$1000,"&lt;"&amp;ED116)=0,"Y","N"))</f>
        <v/>
      </c>
      <c r="EC116">
        <f>IF(Y116="","N",IF(Y116&lt;=10,"Y","N"))</f>
        <v/>
      </c>
      <c r="ED116">
        <f>ROW()-1</f>
        <v/>
      </c>
    </row>
    <row r="117">
      <c r="A117" t="inlineStr">
        <is>
          <t>AB-187</t>
        </is>
      </c>
      <c r="B117" t="inlineStr">
        <is>
          <t>Tranquila Coffee Company</t>
        </is>
      </c>
      <c r="H117" t="inlineStr">
        <is>
          <t>none</t>
        </is>
      </c>
      <c r="J117">
        <f>IF(AU117="pass",CM117+CN117+CO117+CP117+CQ117+CR117+CS117+CT117,0)</f>
        <v/>
      </c>
      <c r="K117" t="inlineStr">
        <is>
          <t>New York City brand, no graded store within ten blocks, online store only, a new store listing 211 days ago, revenue unknown, contact seen only in a snippet; founder review: other.</t>
        </is>
      </c>
      <c r="M117" t="inlineStr">
        <is>
          <t>none found within ten blocks</t>
        </is>
      </c>
      <c r="N117" t="inlineStr">
        <is>
          <t>unverified</t>
        </is>
      </c>
      <c r="O117" t="inlineStr">
        <is>
          <t>Launched Oat Milk Latte and Classic Latte on its store</t>
        </is>
      </c>
      <c r="P117" t="inlineStr">
        <is>
          <t>https://tranquilacoffee.com/products.json</t>
        </is>
      </c>
      <c r="Q117" t="inlineStr">
        <is>
          <t>2026-03-27</t>
        </is>
      </c>
      <c r="R117" t="inlineStr">
        <is>
          <t>N</t>
        </is>
      </c>
      <c r="S117" t="inlineStr">
        <is>
          <t>unknown</t>
        </is>
      </c>
      <c r="T117" t="inlineStr">
        <is>
          <t>N</t>
        </is>
      </c>
      <c r="U117" t="inlineStr">
        <is>
          <t>new</t>
        </is>
      </c>
      <c r="V117" t="inlineStr">
        <is>
          <t>https://tranquilacoffee.com</t>
        </is>
      </c>
      <c r="W117" t="inlineStr">
        <is>
          <t>2026-10-23</t>
        </is>
      </c>
      <c r="X117" t="inlineStr">
        <is>
          <t>brand</t>
        </is>
      </c>
      <c r="Y117">
        <f>IF(EB117&lt;&gt;"Y","",COUNTIFS($EB$2:$EB$1000,"Y",$J$2:$J$1000,"&gt;"&amp;J117)+COUNTIFS($EB$2:$EB$1000,"Y",$J$2:$J$1000,J117,$ED$2:$ED$1000,"&lt;"&amp;ED117)+1)</f>
        <v/>
      </c>
      <c r="Z117" t="n">
        <v>116</v>
      </c>
      <c r="AA117" t="inlineStr">
        <is>
          <t>N</t>
        </is>
      </c>
      <c r="AB117" t="inlineStr">
        <is>
          <t>no person named on an opened page: not ready; founder review (other): read founder_review_reason first</t>
        </is>
      </c>
      <c r="AC117" t="inlineStr">
        <is>
          <t>founder</t>
        </is>
      </c>
      <c r="AD117" t="inlineStr">
        <is>
          <t>unverified</t>
        </is>
      </c>
      <c r="AE117" t="inlineStr">
        <is>
          <t>unknown</t>
        </is>
      </c>
      <c r="AG117" t="inlineStr">
        <is>
          <t>2026-10-23</t>
        </is>
      </c>
      <c r="AH117" t="inlineStr">
        <is>
          <t>Tranquila canned decaf Oat Milk Latte / Classic Latte</t>
        </is>
      </c>
      <c r="AI117" t="inlineStr">
        <is>
          <t>coffee-rtd</t>
        </is>
      </c>
      <c r="AJ117" t="inlineStr">
        <is>
          <t>New York</t>
        </is>
      </c>
      <c r="AK117" t="inlineStr">
        <is>
          <t>https://tranquilacoffee.com</t>
        </is>
      </c>
      <c r="AL117" t="inlineStr">
        <is>
          <t>Y</t>
        </is>
      </c>
      <c r="AM117" t="inlineStr">
        <is>
          <t>Very early brand (two SKUs), no founder, HQ or current retailer found; 60-day shelf life not stated</t>
        </is>
      </c>
      <c r="AN117" t="inlineStr">
        <is>
          <t>AB-187</t>
        </is>
      </c>
      <c r="AO117" t="inlineStr">
        <is>
          <t>N</t>
        </is>
      </c>
      <c r="AR117">
        <f>IF(AND(AU117="pass",AO117&lt;&gt;"Y",C117&lt;&gt;""),"Y","N")</f>
        <v/>
      </c>
      <c r="AS117">
        <f>_xlfn.TEXTJOIN("; ",TRUE,IF(AU117&lt;&gt;"pass","gated out",""),IF(AO117="Y","on hold: "&amp;AP117,""),IF(C117="","no contact named on an opened page",""))</f>
        <v/>
      </c>
      <c r="AU117" t="inlineStr">
        <is>
          <t>pass</t>
        </is>
      </c>
      <c r="AW117" t="inlineStr">
        <is>
          <t>passes all hard gates</t>
        </is>
      </c>
      <c r="AX117" t="inlineStr">
        <is>
          <t>other</t>
        </is>
      </c>
      <c r="AY117" t="inlineStr">
        <is>
          <t>https://tranquilacoffee.com</t>
        </is>
      </c>
      <c r="AZ117" t="inlineStr">
        <is>
          <t>NY</t>
        </is>
      </c>
      <c r="BA117" t="inlineStr">
        <is>
          <t>nyc</t>
        </is>
      </c>
      <c r="BB117" t="inlineStr">
        <is>
          <t>unknown</t>
        </is>
      </c>
      <c r="BD117" t="inlineStr">
        <is>
          <t>unknown</t>
        </is>
      </c>
      <c r="BE117" t="inlineStr">
        <is>
          <t>No storage statement found</t>
        </is>
      </c>
      <c r="BF117" t="inlineStr">
        <is>
          <t>Y</t>
        </is>
      </c>
      <c r="BG117" t="inlineStr">
        <is>
          <t>Y</t>
        </is>
      </c>
      <c r="BH117" t="inlineStr">
        <is>
          <t>unknown</t>
        </is>
      </c>
      <c r="BJ117" t="inlineStr">
        <is>
          <t>No public sales figure found</t>
        </is>
      </c>
      <c r="BK117" t="inlineStr">
        <is>
          <t>N</t>
        </is>
      </c>
      <c r="BL117" t="inlineStr">
        <is>
          <t>N</t>
        </is>
      </c>
      <c r="BO117" t="inlineStr">
        <is>
          <t>N</t>
        </is>
      </c>
      <c r="BP117" t="n">
        <v>0</v>
      </c>
      <c r="BS117" t="inlineStr">
        <is>
          <t>Pop Up Grocer (past brand, directory)</t>
        </is>
      </c>
      <c r="BT117" t="inlineStr">
        <is>
          <t>https://popupgrocer.com/products/tranquila-coffee-company</t>
        </is>
      </c>
      <c r="BU117" t="inlineStr">
        <is>
          <t>listing</t>
        </is>
      </c>
      <c r="BV117" t="n">
        <v>211</v>
      </c>
      <c r="BX117" t="inlineStr">
        <is>
          <t>Eric Gonzalez</t>
        </is>
      </c>
      <c r="BY117" t="inlineStr">
        <is>
          <t>unverified, founder to confirm</t>
        </is>
      </c>
      <c r="CF117" t="inlineStr">
        <is>
          <t>none</t>
        </is>
      </c>
      <c r="CK117" t="inlineStr">
        <is>
          <t>none</t>
        </is>
      </c>
      <c r="CL117" t="n">
        <v>43</v>
      </c>
      <c r="CM117" t="n">
        <v>6</v>
      </c>
      <c r="CN117" t="n">
        <v>20</v>
      </c>
      <c r="CO117" t="n">
        <v>4</v>
      </c>
      <c r="CP117" t="n">
        <v>5</v>
      </c>
      <c r="CQ117" t="n">
        <v>7</v>
      </c>
      <c r="CR117" t="n">
        <v>3</v>
      </c>
      <c r="CS117">
        <f>IF(R117="Y",10,0)</f>
        <v/>
      </c>
      <c r="CT117" t="n">
        <v>-2</v>
      </c>
      <c r="CU117" t="inlineStr">
        <is>
          <t>https://instagram.com/tranquilacoffee</t>
        </is>
      </c>
      <c r="CV117" t="inlineStr">
        <is>
          <t>BR3</t>
        </is>
      </c>
      <c r="CW117" t="inlineStr">
        <is>
          <t>BR3:61</t>
        </is>
      </c>
      <c r="CX117" t="inlineStr">
        <is>
          <t>Decaf RTD is an office-friendly angle (afternoon). Date is Shopify publish date.</t>
        </is>
      </c>
      <c r="CY117" t="inlineStr">
        <is>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is>
      </c>
      <c r="DA117" t="inlineStr">
        <is>
          <t>stage 1 only</t>
        </is>
      </c>
      <c r="DY117">
        <f>IF(ISNUMBER(MATCH(U117,{"queued","contacted","replied","call_booked","call_done","yes_in_principle","materials_sent"},0)),"Y","N")</f>
        <v/>
      </c>
      <c r="DZ117">
        <f>IF(COUNTIFS($AN$2:$AN$1000,AN117,$DY$2:$DY$1000,"Y")+COUNTIFS($AN$2:$AN$1000,AN117,$T$2:$T$1000,"Y")&gt;0,"Y","N")</f>
        <v/>
      </c>
      <c r="EA117">
        <f>IF(AND(U117="new",T117="N",AR117="Y",AQ117="",DZ117="N"),"Y","N")</f>
        <v/>
      </c>
      <c r="EB117">
        <f>IF(EA117&lt;&gt;"Y","N",IF(COUNTIFS($AN$2:$AN$1000,AN117,$EA$2:$EA$1000,"Y",$J$2:$J$1000,"&gt;"&amp;J117)+COUNTIFS($AN$2:$AN$1000,AN117,$EA$2:$EA$1000,"Y",$J$2:$J$1000,J117,$ED$2:$ED$1000,"&lt;"&amp;ED117)=0,"Y","N"))</f>
        <v/>
      </c>
      <c r="EC117">
        <f>IF(Y117="","N",IF(Y117&lt;=10,"Y","N"))</f>
        <v/>
      </c>
      <c r="ED117">
        <f>ROW()-1</f>
        <v/>
      </c>
    </row>
    <row r="118">
      <c r="A118" t="inlineStr">
        <is>
          <t>AB-234</t>
        </is>
      </c>
      <c r="B118" t="inlineStr">
        <is>
          <t>Kim's Magic Pop</t>
        </is>
      </c>
      <c r="H118" t="inlineStr">
        <is>
          <t>none</t>
        </is>
      </c>
      <c r="J118">
        <f>IF(AU118="pass",CM118+CN118+CO118+CP118+CQ118+CR118+CS118+CT118,0)</f>
        <v/>
      </c>
      <c r="K118" t="inlineStr">
        <is>
          <t>Northeast brand, store page shows Whole Foods Market NoMad inside the cluster, a new store listing 255 days ago, revenue unknown, no contact named; founder review: not-emerging.</t>
        </is>
      </c>
      <c r="M118" t="inlineStr">
        <is>
          <t>Whole Foods Market NoMad, 63 Madison Ave</t>
        </is>
      </c>
      <c r="N118" t="inlineStr">
        <is>
          <t>store_selector</t>
        </is>
      </c>
      <c r="O118" t="inlineStr">
        <is>
          <t>Launched Kim's Protein Mini Pop (Dark Chocolate and Salted Caramel drizzled popped cakes, 8 g plant protein, 4 oz bags) on its store</t>
        </is>
      </c>
      <c r="P118" t="inlineStr">
        <is>
          <t>https://kimsmagicpop.com/products.json?limit=250</t>
        </is>
      </c>
      <c r="Q118" t="inlineStr">
        <is>
          <t>2026-02-11</t>
        </is>
      </c>
      <c r="R118" t="inlineStr">
        <is>
          <t>N</t>
        </is>
      </c>
      <c r="S118" t="inlineStr">
        <is>
          <t>unknown</t>
        </is>
      </c>
      <c r="T118" t="inlineStr">
        <is>
          <t>N</t>
        </is>
      </c>
      <c r="U118" t="inlineStr">
        <is>
          <t>new</t>
        </is>
      </c>
      <c r="V118" t="inlineStr">
        <is>
          <t>https://kimsmagicpop.com/pages/about-us</t>
        </is>
      </c>
      <c r="W118" t="inlineStr">
        <is>
          <t>2026-10-23</t>
        </is>
      </c>
      <c r="X118" t="inlineStr">
        <is>
          <t>brand</t>
        </is>
      </c>
      <c r="Y118">
        <f>IF(EB118&lt;&gt;"Y","",COUNTIFS($EB$2:$EB$1000,"Y",$J$2:$J$1000,"&gt;"&amp;J118)+COUNTIFS($EB$2:$EB$1000,"Y",$J$2:$J$1000,J118,$ED$2:$ED$1000,"&lt;"&amp;ED118)+1)</f>
        <v/>
      </c>
      <c r="Z118" t="n">
        <v>117</v>
      </c>
      <c r="AA118" t="inlineStr">
        <is>
          <t>N</t>
        </is>
      </c>
      <c r="AB118" t="inlineStr">
        <is>
          <t>no person named on an opened page: not ready; before using the retailer line, check Whole Foods Market NoMad still lists it: https://www.wholefoodsmarket.com/search?text=Kim%27s%20Magic%20Pop with your store set to NoMad (catalogs change daily); founder review (not-emerging): read founder_review_reason first</t>
        </is>
      </c>
      <c r="AD118" t="inlineStr">
        <is>
          <t>none</t>
        </is>
      </c>
      <c r="AH118" t="inlineStr">
        <is>
          <t>Popped Lentil Snack 2.9 oz; Mini Pop and Protein Mini Pop (air-popped grain sheets)</t>
        </is>
      </c>
      <c r="AI118" t="inlineStr">
        <is>
          <t>crackers-pretzels</t>
        </is>
      </c>
      <c r="AJ118" t="inlineStr">
        <is>
          <t>Palisades Park, NJ (privacy policy: DELICE GLOBAL, Inc., 150 Roosevelt Place, Palisades Park, NJ 07650)</t>
        </is>
      </c>
      <c r="AK118" t="inlineStr">
        <is>
          <t>https://kimsmagicpop.com</t>
        </is>
      </c>
      <c r="AL118" t="inlineStr">
        <is>
          <t>Y</t>
        </is>
      </c>
      <c r="AM118" t="inlineStr">
        <is>
          <t>Founded 1998 with large-scale retail and private-label business; may be an established manufacturer rather than an emerging brand</t>
        </is>
      </c>
      <c r="AN118" t="inlineStr">
        <is>
          <t>AB-234</t>
        </is>
      </c>
      <c r="AO118" t="inlineStr">
        <is>
          <t>N</t>
        </is>
      </c>
      <c r="AR118">
        <f>IF(AND(AU118="pass",AO118&lt;&gt;"Y",C118&lt;&gt;""),"Y","N")</f>
        <v/>
      </c>
      <c r="AS118">
        <f>_xlfn.TEXTJOIN("; ",TRUE,IF(AU118&lt;&gt;"pass","gated out",""),IF(AO118="Y","on hold: "&amp;AP118,""),IF(C118="","no contact named on an opened page",""))</f>
        <v/>
      </c>
      <c r="AU118" t="inlineStr">
        <is>
          <t>pass</t>
        </is>
      </c>
      <c r="AW118" t="inlineStr">
        <is>
          <t>passes all hard gates</t>
        </is>
      </c>
      <c r="AX118" t="inlineStr">
        <is>
          <t>not-emerging</t>
        </is>
      </c>
      <c r="AY118" t="inlineStr">
        <is>
          <t>https://kimsmagicpop.com</t>
        </is>
      </c>
      <c r="AZ118" t="inlineStr">
        <is>
          <t>NJ</t>
        </is>
      </c>
      <c r="BA118" t="inlineStr">
        <is>
          <t>northeast</t>
        </is>
      </c>
      <c r="BB118" t="inlineStr">
        <is>
          <t>unknown</t>
        </is>
      </c>
      <c r="BD118" t="inlineStr">
        <is>
          <t>Y</t>
        </is>
      </c>
      <c r="BE118" t="inlineStr">
        <is>
          <t>Air-popped dry grain snack sold ambient; no shelf-life figure published, founder to confirm</t>
        </is>
      </c>
      <c r="BF118" t="inlineStr">
        <is>
          <t>Y</t>
        </is>
      </c>
      <c r="BG118" t="inlineStr">
        <is>
          <t>Y</t>
        </is>
      </c>
      <c r="BH118" t="inlineStr">
        <is>
          <t>unknown</t>
        </is>
      </c>
      <c r="BJ118" t="inlineStr">
        <is>
          <t>unknown</t>
        </is>
      </c>
      <c r="BK118" t="inlineStr">
        <is>
          <t>N</t>
        </is>
      </c>
      <c r="BL118" t="inlineStr">
        <is>
          <t>N</t>
        </is>
      </c>
      <c r="BN118" t="n">
        <v>0</v>
      </c>
      <c r="BO118" t="inlineStr">
        <is>
          <t>Y</t>
        </is>
      </c>
      <c r="BP118" t="n">
        <v>3</v>
      </c>
      <c r="BQ118" t="inlineStr">
        <is>
          <t>Whole Foods Market NoMad, 63 Madison Ave (store_selector, inside);Whole Foods Market Union Square, 4 Union Sq S (store_selector, inside);Whole Foods Market Chelsea, 250 7th Ave (store_selector, 3.0 blocks out)</t>
        </is>
      </c>
      <c r="BR118" t="inlineStr">
        <is>
          <t>Whole Foods Market Manhattan West (store_selector, 13.8 blocks out)</t>
        </is>
      </c>
      <c r="BS118" t="inlineStr">
        <is>
          <t>Whole Foods Market (WFM catalog); 'large-scale retail distribution' and private label (about page)</t>
        </is>
      </c>
      <c r="BT118" t="inlineStr">
        <is>
          <t>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is>
      </c>
      <c r="BU118" t="inlineStr">
        <is>
          <t>listing</t>
        </is>
      </c>
      <c r="BV118" t="n">
        <v>255</v>
      </c>
      <c r="CF118" t="inlineStr">
        <is>
          <t>none</t>
        </is>
      </c>
      <c r="CK118" t="inlineStr">
        <is>
          <t>none</t>
        </is>
      </c>
      <c r="CL118" t="n">
        <v>42</v>
      </c>
      <c r="CM118" t="n">
        <v>25</v>
      </c>
      <c r="CN118" t="n">
        <v>8</v>
      </c>
      <c r="CO118" t="n">
        <v>4</v>
      </c>
      <c r="CP118" t="n">
        <v>5</v>
      </c>
      <c r="CQ118" t="n">
        <v>10</v>
      </c>
      <c r="CR118" t="n">
        <v>0</v>
      </c>
      <c r="CS118">
        <f>IF(R118="Y",10,0)</f>
        <v/>
      </c>
      <c r="CT118" t="n">
        <v>-10</v>
      </c>
      <c r="CV118" t="inlineStr">
        <is>
          <t>BR4</t>
        </is>
      </c>
      <c r="CW118" t="inlineStr">
        <is>
          <t>BR4:29</t>
        </is>
      </c>
      <c r="CX118" t="inlineStr">
        <is>
          <t>Homepage banner: Halloween code BOO15 (shows the brand issues discount codes). WFM flags Local at Union Square and NoMad (2026-10-23).</t>
        </is>
      </c>
      <c r="CY118" t="inlineStr">
        <is>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t>
        </is>
      </c>
      <c r="DA118" t="inlineStr">
        <is>
          <t>stage 1 only</t>
        </is>
      </c>
      <c r="DY118">
        <f>IF(ISNUMBER(MATCH(U118,{"queued","contacted","replied","call_booked","call_done","yes_in_principle","materials_sent"},0)),"Y","N")</f>
        <v/>
      </c>
      <c r="DZ118">
        <f>IF(COUNTIFS($AN$2:$AN$1000,AN118,$DY$2:$DY$1000,"Y")+COUNTIFS($AN$2:$AN$1000,AN118,$T$2:$T$1000,"Y")&gt;0,"Y","N")</f>
        <v/>
      </c>
      <c r="EA118">
        <f>IF(AND(U118="new",T118="N",AR118="Y",AQ118="",DZ118="N"),"Y","N")</f>
        <v/>
      </c>
      <c r="EB118">
        <f>IF(EA118&lt;&gt;"Y","N",IF(COUNTIFS($AN$2:$AN$1000,AN118,$EA$2:$EA$1000,"Y",$J$2:$J$1000,"&gt;"&amp;J118)+COUNTIFS($AN$2:$AN$1000,AN118,$EA$2:$EA$1000,"Y",$J$2:$J$1000,J118,$ED$2:$ED$1000,"&lt;"&amp;ED118)=0,"Y","N"))</f>
        <v/>
      </c>
      <c r="EC118">
        <f>IF(Y118="","N",IF(Y118&lt;=10,"Y","N"))</f>
        <v/>
      </c>
      <c r="ED118">
        <f>ROW()-1</f>
        <v/>
      </c>
    </row>
    <row r="119">
      <c r="A119" t="inlineStr">
        <is>
          <t>AB-246</t>
        </is>
      </c>
      <c r="B119" t="inlineStr">
        <is>
          <t>Chris's Cookies</t>
        </is>
      </c>
      <c r="H119" t="inlineStr">
        <is>
          <t>none</t>
        </is>
      </c>
      <c r="J119">
        <f>IF(AU119="pass",CM119+CN119+CO119+CP119+CQ119+CR119+CS119+CT119,0)</f>
        <v/>
      </c>
      <c r="K119" t="inlineStr">
        <is>
          <t>Northeast brand, store page shows Whole Foods Market NoMad inside the cluster, no dated why-now in the last 12 months, revenue unknown, contact seen only in a snippet; founder review: other.</t>
        </is>
      </c>
      <c r="M119" t="inlineStr">
        <is>
          <t>Whole Foods Market NoMad, 63 Madison Ave</t>
        </is>
      </c>
      <c r="N119" t="inlineStr">
        <is>
          <t>store_selector</t>
        </is>
      </c>
      <c r="R119" t="inlineStr">
        <is>
          <t>N</t>
        </is>
      </c>
      <c r="S119" t="inlineStr">
        <is>
          <t>unknown</t>
        </is>
      </c>
      <c r="T119" t="inlineStr">
        <is>
          <t>N</t>
        </is>
      </c>
      <c r="U119" t="inlineStr">
        <is>
          <t>new</t>
        </is>
      </c>
      <c r="V119" t="inlineStr">
        <is>
          <t>https://www.chriscookies.com/</t>
        </is>
      </c>
      <c r="W119" t="inlineStr">
        <is>
          <t>2026-10-23</t>
        </is>
      </c>
      <c r="X119" t="inlineStr">
        <is>
          <t>brand</t>
        </is>
      </c>
      <c r="Y119">
        <f>IF(EB119&lt;&gt;"Y","",COUNTIFS($EB$2:$EB$1000,"Y",$J$2:$J$1000,"&gt;"&amp;J119)+COUNTIFS($EB$2:$EB$1000,"Y",$J$2:$J$1000,J119,$ED$2:$ED$1000,"&lt;"&amp;ED119)+1)</f>
        <v/>
      </c>
      <c r="Z119" t="n">
        <v>118</v>
      </c>
      <c r="AA119" t="inlineStr">
        <is>
          <t>N</t>
        </is>
      </c>
      <c r="AB119" t="inlineStr">
        <is>
          <t>no person named on an opened page: not ready; before using the retailer line, check Whole Foods Market NoMad still lists it: https://www.wholefoodsmarket.com/search?text=Chris%27s%20Cookies with your store set to NoMad (catalogs change daily); founder review (other): read founder_review_reason first</t>
        </is>
      </c>
      <c r="AC119" t="inlineStr">
        <is>
          <t>founder</t>
        </is>
      </c>
      <c r="AD119" t="inlineStr">
        <is>
          <t>unverified</t>
        </is>
      </c>
      <c r="AE119" t="inlineStr">
        <is>
          <t>unknown</t>
        </is>
      </c>
      <c r="AG119" t="inlineStr">
        <is>
          <t>2026-10-23</t>
        </is>
      </c>
      <c r="AH119" t="inlineStr">
        <is>
          <t>Almond Horn Cookies 6 oz; Dark Chocolate Dipped Almond Horn</t>
        </is>
      </c>
      <c r="AI119" t="inlineStr">
        <is>
          <t>cookies-baked</t>
        </is>
      </c>
      <c r="AJ119" t="inlineStr">
        <is>
          <t>Teterboro</t>
        </is>
      </c>
      <c r="AL119" t="inlineStr">
        <is>
          <t>Y</t>
        </is>
      </c>
      <c r="AM119" t="inlineStr">
        <is>
          <t>Bakery-style cookies: shelf life and individual wrapping unconfirmed; 60-day shelf life not stated; no online store: buy path is the store only</t>
        </is>
      </c>
      <c r="AN119" t="inlineStr">
        <is>
          <t>AB-246</t>
        </is>
      </c>
      <c r="AO119" t="inlineStr">
        <is>
          <t>N</t>
        </is>
      </c>
      <c r="AR119">
        <f>IF(AND(AU119="pass",AO119&lt;&gt;"Y",C119&lt;&gt;""),"Y","N")</f>
        <v/>
      </c>
      <c r="AS119">
        <f>_xlfn.TEXTJOIN("; ",TRUE,IF(AU119&lt;&gt;"pass","gated out",""),IF(AO119="Y","on hold: "&amp;AP119,""),IF(C119="","no contact named on an opened page",""))</f>
        <v/>
      </c>
      <c r="AU119" t="inlineStr">
        <is>
          <t>pass</t>
        </is>
      </c>
      <c r="AW119" t="inlineStr">
        <is>
          <t>passes all hard gates</t>
        </is>
      </c>
      <c r="AX119" t="inlineStr">
        <is>
          <t>other</t>
        </is>
      </c>
      <c r="AY119" t="inlineStr">
        <is>
          <t>https://www.chriscookies.com</t>
        </is>
      </c>
      <c r="AZ119" t="inlineStr">
        <is>
          <t>NJ</t>
        </is>
      </c>
      <c r="BA119" t="inlineStr">
        <is>
          <t>northeast</t>
        </is>
      </c>
      <c r="BB119" t="inlineStr">
        <is>
          <t>unknown</t>
        </is>
      </c>
      <c r="BD119" t="inlineStr">
        <is>
          <t>unknown</t>
        </is>
      </c>
      <c r="BE119" t="inlineStr">
        <is>
          <t>Homepage gives no shelf life or storage; founder to confirm</t>
        </is>
      </c>
      <c r="BF119" t="inlineStr">
        <is>
          <t>unknown</t>
        </is>
      </c>
      <c r="BG119" t="inlineStr">
        <is>
          <t>unknown</t>
        </is>
      </c>
      <c r="BH119" t="inlineStr">
        <is>
          <t>unknown</t>
        </is>
      </c>
      <c r="BJ119" t="inlineStr">
        <is>
          <t>unknown</t>
        </is>
      </c>
      <c r="BK119" t="inlineStr">
        <is>
          <t>N</t>
        </is>
      </c>
      <c r="BL119" t="inlineStr">
        <is>
          <t>N</t>
        </is>
      </c>
      <c r="BN119" t="n">
        <v>0</v>
      </c>
      <c r="BO119" t="inlineStr">
        <is>
          <t>Y</t>
        </is>
      </c>
      <c r="BP119" t="n">
        <v>1</v>
      </c>
      <c r="BQ119" t="inlineStr">
        <is>
          <t>Whole Foods Market NoMad, 63 Madison Ave (store_selector, inside)</t>
        </is>
      </c>
      <c r="BR119" t="inlineStr">
        <is>
          <t>Whole Foods Market Manhattan West (store_selector, 13.8 blocks out)</t>
        </is>
      </c>
      <c r="BS119" t="inlineStr">
        <is>
          <t>Whole Foods Market (WFM catalog, flagged Local)</t>
        </is>
      </c>
      <c r="BT119" t="inlineStr">
        <is>
          <t>https://www.wholefoodsmarket.com/api/search?text=chris%27s%20cookies&amp;store=10773&amp;limit=60&amp;offset=0; https://www.wholefoodsmarket.com/api/search?text=chris%27s%20cookies&amp;store=10713&amp;limit=60&amp;offset=0</t>
        </is>
      </c>
      <c r="BU119" t="inlineStr">
        <is>
          <t>none</t>
        </is>
      </c>
      <c r="BX119" t="inlineStr">
        <is>
          <t>Christian Gargiulo</t>
        </is>
      </c>
      <c r="BY119" t="inlineStr">
        <is>
          <t>unverified, founder to confirm</t>
        </is>
      </c>
      <c r="CF119" t="inlineStr">
        <is>
          <t>none</t>
        </is>
      </c>
      <c r="CK119" t="inlineStr">
        <is>
          <t>none</t>
        </is>
      </c>
      <c r="CL119" t="n">
        <v>42</v>
      </c>
      <c r="CM119" t="n">
        <v>25</v>
      </c>
      <c r="CN119" t="n">
        <v>8</v>
      </c>
      <c r="CO119" t="n">
        <v>0</v>
      </c>
      <c r="CP119" t="n">
        <v>5</v>
      </c>
      <c r="CQ119" t="n">
        <v>3</v>
      </c>
      <c r="CR119" t="n">
        <v>3</v>
      </c>
      <c r="CS119">
        <f>IF(R119="Y",10,0)</f>
        <v/>
      </c>
      <c r="CT119" t="n">
        <v>-2</v>
      </c>
      <c r="CV119" t="inlineStr">
        <is>
          <t>BR4</t>
        </is>
      </c>
      <c r="CW119" t="inlineStr">
        <is>
          <t>BR4:41</t>
        </is>
      </c>
      <c r="CX119" t="inlineStr">
        <is>
          <t>Homepage address: 100 Hollister Road, Teterboro NJ 07608; 'indulgent all natural cookies, brownies, bars'. WFM NoMad listing from sweep 2026-10-23 (query 'cookies').</t>
        </is>
      </c>
      <c r="CY119" t="inlineStr">
        <is>
          <t xml:space="preserve">founder_name &lt;- https://www.bakingbusiness.com/articles/31276-savelli-named-interim-c-e-o-of-chris-s-cookies (2026-10-24, snippet-unverified); founder_title &lt;- https://www.bakingbusiness.com/articles/31276-savelli-named-interim-c-e-o-of-chris-s-cookies (2026-10-24, snippet-unverified); </t>
        </is>
      </c>
      <c r="DA119" t="inlineStr">
        <is>
          <t>stage 1 only</t>
        </is>
      </c>
      <c r="DY119">
        <f>IF(ISNUMBER(MATCH(U119,{"queued","contacted","replied","call_booked","call_done","yes_in_principle","materials_sent"},0)),"Y","N")</f>
        <v/>
      </c>
      <c r="DZ119">
        <f>IF(COUNTIFS($AN$2:$AN$1000,AN119,$DY$2:$DY$1000,"Y")+COUNTIFS($AN$2:$AN$1000,AN119,$T$2:$T$1000,"Y")&gt;0,"Y","N")</f>
        <v/>
      </c>
      <c r="EA119">
        <f>IF(AND(U119="new",T119="N",AR119="Y",AQ119="",DZ119="N"),"Y","N")</f>
        <v/>
      </c>
      <c r="EB119">
        <f>IF(EA119&lt;&gt;"Y","N",IF(COUNTIFS($AN$2:$AN$1000,AN119,$EA$2:$EA$1000,"Y",$J$2:$J$1000,"&gt;"&amp;J119)+COUNTIFS($AN$2:$AN$1000,AN119,$EA$2:$EA$1000,"Y",$J$2:$J$1000,J119,$ED$2:$ED$1000,"&lt;"&amp;ED119)=0,"Y","N"))</f>
        <v/>
      </c>
      <c r="EC119">
        <f>IF(Y119="","N",IF(Y119&lt;=10,"Y","N"))</f>
        <v/>
      </c>
      <c r="ED119">
        <f>ROW()-1</f>
        <v/>
      </c>
    </row>
    <row r="120">
      <c r="A120" t="inlineStr">
        <is>
          <t>AB-057</t>
        </is>
      </c>
      <c r="B120" t="inlineStr">
        <is>
          <t>Every Body Eat</t>
        </is>
      </c>
      <c r="C120" t="inlineStr">
        <is>
          <t>Trish</t>
        </is>
      </c>
      <c r="D120" t="inlineStr">
        <is>
          <t>Thomas</t>
        </is>
      </c>
      <c r="E120" t="inlineStr">
        <is>
          <t>Co-founder</t>
        </is>
      </c>
      <c r="H120" t="inlineStr">
        <is>
          <t>none</t>
        </is>
      </c>
      <c r="I120" t="inlineStr">
        <is>
          <t>linkedin</t>
        </is>
      </c>
      <c r="J120">
        <f>IF(AU120="pass",CM120+CN120+CO120+CP120+CQ120+CR120+CS120+CT120,0)</f>
        <v/>
      </c>
      <c r="K120" t="inlineStr">
        <is>
          <t>Brand based outside the Northeast, store page shows Whole Foods Market NoMad inside the cluster, no dated why-now in the last 12 months, revenue unknown, contact named; founder review: other.</t>
        </is>
      </c>
      <c r="M120" t="inlineStr">
        <is>
          <t>Whole Foods Market NoMad, 63 Madison Ave</t>
        </is>
      </c>
      <c r="N120" t="inlineStr">
        <is>
          <t>store_selector</t>
        </is>
      </c>
      <c r="R120" t="inlineStr">
        <is>
          <t>N</t>
        </is>
      </c>
      <c r="S120" t="inlineStr">
        <is>
          <t>unknown</t>
        </is>
      </c>
      <c r="T120" t="inlineStr">
        <is>
          <t>N</t>
        </is>
      </c>
      <c r="U120" t="inlineStr">
        <is>
          <t>new</t>
        </is>
      </c>
      <c r="V120" t="inlineStr">
        <is>
          <t>https://www.wholefoodsmarket.com/search?text=every%20body%20eat</t>
        </is>
      </c>
      <c r="W120" t="inlineStr">
        <is>
          <t>2026-10-23</t>
        </is>
      </c>
      <c r="X120" t="inlineStr">
        <is>
          <t>brand</t>
        </is>
      </c>
      <c r="Y120">
        <f>IF(EB120&lt;&gt;"Y","",COUNTIFS($EB$2:$EB$1000,"Y",$J$2:$J$1000,"&gt;"&amp;J120)+COUNTIFS($EB$2:$EB$1000,"Y",$J$2:$J$1000,J120,$ED$2:$ED$1000,"&lt;"&amp;ED120)+1)</f>
        <v/>
      </c>
      <c r="Z120" t="n">
        <v>119</v>
      </c>
      <c r="AA120" t="inlineStr">
        <is>
          <t>N</t>
        </is>
      </c>
      <c r="AB120" t="inlineStr">
        <is>
          <t>find Trish Thomas at Every Body Eat on LinkedIn and paste the profile URL; before using the retailer line, check Whole Foods Market NoMad still lists it: https://www.wholefoodsmarket.com/search?text=Every%20Body%20Eat with your store set to NoMad (catalogs change daily); founder review (other): read founder_review_reason first</t>
        </is>
      </c>
      <c r="AC120" t="inlineStr">
        <is>
          <t>founder</t>
        </is>
      </c>
      <c r="AD120" t="inlineStr">
        <is>
          <t>verified-page</t>
        </is>
      </c>
      <c r="AE120" t="inlineStr">
        <is>
          <t>employer's own site</t>
        </is>
      </c>
      <c r="AF120" t="inlineStr">
        <is>
          <t>https://everybodyeating.com/</t>
        </is>
      </c>
      <c r="AG120" t="inlineStr">
        <is>
          <t>2026-10-23</t>
        </is>
      </c>
      <c r="AH120" t="inlineStr">
        <is>
          <t>Every Body Eat Snack Cracker Thins, Cheese-Less, 4 oz</t>
        </is>
      </c>
      <c r="AI120" t="inlineStr">
        <is>
          <t>crackers-pretzels</t>
        </is>
      </c>
      <c r="AJ120" t="inlineStr">
        <is>
          <t>Evanston</t>
        </is>
      </c>
      <c r="AL120" t="inlineStr">
        <is>
          <t>Y</t>
        </is>
      </c>
      <c r="AM120" t="inlineStr">
        <is>
          <t>Brand site unreachable; identity fields need a second pass; allergen-free positioning may suit shared pantries; no online store: buy path is the store only</t>
        </is>
      </c>
      <c r="AN120" t="inlineStr">
        <is>
          <t>AB-057</t>
        </is>
      </c>
      <c r="AO120" t="inlineStr">
        <is>
          <t>N</t>
        </is>
      </c>
      <c r="AR120">
        <f>IF(AND(AU120="pass",AO120&lt;&gt;"Y",C120&lt;&gt;""),"Y","N")</f>
        <v/>
      </c>
      <c r="AS120">
        <f>_xlfn.TEXTJOIN("; ",TRUE,IF(AU120&lt;&gt;"pass","gated out",""),IF(AO120="Y","on hold: "&amp;AP120,""),IF(C120="","no contact named on an opened page",""))</f>
        <v/>
      </c>
      <c r="AU120" t="inlineStr">
        <is>
          <t>pass</t>
        </is>
      </c>
      <c r="AW120" t="inlineStr">
        <is>
          <t>passes all hard gates</t>
        </is>
      </c>
      <c r="AX120" t="inlineStr">
        <is>
          <t>other</t>
        </is>
      </c>
      <c r="AY120" t="inlineStr">
        <is>
          <t>https://everybodyeating.com</t>
        </is>
      </c>
      <c r="AZ120" t="inlineStr">
        <is>
          <t>IL</t>
        </is>
      </c>
      <c r="BA120" t="inlineStr">
        <is>
          <t>elsewhere</t>
        </is>
      </c>
      <c r="BB120" t="inlineStr">
        <is>
          <t>unknown</t>
        </is>
      </c>
      <c r="BD120" t="inlineStr">
        <is>
          <t>Y</t>
        </is>
      </c>
      <c r="BE120" t="inlineStr">
        <is>
          <t>Boxed cracker thins, ambient</t>
        </is>
      </c>
      <c r="BF120" t="inlineStr">
        <is>
          <t>N</t>
        </is>
      </c>
      <c r="BG120" t="inlineStr">
        <is>
          <t>unknown</t>
        </is>
      </c>
      <c r="BH120" t="inlineStr">
        <is>
          <t>unknown</t>
        </is>
      </c>
      <c r="BJ120" t="inlineStr">
        <is>
          <t>unknown</t>
        </is>
      </c>
      <c r="BK120" t="inlineStr">
        <is>
          <t>N</t>
        </is>
      </c>
      <c r="BL120" t="inlineStr">
        <is>
          <t>N</t>
        </is>
      </c>
      <c r="BN120" t="n">
        <v>0</v>
      </c>
      <c r="BO120" t="inlineStr">
        <is>
          <t>Y</t>
        </is>
      </c>
      <c r="BP120" t="n">
        <v>2</v>
      </c>
      <c r="BQ120" t="inlineStr">
        <is>
          <t>Whole Foods Market NoMad, 63 Madison Ave (store_selector, inside);Whole Foods Market Union Square, 4 Union Sq S (store_selector, inside)</t>
        </is>
      </c>
      <c r="BS120" t="inlineStr">
        <is>
          <t>Whole Foods Market</t>
        </is>
      </c>
      <c r="BT120" t="inlineStr">
        <is>
          <t>https://www.wholefoodsmarket.com/search?text=every%20body%20eat (Union Square and NoMad contexts: Snack Cracker Thins IN_STOCK 2026-10-23)</t>
        </is>
      </c>
      <c r="BU120" t="inlineStr">
        <is>
          <t>none</t>
        </is>
      </c>
      <c r="BX120" t="inlineStr">
        <is>
          <t>Trish Thomas</t>
        </is>
      </c>
      <c r="CA120" t="inlineStr">
        <is>
          <t>Nichole Wilson</t>
        </is>
      </c>
      <c r="CB120" t="inlineStr">
        <is>
          <t>Nichole</t>
        </is>
      </c>
      <c r="CC120" t="inlineStr">
        <is>
          <t>Wilson</t>
        </is>
      </c>
      <c r="CD120" t="inlineStr">
        <is>
          <t>Co-founder</t>
        </is>
      </c>
      <c r="CE120" t="inlineStr">
        <is>
          <t>co-founder</t>
        </is>
      </c>
      <c r="CF120" t="inlineStr">
        <is>
          <t>verified-page</t>
        </is>
      </c>
      <c r="CK120" t="inlineStr">
        <is>
          <t>none</t>
        </is>
      </c>
      <c r="CL120" t="n">
        <v>42</v>
      </c>
      <c r="CM120" t="n">
        <v>25</v>
      </c>
      <c r="CN120" t="n">
        <v>3</v>
      </c>
      <c r="CO120" t="n">
        <v>0</v>
      </c>
      <c r="CP120" t="n">
        <v>5</v>
      </c>
      <c r="CQ120" t="n">
        <v>5</v>
      </c>
      <c r="CR120" t="n">
        <v>6</v>
      </c>
      <c r="CS120">
        <f>IF(R120="Y",10,0)</f>
        <v/>
      </c>
      <c r="CT120" t="n">
        <v>-2</v>
      </c>
      <c r="CU120" t="inlineStr">
        <is>
          <t>unknown</t>
        </is>
      </c>
      <c r="CV120" t="inlineStr">
        <is>
          <t>BR1</t>
        </is>
      </c>
      <c r="CW120" t="inlineStr">
        <is>
          <t>BR1:58</t>
        </is>
      </c>
      <c r="CX120" t="inlineStr">
        <is>
          <t>Also sells crunchy cookie bites (cookies slice).</t>
        </is>
      </c>
      <c r="CY120" t="inlineStr">
        <is>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t>
        </is>
      </c>
      <c r="CZ120" t="inlineStr">
        <is>
          <t>https://everybodyeating.com/</t>
        </is>
      </c>
      <c r="DA120" t="inlineStr">
        <is>
          <t>stage 1 only</t>
        </is>
      </c>
      <c r="DC120" t="inlineStr">
        <is>
          <t>employer's own site</t>
        </is>
      </c>
      <c r="DY120">
        <f>IF(ISNUMBER(MATCH(U120,{"queued","contacted","replied","call_booked","call_done","yes_in_principle","materials_sent"},0)),"Y","N")</f>
        <v/>
      </c>
      <c r="DZ120">
        <f>IF(COUNTIFS($AN$2:$AN$1000,AN120,$DY$2:$DY$1000,"Y")+COUNTIFS($AN$2:$AN$1000,AN120,$T$2:$T$1000,"Y")&gt;0,"Y","N")</f>
        <v/>
      </c>
      <c r="EA120">
        <f>IF(AND(U120="new",T120="N",AR120="Y",AQ120="",DZ120="N"),"Y","N")</f>
        <v/>
      </c>
      <c r="EB120">
        <f>IF(EA120&lt;&gt;"Y","N",IF(COUNTIFS($AN$2:$AN$1000,AN120,$EA$2:$EA$1000,"Y",$J$2:$J$1000,"&gt;"&amp;J120)+COUNTIFS($AN$2:$AN$1000,AN120,$EA$2:$EA$1000,"Y",$J$2:$J$1000,J120,$ED$2:$ED$1000,"&lt;"&amp;ED120)=0,"Y","N"))</f>
        <v/>
      </c>
      <c r="EC120">
        <f>IF(Y120="","N",IF(Y120&lt;=10,"Y","N"))</f>
        <v/>
      </c>
      <c r="ED120">
        <f>ROW()-1</f>
        <v/>
      </c>
    </row>
    <row r="121">
      <c r="A121" t="inlineStr">
        <is>
          <t>AB-059</t>
        </is>
      </c>
      <c r="B121" t="inlineStr">
        <is>
          <t>Louisville Vegan Jerky Co.</t>
        </is>
      </c>
      <c r="H121" t="inlineStr">
        <is>
          <t>none</t>
        </is>
      </c>
      <c r="J121">
        <f>IF(AU121="pass",CM121+CN121+CO121+CP121+CQ121+CR121+CS121+CT121,0)</f>
        <v/>
      </c>
      <c r="K121" t="inlineStr">
        <is>
          <t>Brand based outside the Northeast, store page shows Whole Foods Market NoMad inside the cluster, no dated why-now in the last 12 months, revenue unknown, contact seen only in a snippet; founder review: other.</t>
        </is>
      </c>
      <c r="M121" t="inlineStr">
        <is>
          <t>Whole Foods Market NoMad, 63 Madison Ave</t>
        </is>
      </c>
      <c r="N121" t="inlineStr">
        <is>
          <t>store_selector</t>
        </is>
      </c>
      <c r="R121" t="inlineStr">
        <is>
          <t>N</t>
        </is>
      </c>
      <c r="S121" t="inlineStr">
        <is>
          <t>unknown</t>
        </is>
      </c>
      <c r="T121" t="inlineStr">
        <is>
          <t>N</t>
        </is>
      </c>
      <c r="U121" t="inlineStr">
        <is>
          <t>new</t>
        </is>
      </c>
      <c r="V121" t="inlineStr">
        <is>
          <t>https://www.wholefoodsmarket.com/search?text=louisville%20vegan%20jerky</t>
        </is>
      </c>
      <c r="W121" t="inlineStr">
        <is>
          <t>2026-10-23</t>
        </is>
      </c>
      <c r="X121" t="inlineStr">
        <is>
          <t>brand</t>
        </is>
      </c>
      <c r="Y121">
        <f>IF(EB121&lt;&gt;"Y","",COUNTIFS($EB$2:$EB$1000,"Y",$J$2:$J$1000,"&gt;"&amp;J121)+COUNTIFS($EB$2:$EB$1000,"Y",$J$2:$J$1000,J121,$ED$2:$ED$1000,"&lt;"&amp;ED121)+1)</f>
        <v/>
      </c>
      <c r="Z121" t="n">
        <v>120</v>
      </c>
      <c r="AA121" t="inlineStr">
        <is>
          <t>N</t>
        </is>
      </c>
      <c r="AB121" t="inlineStr">
        <is>
          <t>no person named on an opened page: not ready; before using the retailer line, check Whole Foods Market NoMad still lists it: https://www.wholefoodsmarket.com/search?text=Louisville%20Vegan%20Jerky%20Co. with your store set to NoMad (catalogs change daily); founder review (other): read founder_review_reason first</t>
        </is>
      </c>
      <c r="AC121" t="inlineStr">
        <is>
          <t>founder</t>
        </is>
      </c>
      <c r="AD121" t="inlineStr">
        <is>
          <t>unverified</t>
        </is>
      </c>
      <c r="AE121" t="inlineStr">
        <is>
          <t>unknown</t>
        </is>
      </c>
      <c r="AG121" t="inlineStr">
        <is>
          <t>2026-10-23</t>
        </is>
      </c>
      <c r="AH121" t="inlineStr">
        <is>
          <t>Louisville Jerky Co. Maple Bacon Vegan Jerky, 3 oz</t>
        </is>
      </c>
      <c r="AI121" t="inlineStr">
        <is>
          <t>meat-snacks</t>
        </is>
      </c>
      <c r="AJ121" t="inlineStr">
        <is>
          <t>Louisville</t>
        </is>
      </c>
      <c r="AL121" t="inlineStr">
        <is>
          <t>Y</t>
        </is>
      </c>
      <c r="AM121" t="inlineStr">
        <is>
          <t>Plant-based jerky; brand site not found (louisvillejerky.com redirects to an unrelated store); no online store: buy path is the store only</t>
        </is>
      </c>
      <c r="AN121" t="inlineStr">
        <is>
          <t>AB-059</t>
        </is>
      </c>
      <c r="AO121" t="inlineStr">
        <is>
          <t>N</t>
        </is>
      </c>
      <c r="AR121">
        <f>IF(AND(AU121="pass",AO121&lt;&gt;"Y",C121&lt;&gt;""),"Y","N")</f>
        <v/>
      </c>
      <c r="AS121">
        <f>_xlfn.TEXTJOIN("; ",TRUE,IF(AU121&lt;&gt;"pass","gated out",""),IF(AO121="Y","on hold: "&amp;AP121,""),IF(C121="","no contact named on an opened page",""))</f>
        <v/>
      </c>
      <c r="AU121" t="inlineStr">
        <is>
          <t>pass</t>
        </is>
      </c>
      <c r="AW121" t="inlineStr">
        <is>
          <t>passes all hard gates</t>
        </is>
      </c>
      <c r="AX121" t="inlineStr">
        <is>
          <t>other</t>
        </is>
      </c>
      <c r="AY121" t="inlineStr">
        <is>
          <t>https://www.lvjco.com</t>
        </is>
      </c>
      <c r="AZ121" t="inlineStr">
        <is>
          <t>KY</t>
        </is>
      </c>
      <c r="BA121" t="inlineStr">
        <is>
          <t>elsewhere</t>
        </is>
      </c>
      <c r="BB121" t="inlineStr">
        <is>
          <t>unknown</t>
        </is>
      </c>
      <c r="BD121" t="inlineStr">
        <is>
          <t>Y</t>
        </is>
      </c>
      <c r="BE121" t="inlineStr">
        <is>
          <t>Packaged plant-based jerky sold in WFM grocery aisle</t>
        </is>
      </c>
      <c r="BF121" t="inlineStr">
        <is>
          <t>Y</t>
        </is>
      </c>
      <c r="BG121" t="inlineStr">
        <is>
          <t>unknown</t>
        </is>
      </c>
      <c r="BH121" t="inlineStr">
        <is>
          <t>unknown</t>
        </is>
      </c>
      <c r="BJ121" t="inlineStr">
        <is>
          <t>unknown</t>
        </is>
      </c>
      <c r="BK121" t="inlineStr">
        <is>
          <t>N</t>
        </is>
      </c>
      <c r="BL121" t="inlineStr">
        <is>
          <t>N</t>
        </is>
      </c>
      <c r="BN121" t="n">
        <v>0</v>
      </c>
      <c r="BO121" t="inlineStr">
        <is>
          <t>Y</t>
        </is>
      </c>
      <c r="BP121" t="n">
        <v>2</v>
      </c>
      <c r="BQ121" t="inlineStr">
        <is>
          <t>Whole Foods Market NoMad, 63 Madison Ave (store_selector, inside);Whole Foods Market Union Square, 4 Union Sq S (store_selector, inside)</t>
        </is>
      </c>
      <c r="BS121" t="inlineStr">
        <is>
          <t>Whole Foods Market</t>
        </is>
      </c>
      <c r="BT121" t="inlineStr">
        <is>
          <t>https://www.wholefoodsmarket.com/search?text=louisville%20vegan%20jerky (Union Square and NoMad contexts IN_STOCK 2026-10-23)</t>
        </is>
      </c>
      <c r="BU121" t="inlineStr">
        <is>
          <t>none</t>
        </is>
      </c>
      <c r="BX121" t="inlineStr">
        <is>
          <t>Stanley Chase III</t>
        </is>
      </c>
      <c r="BY121" t="inlineStr">
        <is>
          <t>search snippets; unverified, founder to confirm</t>
        </is>
      </c>
      <c r="CF121" t="inlineStr">
        <is>
          <t>none</t>
        </is>
      </c>
      <c r="CK121" t="inlineStr">
        <is>
          <t>none</t>
        </is>
      </c>
      <c r="CL121" t="n">
        <v>42</v>
      </c>
      <c r="CM121" t="n">
        <v>25</v>
      </c>
      <c r="CN121" t="n">
        <v>3</v>
      </c>
      <c r="CO121" t="n">
        <v>0</v>
      </c>
      <c r="CP121" t="n">
        <v>5</v>
      </c>
      <c r="CQ121" t="n">
        <v>8</v>
      </c>
      <c r="CR121" t="n">
        <v>3</v>
      </c>
      <c r="CS121">
        <f>IF(R121="Y",10,0)</f>
        <v/>
      </c>
      <c r="CT121" t="n">
        <v>-2</v>
      </c>
      <c r="CU121" t="inlineStr">
        <is>
          <t>unknown</t>
        </is>
      </c>
      <c r="CV121" t="inlineStr">
        <is>
          <t>BR1</t>
        </is>
      </c>
      <c r="CW121" t="inlineStr">
        <is>
          <t>BR1:60</t>
        </is>
      </c>
      <c r="CX121" t="inlineStr">
        <is>
          <t>Shelf presence confirmed; identity fields need a second pass.</t>
        </is>
      </c>
      <c r="CY121" t="inlineStr">
        <is>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t>
        </is>
      </c>
      <c r="DA121" t="inlineStr">
        <is>
          <t>stage 1 only</t>
        </is>
      </c>
      <c r="DY121">
        <f>IF(ISNUMBER(MATCH(U121,{"queued","contacted","replied","call_booked","call_done","yes_in_principle","materials_sent"},0)),"Y","N")</f>
        <v/>
      </c>
      <c r="DZ121">
        <f>IF(COUNTIFS($AN$2:$AN$1000,AN121,$DY$2:$DY$1000,"Y")+COUNTIFS($AN$2:$AN$1000,AN121,$T$2:$T$1000,"Y")&gt;0,"Y","N")</f>
        <v/>
      </c>
      <c r="EA121">
        <f>IF(AND(U121="new",T121="N",AR121="Y",AQ121="",DZ121="N"),"Y","N")</f>
        <v/>
      </c>
      <c r="EB121">
        <f>IF(EA121&lt;&gt;"Y","N",IF(COUNTIFS($AN$2:$AN$1000,AN121,$EA$2:$EA$1000,"Y",$J$2:$J$1000,"&gt;"&amp;J121)+COUNTIFS($AN$2:$AN$1000,AN121,$EA$2:$EA$1000,"Y",$J$2:$J$1000,J121,$ED$2:$ED$1000,"&lt;"&amp;ED121)=0,"Y","N"))</f>
        <v/>
      </c>
      <c r="EC121">
        <f>IF(Y121="","N",IF(Y121&lt;=10,"Y","N"))</f>
        <v/>
      </c>
      <c r="ED121">
        <f>ROW()-1</f>
        <v/>
      </c>
    </row>
    <row r="122">
      <c r="A122" t="inlineStr">
        <is>
          <t>AB-290</t>
        </is>
      </c>
      <c r="B122" t="inlineStr">
        <is>
          <t>Big Picture Farm</t>
        </is>
      </c>
      <c r="H122" t="inlineStr">
        <is>
          <t>none</t>
        </is>
      </c>
      <c r="J122">
        <f>IF(AU122="pass",CM122+CN122+CO122+CP122+CQ122+CR122+CS122+CT122,0)</f>
        <v/>
      </c>
      <c r="K122" t="inlineStr">
        <is>
          <t>Northeast brand, no graded store within ten blocks, online store only, news 5 days ago, revenue unknown, no contact named; founder review: other.</t>
        </is>
      </c>
      <c r="M122" t="inlineStr">
        <is>
          <t>none found within ten blocks</t>
        </is>
      </c>
      <c r="N122" t="inlineStr">
        <is>
          <t>unverified</t>
        </is>
      </c>
      <c r="O122" t="inlineStr">
        <is>
          <t>Golden Milk Caramels named a 2027 sofi Award finalist (Sweet Snacks)</t>
        </is>
      </c>
      <c r="P122" t="inlineStr">
        <is>
          <t>https://www.specialtyfood.com/news-media/news-features/association-press-releases/2027-sofi-awards-finalists/</t>
        </is>
      </c>
      <c r="Q122" t="inlineStr">
        <is>
          <t>2026-10-19</t>
        </is>
      </c>
      <c r="R122" t="inlineStr">
        <is>
          <t>N</t>
        </is>
      </c>
      <c r="S122" t="inlineStr">
        <is>
          <t>unknown</t>
        </is>
      </c>
      <c r="T122" t="inlineStr">
        <is>
          <t>N</t>
        </is>
      </c>
      <c r="U122" t="inlineStr">
        <is>
          <t>new</t>
        </is>
      </c>
      <c r="V122" t="inlineStr">
        <is>
          <t>https://www.specialtyfood.com/news-media/news-features/association-press-releases/2027-sofi-awards-finalists/</t>
        </is>
      </c>
      <c r="W122" t="inlineStr">
        <is>
          <t>2026-10-24</t>
        </is>
      </c>
      <c r="X122" t="inlineStr">
        <is>
          <t>brand</t>
        </is>
      </c>
      <c r="Y122">
        <f>IF(EB122&lt;&gt;"Y","",COUNTIFS($EB$2:$EB$1000,"Y",$J$2:$J$1000,"&gt;"&amp;J122)+COUNTIFS($EB$2:$EB$1000,"Y",$J$2:$J$1000,J122,$ED$2:$ED$1000,"&lt;"&amp;ED122)+1)</f>
        <v/>
      </c>
      <c r="Z122" t="n">
        <v>121</v>
      </c>
      <c r="AA122" t="inlineStr">
        <is>
          <t>N</t>
        </is>
      </c>
      <c r="AB122" t="inlineStr">
        <is>
          <t>no person named on an opened page: not ready; founder review (other): read founder_review_reason first</t>
        </is>
      </c>
      <c r="AD122" t="inlineStr">
        <is>
          <t>none</t>
        </is>
      </c>
      <c r="AH122" t="inlineStr">
        <is>
          <t>Goat's milk caramels; Chai Pocket Pack</t>
        </is>
      </c>
      <c r="AI122" t="inlineStr">
        <is>
          <t>chocolate-candy</t>
        </is>
      </c>
      <c r="AJ122" t="inlineStr">
        <is>
          <t>unknown (Vermont farmstead)</t>
        </is>
      </c>
      <c r="AK122" t="inlineStr">
        <is>
          <t>https://bigpicturefarm.com</t>
        </is>
      </c>
      <c r="AL122" t="inlineStr">
        <is>
          <t>Y</t>
        </is>
      </c>
      <c r="AM122" t="inlineStr">
        <is>
          <t>Gift-oriented line; per-unit price and pocket-pack size need checking for a 50-unit drop. Founders not named on the pages opened</t>
        </is>
      </c>
      <c r="AN122" t="inlineStr">
        <is>
          <t>AB-290</t>
        </is>
      </c>
      <c r="AO122" t="inlineStr">
        <is>
          <t>N</t>
        </is>
      </c>
      <c r="AR122">
        <f>IF(AND(AU122="pass",AO122&lt;&gt;"Y",C122&lt;&gt;""),"Y","N")</f>
        <v/>
      </c>
      <c r="AS122">
        <f>_xlfn.TEXTJOIN("; ",TRUE,IF(AU122&lt;&gt;"pass","gated out",""),IF(AO122="Y","on hold: "&amp;AP122,""),IF(C122="","no contact named on an opened page",""))</f>
        <v/>
      </c>
      <c r="AU122" t="inlineStr">
        <is>
          <t>pass</t>
        </is>
      </c>
      <c r="AW122" t="inlineStr">
        <is>
          <t>passes all hard gates</t>
        </is>
      </c>
      <c r="AX122" t="inlineStr">
        <is>
          <t>other</t>
        </is>
      </c>
      <c r="AY122" t="inlineStr">
        <is>
          <t>https://bigpicturefarm.com</t>
        </is>
      </c>
      <c r="AZ122" t="inlineStr">
        <is>
          <t>VT</t>
        </is>
      </c>
      <c r="BA122" t="inlineStr">
        <is>
          <t>northeast</t>
        </is>
      </c>
      <c r="BB122" t="inlineStr">
        <is>
          <t>unknown</t>
        </is>
      </c>
      <c r="BD122" t="inlineStr">
        <is>
          <t>Y</t>
        </is>
      </c>
      <c r="BE122" t="inlineStr">
        <is>
          <t>Wrapped caramels sold ambient online and in specialty stores; shelf life not stated</t>
        </is>
      </c>
      <c r="BF122" t="inlineStr">
        <is>
          <t>Y</t>
        </is>
      </c>
      <c r="BG122" t="inlineStr">
        <is>
          <t>Y</t>
        </is>
      </c>
      <c r="BH122" t="inlineStr">
        <is>
          <t>unknown</t>
        </is>
      </c>
      <c r="BJ122" t="inlineStr">
        <is>
          <t>No sourced sales figure found</t>
        </is>
      </c>
      <c r="BK122" t="inlineStr">
        <is>
          <t>N</t>
        </is>
      </c>
      <c r="BL122" t="inlineStr">
        <is>
          <t>N</t>
        </is>
      </c>
      <c r="BO122" t="inlineStr">
        <is>
          <t>N</t>
        </is>
      </c>
      <c r="BP122" t="n">
        <v>0</v>
      </c>
      <c r="BS122" t="inlineStr">
        <is>
          <t>unknown</t>
        </is>
      </c>
      <c r="BU122" t="inlineStr">
        <is>
          <t>press</t>
        </is>
      </c>
      <c r="BV122" t="n">
        <v>5</v>
      </c>
      <c r="CF122" t="inlineStr">
        <is>
          <t>none</t>
        </is>
      </c>
      <c r="CK122" t="inlineStr">
        <is>
          <t>none</t>
        </is>
      </c>
      <c r="CL122" t="n">
        <v>42</v>
      </c>
      <c r="CM122" t="n">
        <v>6</v>
      </c>
      <c r="CN122" t="n">
        <v>8</v>
      </c>
      <c r="CO122" t="n">
        <v>15</v>
      </c>
      <c r="CP122" t="n">
        <v>5</v>
      </c>
      <c r="CQ122" t="n">
        <v>10</v>
      </c>
      <c r="CR122" t="n">
        <v>0</v>
      </c>
      <c r="CS122">
        <f>IF(R122="Y",10,0)</f>
        <v/>
      </c>
      <c r="CT122" t="n">
        <v>-2</v>
      </c>
      <c r="CU122" t="inlineStr">
        <is>
          <t>https://instagram.com/bigpicturefarm</t>
        </is>
      </c>
      <c r="CV122" t="inlineStr">
        <is>
          <t>BR5</t>
        </is>
      </c>
      <c r="CW122" t="inlineStr">
        <is>
          <t>BR5:26</t>
        </is>
      </c>
      <c r="CX122" t="inlineStr">
        <is>
          <t>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is>
      </c>
      <c r="DA122" t="inlineStr">
        <is>
          <t>stage 1 only</t>
        </is>
      </c>
      <c r="DY122">
        <f>IF(ISNUMBER(MATCH(U122,{"queued","contacted","replied","call_booked","call_done","yes_in_principle","materials_sent"},0)),"Y","N")</f>
        <v/>
      </c>
      <c r="DZ122">
        <f>IF(COUNTIFS($AN$2:$AN$1000,AN122,$DY$2:$DY$1000,"Y")+COUNTIFS($AN$2:$AN$1000,AN122,$T$2:$T$1000,"Y")&gt;0,"Y","N")</f>
        <v/>
      </c>
      <c r="EA122">
        <f>IF(AND(U122="new",T122="N",AR122="Y",AQ122="",DZ122="N"),"Y","N")</f>
        <v/>
      </c>
      <c r="EB122">
        <f>IF(EA122&lt;&gt;"Y","N",IF(COUNTIFS($AN$2:$AN$1000,AN122,$EA$2:$EA$1000,"Y",$J$2:$J$1000,"&gt;"&amp;J122)+COUNTIFS($AN$2:$AN$1000,AN122,$EA$2:$EA$1000,"Y",$J$2:$J$1000,J122,$ED$2:$ED$1000,"&lt;"&amp;ED122)=0,"Y","N"))</f>
        <v/>
      </c>
      <c r="EC122">
        <f>IF(Y122="","N",IF(Y122&lt;=10,"Y","N"))</f>
        <v/>
      </c>
      <c r="ED122">
        <f>ROW()-1</f>
        <v/>
      </c>
    </row>
    <row r="123">
      <c r="A123" t="inlineStr">
        <is>
          <t>AB-223</t>
        </is>
      </c>
      <c r="B123" t="inlineStr">
        <is>
          <t>The Purple Drop</t>
        </is>
      </c>
      <c r="F123" t="inlineStr">
        <is>
          <t>https://www.linkedin.com/in/maria-vepa/</t>
        </is>
      </c>
      <c r="H123" t="inlineStr">
        <is>
          <t>none</t>
        </is>
      </c>
      <c r="J123">
        <f>IF(AU123="pass",CM123+CN123+CO123+CP123+CQ123+CR123+CS123+CT123,0)</f>
        <v/>
      </c>
      <c r="K123" t="inlineStr">
        <is>
          <t>Northeast brand, no graded store within ten blocks, online store only, news 61 days ago, revenue unknown, contact seen only in a snippet; founder review: under-floor, claim-borderline.</t>
        </is>
      </c>
      <c r="M123" t="inlineStr">
        <is>
          <t>none found within ten blocks</t>
        </is>
      </c>
      <c r="N123" t="inlineStr">
        <is>
          <t>unverified</t>
        </is>
      </c>
      <c r="O123" t="inlineStr">
        <is>
          <t>Won a 2026 Startup CPG Shelfie Award (Beverage category, announced 2026-08-24) weeks after launching ready-to-drink chicha morada in shelf-stable cans</t>
        </is>
      </c>
      <c r="P123" t="inlineStr">
        <is>
          <t>https://startupcpg.com/startup-cpg-shelfie-winners-2026/</t>
        </is>
      </c>
      <c r="Q123" t="inlineStr">
        <is>
          <t>2026-08-24</t>
        </is>
      </c>
      <c r="R123" t="inlineStr">
        <is>
          <t>N</t>
        </is>
      </c>
      <c r="S123" t="inlineStr">
        <is>
          <t>Y</t>
        </is>
      </c>
      <c r="T123" t="inlineStr">
        <is>
          <t>N</t>
        </is>
      </c>
      <c r="U123" t="inlineStr">
        <is>
          <t>new</t>
        </is>
      </c>
      <c r="V123" t="inlineStr">
        <is>
          <t>https://startupcpg.com/startup-cpg-newswire-the-purple-drop-launches-ready-to-drink-chicha-morada-inspired-by-peruvian-tradition/</t>
        </is>
      </c>
      <c r="W123" t="inlineStr">
        <is>
          <t>2026-10-23</t>
        </is>
      </c>
      <c r="X123" t="inlineStr">
        <is>
          <t>brand</t>
        </is>
      </c>
      <c r="Y123">
        <f>IF(EB123&lt;&gt;"Y","",COUNTIFS($EB$2:$EB$1000,"Y",$J$2:$J$1000,"&gt;"&amp;J123)+COUNTIFS($EB$2:$EB$1000,"Y",$J$2:$J$1000,J123,$ED$2:$ED$1000,"&lt;"&amp;ED123)+1)</f>
        <v/>
      </c>
      <c r="Z123" t="n">
        <v>122</v>
      </c>
      <c r="AA123" t="inlineStr">
        <is>
          <t>N</t>
        </is>
      </c>
      <c r="AB123" t="inlineStr">
        <is>
          <t>no person named on an opened page: not ready; founder review (under-floor, claim-borderline): read founder_review_reason first</t>
        </is>
      </c>
      <c r="AC123" t="inlineStr">
        <is>
          <t>founder</t>
        </is>
      </c>
      <c r="AD123" t="inlineStr">
        <is>
          <t>unverified</t>
        </is>
      </c>
      <c r="AE123" t="inlineStr">
        <is>
          <t>unknown</t>
        </is>
      </c>
      <c r="AG123" t="inlineStr">
        <is>
          <t>2026-10-23</t>
        </is>
      </c>
      <c r="AH123" t="inlineStr">
        <is>
          <t>Chicha morada RTD (purple corn, pineapple, lime, spices), 8.4 oz can</t>
        </is>
      </c>
      <c r="AI123" t="inlineStr">
        <is>
          <t>tea-juice</t>
        </is>
      </c>
      <c r="AJ123" t="inlineStr">
        <is>
          <t>Danbury</t>
        </is>
      </c>
      <c r="AK123" t="inlineStr">
        <is>
          <t>https://thepurpledrop.com</t>
        </is>
      </c>
      <c r="AL123" t="inlineStr">
        <is>
          <t>Y</t>
        </is>
      </c>
      <c r="AM123" t="inlineStr">
        <is>
          <t>First-year brand, may be under the $500k floor (no sales figure); homepage mentions anthocyanins and 'nourishing' (no explicit claim seen)</t>
        </is>
      </c>
      <c r="AN123" t="inlineStr">
        <is>
          <t>AB-223</t>
        </is>
      </c>
      <c r="AO123" t="inlineStr">
        <is>
          <t>N</t>
        </is>
      </c>
      <c r="AR123">
        <f>IF(AND(AU123="pass",AO123&lt;&gt;"Y",C123&lt;&gt;""),"Y","N")</f>
        <v/>
      </c>
      <c r="AS123">
        <f>_xlfn.TEXTJOIN("; ",TRUE,IF(AU123&lt;&gt;"pass","gated out",""),IF(AO123="Y","on hold: "&amp;AP123,""),IF(C123="","no contact named on an opened page",""))</f>
        <v/>
      </c>
      <c r="AU123" t="inlineStr">
        <is>
          <t>pass</t>
        </is>
      </c>
      <c r="AW123" t="inlineStr">
        <is>
          <t>passes all hard gates</t>
        </is>
      </c>
      <c r="AX123" t="inlineStr">
        <is>
          <t>under-floor;claim-borderline</t>
        </is>
      </c>
      <c r="AY123" t="inlineStr">
        <is>
          <t>https://thepurpledrop.com</t>
        </is>
      </c>
      <c r="AZ123" t="inlineStr">
        <is>
          <t>CT</t>
        </is>
      </c>
      <c r="BA123" t="inlineStr">
        <is>
          <t>northeast</t>
        </is>
      </c>
      <c r="BB123" t="inlineStr">
        <is>
          <t>family-owned (release)</t>
        </is>
      </c>
      <c r="BC123" t="inlineStr">
        <is>
          <t>https://startupcpg.com/startup-cpg-newswire-the-purple-drop-launches-ready-to-drink-chicha-morada-inspired-by-peruvian-tradition/</t>
        </is>
      </c>
      <c r="BD123" t="inlineStr">
        <is>
          <t>Y</t>
        </is>
      </c>
      <c r="BE123" t="inlineStr">
        <is>
          <t>Brand wholesale page: '12 months Shelf-stable. No fridge required (but cold is better)'; also release: 'shelf-stable can'</t>
        </is>
      </c>
      <c r="BF123" t="inlineStr">
        <is>
          <t>Y</t>
        </is>
      </c>
      <c r="BG123" t="inlineStr">
        <is>
          <t>Y</t>
        </is>
      </c>
      <c r="BH123" t="inlineStr">
        <is>
          <t>unknown</t>
        </is>
      </c>
      <c r="BJ123" t="inlineStr">
        <is>
          <t>No sales figure published. Launched 2026 (Startup CPG 2026-07-23): early stage, band founder to confirm</t>
        </is>
      </c>
      <c r="BK123" t="inlineStr">
        <is>
          <t>N</t>
        </is>
      </c>
      <c r="BL123" t="inlineStr">
        <is>
          <t>N</t>
        </is>
      </c>
      <c r="BO123" t="inlineStr">
        <is>
          <t>N</t>
        </is>
      </c>
      <c r="BP123" t="n">
        <v>0</v>
      </c>
      <c r="BS123" t="inlineStr">
        <is>
          <t>Specialty retail and cafe locations (release, unnamed)</t>
        </is>
      </c>
      <c r="BU123" t="inlineStr">
        <is>
          <t>press</t>
        </is>
      </c>
      <c r="BV123" t="n">
        <v>61</v>
      </c>
      <c r="BW123" t="inlineStr">
        <is>
          <t>https://startupcpg.com/startup-cpg-shelfie-finalists-2026/</t>
        </is>
      </c>
      <c r="BX123" t="inlineStr">
        <is>
          <t>Maria Velasquez</t>
        </is>
      </c>
      <c r="BZ123" t="inlineStr">
        <is>
          <t>listed on a page the researcher opened; LinkedIn not opened</t>
        </is>
      </c>
      <c r="CF123" t="inlineStr">
        <is>
          <t>none</t>
        </is>
      </c>
      <c r="CK123" t="inlineStr">
        <is>
          <t>none</t>
        </is>
      </c>
      <c r="CL123" t="n">
        <v>42</v>
      </c>
      <c r="CM123" t="n">
        <v>6</v>
      </c>
      <c r="CN123" t="n">
        <v>8</v>
      </c>
      <c r="CO123" t="n">
        <v>15</v>
      </c>
      <c r="CP123" t="n">
        <v>5</v>
      </c>
      <c r="CQ123" t="n">
        <v>10</v>
      </c>
      <c r="CR123" t="n">
        <v>3</v>
      </c>
      <c r="CS123">
        <f>IF(R123="Y",10,0)</f>
        <v/>
      </c>
      <c r="CT123" t="n">
        <v>-5</v>
      </c>
      <c r="CV123" t="inlineStr">
        <is>
          <t>BR4</t>
        </is>
      </c>
      <c r="CW123" t="inlineStr">
        <is>
          <t>BR4:18</t>
        </is>
      </c>
      <c r="CX123" t="inlineStr">
        <is>
          <t>Also a BevNET Live NYC 2026 New Beverage Showdown semifinalist ('Purple Drop', search-result snippet, not opened). Northeast brand with no NYC retailer found.</t>
        </is>
      </c>
      <c r="CY123" t="inlineStr">
        <is>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is>
      </c>
      <c r="DA123" t="inlineStr">
        <is>
          <t>stage 1 only</t>
        </is>
      </c>
      <c r="DY123">
        <f>IF(ISNUMBER(MATCH(U123,{"queued","contacted","replied","call_booked","call_done","yes_in_principle","materials_sent"},0)),"Y","N")</f>
        <v/>
      </c>
      <c r="DZ123">
        <f>IF(COUNTIFS($AN$2:$AN$1000,AN123,$DY$2:$DY$1000,"Y")+COUNTIFS($AN$2:$AN$1000,AN123,$T$2:$T$1000,"Y")&gt;0,"Y","N")</f>
        <v/>
      </c>
      <c r="EA123">
        <f>IF(AND(U123="new",T123="N",AR123="Y",AQ123="",DZ123="N"),"Y","N")</f>
        <v/>
      </c>
      <c r="EB123">
        <f>IF(EA123&lt;&gt;"Y","N",IF(COUNTIFS($AN$2:$AN$1000,AN123,$EA$2:$EA$1000,"Y",$J$2:$J$1000,"&gt;"&amp;J123)+COUNTIFS($AN$2:$AN$1000,AN123,$EA$2:$EA$1000,"Y",$J$2:$J$1000,J123,$ED$2:$ED$1000,"&lt;"&amp;ED123)=0,"Y","N"))</f>
        <v/>
      </c>
      <c r="EC123">
        <f>IF(Y123="","N",IF(Y123&lt;=10,"Y","N"))</f>
        <v/>
      </c>
      <c r="ED123">
        <f>ROW()-1</f>
        <v/>
      </c>
    </row>
    <row r="124">
      <c r="A124" t="inlineStr">
        <is>
          <t>AB-074</t>
        </is>
      </c>
      <c r="B124" t="inlineStr">
        <is>
          <t>Fat Witch Bakery</t>
        </is>
      </c>
      <c r="H124" t="inlineStr">
        <is>
          <t>none</t>
        </is>
      </c>
      <c r="J124">
        <f>IF(AU124="pass",CM124+CN124+CO124+CP124+CQ124+CR124+CS124+CT124,0)</f>
        <v/>
      </c>
      <c r="K124" t="inlineStr">
        <is>
          <t>New York City brand, no graded store within ten blocks, online store only, a new store listing 45 days ago, revenue unknown, no contact named; founder review: other.</t>
        </is>
      </c>
      <c r="M124" t="inlineStr">
        <is>
          <t>none found within ten blocks</t>
        </is>
      </c>
      <c r="N124" t="inlineStr">
        <is>
          <t>unverified</t>
        </is>
      </c>
      <c r="O124" t="inlineStr">
        <is>
          <t>Fall 2026 limited Pumpkin Witch and Halloween boxes added to brand store</t>
        </is>
      </c>
      <c r="P124" t="inlineStr">
        <is>
          <t>https://www.fatwitch.com/</t>
        </is>
      </c>
      <c r="Q124" t="inlineStr">
        <is>
          <t>2026-09-09</t>
        </is>
      </c>
      <c r="R124" t="inlineStr">
        <is>
          <t>N</t>
        </is>
      </c>
      <c r="S124" t="inlineStr">
        <is>
          <t>unknown</t>
        </is>
      </c>
      <c r="T124" t="inlineStr">
        <is>
          <t>N</t>
        </is>
      </c>
      <c r="U124" t="inlineStr">
        <is>
          <t>new</t>
        </is>
      </c>
      <c r="V124" t="inlineStr">
        <is>
          <t>https://www.fatwitch.com/pages/about-us</t>
        </is>
      </c>
      <c r="W124" t="inlineStr">
        <is>
          <t>2026-10-23</t>
        </is>
      </c>
      <c r="X124" t="inlineStr">
        <is>
          <t>brand</t>
        </is>
      </c>
      <c r="Y124">
        <f>IF(EB124&lt;&gt;"Y","",COUNTIFS($EB$2:$EB$1000,"Y",$J$2:$J$1000,"&gt;"&amp;J124)+COUNTIFS($EB$2:$EB$1000,"Y",$J$2:$J$1000,J124,$ED$2:$ED$1000,"&lt;"&amp;ED124)+1)</f>
        <v/>
      </c>
      <c r="Z124" t="n">
        <v>123</v>
      </c>
      <c r="AA124" t="inlineStr">
        <is>
          <t>N</t>
        </is>
      </c>
      <c r="AB124" t="inlineStr">
        <is>
          <t>no person named on an opened page: not ready; founder review (other): read founder_review_reason first</t>
        </is>
      </c>
      <c r="AD124" t="inlineStr">
        <is>
          <t>none</t>
        </is>
      </c>
      <c r="AH124" t="inlineStr">
        <is>
          <t>Fat Witch Baby brownie (individual brownies, gift boxes)</t>
        </is>
      </c>
      <c r="AI124" t="inlineStr">
        <is>
          <t>cookies-baked</t>
        </is>
      </c>
      <c r="AJ124" t="inlineStr">
        <is>
          <t>New York (Chelsea Market origin)</t>
        </is>
      </c>
      <c r="AK124" t="inlineStr">
        <is>
          <t>https://www.fatwitch.com</t>
        </is>
      </c>
      <c r="AL124" t="inlineStr">
        <is>
          <t>Y</t>
        </is>
      </c>
      <c r="AM124" t="inlineStr">
        <is>
          <t>Shelf life unknown for a fresh bakery brownie; confirm 60+ days before outreach; 60-day shelf life not stated</t>
        </is>
      </c>
      <c r="AN124" t="inlineStr">
        <is>
          <t>AB-074</t>
        </is>
      </c>
      <c r="AO124" t="inlineStr">
        <is>
          <t>N</t>
        </is>
      </c>
      <c r="AR124">
        <f>IF(AND(AU124="pass",AO124&lt;&gt;"Y",C124&lt;&gt;""),"Y","N")</f>
        <v/>
      </c>
      <c r="AS124">
        <f>_xlfn.TEXTJOIN("; ",TRUE,IF(AU124&lt;&gt;"pass","gated out",""),IF(AO124="Y","on hold: "&amp;AP124,""),IF(C124="","no contact named on an opened page",""))</f>
        <v/>
      </c>
      <c r="AU124" t="inlineStr">
        <is>
          <t>pass</t>
        </is>
      </c>
      <c r="AW124" t="inlineStr">
        <is>
          <t>passes all hard gates</t>
        </is>
      </c>
      <c r="AX124" t="inlineStr">
        <is>
          <t>other</t>
        </is>
      </c>
      <c r="AY124" t="inlineStr">
        <is>
          <t>https://www.fatwitch.com</t>
        </is>
      </c>
      <c r="AZ124" t="inlineStr">
        <is>
          <t>NY</t>
        </is>
      </c>
      <c r="BA124" t="inlineStr">
        <is>
          <t>nyc</t>
        </is>
      </c>
      <c r="BB124" t="inlineStr">
        <is>
          <t>unknown</t>
        </is>
      </c>
      <c r="BD124" t="inlineStr">
        <is>
          <t>unknown</t>
        </is>
      </c>
      <c r="BE124" t="inlineStr">
        <is>
          <t>No shelf-life statement found on brand site (FAQ pages 404); fresh-baked brownies may not reach 60 days</t>
        </is>
      </c>
      <c r="BF124" t="inlineStr">
        <is>
          <t>unknown</t>
        </is>
      </c>
      <c r="BG124" t="inlineStr">
        <is>
          <t>Y</t>
        </is>
      </c>
      <c r="BH124" t="inlineStr">
        <is>
          <t>unknown</t>
        </is>
      </c>
      <c r="BJ124" t="inlineStr">
        <is>
          <t>unknown</t>
        </is>
      </c>
      <c r="BK124" t="inlineStr">
        <is>
          <t>N</t>
        </is>
      </c>
      <c r="BL124" t="inlineStr">
        <is>
          <t>N</t>
        </is>
      </c>
      <c r="BO124" t="inlineStr">
        <is>
          <t>N</t>
        </is>
      </c>
      <c r="BP124" t="n">
        <v>0</v>
      </c>
      <c r="BT124" t="inlineStr">
        <is>
          <t>https://www.wholefoodsmarket.com/api/search?text=fat%20witch&amp;store=10162&amp;limit=60&amp;offset=0</t>
        </is>
      </c>
      <c r="BU124" t="inlineStr">
        <is>
          <t>listing</t>
        </is>
      </c>
      <c r="BV124" t="n">
        <v>45</v>
      </c>
      <c r="CF124" t="inlineStr">
        <is>
          <t>none</t>
        </is>
      </c>
      <c r="CK124" t="inlineStr">
        <is>
          <t>none</t>
        </is>
      </c>
      <c r="CL124" t="n">
        <v>42</v>
      </c>
      <c r="CM124" t="n">
        <v>6</v>
      </c>
      <c r="CN124" t="n">
        <v>20</v>
      </c>
      <c r="CO124" t="n">
        <v>8</v>
      </c>
      <c r="CP124" t="n">
        <v>5</v>
      </c>
      <c r="CQ124" t="n">
        <v>5</v>
      </c>
      <c r="CR124" t="n">
        <v>0</v>
      </c>
      <c r="CS124">
        <f>IF(R124="Y",10,0)</f>
        <v/>
      </c>
      <c r="CT124" t="n">
        <v>-2</v>
      </c>
      <c r="CU124" t="inlineStr">
        <is>
          <t>https://www.instagram.com/fatwitchbakery/</t>
        </is>
      </c>
      <c r="CV124" t="inlineStr">
        <is>
          <t>BR2</t>
        </is>
      </c>
      <c r="CW124" t="inlineStr">
        <is>
          <t>BR2:11</t>
        </is>
      </c>
      <c r="CX124" t="inlineStr">
        <is>
          <t>Baked in NYC since 1998 per brand site. Not in WFM cluster catalogs. Chelsea Market shop status not confirmed on 2026-10-23. Why-now date from Shopify publish dates.</t>
        </is>
      </c>
      <c r="DA124" t="inlineStr">
        <is>
          <t>stage 1 only</t>
        </is>
      </c>
      <c r="DY124">
        <f>IF(ISNUMBER(MATCH(U124,{"queued","contacted","replied","call_booked","call_done","yes_in_principle","materials_sent"},0)),"Y","N")</f>
        <v/>
      </c>
      <c r="DZ124">
        <f>IF(COUNTIFS($AN$2:$AN$1000,AN124,$DY$2:$DY$1000,"Y")+COUNTIFS($AN$2:$AN$1000,AN124,$T$2:$T$1000,"Y")&gt;0,"Y","N")</f>
        <v/>
      </c>
      <c r="EA124">
        <f>IF(AND(U124="new",T124="N",AR124="Y",AQ124="",DZ124="N"),"Y","N")</f>
        <v/>
      </c>
      <c r="EB124">
        <f>IF(EA124&lt;&gt;"Y","N",IF(COUNTIFS($AN$2:$AN$1000,AN124,$EA$2:$EA$1000,"Y",$J$2:$J$1000,"&gt;"&amp;J124)+COUNTIFS($AN$2:$AN$1000,AN124,$EA$2:$EA$1000,"Y",$J$2:$J$1000,J124,$ED$2:$ED$1000,"&lt;"&amp;ED124)=0,"Y","N"))</f>
        <v/>
      </c>
      <c r="EC124">
        <f>IF(Y124="","N",IF(Y124&lt;=10,"Y","N"))</f>
        <v/>
      </c>
      <c r="ED124">
        <f>ROW()-1</f>
        <v/>
      </c>
    </row>
    <row r="125">
      <c r="A125" t="inlineStr">
        <is>
          <t>AB-277</t>
        </is>
      </c>
      <c r="B125" t="inlineStr">
        <is>
          <t>Morito Chocolates</t>
        </is>
      </c>
      <c r="H125" t="inlineStr">
        <is>
          <t>none</t>
        </is>
      </c>
      <c r="J125">
        <f>IF(AU125="pass",CM125+CN125+CO125+CP125+CQ125+CR125+CS125+CT125,0)</f>
        <v/>
      </c>
      <c r="K125" t="inlineStr">
        <is>
          <t>New York City brand, no graded store within ten blocks, online store only, a new store listing 20 days ago, revenue unknown, no contact named; founder review: under-floor, claim-borderline.</t>
        </is>
      </c>
      <c r="M125" t="inlineStr">
        <is>
          <t>none found within ten blocks</t>
        </is>
      </c>
      <c r="N125" t="inlineStr">
        <is>
          <t>unverified</t>
        </is>
      </c>
      <c r="O125" t="inlineStr">
        <is>
          <t>Released a Morito x Hot Bread Kitchen holiday gift and a new Hazelnut Cinnamon flavor</t>
        </is>
      </c>
      <c r="P125" t="inlineStr">
        <is>
          <t>https://moritochocolates.com/products.json</t>
        </is>
      </c>
      <c r="Q125" t="inlineStr">
        <is>
          <t>2026-10-04</t>
        </is>
      </c>
      <c r="R125" t="inlineStr">
        <is>
          <t>N</t>
        </is>
      </c>
      <c r="S125" t="inlineStr">
        <is>
          <t>unknown</t>
        </is>
      </c>
      <c r="T125" t="inlineStr">
        <is>
          <t>N</t>
        </is>
      </c>
      <c r="U125" t="inlineStr">
        <is>
          <t>new</t>
        </is>
      </c>
      <c r="V125" t="inlineStr">
        <is>
          <t>https://hotbreadkitchen.org/breadwinners-marketplace/</t>
        </is>
      </c>
      <c r="W125" t="inlineStr">
        <is>
          <t>2026-10-24</t>
        </is>
      </c>
      <c r="X125" t="inlineStr">
        <is>
          <t>brand</t>
        </is>
      </c>
      <c r="Y125">
        <f>IF(EB125&lt;&gt;"Y","",COUNTIFS($EB$2:$EB$1000,"Y",$J$2:$J$1000,"&gt;"&amp;J125)+COUNTIFS($EB$2:$EB$1000,"Y",$J$2:$J$1000,J125,$ED$2:$ED$1000,"&lt;"&amp;ED125)+1)</f>
        <v/>
      </c>
      <c r="Z125" t="n">
        <v>124</v>
      </c>
      <c r="AA125" t="inlineStr">
        <is>
          <t>N</t>
        </is>
      </c>
      <c r="AB125" t="inlineStr">
        <is>
          <t>no person named on an opened page: not ready; founder review (under-floor, claim-borderline): read founder_review_reason first</t>
        </is>
      </c>
      <c r="AD125" t="inlineStr">
        <is>
          <t>none</t>
        </is>
      </c>
      <c r="AH125" t="inlineStr">
        <is>
          <t>Salted Peanut Mini Cups; Hazelnut Cinnamon Dark Chocolate sticks</t>
        </is>
      </c>
      <c r="AI125" t="inlineStr">
        <is>
          <t>chocolate-candy</t>
        </is>
      </c>
      <c r="AJ125" t="inlineStr">
        <is>
          <t>Brooklyn</t>
        </is>
      </c>
      <c r="AK125" t="inlineStr">
        <is>
          <t>https://moritochocolates.com</t>
        </is>
      </c>
      <c r="AL125" t="inlineStr">
        <is>
          <t>Y</t>
        </is>
      </c>
      <c r="AM125" t="inlineStr">
        <is>
          <t>Meta description says 'low in sugar' (nutrient-content claim). Very small Hot Bread Kitchen alumna; founder unnamed; chocolate may soften in summer delivery</t>
        </is>
      </c>
      <c r="AN125" t="inlineStr">
        <is>
          <t>AB-277</t>
        </is>
      </c>
      <c r="AO125" t="inlineStr">
        <is>
          <t>N</t>
        </is>
      </c>
      <c r="AR125">
        <f>IF(AND(AU125="pass",AO125&lt;&gt;"Y",C125&lt;&gt;""),"Y","N")</f>
        <v/>
      </c>
      <c r="AS125">
        <f>_xlfn.TEXTJOIN("; ",TRUE,IF(AU125&lt;&gt;"pass","gated out",""),IF(AO125="Y","on hold: "&amp;AP125,""),IF(C125="","no contact named on an opened page",""))</f>
        <v/>
      </c>
      <c r="AU125" t="inlineStr">
        <is>
          <t>pass</t>
        </is>
      </c>
      <c r="AW125" t="inlineStr">
        <is>
          <t>passes all hard gates</t>
        </is>
      </c>
      <c r="AX125" t="inlineStr">
        <is>
          <t>under-floor;claim-borderline</t>
        </is>
      </c>
      <c r="AY125" t="inlineStr">
        <is>
          <t>https://moritochocolates.com</t>
        </is>
      </c>
      <c r="AZ125" t="inlineStr">
        <is>
          <t>NY</t>
        </is>
      </c>
      <c r="BA125" t="inlineStr">
        <is>
          <t>nyc</t>
        </is>
      </c>
      <c r="BB125" t="inlineStr">
        <is>
          <t>unknown</t>
        </is>
      </c>
      <c r="BD125" t="inlineStr">
        <is>
          <t>Y</t>
        </is>
      </c>
      <c r="BE125" t="inlineStr">
        <is>
          <t>Vegan dark chocolate shipped nationwide; shelf life not stated</t>
        </is>
      </c>
      <c r="BF125" t="inlineStr">
        <is>
          <t>unknown</t>
        </is>
      </c>
      <c r="BG125" t="inlineStr">
        <is>
          <t>Y</t>
        </is>
      </c>
      <c r="BH125" t="inlineStr">
        <is>
          <t>unknown</t>
        </is>
      </c>
      <c r="BJ125" t="inlineStr">
        <is>
          <t>No sourced sales figure found</t>
        </is>
      </c>
      <c r="BK125" t="inlineStr">
        <is>
          <t>N</t>
        </is>
      </c>
      <c r="BL125" t="inlineStr">
        <is>
          <t>N</t>
        </is>
      </c>
      <c r="BO125" t="inlineStr">
        <is>
          <t>N</t>
        </is>
      </c>
      <c r="BP125" t="n">
        <v>0</v>
      </c>
      <c r="BS125" t="inlineStr">
        <is>
          <t>unknown</t>
        </is>
      </c>
      <c r="BU125" t="inlineStr">
        <is>
          <t>listing</t>
        </is>
      </c>
      <c r="BV125" t="n">
        <v>20</v>
      </c>
      <c r="CF125" t="inlineStr">
        <is>
          <t>none</t>
        </is>
      </c>
      <c r="CK125" t="inlineStr">
        <is>
          <t>none</t>
        </is>
      </c>
      <c r="CL125" t="n">
        <v>42</v>
      </c>
      <c r="CM125" t="n">
        <v>6</v>
      </c>
      <c r="CN125" t="n">
        <v>20</v>
      </c>
      <c r="CO125" t="n">
        <v>8</v>
      </c>
      <c r="CP125" t="n">
        <v>5</v>
      </c>
      <c r="CQ125" t="n">
        <v>8</v>
      </c>
      <c r="CR125" t="n">
        <v>0</v>
      </c>
      <c r="CS125">
        <f>IF(R125="Y",10,0)</f>
        <v/>
      </c>
      <c r="CT125" t="n">
        <v>-5</v>
      </c>
      <c r="CU125" t="inlineStr">
        <is>
          <t>http://instagram.com/moritochocolates</t>
        </is>
      </c>
      <c r="CV125" t="inlineStr">
        <is>
          <t>BR5</t>
        </is>
      </c>
      <c r="CW125" t="inlineStr">
        <is>
          <t>BR5:13</t>
        </is>
      </c>
      <c r="CX125" t="inlineStr">
        <is>
          <t>HBK Breadwinners Marketplace: 'Handmade in Brooklyn, Morito specializes in small-batch chocolate cups and sticks designed for gifting, specialty retail'. Cacao partner: Hacienda Jeanmarie, Puerto Rico (about page).</t>
        </is>
      </c>
      <c r="DA125" t="inlineStr">
        <is>
          <t>stage 1 only</t>
        </is>
      </c>
      <c r="DY125">
        <f>IF(ISNUMBER(MATCH(U125,{"queued","contacted","replied","call_booked","call_done","yes_in_principle","materials_sent"},0)),"Y","N")</f>
        <v/>
      </c>
      <c r="DZ125">
        <f>IF(COUNTIFS($AN$2:$AN$1000,AN125,$DY$2:$DY$1000,"Y")+COUNTIFS($AN$2:$AN$1000,AN125,$T$2:$T$1000,"Y")&gt;0,"Y","N")</f>
        <v/>
      </c>
      <c r="EA125">
        <f>IF(AND(U125="new",T125="N",AR125="Y",AQ125="",DZ125="N"),"Y","N")</f>
        <v/>
      </c>
      <c r="EB125">
        <f>IF(EA125&lt;&gt;"Y","N",IF(COUNTIFS($AN$2:$AN$1000,AN125,$EA$2:$EA$1000,"Y",$J$2:$J$1000,"&gt;"&amp;J125)+COUNTIFS($AN$2:$AN$1000,AN125,$EA$2:$EA$1000,"Y",$J$2:$J$1000,J125,$ED$2:$ED$1000,"&lt;"&amp;ED125)=0,"Y","N"))</f>
        <v/>
      </c>
      <c r="EC125">
        <f>IF(Y125="","N",IF(Y125&lt;=10,"Y","N"))</f>
        <v/>
      </c>
      <c r="ED125">
        <f>ROW()-1</f>
        <v/>
      </c>
    </row>
    <row r="126">
      <c r="A126" t="inlineStr">
        <is>
          <t>AB-183</t>
        </is>
      </c>
      <c r="B126" t="inlineStr">
        <is>
          <t>Taply</t>
        </is>
      </c>
      <c r="H126" t="inlineStr">
        <is>
          <t>none</t>
        </is>
      </c>
      <c r="J126">
        <f>IF(AU126="pass",CM126+CN126+CO126+CP126+CQ126+CR126+CS126+CT126,0)</f>
        <v/>
      </c>
      <c r="K126" t="inlineStr">
        <is>
          <t>New York City brand, no graded store within ten blocks, online store only, a new store listing 26 days ago, revenue unknown, no contact named; founder review: claim-borderline.</t>
        </is>
      </c>
      <c r="M126" t="inlineStr">
        <is>
          <t>none found within ten blocks</t>
        </is>
      </c>
      <c r="N126" t="inlineStr">
        <is>
          <t>unverified</t>
        </is>
      </c>
      <c r="O126" t="inlineStr">
        <is>
          <t>New Maple Water Sample Pack listed on store</t>
        </is>
      </c>
      <c r="P126" t="inlineStr">
        <is>
          <t>https://drinktaply.com/products.json</t>
        </is>
      </c>
      <c r="Q126" t="inlineStr">
        <is>
          <t>2026-09-28</t>
        </is>
      </c>
      <c r="R126" t="inlineStr">
        <is>
          <t>N</t>
        </is>
      </c>
      <c r="S126" t="inlineStr">
        <is>
          <t>unknown</t>
        </is>
      </c>
      <c r="T126" t="inlineStr">
        <is>
          <t>N</t>
        </is>
      </c>
      <c r="U126" t="inlineStr">
        <is>
          <t>new</t>
        </is>
      </c>
      <c r="V126" t="inlineStr">
        <is>
          <t>https://drinktaply.com</t>
        </is>
      </c>
      <c r="W126" t="inlineStr">
        <is>
          <t>2026-10-23</t>
        </is>
      </c>
      <c r="X126" t="inlineStr">
        <is>
          <t>brand</t>
        </is>
      </c>
      <c r="Y126">
        <f>IF(EB126&lt;&gt;"Y","",COUNTIFS($EB$2:$EB$1000,"Y",$J$2:$J$1000,"&gt;"&amp;J126)+COUNTIFS($EB$2:$EB$1000,"Y",$J$2:$J$1000,J126,$ED$2:$ED$1000,"&lt;"&amp;ED126)+1)</f>
        <v/>
      </c>
      <c r="Z126" t="n">
        <v>125</v>
      </c>
      <c r="AA126" t="inlineStr">
        <is>
          <t>N</t>
        </is>
      </c>
      <c r="AB126" t="inlineStr">
        <is>
          <t>no person named on an opened page: not ready; founder review (claim-borderline): read founder_review_reason first</t>
        </is>
      </c>
      <c r="AD126" t="inlineStr">
        <is>
          <t>none</t>
        </is>
      </c>
      <c r="AH126" t="inlineStr">
        <is>
          <t>Taply lightly sparkling organic maple water (Lime, Razzberry), can</t>
        </is>
      </c>
      <c r="AI126" t="inlineStr">
        <is>
          <t>tea-juice</t>
        </is>
      </c>
      <c r="AJ126" t="inlineStr">
        <is>
          <t>New York</t>
        </is>
      </c>
      <c r="AK126" t="inlineStr">
        <is>
          <t>https://drinktaply.com</t>
        </is>
      </c>
      <c r="AL126" t="inlineStr">
        <is>
          <t>Y</t>
        </is>
      </c>
      <c r="AM126" t="inlineStr">
        <is>
          <t>'Electrolytes, Antioxidants &amp; Minerals' positioning (nutrient-content; check for claims); no current NYC retailer found | Health-claim scan 2026-10-24: a customer review on the homepage mentions 'electrolytes and prebiotics'; check the pack for functional wording; 60-day shelf life not stated</t>
        </is>
      </c>
      <c r="AN126" t="inlineStr">
        <is>
          <t>AB-183</t>
        </is>
      </c>
      <c r="AO126" t="inlineStr">
        <is>
          <t>N</t>
        </is>
      </c>
      <c r="AR126">
        <f>IF(AND(AU126="pass",AO126&lt;&gt;"Y",C126&lt;&gt;""),"Y","N")</f>
        <v/>
      </c>
      <c r="AS126">
        <f>_xlfn.TEXTJOIN("; ",TRUE,IF(AU126&lt;&gt;"pass","gated out",""),IF(AO126="Y","on hold: "&amp;AP126,""),IF(C126="","no contact named on an opened page",""))</f>
        <v/>
      </c>
      <c r="AU126" t="inlineStr">
        <is>
          <t>pass</t>
        </is>
      </c>
      <c r="AW126" t="inlineStr">
        <is>
          <t>passes all hard gates</t>
        </is>
      </c>
      <c r="AX126" t="inlineStr">
        <is>
          <t>claim-borderline</t>
        </is>
      </c>
      <c r="AY126" t="inlineStr">
        <is>
          <t>https://drinktaply.com</t>
        </is>
      </c>
      <c r="AZ126" t="inlineStr">
        <is>
          <t>NY</t>
        </is>
      </c>
      <c r="BA126" t="inlineStr">
        <is>
          <t>nyc</t>
        </is>
      </c>
      <c r="BB126" t="inlineStr">
        <is>
          <t>unknown</t>
        </is>
      </c>
      <c r="BD126" t="inlineStr">
        <is>
          <t>unknown</t>
        </is>
      </c>
      <c r="BE126" t="inlineStr">
        <is>
          <t>No storage statement found</t>
        </is>
      </c>
      <c r="BF126" t="inlineStr">
        <is>
          <t>Y</t>
        </is>
      </c>
      <c r="BG126" t="inlineStr">
        <is>
          <t>Y</t>
        </is>
      </c>
      <c r="BH126" t="inlineStr">
        <is>
          <t>unknown</t>
        </is>
      </c>
      <c r="BJ126" t="inlineStr">
        <is>
          <t>No public sales figure found</t>
        </is>
      </c>
      <c r="BK126" t="inlineStr">
        <is>
          <t>N</t>
        </is>
      </c>
      <c r="BL126" t="inlineStr">
        <is>
          <t>N</t>
        </is>
      </c>
      <c r="BO126" t="inlineStr">
        <is>
          <t>N</t>
        </is>
      </c>
      <c r="BP126" t="n">
        <v>0</v>
      </c>
      <c r="BS126" t="inlineStr">
        <is>
          <t>Pop Up Grocer (past brand, directory)</t>
        </is>
      </c>
      <c r="BT126" t="inlineStr">
        <is>
          <t>https://popupgrocer.com/products/taply</t>
        </is>
      </c>
      <c r="BU126" t="inlineStr">
        <is>
          <t>listing</t>
        </is>
      </c>
      <c r="BV126" t="n">
        <v>26</v>
      </c>
      <c r="CF126" t="inlineStr">
        <is>
          <t>none</t>
        </is>
      </c>
      <c r="CK126" t="inlineStr">
        <is>
          <t>none</t>
        </is>
      </c>
      <c r="CL126" t="n">
        <v>42</v>
      </c>
      <c r="CM126" t="n">
        <v>6</v>
      </c>
      <c r="CN126" t="n">
        <v>20</v>
      </c>
      <c r="CO126" t="n">
        <v>8</v>
      </c>
      <c r="CP126" t="n">
        <v>5</v>
      </c>
      <c r="CQ126" t="n">
        <v>7</v>
      </c>
      <c r="CR126" t="n">
        <v>0</v>
      </c>
      <c r="CS126">
        <f>IF(R126="Y",10,0)</f>
        <v/>
      </c>
      <c r="CT126" t="n">
        <v>-4</v>
      </c>
      <c r="CU126" t="inlineStr">
        <is>
          <t>unknown</t>
        </is>
      </c>
      <c r="CV126" t="inlineStr">
        <is>
          <t>BR3</t>
        </is>
      </c>
      <c r="CW126" t="inlineStr">
        <is>
          <t>BR3:57</t>
        </is>
      </c>
      <c r="CX126" t="inlineStr">
        <is>
          <t>Homepage: 'Tapped in NY &amp; VT', no sugar added, 35 calories. Regional (NY/VT) sourcing story.</t>
        </is>
      </c>
      <c r="CY126" t="inlineStr">
        <is>
          <t xml:space="preserve">hq_city &lt;- https://drinktaply.com/policies/privacy-policy (2026-10-24, opened); hq_state &lt;- https://drinktaply.com/policies/privacy-policy (2026-10-24, opened); founder_review_reason &lt;- https://drinktaply.com (2026-10-24, stage 3 correction); </t>
        </is>
      </c>
      <c r="DA126" t="inlineStr">
        <is>
          <t>stage 1 only</t>
        </is>
      </c>
      <c r="DY126">
        <f>IF(ISNUMBER(MATCH(U126,{"queued","contacted","replied","call_booked","call_done","yes_in_principle","materials_sent"},0)),"Y","N")</f>
        <v/>
      </c>
      <c r="DZ126">
        <f>IF(COUNTIFS($AN$2:$AN$1000,AN126,$DY$2:$DY$1000,"Y")+COUNTIFS($AN$2:$AN$1000,AN126,$T$2:$T$1000,"Y")&gt;0,"Y","N")</f>
        <v/>
      </c>
      <c r="EA126">
        <f>IF(AND(U126="new",T126="N",AR126="Y",AQ126="",DZ126="N"),"Y","N")</f>
        <v/>
      </c>
      <c r="EB126">
        <f>IF(EA126&lt;&gt;"Y","N",IF(COUNTIFS($AN$2:$AN$1000,AN126,$EA$2:$EA$1000,"Y",$J$2:$J$1000,"&gt;"&amp;J126)+COUNTIFS($AN$2:$AN$1000,AN126,$EA$2:$EA$1000,"Y",$J$2:$J$1000,J126,$ED$2:$ED$1000,"&lt;"&amp;ED126)=0,"Y","N"))</f>
        <v/>
      </c>
      <c r="EC126">
        <f>IF(Y126="","N",IF(Y126&lt;=10,"Y","N"))</f>
        <v/>
      </c>
      <c r="ED126">
        <f>ROW()-1</f>
        <v/>
      </c>
    </row>
    <row r="127">
      <c r="A127" t="inlineStr">
        <is>
          <t>AB-261</t>
        </is>
      </c>
      <c r="B127" t="inlineStr">
        <is>
          <t>Top Seedz</t>
        </is>
      </c>
      <c r="C127" t="inlineStr">
        <is>
          <t>Rebecca</t>
        </is>
      </c>
      <c r="D127" t="inlineStr">
        <is>
          <t>Brady</t>
        </is>
      </c>
      <c r="E127" t="inlineStr">
        <is>
          <t>Founder</t>
        </is>
      </c>
      <c r="H127" t="inlineStr">
        <is>
          <t>none</t>
        </is>
      </c>
      <c r="I127" t="inlineStr">
        <is>
          <t>linkedin</t>
        </is>
      </c>
      <c r="J127">
        <f>IF(AU127="pass",CM127+CN127+CO127+CP127+CQ127+CR127+CS127+CT127,0)</f>
        <v/>
      </c>
      <c r="K127" t="inlineStr">
        <is>
          <t>New York State brand, no graded store within ten blocks, online store only, a new store listing 2 days ago, revenue unknown, contact named; founder review: format, claim-borderline.</t>
        </is>
      </c>
      <c r="M127" t="inlineStr">
        <is>
          <t>none found within ten blocks</t>
        </is>
      </c>
      <c r="N127" t="inlineStr">
        <is>
          <t>unverified</t>
        </is>
      </c>
      <c r="O127" t="inlineStr">
        <is>
          <t>Black Pepper &amp; Turmeric Crackers named 2027 sofi Gold Award finalist (Bread, Bakery &amp; Crackers)</t>
        </is>
      </c>
      <c r="P127" t="inlineStr">
        <is>
          <t>https://topseedz.com/blogs/recipes/2027-specialty-food-association-gold-award-finalist</t>
        </is>
      </c>
      <c r="Q127" t="inlineStr">
        <is>
          <t>2026-10-22</t>
        </is>
      </c>
      <c r="R127" t="inlineStr">
        <is>
          <t>N</t>
        </is>
      </c>
      <c r="S127" t="inlineStr">
        <is>
          <t>unknown</t>
        </is>
      </c>
      <c r="T127" t="inlineStr">
        <is>
          <t>N</t>
        </is>
      </c>
      <c r="U127" t="inlineStr">
        <is>
          <t>new</t>
        </is>
      </c>
      <c r="V127" t="inlineStr">
        <is>
          <t>https://topseedz.com/</t>
        </is>
      </c>
      <c r="W127" t="inlineStr">
        <is>
          <t>2026-10-23</t>
        </is>
      </c>
      <c r="X127" t="inlineStr">
        <is>
          <t>brand</t>
        </is>
      </c>
      <c r="Y127">
        <f>IF(EB127&lt;&gt;"Y","",COUNTIFS($EB$2:$EB$1000,"Y",$J$2:$J$1000,"&gt;"&amp;J127)+COUNTIFS($EB$2:$EB$1000,"Y",$J$2:$J$1000,J127,$ED$2:$ED$1000,"&lt;"&amp;ED127)+1)</f>
        <v/>
      </c>
      <c r="Z127" t="n">
        <v>126</v>
      </c>
      <c r="AA127" t="inlineStr">
        <is>
          <t>N</t>
        </is>
      </c>
      <c r="AB127" t="inlineStr">
        <is>
          <t>find Rebecca Brady at Top Seedz on LinkedIn and paste the profile URL; founder review (format, claim-borderline): read founder_review_reason first</t>
        </is>
      </c>
      <c r="AC127" t="inlineStr">
        <is>
          <t>founder</t>
        </is>
      </c>
      <c r="AD127" t="inlineStr">
        <is>
          <t>verified-page</t>
        </is>
      </c>
      <c r="AE127" t="inlineStr">
        <is>
          <t>employer's own site</t>
        </is>
      </c>
      <c r="AF127" t="inlineStr">
        <is>
          <t>https://topseedz.com/</t>
        </is>
      </c>
      <c r="AG127" t="inlineStr">
        <is>
          <t>2026-10-23</t>
        </is>
      </c>
      <c r="AH127" t="inlineStr">
        <is>
          <t>Black Pepper &amp; Turmeric seed crackers; Organic Sea Salt Roasted Seeds 6 oz</t>
        </is>
      </c>
      <c r="AI127" t="inlineStr">
        <is>
          <t>crackers-pretzels</t>
        </is>
      </c>
      <c r="AJ127" t="inlineStr">
        <is>
          <t>Buffalo (terms of service: Top Seedz LLC, 101 Oak Street, Suite 105, Buffalo, NY 14203)</t>
        </is>
      </c>
      <c r="AK127" t="inlineStr">
        <is>
          <t>https://topseedz.com</t>
        </is>
      </c>
      <c r="AL127" t="inlineStr">
        <is>
          <t>Y</t>
        </is>
      </c>
      <c r="AM127" t="inlineStr">
        <is>
          <t>Homepage wording 'food made for you to feel good' (soft wellness language, no explicit claim); single-serve format not confirmed</t>
        </is>
      </c>
      <c r="AN127" t="inlineStr">
        <is>
          <t>AB-261</t>
        </is>
      </c>
      <c r="AO127" t="inlineStr">
        <is>
          <t>N</t>
        </is>
      </c>
      <c r="AR127">
        <f>IF(AND(AU127="pass",AO127&lt;&gt;"Y",C127&lt;&gt;""),"Y","N")</f>
        <v/>
      </c>
      <c r="AS127">
        <f>_xlfn.TEXTJOIN("; ",TRUE,IF(AU127&lt;&gt;"pass","gated out",""),IF(AO127="Y","on hold: "&amp;AP127,""),IF(C127="","no contact named on an opened page",""))</f>
        <v/>
      </c>
      <c r="AU127" t="inlineStr">
        <is>
          <t>pass</t>
        </is>
      </c>
      <c r="AW127" t="inlineStr">
        <is>
          <t>passes all hard gates</t>
        </is>
      </c>
      <c r="AX127" t="inlineStr">
        <is>
          <t>format;claim-borderline</t>
        </is>
      </c>
      <c r="AY127" t="inlineStr">
        <is>
          <t>https://topseedz.com</t>
        </is>
      </c>
      <c r="AZ127" t="inlineStr">
        <is>
          <t>NY</t>
        </is>
      </c>
      <c r="BA127" t="inlineStr">
        <is>
          <t>nys</t>
        </is>
      </c>
      <c r="BB127" t="inlineStr">
        <is>
          <t>unknown</t>
        </is>
      </c>
      <c r="BD127" t="inlineStr">
        <is>
          <t>Y</t>
        </is>
      </c>
      <c r="BE127" t="inlineStr">
        <is>
          <t>Dry seed crackers and roasted seeds sold ambient; no shelf-life figure published, founder to confirm</t>
        </is>
      </c>
      <c r="BF127" t="inlineStr">
        <is>
          <t>unknown</t>
        </is>
      </c>
      <c r="BG127" t="inlineStr">
        <is>
          <t>Y</t>
        </is>
      </c>
      <c r="BH127" t="inlineStr">
        <is>
          <t>unknown</t>
        </is>
      </c>
      <c r="BJ127" t="inlineStr">
        <is>
          <t>unknown</t>
        </is>
      </c>
      <c r="BK127" t="inlineStr">
        <is>
          <t>N</t>
        </is>
      </c>
      <c r="BL127" t="inlineStr">
        <is>
          <t>N</t>
        </is>
      </c>
      <c r="BO127" t="inlineStr">
        <is>
          <t>N</t>
        </is>
      </c>
      <c r="BP127" t="n">
        <v>0</v>
      </c>
      <c r="BS127" t="inlineStr">
        <is>
          <t>Whole Foods Market Williamsburg, Brooklyn (WFM catalog, flagged Local); 'Find Us' locator; corporate gifting</t>
        </is>
      </c>
      <c r="BT127" t="inlineStr">
        <is>
          <t>https://www.wholefoodsmarket.com/api/search?text=seeds&amp;store=10487&amp;limit=60&amp;offset=0&amp;featured=local</t>
        </is>
      </c>
      <c r="BU127" t="inlineStr">
        <is>
          <t>listing</t>
        </is>
      </c>
      <c r="BV127" t="n">
        <v>2</v>
      </c>
      <c r="BX127" t="inlineStr">
        <is>
          <t>Rebecca Brady</t>
        </is>
      </c>
      <c r="CF127" t="inlineStr">
        <is>
          <t>none</t>
        </is>
      </c>
      <c r="CK127" t="inlineStr">
        <is>
          <t>none</t>
        </is>
      </c>
      <c r="CL127" t="n">
        <v>42</v>
      </c>
      <c r="CM127" t="n">
        <v>6</v>
      </c>
      <c r="CN127" t="n">
        <v>13</v>
      </c>
      <c r="CO127" t="n">
        <v>8</v>
      </c>
      <c r="CP127" t="n">
        <v>5</v>
      </c>
      <c r="CQ127" t="n">
        <v>8</v>
      </c>
      <c r="CR127" t="n">
        <v>6</v>
      </c>
      <c r="CS127">
        <f>IF(R127="Y",10,0)</f>
        <v/>
      </c>
      <c r="CT127" t="n">
        <v>-4</v>
      </c>
      <c r="CV127" t="inlineStr">
        <is>
          <t>BR4</t>
        </is>
      </c>
      <c r="CW127" t="inlineStr">
        <is>
          <t>BR4:56</t>
        </is>
      </c>
      <c r="CX127" t="inlineStr">
        <is>
          <t>Made in Buffalo, NY through the Journey's End refugee workforce program; woman-owned (homepage). Has a Corporate Gifting page.</t>
        </is>
      </c>
      <c r="CY127" t="inlineStr">
        <is>
          <t xml:space="preserve">hq_city &lt;- https://topseedz.com/policies/terms-of-service (2026-10-24, opened); </t>
        </is>
      </c>
      <c r="DA127" t="inlineStr">
        <is>
          <t>stage 1 only</t>
        </is>
      </c>
      <c r="DY127">
        <f>IF(ISNUMBER(MATCH(U127,{"queued","contacted","replied","call_booked","call_done","yes_in_principle","materials_sent"},0)),"Y","N")</f>
        <v/>
      </c>
      <c r="DZ127">
        <f>IF(COUNTIFS($AN$2:$AN$1000,AN127,$DY$2:$DY$1000,"Y")+COUNTIFS($AN$2:$AN$1000,AN127,$T$2:$T$1000,"Y")&gt;0,"Y","N")</f>
        <v/>
      </c>
      <c r="EA127">
        <f>IF(AND(U127="new",T127="N",AR127="Y",AQ127="",DZ127="N"),"Y","N")</f>
        <v/>
      </c>
      <c r="EB127">
        <f>IF(EA127&lt;&gt;"Y","N",IF(COUNTIFS($AN$2:$AN$1000,AN127,$EA$2:$EA$1000,"Y",$J$2:$J$1000,"&gt;"&amp;J127)+COUNTIFS($AN$2:$AN$1000,AN127,$EA$2:$EA$1000,"Y",$J$2:$J$1000,J127,$ED$2:$ED$1000,"&lt;"&amp;ED127)=0,"Y","N"))</f>
        <v/>
      </c>
      <c r="EC127">
        <f>IF(Y127="","N",IF(Y127&lt;=10,"Y","N"))</f>
        <v/>
      </c>
      <c r="ED127">
        <f>ROW()-1</f>
        <v/>
      </c>
    </row>
    <row r="128">
      <c r="A128" t="inlineStr">
        <is>
          <t>AB-006</t>
        </is>
      </c>
      <c r="B128" t="inlineStr">
        <is>
          <t>Strip Jerky</t>
        </is>
      </c>
      <c r="C128" t="inlineStr">
        <is>
          <t>Nicole</t>
        </is>
      </c>
      <c r="D128" t="inlineStr">
        <is>
          <t>Schlesinger</t>
        </is>
      </c>
      <c r="E128" t="inlineStr">
        <is>
          <t>Founder</t>
        </is>
      </c>
      <c r="H128" t="inlineStr">
        <is>
          <t>none</t>
        </is>
      </c>
      <c r="I128" t="inlineStr">
        <is>
          <t>linkedin</t>
        </is>
      </c>
      <c r="J128">
        <f>IF(AU128="pass",CM128+CN128+CO128+CP128+CQ128+CR128+CS128+CT128,0)</f>
        <v/>
      </c>
      <c r="K128" t="inlineStr">
        <is>
          <t>New York City brand, no graded store within ten blocks, online store only, no dated why-now in the last 12 months, revenue unknown, contact named; founder review: under-floor, claim-borderline.</t>
        </is>
      </c>
      <c r="M128" t="inlineStr">
        <is>
          <t>none found within ten blocks</t>
        </is>
      </c>
      <c r="N128" t="inlineStr">
        <is>
          <t>unverified</t>
        </is>
      </c>
      <c r="O128" t="inlineStr">
        <is>
          <t>New Hot Honey Date flavor drop: more than 1,800 bags sold in pre-orders in the six weeks before it (Entrepreneur Q&amp;A); a Forbes 'Best Things We Ate, June 2026' mention could not be opened (HTTP 403), unverified, founder to confirm</t>
        </is>
      </c>
      <c r="P128" t="inlineStr">
        <is>
          <t>https://www.entrepreneur.com/building-a-business/at-age-25-shes-turning-the-business-that-started-in-her-apartment-into-over-200k-a-year</t>
        </is>
      </c>
      <c r="Q128" t="inlineStr">
        <is>
          <t>2026-07-06</t>
        </is>
      </c>
      <c r="R128" t="inlineStr">
        <is>
          <t>N</t>
        </is>
      </c>
      <c r="S128" t="inlineStr">
        <is>
          <t>Y</t>
        </is>
      </c>
      <c r="T128" t="inlineStr">
        <is>
          <t>N</t>
        </is>
      </c>
      <c r="U128" t="inlineStr">
        <is>
          <t>new</t>
        </is>
      </c>
      <c r="V128" t="inlineStr">
        <is>
          <t>https://stripjerky.com/pages/press</t>
        </is>
      </c>
      <c r="W128" t="inlineStr">
        <is>
          <t>2026-10-23</t>
        </is>
      </c>
      <c r="X128" t="inlineStr">
        <is>
          <t>brand</t>
        </is>
      </c>
      <c r="Y128">
        <f>IF(EB128&lt;&gt;"Y","",COUNTIFS($EB$2:$EB$1000,"Y",$J$2:$J$1000,"&gt;"&amp;J128)+COUNTIFS($EB$2:$EB$1000,"Y",$J$2:$J$1000,J128,$ED$2:$ED$1000,"&lt;"&amp;ED128)+1)</f>
        <v/>
      </c>
      <c r="Z128" t="n">
        <v>127</v>
      </c>
      <c r="AA128" t="inlineStr">
        <is>
          <t>N</t>
        </is>
      </c>
      <c r="AB128" t="inlineStr">
        <is>
          <t>find Nicole Schlesinger at Strip Jerky on LinkedIn and paste the profile URL; founder review (under-floor, claim-borderline): read founder_review_reason first</t>
        </is>
      </c>
      <c r="AC128" t="inlineStr">
        <is>
          <t>founder</t>
        </is>
      </c>
      <c r="AD128" t="inlineStr">
        <is>
          <t>verified-page</t>
        </is>
      </c>
      <c r="AE128" t="inlineStr">
        <is>
          <t>press, event or podcast page</t>
        </is>
      </c>
      <c r="AF128" t="inlineStr">
        <is>
          <t>https://www.entrepreneur.com/building-a-business/at-age-25-shes-turning-the-business-that-started-in-her-apartment-into-over-200k-a-year</t>
        </is>
      </c>
      <c r="AG128" t="inlineStr">
        <is>
          <t>2026-10-23</t>
        </is>
      </c>
      <c r="AH128" t="inlineStr">
        <is>
          <t>Strip Jerky grass-fed beef jerky, Original and Hot Honey Date (single-serve bag, 24g protein per bag)</t>
        </is>
      </c>
      <c r="AI128" t="inlineStr">
        <is>
          <t>meat-snacks</t>
        </is>
      </c>
      <c r="AJ128" t="inlineStr">
        <is>
          <t>New York</t>
        </is>
      </c>
      <c r="AK128" t="inlineStr">
        <is>
          <t>https://stripjerky.com</t>
        </is>
      </c>
      <c r="AL128" t="inlineStr">
        <is>
          <t>Y</t>
        </is>
      </c>
      <c r="AM128" t="inlineStr">
        <is>
          <t>Launch-year brand (projected $200k+ revenue for 2026, likely below the $500k band); protein-forward nutrient-content claim (24g protein per bag)</t>
        </is>
      </c>
      <c r="AN128" t="inlineStr">
        <is>
          <t>AB-006</t>
        </is>
      </c>
      <c r="AO128" t="inlineStr">
        <is>
          <t>N</t>
        </is>
      </c>
      <c r="AR128">
        <f>IF(AND(AU128="pass",AO128&lt;&gt;"Y",C128&lt;&gt;""),"Y","N")</f>
        <v/>
      </c>
      <c r="AS128">
        <f>_xlfn.TEXTJOIN("; ",TRUE,IF(AU128&lt;&gt;"pass","gated out",""),IF(AO128="Y","on hold: "&amp;AP128,""),IF(C128="","no contact named on an opened page",""))</f>
        <v/>
      </c>
      <c r="AU128" t="inlineStr">
        <is>
          <t>pass</t>
        </is>
      </c>
      <c r="AW128" t="inlineStr">
        <is>
          <t>passes all hard gates</t>
        </is>
      </c>
      <c r="AX128" t="inlineStr">
        <is>
          <t>under-floor;claim-borderline</t>
        </is>
      </c>
      <c r="AY128" t="inlineStr">
        <is>
          <t>https://stripjerky.com</t>
        </is>
      </c>
      <c r="AZ128" t="inlineStr">
        <is>
          <t>NY</t>
        </is>
      </c>
      <c r="BA128" t="inlineStr">
        <is>
          <t>nyc</t>
        </is>
      </c>
      <c r="BB128" t="inlineStr">
        <is>
          <t>bootstrapped</t>
        </is>
      </c>
      <c r="BC128" t="inlineStr">
        <is>
          <t>https://www.entrepreneur.com/building-a-business/at-age-25-shes-turning-the-business-that-started-in-her-apartment-into-over-200k-a-year</t>
        </is>
      </c>
      <c r="BD128" t="inlineStr">
        <is>
          <t>Y</t>
        </is>
      </c>
      <c r="BE128" t="inlineStr">
        <is>
          <t>Packaged beef jerky sold ambient online and in PopUp Grocer 'Bites + Chews' aisle</t>
        </is>
      </c>
      <c r="BF128" t="inlineStr">
        <is>
          <t>Y</t>
        </is>
      </c>
      <c r="BG128" t="inlineStr">
        <is>
          <t>Y</t>
        </is>
      </c>
      <c r="BH128" t="inlineStr">
        <is>
          <t>unknown</t>
        </is>
      </c>
      <c r="BJ128" t="inlineStr">
        <is>
          <t>Not banded: Entrepreneur (2026-07-06) says projected more than $200,000 revenue in 2026 and "multi-six-figure"; could fall either side of $500k</t>
        </is>
      </c>
      <c r="BK128" t="inlineStr">
        <is>
          <t>N</t>
        </is>
      </c>
      <c r="BL128" t="inlineStr">
        <is>
          <t>N</t>
        </is>
      </c>
      <c r="BO128" t="inlineStr">
        <is>
          <t>N</t>
        </is>
      </c>
      <c r="BP128" t="n">
        <v>0</v>
      </c>
      <c r="BR128" t="inlineStr">
        <is>
          <t>PopUp Grocer (brand_claim, unplaced)</t>
        </is>
      </c>
      <c r="BS128" t="inlineStr">
        <is>
          <t>PopUp Grocer (NYC); store locator widget on brand site (stores not readable without JavaScript)</t>
        </is>
      </c>
      <c r="BT128" t="inlineStr">
        <is>
          <t>https://popupgrocer.com/pages/directory (brand listed with availability 'NYC Flagship', 2026-10-23); https://popupgrocer.com/products/strip-jerky</t>
        </is>
      </c>
      <c r="BU128" t="inlineStr">
        <is>
          <t>unverified</t>
        </is>
      </c>
      <c r="BV128" t="n">
        <v>110</v>
      </c>
      <c r="BW128" t="inlineStr">
        <is>
          <t>https://www.entrepreneur.com/building-a-business/at-age-25-shes-turning-the-business-that-started-in-her-apartment-into-over-200k-a-year</t>
        </is>
      </c>
      <c r="BX128" t="inlineStr">
        <is>
          <t>Nicole Schlesinger</t>
        </is>
      </c>
      <c r="CF128" t="inlineStr">
        <is>
          <t>none</t>
        </is>
      </c>
      <c r="CK128" t="inlineStr">
        <is>
          <t>none</t>
        </is>
      </c>
      <c r="CL128" t="n">
        <v>42</v>
      </c>
      <c r="CM128" t="n">
        <v>6</v>
      </c>
      <c r="CN128" t="n">
        <v>20</v>
      </c>
      <c r="CO128" t="n">
        <v>0</v>
      </c>
      <c r="CP128" t="n">
        <v>5</v>
      </c>
      <c r="CQ128" t="n">
        <v>10</v>
      </c>
      <c r="CR128" t="n">
        <v>6</v>
      </c>
      <c r="CS128">
        <f>IF(R128="Y",10,0)</f>
        <v/>
      </c>
      <c r="CT128" t="n">
        <v>-5</v>
      </c>
      <c r="CU128" t="inlineStr">
        <is>
          <t>https://instagram.com/thestripjerky</t>
        </is>
      </c>
      <c r="CV128" t="inlineStr">
        <is>
          <t>BR1</t>
        </is>
      </c>
      <c r="CW128" t="inlineStr">
        <is>
          <t>BR1:7</t>
        </is>
      </c>
      <c r="CX128" t="inlineStr">
        <is>
          <t>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t>
        </is>
      </c>
      <c r="CY128" t="inlineStr">
        <is>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is>
      </c>
      <c r="DA128" t="inlineStr">
        <is>
          <t>stage 1 only</t>
        </is>
      </c>
      <c r="DY128">
        <f>IF(ISNUMBER(MATCH(U128,{"queued","contacted","replied","call_booked","call_done","yes_in_principle","materials_sent"},0)),"Y","N")</f>
        <v/>
      </c>
      <c r="DZ128">
        <f>IF(COUNTIFS($AN$2:$AN$1000,AN128,$DY$2:$DY$1000,"Y")+COUNTIFS($AN$2:$AN$1000,AN128,$T$2:$T$1000,"Y")&gt;0,"Y","N")</f>
        <v/>
      </c>
      <c r="EA128">
        <f>IF(AND(U128="new",T128="N",AR128="Y",AQ128="",DZ128="N"),"Y","N")</f>
        <v/>
      </c>
      <c r="EB128">
        <f>IF(EA128&lt;&gt;"Y","N",IF(COUNTIFS($AN$2:$AN$1000,AN128,$EA$2:$EA$1000,"Y",$J$2:$J$1000,"&gt;"&amp;J128)+COUNTIFS($AN$2:$AN$1000,AN128,$EA$2:$EA$1000,"Y",$J$2:$J$1000,J128,$ED$2:$ED$1000,"&lt;"&amp;ED128)=0,"Y","N"))</f>
        <v/>
      </c>
      <c r="EC128">
        <f>IF(Y128="","N",IF(Y128&lt;=10,"Y","N"))</f>
        <v/>
      </c>
      <c r="ED128">
        <f>ROW()-1</f>
        <v/>
      </c>
    </row>
    <row r="129">
      <c r="A129" t="inlineStr">
        <is>
          <t>AB-043</t>
        </is>
      </c>
      <c r="B129" t="inlineStr">
        <is>
          <t>Unique Snacks (Unique Pretzels)</t>
        </is>
      </c>
      <c r="H129" t="inlineStr">
        <is>
          <t>none</t>
        </is>
      </c>
      <c r="J129">
        <f>IF(AU129="pass",CM129+CN129+CO129+CP129+CQ129+CR129+CS129+CT129,0)</f>
        <v/>
      </c>
      <c r="K129" t="inlineStr">
        <is>
          <t>Northeast brand, store page shows Whole Foods Market Union Square inside the cluster, a new store listing 8 days ago, revenue unknown, no contact named; founder review: scale, format.</t>
        </is>
      </c>
      <c r="M129" t="inlineStr">
        <is>
          <t>Whole Foods Market Union Square, 4 Union Sq S</t>
        </is>
      </c>
      <c r="N129" t="inlineStr">
        <is>
          <t>store_selector</t>
        </is>
      </c>
      <c r="O129" t="inlineStr">
        <is>
          <t>Puff Knots featured in Women's Health Oct-Dec 2026 issue; top three products added to Walmart shelves across the Northeast (2026-03-09)</t>
        </is>
      </c>
      <c r="P129" t="inlineStr">
        <is>
          <t>https://www.uniquesnacks.com/blogs/snack-notes</t>
        </is>
      </c>
      <c r="Q129" t="inlineStr">
        <is>
          <t>2026-10-16</t>
        </is>
      </c>
      <c r="R129" t="inlineStr">
        <is>
          <t>N</t>
        </is>
      </c>
      <c r="S129" t="inlineStr">
        <is>
          <t>unknown</t>
        </is>
      </c>
      <c r="T129" t="inlineStr">
        <is>
          <t>N</t>
        </is>
      </c>
      <c r="U129" t="inlineStr">
        <is>
          <t>new</t>
        </is>
      </c>
      <c r="V129" t="inlineStr">
        <is>
          <t>https://www.uniquesnacks.com/pages/about-us</t>
        </is>
      </c>
      <c r="W129" t="inlineStr">
        <is>
          <t>2026-10-23</t>
        </is>
      </c>
      <c r="X129" t="inlineStr">
        <is>
          <t>brand</t>
        </is>
      </c>
      <c r="Y129">
        <f>IF(EB129&lt;&gt;"Y","",COUNTIFS($EB$2:$EB$1000,"Y",$J$2:$J$1000,"&gt;"&amp;J129)+COUNTIFS($EB$2:$EB$1000,"Y",$J$2:$J$1000,J129,$ED$2:$ED$1000,"&lt;"&amp;ED129)+1)</f>
        <v/>
      </c>
      <c r="Z129" t="n">
        <v>128</v>
      </c>
      <c r="AA129" t="inlineStr">
        <is>
          <t>N</t>
        </is>
      </c>
      <c r="AB129" t="inlineStr">
        <is>
          <t>no person named on an opened page: not ready; before using the retailer line, check Whole Foods Market Union Square still lists it: https://www.wholefoodsmarket.com/search?text=Unique%20Snacks with your store set to Union Square (catalogs change daily); founder review (scale, format): read founder_review_reason first</t>
        </is>
      </c>
      <c r="AD129" t="inlineStr">
        <is>
          <t>none</t>
        </is>
      </c>
      <c r="AH129" t="inlineStr">
        <is>
          <t>Unique Pretzel Splits, Original 11 oz; Puff Knots</t>
        </is>
      </c>
      <c r="AI129" t="inlineStr">
        <is>
          <t>crackers-pretzels</t>
        </is>
      </c>
      <c r="AJ129" t="inlineStr">
        <is>
          <t>Reading</t>
        </is>
      </c>
      <c r="AK129" t="inlineStr">
        <is>
          <t>https://www.uniquesnacks.com</t>
        </is>
      </c>
      <c r="AL129" t="inlineStr">
        <is>
          <t>Y</t>
        </is>
      </c>
      <c r="AM129" t="inlineStr">
        <is>
          <t>Established multi-generation bakery (Unique Pretzel Bakery, Inc.), likely above the $10M band; large-format bags, not single-serve</t>
        </is>
      </c>
      <c r="AN129" t="inlineStr">
        <is>
          <t>AB-043</t>
        </is>
      </c>
      <c r="AO129" t="inlineStr">
        <is>
          <t>N</t>
        </is>
      </c>
      <c r="AR129">
        <f>IF(AND(AU129="pass",AO129&lt;&gt;"Y",C129&lt;&gt;""),"Y","N")</f>
        <v/>
      </c>
      <c r="AS129">
        <f>_xlfn.TEXTJOIN("; ",TRUE,IF(AU129&lt;&gt;"pass","gated out",""),IF(AO129="Y","on hold: "&amp;AP129,""),IF(C129="","no contact named on an opened page",""))</f>
        <v/>
      </c>
      <c r="AU129" t="inlineStr">
        <is>
          <t>pass</t>
        </is>
      </c>
      <c r="AW129" t="inlineStr">
        <is>
          <t>passes all hard gates</t>
        </is>
      </c>
      <c r="AX129" t="inlineStr">
        <is>
          <t>scale;format</t>
        </is>
      </c>
      <c r="AY129" t="inlineStr">
        <is>
          <t>https://www.uniquesnacks.com</t>
        </is>
      </c>
      <c r="AZ129" t="inlineStr">
        <is>
          <t>PA</t>
        </is>
      </c>
      <c r="BA129" t="inlineStr">
        <is>
          <t>northeast</t>
        </is>
      </c>
      <c r="BB129" t="inlineStr">
        <is>
          <t>family-owned (six generations per site)</t>
        </is>
      </c>
      <c r="BD129" t="inlineStr">
        <is>
          <t>Y</t>
        </is>
      </c>
      <c r="BE129" t="inlineStr">
        <is>
          <t>Baked hard pretzels in sealed bags and tins, ambient</t>
        </is>
      </c>
      <c r="BF129" t="inlineStr">
        <is>
          <t>N</t>
        </is>
      </c>
      <c r="BG129" t="inlineStr">
        <is>
          <t>Y</t>
        </is>
      </c>
      <c r="BH129" t="inlineStr">
        <is>
          <t>unknown</t>
        </is>
      </c>
      <c r="BJ129" t="inlineStr">
        <is>
          <t>unknown</t>
        </is>
      </c>
      <c r="BK129" t="inlineStr">
        <is>
          <t>N</t>
        </is>
      </c>
      <c r="BL129" t="inlineStr">
        <is>
          <t>N</t>
        </is>
      </c>
      <c r="BN129" t="n">
        <v>0</v>
      </c>
      <c r="BO129" t="inlineStr">
        <is>
          <t>Y</t>
        </is>
      </c>
      <c r="BP129" t="n">
        <v>1</v>
      </c>
      <c r="BQ129" t="inlineStr">
        <is>
          <t>Whole Foods Market Union Square, 4 Union Sq S (store_selector, inside)</t>
        </is>
      </c>
      <c r="BS129" t="inlineStr">
        <is>
          <t>Walmart (Northeast, from March 2026); Whole Foods Market; brand store locator</t>
        </is>
      </c>
      <c r="BT129" t="inlineStr">
        <is>
          <t>https://www.wholefoodsmarket.com/search?text=pretzels (Union Square context: Unique Pretzels Splits Original 11 oz and Extra Dark IN_STOCK, category search 2026-10-23)</t>
        </is>
      </c>
      <c r="BU129" t="inlineStr">
        <is>
          <t>listing</t>
        </is>
      </c>
      <c r="BV129" t="n">
        <v>8</v>
      </c>
      <c r="CF129" t="inlineStr">
        <is>
          <t>none</t>
        </is>
      </c>
      <c r="CK129" t="inlineStr">
        <is>
          <t>none</t>
        </is>
      </c>
      <c r="CL129" t="n">
        <v>41</v>
      </c>
      <c r="CM129" t="n">
        <v>25</v>
      </c>
      <c r="CN129" t="n">
        <v>8</v>
      </c>
      <c r="CO129" t="n">
        <v>8</v>
      </c>
      <c r="CP129" t="n">
        <v>5</v>
      </c>
      <c r="CQ129" t="n">
        <v>7</v>
      </c>
      <c r="CR129" t="n">
        <v>0</v>
      </c>
      <c r="CS129">
        <f>IF(R129="Y",10,0)</f>
        <v/>
      </c>
      <c r="CT129" t="n">
        <v>-12</v>
      </c>
      <c r="CU129" t="inlineStr">
        <is>
          <t>unknown</t>
        </is>
      </c>
      <c r="CV129" t="inlineStr">
        <is>
          <t>BR1</t>
        </is>
      </c>
      <c r="CW129" t="inlineStr">
        <is>
          <t>BR1:44</t>
        </is>
      </c>
      <c r="CX129" t="inlineStr">
        <is>
          <t>Entity Unique Pretzel Bakery, Inc., Reading PA (terms of service). Holiday tins on brand store suit gifting more than pantry drops.</t>
        </is>
      </c>
      <c r="DA129" t="inlineStr">
        <is>
          <t>stage 1 only</t>
        </is>
      </c>
      <c r="DY129">
        <f>IF(ISNUMBER(MATCH(U129,{"queued","contacted","replied","call_booked","call_done","yes_in_principle","materials_sent"},0)),"Y","N")</f>
        <v/>
      </c>
      <c r="DZ129">
        <f>IF(COUNTIFS($AN$2:$AN$1000,AN129,$DY$2:$DY$1000,"Y")+COUNTIFS($AN$2:$AN$1000,AN129,$T$2:$T$1000,"Y")&gt;0,"Y","N")</f>
        <v/>
      </c>
      <c r="EA129">
        <f>IF(AND(U129="new",T129="N",AR129="Y",AQ129="",DZ129="N"),"Y","N")</f>
        <v/>
      </c>
      <c r="EB129">
        <f>IF(EA129&lt;&gt;"Y","N",IF(COUNTIFS($AN$2:$AN$1000,AN129,$EA$2:$EA$1000,"Y",$J$2:$J$1000,"&gt;"&amp;J129)+COUNTIFS($AN$2:$AN$1000,AN129,$EA$2:$EA$1000,"Y",$J$2:$J$1000,J129,$ED$2:$ED$1000,"&lt;"&amp;ED129)=0,"Y","N"))</f>
        <v/>
      </c>
      <c r="EC129">
        <f>IF(Y129="","N",IF(Y129&lt;=10,"Y","N"))</f>
        <v/>
      </c>
      <c r="ED129">
        <f>ROW()-1</f>
        <v/>
      </c>
    </row>
    <row r="130">
      <c r="A130" t="inlineStr">
        <is>
          <t>AB-099</t>
        </is>
      </c>
      <c r="B130" t="inlineStr">
        <is>
          <t>By the Way Bakery</t>
        </is>
      </c>
      <c r="C130" t="inlineStr">
        <is>
          <t>Helene</t>
        </is>
      </c>
      <c r="D130" t="inlineStr">
        <is>
          <t>unknown</t>
        </is>
      </c>
      <c r="E130" t="inlineStr">
        <is>
          <t>Founder</t>
        </is>
      </c>
      <c r="H130" t="inlineStr">
        <is>
          <t>none</t>
        </is>
      </c>
      <c r="I130" t="inlineStr">
        <is>
          <t>linkedin</t>
        </is>
      </c>
      <c r="J130">
        <f>IF(AU130="pass",CM130+CN130+CO130+CP130+CQ130+CR130+CS130+CT130,0)</f>
        <v/>
      </c>
      <c r="K130" t="inlineStr">
        <is>
          <t>New York State brand, store page shows Whole Foods Market Union Square inside the cluster, no dated why-now in the last 12 months, revenue unknown, contact named (first name only); founder review: perishable-risk.</t>
        </is>
      </c>
      <c r="M130" t="inlineStr">
        <is>
          <t>Whole Foods Market Union Square, 4 Union Sq S</t>
        </is>
      </c>
      <c r="N130" t="inlineStr">
        <is>
          <t>store_selector</t>
        </is>
      </c>
      <c r="R130" t="inlineStr">
        <is>
          <t>N</t>
        </is>
      </c>
      <c r="S130" t="inlineStr">
        <is>
          <t>unknown</t>
        </is>
      </c>
      <c r="T130" t="inlineStr">
        <is>
          <t>N</t>
        </is>
      </c>
      <c r="U130" t="inlineStr">
        <is>
          <t>new</t>
        </is>
      </c>
      <c r="V130" t="inlineStr">
        <is>
          <t>https://www.btwbakery.com/our-story</t>
        </is>
      </c>
      <c r="W130" t="inlineStr">
        <is>
          <t>2026-10-23</t>
        </is>
      </c>
      <c r="X130" t="inlineStr">
        <is>
          <t>brand</t>
        </is>
      </c>
      <c r="Y130">
        <f>IF(EB130&lt;&gt;"Y","",COUNTIFS($EB$2:$EB$1000,"Y",$J$2:$J$1000,"&gt;"&amp;J130)+COUNTIFS($EB$2:$EB$1000,"Y",$J$2:$J$1000,J130,$ED$2:$ED$1000,"&lt;"&amp;ED130)+1)</f>
        <v/>
      </c>
      <c r="Z130" t="n">
        <v>129</v>
      </c>
      <c r="AA130" t="inlineStr">
        <is>
          <t>N</t>
        </is>
      </c>
      <c r="AB130" t="inlineStr">
        <is>
          <t>find Helene at By the Way Bakery on LinkedIn and paste the profile URL; surname not public: take it from LinkedIn; before using the retailer line, check Whole Foods Market Union Square still lists it: https://www.wholefoodsmarket.com/search?text=By%20the%20Way%20Bakery with your store set to Union Square (catalogs change daily); founder review (perishable-risk): read founder_review_reason first</t>
        </is>
      </c>
      <c r="AC130" t="inlineStr">
        <is>
          <t>founder</t>
        </is>
      </c>
      <c r="AD130" t="inlineStr">
        <is>
          <t>first-name-only</t>
        </is>
      </c>
      <c r="AE130" t="inlineStr">
        <is>
          <t>employer's own site</t>
        </is>
      </c>
      <c r="AF130" t="inlineStr">
        <is>
          <t>https://www.btwbakery.com/our-story</t>
        </is>
      </c>
      <c r="AG130" t="inlineStr">
        <is>
          <t>2026-10-23</t>
        </is>
      </c>
      <c r="AH130" t="inlineStr">
        <is>
          <t>Brownie Bites 14 oz; Raspberry Slice 5 oz (gluten-free, dairy-free)</t>
        </is>
      </c>
      <c r="AI130" t="inlineStr">
        <is>
          <t>cookies-baked</t>
        </is>
      </c>
      <c r="AJ130" t="inlineStr">
        <is>
          <t>Hastings-on-Hudson</t>
        </is>
      </c>
      <c r="AL130" t="inlineStr">
        <is>
          <t>Y</t>
        </is>
      </c>
      <c r="AM130" t="inlineStr">
        <is>
          <t>Fresh or frozen bakery line likely fails the 60-day shelf-stable rule; confirm storage before outreach; 60-day shelf life not stated; no online store: buy path is the store only</t>
        </is>
      </c>
      <c r="AN130" t="inlineStr">
        <is>
          <t>AB-099</t>
        </is>
      </c>
      <c r="AO130" t="inlineStr">
        <is>
          <t>N</t>
        </is>
      </c>
      <c r="AR130">
        <f>IF(AND(AU130="pass",AO130&lt;&gt;"Y",C130&lt;&gt;""),"Y","N")</f>
        <v/>
      </c>
      <c r="AS130">
        <f>_xlfn.TEXTJOIN("; ",TRUE,IF(AU130&lt;&gt;"pass","gated out",""),IF(AO130="Y","on hold: "&amp;AP130,""),IF(C130="","no contact named on an opened page",""))</f>
        <v/>
      </c>
      <c r="AU130" t="inlineStr">
        <is>
          <t>pass</t>
        </is>
      </c>
      <c r="AW130" t="inlineStr">
        <is>
          <t>passes all hard gates</t>
        </is>
      </c>
      <c r="AX130" t="inlineStr">
        <is>
          <t>perishable-risk</t>
        </is>
      </c>
      <c r="AY130" t="inlineStr">
        <is>
          <t>https://www.btwbakery.com</t>
        </is>
      </c>
      <c r="AZ130" t="inlineStr">
        <is>
          <t>NY</t>
        </is>
      </c>
      <c r="BA130" t="inlineStr">
        <is>
          <t>nys</t>
        </is>
      </c>
      <c r="BB130" t="inlineStr">
        <is>
          <t>unknown</t>
        </is>
      </c>
      <c r="BD130" t="inlineStr">
        <is>
          <t>unknown</t>
        </is>
      </c>
      <c r="BE130" t="inlineStr">
        <is>
          <t>Line includes cupcakes, cakes and muffins at Whole Foods; shelf life and storage not stated on pages opened</t>
        </is>
      </c>
      <c r="BF130" t="inlineStr">
        <is>
          <t>unknown</t>
        </is>
      </c>
      <c r="BG130" t="inlineStr">
        <is>
          <t>unknown</t>
        </is>
      </c>
      <c r="BH130" t="inlineStr">
        <is>
          <t>unknown</t>
        </is>
      </c>
      <c r="BJ130" t="inlineStr">
        <is>
          <t>unknown</t>
        </is>
      </c>
      <c r="BK130" t="inlineStr">
        <is>
          <t>N</t>
        </is>
      </c>
      <c r="BL130" t="inlineStr">
        <is>
          <t>N</t>
        </is>
      </c>
      <c r="BN130" t="n">
        <v>0</v>
      </c>
      <c r="BO130" t="inlineStr">
        <is>
          <t>Y</t>
        </is>
      </c>
      <c r="BP130" t="n">
        <v>1</v>
      </c>
      <c r="BQ130" t="inlineStr">
        <is>
          <t>Whole Foods Market Union Square, 4 Union Sq S (store_selector, inside)</t>
        </is>
      </c>
      <c r="BS130" t="inlineStr">
        <is>
          <t>Whole Foods; four own retail shops (brand Our Story)</t>
        </is>
      </c>
      <c r="BT130" t="inlineStr">
        <is>
          <t>https://www.wholefoodsmarket.com/api/search?text=by%20the%20way%20bakery&amp;store=10162&amp;limit=60&amp;offset=0</t>
        </is>
      </c>
      <c r="BU130" t="inlineStr">
        <is>
          <t>none</t>
        </is>
      </c>
      <c r="BX130" t="inlineStr">
        <is>
          <t>Helene</t>
        </is>
      </c>
      <c r="BY130" t="inlineStr">
        <is>
          <t>first name on brand Our Story</t>
        </is>
      </c>
      <c r="CF130" t="inlineStr">
        <is>
          <t>none</t>
        </is>
      </c>
      <c r="CK130" t="inlineStr">
        <is>
          <t>none</t>
        </is>
      </c>
      <c r="CL130" t="n">
        <v>41</v>
      </c>
      <c r="CM130" t="n">
        <v>25</v>
      </c>
      <c r="CN130" t="n">
        <v>13</v>
      </c>
      <c r="CO130" t="n">
        <v>0</v>
      </c>
      <c r="CP130" t="n">
        <v>5</v>
      </c>
      <c r="CQ130" t="n">
        <v>3</v>
      </c>
      <c r="CR130" t="n">
        <v>3</v>
      </c>
      <c r="CS130">
        <f>IF(R130="Y",10,0)</f>
        <v/>
      </c>
      <c r="CT130" t="n">
        <v>-8</v>
      </c>
      <c r="CU130" t="inlineStr">
        <is>
          <t>https://www.instagram.com/bythewaybakery/</t>
        </is>
      </c>
      <c r="CV130" t="inlineStr">
        <is>
          <t>BR2</t>
        </is>
      </c>
      <c r="CW130" t="inlineStr">
        <is>
          <t>BR2:37</t>
        </is>
      </c>
      <c r="CX130" t="inlineStr">
        <is>
          <t>First shop opened in Hastings-on-Hudson in 2011; certified kosher commissary. NoMad and Chelsea not checked separately.</t>
        </is>
      </c>
      <c r="DA130" t="inlineStr">
        <is>
          <t>stage 1 only</t>
        </is>
      </c>
      <c r="DY130">
        <f>IF(ISNUMBER(MATCH(U130,{"queued","contacted","replied","call_booked","call_done","yes_in_principle","materials_sent"},0)),"Y","N")</f>
        <v/>
      </c>
      <c r="DZ130">
        <f>IF(COUNTIFS($AN$2:$AN$1000,AN130,$DY$2:$DY$1000,"Y")+COUNTIFS($AN$2:$AN$1000,AN130,$T$2:$T$1000,"Y")&gt;0,"Y","N")</f>
        <v/>
      </c>
      <c r="EA130">
        <f>IF(AND(U130="new",T130="N",AR130="Y",AQ130="",DZ130="N"),"Y","N")</f>
        <v/>
      </c>
      <c r="EB130">
        <f>IF(EA130&lt;&gt;"Y","N",IF(COUNTIFS($AN$2:$AN$1000,AN130,$EA$2:$EA$1000,"Y",$J$2:$J$1000,"&gt;"&amp;J130)+COUNTIFS($AN$2:$AN$1000,AN130,$EA$2:$EA$1000,"Y",$J$2:$J$1000,J130,$ED$2:$ED$1000,"&lt;"&amp;ED130)=0,"Y","N"))</f>
        <v/>
      </c>
      <c r="EC130">
        <f>IF(Y130="","N",IF(Y130&lt;=10,"Y","N"))</f>
        <v/>
      </c>
      <c r="ED130">
        <f>ROW()-1</f>
        <v/>
      </c>
    </row>
    <row r="131">
      <c r="A131" t="inlineStr">
        <is>
          <t>AB-264</t>
        </is>
      </c>
      <c r="B131" t="inlineStr">
        <is>
          <t>Hu Kitchen (Hu Chocolate)</t>
        </is>
      </c>
      <c r="C131" t="inlineStr">
        <is>
          <t>Jessica</t>
        </is>
      </c>
      <c r="D131" t="inlineStr">
        <is>
          <t>Karp</t>
        </is>
      </c>
      <c r="E131" t="inlineStr">
        <is>
          <t>Co-founder</t>
        </is>
      </c>
      <c r="H131" t="inlineStr">
        <is>
          <t>none</t>
        </is>
      </c>
      <c r="I131" t="inlineStr">
        <is>
          <t>linkedin</t>
        </is>
      </c>
      <c r="J131">
        <f>IF(AU131="pass",CM131+CN131+CO131+CP131+CQ131+CR131+CS131+CT131,0)</f>
        <v/>
      </c>
      <c r="K131" t="inlineStr">
        <is>
          <t>New York City brand, store page shows Whole Foods Market NoMad inside the cluster, no dated why-now in the last 12 months, revenue unknown, contact named; founder review: owner, scale.</t>
        </is>
      </c>
      <c r="M131" t="inlineStr">
        <is>
          <t>Whole Foods Market NoMad, 63 Madison Ave</t>
        </is>
      </c>
      <c r="N131" t="inlineStr">
        <is>
          <t>store_selector</t>
        </is>
      </c>
      <c r="R131" t="inlineStr">
        <is>
          <t>N</t>
        </is>
      </c>
      <c r="S131" t="inlineStr">
        <is>
          <t>unknown</t>
        </is>
      </c>
      <c r="T131" t="inlineStr">
        <is>
          <t>N</t>
        </is>
      </c>
      <c r="U131" t="inlineStr">
        <is>
          <t>new</t>
        </is>
      </c>
      <c r="V131" t="inlineStr">
        <is>
          <t>https://hukitchen.com/pages/about-us</t>
        </is>
      </c>
      <c r="W131" t="inlineStr">
        <is>
          <t>2026-10-23</t>
        </is>
      </c>
      <c r="X131" t="inlineStr">
        <is>
          <t>brand</t>
        </is>
      </c>
      <c r="Y131">
        <f>IF(EB131&lt;&gt;"Y","",COUNTIFS($EB$2:$EB$1000,"Y",$J$2:$J$1000,"&gt;"&amp;J131)+COUNTIFS($EB$2:$EB$1000,"Y",$J$2:$J$1000,J131,$ED$2:$ED$1000,"&lt;"&amp;ED131)+1)</f>
        <v/>
      </c>
      <c r="Z131" t="n">
        <v>130</v>
      </c>
      <c r="AA131" t="inlineStr">
        <is>
          <t>N</t>
        </is>
      </c>
      <c r="AB131" t="inlineStr">
        <is>
          <t>find Jessica Karp at Hu Kitchen (Hu Chocolate) on LinkedIn and paste the profile URL; before using the retailer line, check Whole Foods Market NoMad still lists it: https://www.wholefoodsmarket.com/search?text=Hu%20Kitchen with your store set to NoMad (catalogs change daily); founder review (owner, scale): read founder_review_reason first</t>
        </is>
      </c>
      <c r="AC131" t="inlineStr">
        <is>
          <t>founder</t>
        </is>
      </c>
      <c r="AD131" t="inlineStr">
        <is>
          <t>verified-page</t>
        </is>
      </c>
      <c r="AE131" t="inlineStr">
        <is>
          <t>employer's own site</t>
        </is>
      </c>
      <c r="AF131" t="inlineStr">
        <is>
          <t>https://hukitchen.com/pages/about-us</t>
        </is>
      </c>
      <c r="AG131" t="inlineStr">
        <is>
          <t>2026-10-23</t>
        </is>
      </c>
      <c r="AH131" t="inlineStr">
        <is>
          <t>Organic dark chocolate bars and Gems (22-24 SKUs per cluster WFM)</t>
        </is>
      </c>
      <c r="AI131" t="inlineStr">
        <is>
          <t>chocolate-candy</t>
        </is>
      </c>
      <c r="AJ131" t="inlineStr">
        <is>
          <t>New York (terms of service: Hu Master Holdings, LLC, 78 5th Ave, New York, NY 10011)</t>
        </is>
      </c>
      <c r="AK131" t="inlineStr">
        <is>
          <t>https://hukitchen.com</t>
        </is>
      </c>
      <c r="AL131" t="inlineStr">
        <is>
          <t>Y</t>
        </is>
      </c>
      <c r="AM131" t="inlineStr">
        <is>
          <t>National brand (22-24 SKUs per cluster WFM) almost certainly above the $10M ceiling; corporate ownership to confirm</t>
        </is>
      </c>
      <c r="AN131" t="inlineStr">
        <is>
          <t>AB-264</t>
        </is>
      </c>
      <c r="AO131" t="inlineStr">
        <is>
          <t>N</t>
        </is>
      </c>
      <c r="AR131">
        <f>IF(AND(AU131="pass",AO131&lt;&gt;"Y",C131&lt;&gt;""),"Y","N")</f>
        <v/>
      </c>
      <c r="AS131">
        <f>_xlfn.TEXTJOIN("; ",TRUE,IF(AU131&lt;&gt;"pass","gated out",""),IF(AO131="Y","on hold: "&amp;AP131,""),IF(C131="","no contact named on an opened page",""))</f>
        <v/>
      </c>
      <c r="AU131" t="inlineStr">
        <is>
          <t>pass</t>
        </is>
      </c>
      <c r="AW131" t="inlineStr">
        <is>
          <t>passes all hard gates</t>
        </is>
      </c>
      <c r="AX131" t="inlineStr">
        <is>
          <t>owner;scale</t>
        </is>
      </c>
      <c r="AY131" t="inlineStr">
        <is>
          <t>https://hukitchen.com</t>
        </is>
      </c>
      <c r="AZ131" t="inlineStr">
        <is>
          <t>NY</t>
        </is>
      </c>
      <c r="BA131" t="inlineStr">
        <is>
          <t>nyc</t>
        </is>
      </c>
      <c r="BB131" t="inlineStr">
        <is>
          <t>acquired by Mondelez International (announced 2021-01-05; unverified, founder to confirm)</t>
        </is>
      </c>
      <c r="BD131" t="inlineStr">
        <is>
          <t>Y</t>
        </is>
      </c>
      <c r="BE131" t="inlineStr">
        <is>
          <t>Wrapped dark chocolate sold ambient; no shelf-life figure checked</t>
        </is>
      </c>
      <c r="BF131" t="inlineStr">
        <is>
          <t>Y</t>
        </is>
      </c>
      <c r="BG131" t="inlineStr">
        <is>
          <t>Y</t>
        </is>
      </c>
      <c r="BH131" t="inlineStr">
        <is>
          <t>unknown</t>
        </is>
      </c>
      <c r="BJ131" t="inlineStr">
        <is>
          <t>unknown</t>
        </is>
      </c>
      <c r="BK131" t="inlineStr">
        <is>
          <t>N</t>
        </is>
      </c>
      <c r="BL131" t="inlineStr">
        <is>
          <t>N</t>
        </is>
      </c>
      <c r="BN131" t="n">
        <v>0</v>
      </c>
      <c r="BO131" t="inlineStr">
        <is>
          <t>Y</t>
        </is>
      </c>
      <c r="BP131" t="n">
        <v>3</v>
      </c>
      <c r="BQ131" t="inlineStr">
        <is>
          <t>Whole Foods Market NoMad, 63 Madison Ave (store_selector, inside);Whole Foods Market Union Square, 4 Union Sq S (store_selector, inside);Whole Foods Market Chelsea, 250 7th Ave (store_selector, 3.0 blocks out)</t>
        </is>
      </c>
      <c r="BR131" t="inlineStr">
        <is>
          <t>Whole Foods Market Manhattan West (store_selector, 13.8 blocks out)</t>
        </is>
      </c>
      <c r="BS131" t="inlineStr">
        <is>
          <t>Whole Foods Market; 'Find in Store' locator</t>
        </is>
      </c>
      <c r="BT131" t="inlineStr">
        <is>
          <t>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is>
      </c>
      <c r="BU131" t="inlineStr">
        <is>
          <t>none</t>
        </is>
      </c>
      <c r="BX131" t="inlineStr">
        <is>
          <t>Jessica Karp</t>
        </is>
      </c>
      <c r="CF131" t="inlineStr">
        <is>
          <t>none</t>
        </is>
      </c>
      <c r="CK131" t="inlineStr">
        <is>
          <t>none</t>
        </is>
      </c>
      <c r="CL131" t="n">
        <v>41</v>
      </c>
      <c r="CM131" t="n">
        <v>25</v>
      </c>
      <c r="CN131" t="n">
        <v>20</v>
      </c>
      <c r="CO131" t="n">
        <v>0</v>
      </c>
      <c r="CP131" t="n">
        <v>5</v>
      </c>
      <c r="CQ131" t="n">
        <v>10</v>
      </c>
      <c r="CR131" t="n">
        <v>6</v>
      </c>
      <c r="CS131">
        <f>IF(R131="Y",10,0)</f>
        <v/>
      </c>
      <c r="CT131" t="n">
        <v>-25</v>
      </c>
      <c r="CV131" t="inlineStr">
        <is>
          <t>BR4</t>
        </is>
      </c>
      <c r="CW131" t="inlineStr">
        <is>
          <t>BR4:59</t>
        </is>
      </c>
      <c r="CX131" t="inlineStr">
        <is>
          <t>Recorded so the size gate is visible. NYC-origin brand.</t>
        </is>
      </c>
      <c r="CY131" t="inlineStr">
        <is>
          <t xml:space="preserve">funding_stage &lt;- https://www.nosh.com/news/2021/snacking-giant-mondelez-acquires-hu-kitchen (2026-10-24, snippet-unverified); hq_city &lt;- https://hukitchen.com/policies/terms-of-service (2026-10-24, opened); </t>
        </is>
      </c>
      <c r="DA131" t="inlineStr">
        <is>
          <t>stage 1 only</t>
        </is>
      </c>
      <c r="DY131">
        <f>IF(ISNUMBER(MATCH(U131,{"queued","contacted","replied","call_booked","call_done","yes_in_principle","materials_sent"},0)),"Y","N")</f>
        <v/>
      </c>
      <c r="DZ131">
        <f>IF(COUNTIFS($AN$2:$AN$1000,AN131,$DY$2:$DY$1000,"Y")+COUNTIFS($AN$2:$AN$1000,AN131,$T$2:$T$1000,"Y")&gt;0,"Y","N")</f>
        <v/>
      </c>
      <c r="EA131">
        <f>IF(AND(U131="new",T131="N",AR131="Y",AQ131="",DZ131="N"),"Y","N")</f>
        <v/>
      </c>
      <c r="EB131">
        <f>IF(EA131&lt;&gt;"Y","N",IF(COUNTIFS($AN$2:$AN$1000,AN131,$EA$2:$EA$1000,"Y",$J$2:$J$1000,"&gt;"&amp;J131)+COUNTIFS($AN$2:$AN$1000,AN131,$EA$2:$EA$1000,"Y",$J$2:$J$1000,J131,$ED$2:$ED$1000,"&lt;"&amp;ED131)=0,"Y","N"))</f>
        <v/>
      </c>
      <c r="EC131">
        <f>IF(Y131="","N",IF(Y131&lt;=10,"Y","N"))</f>
        <v/>
      </c>
      <c r="ED131">
        <f>ROW()-1</f>
        <v/>
      </c>
    </row>
    <row r="132">
      <c r="A132" t="inlineStr">
        <is>
          <t>AB-044</t>
        </is>
      </c>
      <c r="B132" t="inlineStr">
        <is>
          <t>Quinn Snacks</t>
        </is>
      </c>
      <c r="C132" t="inlineStr">
        <is>
          <t>Kristy</t>
        </is>
      </c>
      <c r="D132" t="inlineStr">
        <is>
          <t>unknown</t>
        </is>
      </c>
      <c r="E132" t="inlineStr">
        <is>
          <t>Founder</t>
        </is>
      </c>
      <c r="H132" t="inlineStr">
        <is>
          <t>none</t>
        </is>
      </c>
      <c r="I132" t="inlineStr">
        <is>
          <t>linkedin</t>
        </is>
      </c>
      <c r="J132">
        <f>IF(AU132="pass",CM132+CN132+CO132+CP132+CQ132+CR132+CS132+CT132,0)</f>
        <v/>
      </c>
      <c r="K132" t="inlineStr">
        <is>
          <t>Brand based outside the Northeast, store page shows Whole Foods Market Union Square inside the cluster, no dated why-now in the last 12 months, revenue unknown, contact named (first name only); founder review: other.</t>
        </is>
      </c>
      <c r="M132" t="inlineStr">
        <is>
          <t>Whole Foods Market Union Square, 4 Union Sq S</t>
        </is>
      </c>
      <c r="N132" t="inlineStr">
        <is>
          <t>store_selector</t>
        </is>
      </c>
      <c r="R132" t="inlineStr">
        <is>
          <t>N</t>
        </is>
      </c>
      <c r="S132" t="inlineStr">
        <is>
          <t>unknown</t>
        </is>
      </c>
      <c r="T132" t="inlineStr">
        <is>
          <t>N</t>
        </is>
      </c>
      <c r="U132" t="inlineStr">
        <is>
          <t>new</t>
        </is>
      </c>
      <c r="V132" t="inlineStr">
        <is>
          <t>https://quinnsnacks.com/pages/story</t>
        </is>
      </c>
      <c r="W132" t="inlineStr">
        <is>
          <t>2026-10-23</t>
        </is>
      </c>
      <c r="X132" t="inlineStr">
        <is>
          <t>brand</t>
        </is>
      </c>
      <c r="Y132">
        <f>IF(EB132&lt;&gt;"Y","",COUNTIFS($EB$2:$EB$1000,"Y",$J$2:$J$1000,"&gt;"&amp;J132)+COUNTIFS($EB$2:$EB$1000,"Y",$J$2:$J$1000,J132,$ED$2:$ED$1000,"&lt;"&amp;ED132)+1)</f>
        <v/>
      </c>
      <c r="Z132" t="n">
        <v>131</v>
      </c>
      <c r="AA132" t="inlineStr">
        <is>
          <t>N</t>
        </is>
      </c>
      <c r="AB132" t="inlineStr">
        <is>
          <t>find Kristy at Quinn Snacks on LinkedIn and paste the profile URL; surname not public: take it from LinkedIn; before using the retailer line, check Whole Foods Market Union Square still lists it: https://www.wholefoodsmarket.com/search?text=Quinn%20Snacks with your store set to Union Square (catalogs change daily); founder review (other): read founder_review_reason first</t>
        </is>
      </c>
      <c r="AC132" t="inlineStr">
        <is>
          <t>founder</t>
        </is>
      </c>
      <c r="AD132" t="inlineStr">
        <is>
          <t>first-name-only</t>
        </is>
      </c>
      <c r="AE132" t="inlineStr">
        <is>
          <t>employer's own site</t>
        </is>
      </c>
      <c r="AF132" t="inlineStr">
        <is>
          <t>https://quinnsnacks.com/pages/story</t>
        </is>
      </c>
      <c r="AG132" t="inlineStr">
        <is>
          <t>2026-10-23</t>
        </is>
      </c>
      <c r="AH132" t="inlineStr">
        <is>
          <t>Quinn Peanut Butter Filled Pretzel Nuggets snack pack (1.5 oz x 6)</t>
        </is>
      </c>
      <c r="AI132" t="inlineStr">
        <is>
          <t>crackers-pretzels</t>
        </is>
      </c>
      <c r="AJ132" t="inlineStr">
        <is>
          <t>Boulder</t>
        </is>
      </c>
      <c r="AK132" t="inlineStr">
        <is>
          <t>https://quinnsnacks.com</t>
        </is>
      </c>
      <c r="AL132" t="inlineStr">
        <is>
          <t>Y</t>
        </is>
      </c>
      <c r="AM132" t="inlineStr">
        <is>
          <t>Filled nuggets contain peanuts and tree nuts (allergen-heavy for shared pantries); no direct online store; no online store: buy path is the store only</t>
        </is>
      </c>
      <c r="AN132" t="inlineStr">
        <is>
          <t>AB-044</t>
        </is>
      </c>
      <c r="AO132" t="inlineStr">
        <is>
          <t>N</t>
        </is>
      </c>
      <c r="AR132">
        <f>IF(AND(AU132="pass",AO132&lt;&gt;"Y",C132&lt;&gt;""),"Y","N")</f>
        <v/>
      </c>
      <c r="AS132">
        <f>_xlfn.TEXTJOIN("; ",TRUE,IF(AU132&lt;&gt;"pass","gated out",""),IF(AO132="Y","on hold: "&amp;AP132,""),IF(C132="","no contact named on an opened page",""))</f>
        <v/>
      </c>
      <c r="AU132" t="inlineStr">
        <is>
          <t>pass</t>
        </is>
      </c>
      <c r="AW132" t="inlineStr">
        <is>
          <t>passes all hard gates</t>
        </is>
      </c>
      <c r="AX132" t="inlineStr">
        <is>
          <t>other</t>
        </is>
      </c>
      <c r="AY132" t="inlineStr">
        <is>
          <t>https://quinnsnacks.com</t>
        </is>
      </c>
      <c r="AZ132" t="inlineStr">
        <is>
          <t>CO</t>
        </is>
      </c>
      <c r="BA132" t="inlineStr">
        <is>
          <t>elsewhere</t>
        </is>
      </c>
      <c r="BB132" t="inlineStr">
        <is>
          <t>unknown</t>
        </is>
      </c>
      <c r="BD132" t="inlineStr">
        <is>
          <t>Y</t>
        </is>
      </c>
      <c r="BE132" t="inlineStr">
        <is>
          <t>Bagged pretzels and filled pretzel nuggets, ambient</t>
        </is>
      </c>
      <c r="BF132" t="inlineStr">
        <is>
          <t>Y</t>
        </is>
      </c>
      <c r="BG132" t="inlineStr">
        <is>
          <t>N</t>
        </is>
      </c>
      <c r="BH132" t="inlineStr">
        <is>
          <t>unknown</t>
        </is>
      </c>
      <c r="BJ132" t="inlineStr">
        <is>
          <t>unknown</t>
        </is>
      </c>
      <c r="BK132" t="inlineStr">
        <is>
          <t>N</t>
        </is>
      </c>
      <c r="BL132" t="inlineStr">
        <is>
          <t>N</t>
        </is>
      </c>
      <c r="BN132" t="n">
        <v>0</v>
      </c>
      <c r="BO132" t="inlineStr">
        <is>
          <t>Y</t>
        </is>
      </c>
      <c r="BP132" t="n">
        <v>1</v>
      </c>
      <c r="BQ132" t="inlineStr">
        <is>
          <t>Whole Foods Market Union Square, 4 Union Sq S (store_selector, inside)</t>
        </is>
      </c>
      <c r="BS132" t="inlineStr">
        <is>
          <t>Whole Foods Market</t>
        </is>
      </c>
      <c r="BT132" t="inlineStr">
        <is>
          <t>https://www.wholefoodsmarket.com/search?text=quinn%20pretzel (Union Square context: Pretzel Sticks Sea Salt, PB &amp; Honey Filled Pretzel Sticks, Maple Almond Butter Nuggets IN_STOCK 2026-10-23)</t>
        </is>
      </c>
      <c r="BU132" t="inlineStr">
        <is>
          <t>none</t>
        </is>
      </c>
      <c r="BX132" t="inlineStr">
        <is>
          <t>Kristy</t>
        </is>
      </c>
      <c r="BY132" t="inlineStr">
        <is>
          <t>first name on brand site</t>
        </is>
      </c>
      <c r="CF132" t="inlineStr">
        <is>
          <t>none</t>
        </is>
      </c>
      <c r="CK132" t="inlineStr">
        <is>
          <t>none</t>
        </is>
      </c>
      <c r="CL132" t="n">
        <v>41</v>
      </c>
      <c r="CM132" t="n">
        <v>25</v>
      </c>
      <c r="CN132" t="n">
        <v>3</v>
      </c>
      <c r="CO132" t="n">
        <v>0</v>
      </c>
      <c r="CP132" t="n">
        <v>5</v>
      </c>
      <c r="CQ132" t="n">
        <v>7</v>
      </c>
      <c r="CR132" t="n">
        <v>3</v>
      </c>
      <c r="CS132">
        <f>IF(R132="Y",10,0)</f>
        <v/>
      </c>
      <c r="CT132" t="n">
        <v>-2</v>
      </c>
      <c r="CU132" t="inlineStr">
        <is>
          <t>unknown</t>
        </is>
      </c>
      <c r="CV132" t="inlineStr">
        <is>
          <t>BR1</t>
        </is>
      </c>
      <c r="CW132" t="inlineStr">
        <is>
          <t>BR1:45</t>
        </is>
      </c>
      <c r="CX132" t="inlineStr">
        <is>
          <t>Quinn Foods LLC, Boulder CO (terms of service). Founded 2010.</t>
        </is>
      </c>
      <c r="DA132" t="inlineStr">
        <is>
          <t>stage 1 only</t>
        </is>
      </c>
      <c r="DE132" t="inlineStr">
        <is>
          <t>product prices show $0.00 to $1.00; appears to route to retailers</t>
        </is>
      </c>
      <c r="DY132">
        <f>IF(ISNUMBER(MATCH(U132,{"queued","contacted","replied","call_booked","call_done","yes_in_principle","materials_sent"},0)),"Y","N")</f>
        <v/>
      </c>
      <c r="DZ132">
        <f>IF(COUNTIFS($AN$2:$AN$1000,AN132,$DY$2:$DY$1000,"Y")+COUNTIFS($AN$2:$AN$1000,AN132,$T$2:$T$1000,"Y")&gt;0,"Y","N")</f>
        <v/>
      </c>
      <c r="EA132">
        <f>IF(AND(U132="new",T132="N",AR132="Y",AQ132="",DZ132="N"),"Y","N")</f>
        <v/>
      </c>
      <c r="EB132">
        <f>IF(EA132&lt;&gt;"Y","N",IF(COUNTIFS($AN$2:$AN$1000,AN132,$EA$2:$EA$1000,"Y",$J$2:$J$1000,"&gt;"&amp;J132)+COUNTIFS($AN$2:$AN$1000,AN132,$EA$2:$EA$1000,"Y",$J$2:$J$1000,J132,$ED$2:$ED$1000,"&lt;"&amp;ED132)=0,"Y","N"))</f>
        <v/>
      </c>
      <c r="EC132">
        <f>IF(Y132="","N",IF(Y132&lt;=10,"Y","N"))</f>
        <v/>
      </c>
      <c r="ED132">
        <f>ROW()-1</f>
        <v/>
      </c>
    </row>
    <row r="133">
      <c r="A133" t="inlineStr">
        <is>
          <t>AB-041</t>
        </is>
      </c>
      <c r="B133" t="inlineStr">
        <is>
          <t>BEEST Snacks</t>
        </is>
      </c>
      <c r="C133" t="inlineStr">
        <is>
          <t>Lucas</t>
        </is>
      </c>
      <c r="D133" t="inlineStr">
        <is>
          <t>Prado</t>
        </is>
      </c>
      <c r="E133" t="inlineStr">
        <is>
          <t>Co-founder</t>
        </is>
      </c>
      <c r="H133" t="inlineStr">
        <is>
          <t>none</t>
        </is>
      </c>
      <c r="I133" t="inlineStr">
        <is>
          <t>linkedin</t>
        </is>
      </c>
      <c r="J133">
        <f>IF(AU133="pass",CM133+CN133+CO133+CP133+CQ133+CR133+CS133+CT133,0)</f>
        <v/>
      </c>
      <c r="K133" t="inlineStr">
        <is>
          <t>Brand based outside the Northeast, no graded store within ten blocks, online store only, news 87 days ago, revenue unknown, contact named; founder review: claim-borderline.</t>
        </is>
      </c>
      <c r="M133" t="inlineStr">
        <is>
          <t>none found within ten blocks</t>
        </is>
      </c>
      <c r="N133" t="inlineStr">
        <is>
          <t>unverified</t>
        </is>
      </c>
      <c r="O133" t="inlineStr">
        <is>
          <t>Exhibited at 2026 Summer Fancy Food Show (Javits, NYC, booth 4309B) and featured on Good Morning America on 2026-07-25</t>
        </is>
      </c>
      <c r="P133" t="inlineStr">
        <is>
          <t>https://startupcpg.com/startup-cpg-newswire-beest-snacks-featured-on-good-morning-america-in-foodie-trends-segment/</t>
        </is>
      </c>
      <c r="Q133" t="inlineStr">
        <is>
          <t>2026-07-29</t>
        </is>
      </c>
      <c r="R133" t="inlineStr">
        <is>
          <t>N</t>
        </is>
      </c>
      <c r="S133" t="inlineStr">
        <is>
          <t>Y</t>
        </is>
      </c>
      <c r="T133" t="inlineStr">
        <is>
          <t>N</t>
        </is>
      </c>
      <c r="U133" t="inlineStr">
        <is>
          <t>new</t>
        </is>
      </c>
      <c r="V133" t="inlineStr">
        <is>
          <t>https://www.beestsnacks.com/pages/about-us</t>
        </is>
      </c>
      <c r="W133" t="inlineStr">
        <is>
          <t>2026-10-23</t>
        </is>
      </c>
      <c r="X133" t="inlineStr">
        <is>
          <t>brand</t>
        </is>
      </c>
      <c r="Y133">
        <f>IF(EB133&lt;&gt;"Y","",COUNTIFS($EB$2:$EB$1000,"Y",$J$2:$J$1000,"&gt;"&amp;J133)+COUNTIFS($EB$2:$EB$1000,"Y",$J$2:$J$1000,J133,$ED$2:$ED$1000,"&lt;"&amp;ED133)+1)</f>
        <v/>
      </c>
      <c r="Z133" t="n">
        <v>132</v>
      </c>
      <c r="AA133" t="inlineStr">
        <is>
          <t>N</t>
        </is>
      </c>
      <c r="AB133" t="inlineStr">
        <is>
          <t>find Lucas Prado at BEEST Snacks on LinkedIn and paste the profile URL; founder review (claim-borderline): read founder_review_reason first</t>
        </is>
      </c>
      <c r="AC133" t="inlineStr">
        <is>
          <t>founder</t>
        </is>
      </c>
      <c r="AD133" t="inlineStr">
        <is>
          <t>verified-page</t>
        </is>
      </c>
      <c r="AE133" t="inlineStr">
        <is>
          <t>employer's own site</t>
        </is>
      </c>
      <c r="AF133" t="inlineStr">
        <is>
          <t>https://www.beestsnacks.com/pages/about-us</t>
        </is>
      </c>
      <c r="AG133" t="inlineStr">
        <is>
          <t>2026-10-23</t>
        </is>
      </c>
      <c r="AH133" t="inlineStr">
        <is>
          <t>BEEST Charcuterie Trail Mix (pork jerky chips, parmesan crisps, almonds), 4 oz</t>
        </is>
      </c>
      <c r="AI133" t="inlineStr">
        <is>
          <t>meat-snacks</t>
        </is>
      </c>
      <c r="AJ133" t="inlineStr">
        <is>
          <t>Austin</t>
        </is>
      </c>
      <c r="AK133" t="inlineStr">
        <is>
          <t>https://www.beestsnacks.com</t>
        </is>
      </c>
      <c r="AL133" t="inlineStr">
        <is>
          <t>Y</t>
        </is>
      </c>
      <c r="AM133" t="inlineStr">
        <is>
          <t>High-protein positioning (52g protein per bag); founder story references diabetes in the family, check pack copy</t>
        </is>
      </c>
      <c r="AN133" t="inlineStr">
        <is>
          <t>AB-041</t>
        </is>
      </c>
      <c r="AO133" t="inlineStr">
        <is>
          <t>N</t>
        </is>
      </c>
      <c r="AR133">
        <f>IF(AND(AU133="pass",AO133&lt;&gt;"Y",C133&lt;&gt;""),"Y","N")</f>
        <v/>
      </c>
      <c r="AS133">
        <f>_xlfn.TEXTJOIN("; ",TRUE,IF(AU133&lt;&gt;"pass","gated out",""),IF(AO133="Y","on hold: "&amp;AP133,""),IF(C133="","no contact named on an opened page",""))</f>
        <v/>
      </c>
      <c r="AU133" t="inlineStr">
        <is>
          <t>pass</t>
        </is>
      </c>
      <c r="AW133" t="inlineStr">
        <is>
          <t>passes all hard gates</t>
        </is>
      </c>
      <c r="AX133" t="inlineStr">
        <is>
          <t>claim-borderline</t>
        </is>
      </c>
      <c r="AY133" t="inlineStr">
        <is>
          <t>https://www.beestsnacks.com</t>
        </is>
      </c>
      <c r="AZ133" t="inlineStr">
        <is>
          <t>TX</t>
        </is>
      </c>
      <c r="BA133" t="inlineStr">
        <is>
          <t>elsewhere</t>
        </is>
      </c>
      <c r="BB133" t="inlineStr">
        <is>
          <t>unknown</t>
        </is>
      </c>
      <c r="BD133" t="inlineStr">
        <is>
          <t>Y</t>
        </is>
      </c>
      <c r="BE133" t="inlineStr">
        <is>
          <t>Brand wholesale page: '9 mo Shelf stable' and '9-Month Shelf Stable'.</t>
        </is>
      </c>
      <c r="BF133" t="inlineStr">
        <is>
          <t>Y</t>
        </is>
      </c>
      <c r="BG133" t="inlineStr">
        <is>
          <t>Y</t>
        </is>
      </c>
      <c r="BH133" t="inlineStr">
        <is>
          <t>unknown</t>
        </is>
      </c>
      <c r="BJ133" t="inlineStr">
        <is>
          <t>unknown</t>
        </is>
      </c>
      <c r="BK133" t="inlineStr">
        <is>
          <t>N</t>
        </is>
      </c>
      <c r="BL133" t="inlineStr">
        <is>
          <t>N</t>
        </is>
      </c>
      <c r="BO133" t="inlineStr">
        <is>
          <t>N</t>
        </is>
      </c>
      <c r="BP133" t="n">
        <v>0</v>
      </c>
      <c r="BS133" t="inlineStr">
        <is>
          <t>KeHE Trend Finder 2026 Golden Ticket (fast track to national distribution); Amazon</t>
        </is>
      </c>
      <c r="BT133" t="inlineStr">
        <is>
          <t>https://startupcpg.com/startup-cpg-newswire-beest-snacks-wins-kehe-trend-finder-2026-golden-ticket-earns-fast-track-to-nationwide-distribution/</t>
        </is>
      </c>
      <c r="BU133" t="inlineStr">
        <is>
          <t>press</t>
        </is>
      </c>
      <c r="BV133" t="n">
        <v>87</v>
      </c>
      <c r="BW133" t="inlineStr">
        <is>
          <t>https://startupcpg.com/startup-cpg-newswire-beest-snacks-featured-on-good-morning-america-in-foodie-trends-segment/</t>
        </is>
      </c>
      <c r="BX133" t="inlineStr">
        <is>
          <t>Lucas Prado</t>
        </is>
      </c>
      <c r="BY133" t="inlineStr">
        <is>
          <t>surname not on site</t>
        </is>
      </c>
      <c r="CA133" t="inlineStr">
        <is>
          <t>Nicole</t>
        </is>
      </c>
      <c r="CB133" t="inlineStr">
        <is>
          <t>Nicole</t>
        </is>
      </c>
      <c r="CC133" t="inlineStr">
        <is>
          <t>unknown</t>
        </is>
      </c>
      <c r="CD133" t="inlineStr">
        <is>
          <t>Co-founder</t>
        </is>
      </c>
      <c r="CE133" t="inlineStr">
        <is>
          <t>co-founder</t>
        </is>
      </c>
      <c r="CF133" t="inlineStr">
        <is>
          <t>first-name-only</t>
        </is>
      </c>
      <c r="CG133" t="inlineStr">
        <is>
          <t>surname not on site</t>
        </is>
      </c>
      <c r="CK133" t="inlineStr">
        <is>
          <t>none</t>
        </is>
      </c>
      <c r="CL133" t="n">
        <v>41</v>
      </c>
      <c r="CM133" t="n">
        <v>6</v>
      </c>
      <c r="CN133" t="n">
        <v>3</v>
      </c>
      <c r="CO133" t="n">
        <v>15</v>
      </c>
      <c r="CP133" t="n">
        <v>5</v>
      </c>
      <c r="CQ133" t="n">
        <v>10</v>
      </c>
      <c r="CR133" t="n">
        <v>6</v>
      </c>
      <c r="CS133">
        <f>IF(R133="Y",10,0)</f>
        <v/>
      </c>
      <c r="CT133" t="n">
        <v>-4</v>
      </c>
      <c r="CU133" t="inlineStr">
        <is>
          <t>unknown</t>
        </is>
      </c>
      <c r="CV133" t="inlineStr">
        <is>
          <t>BR1</t>
        </is>
      </c>
      <c r="CW133" t="inlineStr">
        <is>
          <t>BR1:42</t>
        </is>
      </c>
      <c r="CX133" t="inlineStr">
        <is>
          <t>Homepage 'Press &amp; recognition': Forbes (food founders using AI, July 2026), Good Morning America Foodie Forecast (July 2026), 'Top 50 Food &amp; Beverage, ranked #42' (April 2026).</t>
        </is>
      </c>
      <c r="CY133" t="inlineStr">
        <is>
          <t xml:space="preserve">shelf_stable_basis &lt;- https://www.beestsnacks.com/pages/wholesale (2026-10-24, opened); notes &lt;- https://www.beestsnacks.com/ (2026-10-24, opened); </t>
        </is>
      </c>
      <c r="CZ133" t="inlineStr">
        <is>
          <t>https://www.beestsnacks.com/pages/about-us</t>
        </is>
      </c>
      <c r="DA133" t="inlineStr">
        <is>
          <t>stage 1 only</t>
        </is>
      </c>
      <c r="DC133" t="inlineStr">
        <is>
          <t>employer's own site</t>
        </is>
      </c>
      <c r="DY133">
        <f>IF(ISNUMBER(MATCH(U133,{"queued","contacted","replied","call_booked","call_done","yes_in_principle","materials_sent"},0)),"Y","N")</f>
        <v/>
      </c>
      <c r="DZ133">
        <f>IF(COUNTIFS($AN$2:$AN$1000,AN133,$DY$2:$DY$1000,"Y")+COUNTIFS($AN$2:$AN$1000,AN133,$T$2:$T$1000,"Y")&gt;0,"Y","N")</f>
        <v/>
      </c>
      <c r="EA133">
        <f>IF(AND(U133="new",T133="N",AR133="Y",AQ133="",DZ133="N"),"Y","N")</f>
        <v/>
      </c>
      <c r="EB133">
        <f>IF(EA133&lt;&gt;"Y","N",IF(COUNTIFS($AN$2:$AN$1000,AN133,$EA$2:$EA$1000,"Y",$J$2:$J$1000,"&gt;"&amp;J133)+COUNTIFS($AN$2:$AN$1000,AN133,$EA$2:$EA$1000,"Y",$J$2:$J$1000,J133,$ED$2:$ED$1000,"&lt;"&amp;ED133)=0,"Y","N"))</f>
        <v/>
      </c>
      <c r="EC133">
        <f>IF(Y133="","N",IF(Y133&lt;=10,"Y","N"))</f>
        <v/>
      </c>
      <c r="ED133">
        <f>ROW()-1</f>
        <v/>
      </c>
    </row>
    <row r="134">
      <c r="A134" t="inlineStr">
        <is>
          <t>AB-186</t>
        </is>
      </c>
      <c r="B134" t="inlineStr">
        <is>
          <t>Laurel's</t>
        </is>
      </c>
      <c r="C134" t="inlineStr">
        <is>
          <t>Isabel</t>
        </is>
      </c>
      <c r="D134" t="inlineStr">
        <is>
          <t>Washington</t>
        </is>
      </c>
      <c r="E134" t="inlineStr">
        <is>
          <t>Founder</t>
        </is>
      </c>
      <c r="H134" t="inlineStr">
        <is>
          <t>none</t>
        </is>
      </c>
      <c r="I134" t="inlineStr">
        <is>
          <t>linkedin</t>
        </is>
      </c>
      <c r="J134">
        <f>IF(AU134="pass",CM134+CN134+CO134+CP134+CQ134+CR134+CS134+CT134,0)</f>
        <v/>
      </c>
      <c r="K134" t="inlineStr">
        <is>
          <t>Brand based outside the Northeast, no graded store within ten blocks, online store only, news 137 days ago, revenue unknown, contact named; founder review: claim-borderline.</t>
        </is>
      </c>
      <c r="M134" t="inlineStr">
        <is>
          <t>none found within ten blocks</t>
        </is>
      </c>
      <c r="N134" t="inlineStr">
        <is>
          <t>unverified</t>
        </is>
      </c>
      <c r="O134" t="inlineStr">
        <is>
          <t>Chain-wide 1,800-store Target launch slated for August 2026, after Whole Foods, Erewhon and Wegmans (Startup CPG Podcast #252, published 2026-06-09)</t>
        </is>
      </c>
      <c r="P134" t="inlineStr">
        <is>
          <t>https://startupcpg.com/portfolio/252-the-rise-of-laurels-coffee-whole-foods-wegmans-1800-target-stores-in-two-years/</t>
        </is>
      </c>
      <c r="Q134" t="inlineStr">
        <is>
          <t>2026-06-09</t>
        </is>
      </c>
      <c r="R134" t="inlineStr">
        <is>
          <t>N</t>
        </is>
      </c>
      <c r="S134" t="inlineStr">
        <is>
          <t>unknown</t>
        </is>
      </c>
      <c r="T134" t="inlineStr">
        <is>
          <t>N</t>
        </is>
      </c>
      <c r="U134" t="inlineStr">
        <is>
          <t>new</t>
        </is>
      </c>
      <c r="V134" t="inlineStr">
        <is>
          <t>https://drinklaurels.com/pages/faq</t>
        </is>
      </c>
      <c r="W134" t="inlineStr">
        <is>
          <t>2026-10-23</t>
        </is>
      </c>
      <c r="X134" t="inlineStr">
        <is>
          <t>brand</t>
        </is>
      </c>
      <c r="Y134">
        <f>IF(EB134&lt;&gt;"Y","",COUNTIFS($EB$2:$EB$1000,"Y",$J$2:$J$1000,"&gt;"&amp;J134)+COUNTIFS($EB$2:$EB$1000,"Y",$J$2:$J$1000,J134,$ED$2:$ED$1000,"&lt;"&amp;ED134)+1)</f>
        <v/>
      </c>
      <c r="Z134" t="n">
        <v>133</v>
      </c>
      <c r="AA134" t="inlineStr">
        <is>
          <t>N</t>
        </is>
      </c>
      <c r="AB134" t="inlineStr">
        <is>
          <t>find Isabel Washington at Laurel's on LinkedIn and paste the profile URL; founder review (claim-borderline): read founder_review_reason first</t>
        </is>
      </c>
      <c r="AC134" t="inlineStr">
        <is>
          <t>founder</t>
        </is>
      </c>
      <c r="AD134" t="inlineStr">
        <is>
          <t>verified-page</t>
        </is>
      </c>
      <c r="AE134" t="inlineStr">
        <is>
          <t>press, event or podcast page</t>
        </is>
      </c>
      <c r="AF134" t="inlineStr">
        <is>
          <t>https://citrusdiaries.substack.com/p/isabel-washington-of-laurels</t>
        </is>
      </c>
      <c r="AG134" t="inlineStr">
        <is>
          <t>2026-10-23</t>
        </is>
      </c>
      <c r="AH134" t="inlineStr">
        <is>
          <t>Laurel's Classic Latte (A2 regenerative dairy, 80 mg caffeine), can</t>
        </is>
      </c>
      <c r="AI134" t="inlineStr">
        <is>
          <t>coffee-rtd</t>
        </is>
      </c>
      <c r="AJ134" t="inlineStr">
        <is>
          <t>Los Angeles</t>
        </is>
      </c>
      <c r="AK134" t="inlineStr">
        <is>
          <t>https://drinklaurels.com</t>
        </is>
      </c>
      <c r="AL134" t="inlineStr">
        <is>
          <t>Y</t>
        </is>
      </c>
      <c r="AM134" t="inlineStr">
        <is>
          <t>Dairy latte (milk allergen); HQ and current NYC retail not confirmed | Health-claim scan 2026-10-24: the homepage calls the A2 lattes 'your Gut Friendly Best Friend': founder to decide; the tent card must not repeat it</t>
        </is>
      </c>
      <c r="AN134" t="inlineStr">
        <is>
          <t>AB-186</t>
        </is>
      </c>
      <c r="AO134" t="inlineStr">
        <is>
          <t>N</t>
        </is>
      </c>
      <c r="AR134">
        <f>IF(AND(AU134="pass",AO134&lt;&gt;"Y",C134&lt;&gt;""),"Y","N")</f>
        <v/>
      </c>
      <c r="AS134">
        <f>_xlfn.TEXTJOIN("; ",TRUE,IF(AU134&lt;&gt;"pass","gated out",""),IF(AO134="Y","on hold: "&amp;AP134,""),IF(C134="","no contact named on an opened page",""))</f>
        <v/>
      </c>
      <c r="AU134" t="inlineStr">
        <is>
          <t>pass</t>
        </is>
      </c>
      <c r="AW134" t="inlineStr">
        <is>
          <t>passes all hard gates</t>
        </is>
      </c>
      <c r="AX134" t="inlineStr">
        <is>
          <t>claim-borderline</t>
        </is>
      </c>
      <c r="AY134" t="inlineStr">
        <is>
          <t>https://drinklaurels.com</t>
        </is>
      </c>
      <c r="AZ134" t="inlineStr">
        <is>
          <t>CA</t>
        </is>
      </c>
      <c r="BA134" t="inlineStr">
        <is>
          <t>elsewhere</t>
        </is>
      </c>
      <c r="BB134" t="inlineStr">
        <is>
          <t>unknown</t>
        </is>
      </c>
      <c r="BD134" t="inlineStr">
        <is>
          <t>Y</t>
        </is>
      </c>
      <c r="BE134" t="inlineStr">
        <is>
          <t>FAQ: 'Do Laurel's lattes need to be refrigerated? No. Our cans are shelf-stable...' (drinklaurels.com/pages/faq, opened 2026-10-23)</t>
        </is>
      </c>
      <c r="BF134" t="inlineStr">
        <is>
          <t>Y</t>
        </is>
      </c>
      <c r="BG134" t="inlineStr">
        <is>
          <t>Y</t>
        </is>
      </c>
      <c r="BH134" t="inlineStr">
        <is>
          <t>unknown</t>
        </is>
      </c>
      <c r="BJ134" t="inlineStr">
        <is>
          <t>No public sales figure found</t>
        </is>
      </c>
      <c r="BK134" t="inlineStr">
        <is>
          <t>N</t>
        </is>
      </c>
      <c r="BL134" t="inlineStr">
        <is>
          <t>N</t>
        </is>
      </c>
      <c r="BO134" t="inlineStr">
        <is>
          <t>N</t>
        </is>
      </c>
      <c r="BP134" t="n">
        <v>0</v>
      </c>
      <c r="BS134" t="inlineStr">
        <is>
          <t>Pop Up Grocer (past brand, directory); product locator not readable</t>
        </is>
      </c>
      <c r="BT134" t="inlineStr">
        <is>
          <t>https://popupgrocer.com/products/laurels</t>
        </is>
      </c>
      <c r="BU134" t="inlineStr">
        <is>
          <t>press</t>
        </is>
      </c>
      <c r="BV134" t="n">
        <v>137</v>
      </c>
      <c r="BX134" t="inlineStr">
        <is>
          <t>Isabel Washington</t>
        </is>
      </c>
      <c r="CF134" t="inlineStr">
        <is>
          <t>none</t>
        </is>
      </c>
      <c r="CK134" t="inlineStr">
        <is>
          <t>none</t>
        </is>
      </c>
      <c r="CL134" t="n">
        <v>41</v>
      </c>
      <c r="CM134" t="n">
        <v>6</v>
      </c>
      <c r="CN134" t="n">
        <v>3</v>
      </c>
      <c r="CO134" t="n">
        <v>15</v>
      </c>
      <c r="CP134" t="n">
        <v>5</v>
      </c>
      <c r="CQ134" t="n">
        <v>10</v>
      </c>
      <c r="CR134" t="n">
        <v>6</v>
      </c>
      <c r="CS134">
        <f>IF(R134="Y",10,0)</f>
        <v/>
      </c>
      <c r="CT134" t="n">
        <v>-4</v>
      </c>
      <c r="CU134" t="inlineStr">
        <is>
          <t>https://instagram.com/drinklaurels</t>
        </is>
      </c>
      <c r="CV134" t="inlineStr">
        <is>
          <t>BR3</t>
        </is>
      </c>
      <c r="CW134" t="inlineStr">
        <is>
          <t>BR3:60</t>
        </is>
      </c>
      <c r="CX134" t="inlineStr">
        <is>
          <t>Flavors: Classic, Dirty Chai, Matcha. Pop Up Grocer directory entry 2026-03-04 (past brand). Date is Shopify publish date. | Added 2026-10-24: Startup CPG Podcast guest (#252, 2026-06-09); membership not stated, so startup_cpg_member left unknown</t>
        </is>
      </c>
      <c r="CY134" t="inlineStr">
        <is>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is>
      </c>
      <c r="DA134" t="inlineStr">
        <is>
          <t>stage 1 only</t>
        </is>
      </c>
      <c r="DY134">
        <f>IF(ISNUMBER(MATCH(U134,{"queued","contacted","replied","call_booked","call_done","yes_in_principle","materials_sent"},0)),"Y","N")</f>
        <v/>
      </c>
      <c r="DZ134">
        <f>IF(COUNTIFS($AN$2:$AN$1000,AN134,$DY$2:$DY$1000,"Y")+COUNTIFS($AN$2:$AN$1000,AN134,$T$2:$T$1000,"Y")&gt;0,"Y","N")</f>
        <v/>
      </c>
      <c r="EA134">
        <f>IF(AND(U134="new",T134="N",AR134="Y",AQ134="",DZ134="N"),"Y","N")</f>
        <v/>
      </c>
      <c r="EB134">
        <f>IF(EA134&lt;&gt;"Y","N",IF(COUNTIFS($AN$2:$AN$1000,AN134,$EA$2:$EA$1000,"Y",$J$2:$J$1000,"&gt;"&amp;J134)+COUNTIFS($AN$2:$AN$1000,AN134,$EA$2:$EA$1000,"Y",$J$2:$J$1000,J134,$ED$2:$ED$1000,"&lt;"&amp;ED134)=0,"Y","N"))</f>
        <v/>
      </c>
      <c r="EC134">
        <f>IF(Y134="","N",IF(Y134&lt;=10,"Y","N"))</f>
        <v/>
      </c>
      <c r="ED134">
        <f>ROW()-1</f>
        <v/>
      </c>
    </row>
    <row r="135">
      <c r="A135" t="inlineStr">
        <is>
          <t>AB-291</t>
        </is>
      </c>
      <c r="B135" t="inlineStr">
        <is>
          <t>Bixby Chocolate</t>
        </is>
      </c>
      <c r="C135" t="inlineStr">
        <is>
          <t>Kate</t>
        </is>
      </c>
      <c r="D135" t="inlineStr">
        <is>
          <t>McAleer</t>
        </is>
      </c>
      <c r="E135" t="inlineStr">
        <is>
          <t>Founder</t>
        </is>
      </c>
      <c r="H135" t="inlineStr">
        <is>
          <t>none</t>
        </is>
      </c>
      <c r="I135" t="inlineStr">
        <is>
          <t>linkedin</t>
        </is>
      </c>
      <c r="J135">
        <f>IF(AU135="pass",CM135+CN135+CO135+CP135+CQ135+CR135+CS135+CT135,0)</f>
        <v/>
      </c>
      <c r="K135" t="inlineStr">
        <is>
          <t>Northeast brand, no graded store within ten blocks, online store only, a new store listing 14 days ago, revenue unknown, contact named; founder review: other.</t>
        </is>
      </c>
      <c r="M135" t="inlineStr">
        <is>
          <t>none found within ten blocks</t>
        </is>
      </c>
      <c r="N135" t="inlineStr">
        <is>
          <t>unverified</t>
        </is>
      </c>
      <c r="O135" t="inlineStr">
        <is>
          <t>Released new 2 oz holiday bars (Toffee Milk, Peppermint Dark) and showed at SFFS 2026 as a 2026 Good Food Award winner</t>
        </is>
      </c>
      <c r="P135" t="inlineStr">
        <is>
          <t>https://bixbychocolate.com/products.json</t>
        </is>
      </c>
      <c r="Q135" t="inlineStr">
        <is>
          <t>2026-10-10</t>
        </is>
      </c>
      <c r="R135" t="inlineStr">
        <is>
          <t>N</t>
        </is>
      </c>
      <c r="S135" t="inlineStr">
        <is>
          <t>unknown</t>
        </is>
      </c>
      <c r="T135" t="inlineStr">
        <is>
          <t>N</t>
        </is>
      </c>
      <c r="U135" t="inlineStr">
        <is>
          <t>new</t>
        </is>
      </c>
      <c r="V135" t="inlineStr">
        <is>
          <t>https://events.specialtyfood.com/event/2026-summer-fancy-food-show/exhibitor/RXhoaWJpdG9yXzIzNjU0MDI=</t>
        </is>
      </c>
      <c r="W135" t="inlineStr">
        <is>
          <t>2026-10-24</t>
        </is>
      </c>
      <c r="X135" t="inlineStr">
        <is>
          <t>brand</t>
        </is>
      </c>
      <c r="Y135">
        <f>IF(EB135&lt;&gt;"Y","",COUNTIFS($EB$2:$EB$1000,"Y",$J$2:$J$1000,"&gt;"&amp;J135)+COUNTIFS($EB$2:$EB$1000,"Y",$J$2:$J$1000,J135,$ED$2:$ED$1000,"&lt;"&amp;ED135)+1)</f>
        <v/>
      </c>
      <c r="Z135" t="n">
        <v>134</v>
      </c>
      <c r="AA135" t="inlineStr">
        <is>
          <t>N</t>
        </is>
      </c>
      <c r="AB135" t="inlineStr">
        <is>
          <t>find Kate McAleer at Bixby Chocolate on LinkedIn and paste the profile URL; founder review (other): read founder_review_reason first</t>
        </is>
      </c>
      <c r="AC135" t="inlineStr">
        <is>
          <t>founder</t>
        </is>
      </c>
      <c r="AD135" t="inlineStr">
        <is>
          <t>verified-page</t>
        </is>
      </c>
      <c r="AE135" t="inlineStr">
        <is>
          <t>press, event or podcast page</t>
        </is>
      </c>
      <c r="AF135" t="inlineStr">
        <is>
          <t>https://events.specialtyfood.com/event/2026-summer-fancy-food-show/exhibitor/RXhoaWJpdG9yXzIzNjU0MDI=</t>
        </is>
      </c>
      <c r="AG135" t="inlineStr">
        <is>
          <t>2026-10-24</t>
        </is>
      </c>
      <c r="AH135" t="inlineStr">
        <is>
          <t>Toffee Milk Chocolate Bar, 2 oz</t>
        </is>
      </c>
      <c r="AI135" t="inlineStr">
        <is>
          <t>chocolate-candy</t>
        </is>
      </c>
      <c r="AJ135" t="inlineStr">
        <is>
          <t>Rockland</t>
        </is>
      </c>
      <c r="AK135" t="inlineStr">
        <is>
          <t>https://bixbychocolate.com</t>
        </is>
      </c>
      <c r="AL135" t="inlineStr">
        <is>
          <t>Y</t>
        </is>
      </c>
      <c r="AM135" t="inlineStr">
        <is>
          <t>No retailer within ten blocks; relies on online store. Founded 2011, revenue unknown</t>
        </is>
      </c>
      <c r="AN135" t="inlineStr">
        <is>
          <t>AB-291</t>
        </is>
      </c>
      <c r="AO135" t="inlineStr">
        <is>
          <t>N</t>
        </is>
      </c>
      <c r="AR135">
        <f>IF(AND(AU135="pass",AO135&lt;&gt;"Y",C135&lt;&gt;""),"Y","N")</f>
        <v/>
      </c>
      <c r="AS135">
        <f>_xlfn.TEXTJOIN("; ",TRUE,IF(AU135&lt;&gt;"pass","gated out",""),IF(AO135="Y","on hold: "&amp;AP135,""),IF(C135="","no contact named on an opened page",""))</f>
        <v/>
      </c>
      <c r="AU135" t="inlineStr">
        <is>
          <t>pass</t>
        </is>
      </c>
      <c r="AW135" t="inlineStr">
        <is>
          <t>passes all hard gates</t>
        </is>
      </c>
      <c r="AX135" t="inlineStr">
        <is>
          <t>other</t>
        </is>
      </c>
      <c r="AY135" t="inlineStr">
        <is>
          <t>https://bixbychocolate.com</t>
        </is>
      </c>
      <c r="AZ135" t="inlineStr">
        <is>
          <t>ME</t>
        </is>
      </c>
      <c r="BA135" t="inlineStr">
        <is>
          <t>northeast</t>
        </is>
      </c>
      <c r="BB135" t="inlineStr">
        <is>
          <t>unknown</t>
        </is>
      </c>
      <c r="BD135" t="inlineStr">
        <is>
          <t>Y</t>
        </is>
      </c>
      <c r="BE135" t="inlineStr">
        <is>
          <t>Wrapped 2 oz chocolate bars sold ambient online and in stores</t>
        </is>
      </c>
      <c r="BF135" t="inlineStr">
        <is>
          <t>Y</t>
        </is>
      </c>
      <c r="BG135" t="inlineStr">
        <is>
          <t>Y</t>
        </is>
      </c>
      <c r="BH135" t="inlineStr">
        <is>
          <t>unknown</t>
        </is>
      </c>
      <c r="BJ135" t="inlineStr">
        <is>
          <t>No sourced sales figure found</t>
        </is>
      </c>
      <c r="BK135" t="inlineStr">
        <is>
          <t>N</t>
        </is>
      </c>
      <c r="BL135" t="inlineStr">
        <is>
          <t>N</t>
        </is>
      </c>
      <c r="BO135" t="inlineStr">
        <is>
          <t>N</t>
        </is>
      </c>
      <c r="BP135" t="n">
        <v>0</v>
      </c>
      <c r="BR135" t="inlineStr">
        <is>
          <t>The Meadow (brand_claim, 16.1 blocks out)</t>
        </is>
      </c>
      <c r="BS135" t="inlineStr">
        <is>
          <t>The Meadow (Mulberry St); Kadoo NYC; Park Slope Food Coop (brand Stockist locator)</t>
        </is>
      </c>
      <c r="BT135" t="inlineStr">
        <is>
          <t>https://stockist.co/api/v1/map_93ezwnvq/locations/search?latitude=40.7411&amp;longitude=-73.9897&amp;distance=5 (widget on https://bixbychocolate.com/pages/store-locator)</t>
        </is>
      </c>
      <c r="BU135" t="inlineStr">
        <is>
          <t>listing</t>
        </is>
      </c>
      <c r="BV135" t="n">
        <v>14</v>
      </c>
      <c r="BX135" t="inlineStr">
        <is>
          <t>Kate McAleer</t>
        </is>
      </c>
      <c r="CA135" t="inlineStr">
        <is>
          <t>Donna McAleer</t>
        </is>
      </c>
      <c r="CB135" t="inlineStr">
        <is>
          <t>Donna</t>
        </is>
      </c>
      <c r="CC135" t="inlineStr">
        <is>
          <t>McAleer</t>
        </is>
      </c>
      <c r="CD135" t="inlineStr">
        <is>
          <t>Founder</t>
        </is>
      </c>
      <c r="CE135" t="inlineStr">
        <is>
          <t>co-founder</t>
        </is>
      </c>
      <c r="CF135" t="inlineStr">
        <is>
          <t>verified-page</t>
        </is>
      </c>
      <c r="CK135" t="inlineStr">
        <is>
          <t>none</t>
        </is>
      </c>
      <c r="CL135" t="n">
        <v>41</v>
      </c>
      <c r="CM135" t="n">
        <v>6</v>
      </c>
      <c r="CN135" t="n">
        <v>8</v>
      </c>
      <c r="CO135" t="n">
        <v>8</v>
      </c>
      <c r="CP135" t="n">
        <v>5</v>
      </c>
      <c r="CQ135" t="n">
        <v>10</v>
      </c>
      <c r="CR135" t="n">
        <v>6</v>
      </c>
      <c r="CS135">
        <f>IF(R135="Y",10,0)</f>
        <v/>
      </c>
      <c r="CT135" t="n">
        <v>-2</v>
      </c>
      <c r="CU135" t="inlineStr">
        <is>
          <t>https://www.instagram.com/bixbychocolate/</t>
        </is>
      </c>
      <c r="CV135" t="inlineStr">
        <is>
          <t>BR5</t>
        </is>
      </c>
      <c r="CW135" t="inlineStr">
        <is>
          <t>BR5:27</t>
        </is>
      </c>
      <c r="CX135" t="inlineStr">
        <is>
          <t>SFFS 2026: 'Crafted on the working waterfront of Rockland, Maine, Bixby Chocolate is Maine's first bean-to-bar chocolate maker. Founded in 2011 by mother-daughter team Kate and Donna McAleer'. 2024 sofi Gold (Belize 70% bar) is older than 12 months.</t>
        </is>
      </c>
      <c r="CZ135" t="inlineStr">
        <is>
          <t>https://events.specialtyfood.com/event/2026-summer-fancy-food-show/exhibitor/RXhoaWJpdG9yXzIzNjU0MDI=</t>
        </is>
      </c>
      <c r="DA135" t="inlineStr">
        <is>
          <t>stage 1 only</t>
        </is>
      </c>
      <c r="DC135" t="inlineStr">
        <is>
          <t>press, event or podcast page</t>
        </is>
      </c>
      <c r="DY135">
        <f>IF(ISNUMBER(MATCH(U135,{"queued","contacted","replied","call_booked","call_done","yes_in_principle","materials_sent"},0)),"Y","N")</f>
        <v/>
      </c>
      <c r="DZ135">
        <f>IF(COUNTIFS($AN$2:$AN$1000,AN135,$DY$2:$DY$1000,"Y")+COUNTIFS($AN$2:$AN$1000,AN135,$T$2:$T$1000,"Y")&gt;0,"Y","N")</f>
        <v/>
      </c>
      <c r="EA135">
        <f>IF(AND(U135="new",T135="N",AR135="Y",AQ135="",DZ135="N"),"Y","N")</f>
        <v/>
      </c>
      <c r="EB135">
        <f>IF(EA135&lt;&gt;"Y","N",IF(COUNTIFS($AN$2:$AN$1000,AN135,$EA$2:$EA$1000,"Y",$J$2:$J$1000,"&gt;"&amp;J135)+COUNTIFS($AN$2:$AN$1000,AN135,$EA$2:$EA$1000,"Y",$J$2:$J$1000,J135,$ED$2:$ED$1000,"&lt;"&amp;ED135)=0,"Y","N"))</f>
        <v/>
      </c>
      <c r="EC135">
        <f>IF(Y135="","N",IF(Y135&lt;=10,"Y","N"))</f>
        <v/>
      </c>
      <c r="ED135">
        <f>ROW()-1</f>
        <v/>
      </c>
    </row>
    <row r="136">
      <c r="A136" t="inlineStr">
        <is>
          <t>AB-150</t>
        </is>
      </c>
      <c r="B136" t="inlineStr">
        <is>
          <t>Harney &amp; Sons (bottled iced tea and juice drinks)</t>
        </is>
      </c>
      <c r="C136" t="inlineStr">
        <is>
          <t>John</t>
        </is>
      </c>
      <c r="D136" t="inlineStr">
        <is>
          <t>Harney</t>
        </is>
      </c>
      <c r="E136" t="inlineStr">
        <is>
          <t>Founder and President</t>
        </is>
      </c>
      <c r="H136" t="inlineStr">
        <is>
          <t>none</t>
        </is>
      </c>
      <c r="I136" t="inlineStr">
        <is>
          <t>linkedin</t>
        </is>
      </c>
      <c r="J136">
        <f>IF(AU136="pass",CM136+CN136+CO136+CP136+CQ136+CR136+CS136+CT136,0)</f>
        <v/>
      </c>
      <c r="K136" t="inlineStr">
        <is>
          <t>New York State brand, no graded store within ten blocks, online store only, a new store listing 120 days ago, revenue unknown, contact named; founder review: claim-borderline.</t>
        </is>
      </c>
      <c r="M136" t="inlineStr">
        <is>
          <t>none found within ten blocks</t>
        </is>
      </c>
      <c r="N136" t="inlineStr">
        <is>
          <t>unverified</t>
        </is>
      </c>
      <c r="O136" t="inlineStr">
        <is>
          <t>New RTD SKUs: Williamsburg iced tea line (2026-01-23), Organic Hibiscus Iced Tea (2026-04-28), Lavender Lemonade Juice Drink (2026-06-26)</t>
        </is>
      </c>
      <c r="P136" t="inlineStr">
        <is>
          <t>https://www.harney.com/products/lavender-lemonade-juice-drink</t>
        </is>
      </c>
      <c r="Q136" t="inlineStr">
        <is>
          <t>2026-06-26</t>
        </is>
      </c>
      <c r="R136" t="inlineStr">
        <is>
          <t>N</t>
        </is>
      </c>
      <c r="S136" t="inlineStr">
        <is>
          <t>unknown</t>
        </is>
      </c>
      <c r="T136" t="inlineStr">
        <is>
          <t>N</t>
        </is>
      </c>
      <c r="U136" t="inlineStr">
        <is>
          <t>new</t>
        </is>
      </c>
      <c r="V136" t="inlineStr">
        <is>
          <t>https://www.harney.com/pages/find-your-matcha</t>
        </is>
      </c>
      <c r="W136" t="inlineStr">
        <is>
          <t>2026-10-23</t>
        </is>
      </c>
      <c r="X136" t="inlineStr">
        <is>
          <t>brand</t>
        </is>
      </c>
      <c r="Y136">
        <f>IF(EB136&lt;&gt;"Y","",COUNTIFS($EB$2:$EB$1000,"Y",$J$2:$J$1000,"&gt;"&amp;J136)+COUNTIFS($EB$2:$EB$1000,"Y",$J$2:$J$1000,J136,$ED$2:$ED$1000,"&lt;"&amp;ED136)+1)</f>
        <v/>
      </c>
      <c r="Z136" t="n">
        <v>135</v>
      </c>
      <c r="AA136" t="inlineStr">
        <is>
          <t>N</t>
        </is>
      </c>
      <c r="AB136" t="inlineStr">
        <is>
          <t>find John Harney at Harney &amp; Sons (bottled iced tea and juice drinks) on LinkedIn and paste the profile URL; founder review (claim-borderline): read founder_review_reason first</t>
        </is>
      </c>
      <c r="AC136" t="inlineStr">
        <is>
          <t>founder</t>
        </is>
      </c>
      <c r="AD136" t="inlineStr">
        <is>
          <t>verified-page</t>
        </is>
      </c>
      <c r="AE136" t="inlineStr">
        <is>
          <t>employer's own site</t>
        </is>
      </c>
      <c r="AF136" t="inlineStr">
        <is>
          <t>https://www.harney.com/pages/about-us</t>
        </is>
      </c>
      <c r="AG136" t="inlineStr">
        <is>
          <t>2026-10-23</t>
        </is>
      </c>
      <c r="AH136" t="inlineStr">
        <is>
          <t>Harney &amp; Sons Organic Peach Iced Tea, 12 oz can; Lavender Lemonade Juice Drink, 16 oz bottle</t>
        </is>
      </c>
      <c r="AI136" t="inlineStr">
        <is>
          <t>tea-juice</t>
        </is>
      </c>
      <c r="AJ136" t="inlineStr">
        <is>
          <t>Millerton</t>
        </is>
      </c>
      <c r="AK136" t="inlineStr">
        <is>
          <t>https://www.harney.com/products/organic-peach-iced-tea-cans</t>
        </is>
      </c>
      <c r="AL136" t="inlineStr">
        <is>
          <t>Y</t>
        </is>
      </c>
      <c r="AM136" t="inlineStr">
        <is>
          <t>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is>
      </c>
      <c r="AN136" t="inlineStr">
        <is>
          <t>AB-150</t>
        </is>
      </c>
      <c r="AO136" t="inlineStr">
        <is>
          <t>N</t>
        </is>
      </c>
      <c r="AR136">
        <f>IF(AND(AU136="pass",AO136&lt;&gt;"Y",C136&lt;&gt;""),"Y","N")</f>
        <v/>
      </c>
      <c r="AS136">
        <f>_xlfn.TEXTJOIN("; ",TRUE,IF(AU136&lt;&gt;"pass","gated out",""),IF(AO136="Y","on hold: "&amp;AP136,""),IF(C136="","no contact named on an opened page",""))</f>
        <v/>
      </c>
      <c r="AU136" t="inlineStr">
        <is>
          <t>pass</t>
        </is>
      </c>
      <c r="AW136" t="inlineStr">
        <is>
          <t>passes all hard gates</t>
        </is>
      </c>
      <c r="AX136" t="inlineStr">
        <is>
          <t>claim-borderline</t>
        </is>
      </c>
      <c r="AY136" t="inlineStr">
        <is>
          <t>https://www.harney.com</t>
        </is>
      </c>
      <c r="AZ136" t="inlineStr">
        <is>
          <t>NY</t>
        </is>
      </c>
      <c r="BA136" t="inlineStr">
        <is>
          <t>nys</t>
        </is>
      </c>
      <c r="BB136" t="inlineStr">
        <is>
          <t>family-owned (est. 1983)</t>
        </is>
      </c>
      <c r="BC136" t="inlineStr">
        <is>
          <t>https://www.harney.com/pages/about-us</t>
        </is>
      </c>
      <c r="BD136" t="inlineStr">
        <is>
          <t>unknown</t>
        </is>
      </c>
      <c r="BE136" t="inlineStr">
        <is>
          <t>No storage statement; cases ship via FedEx ground to the lower 48 (suggests ambient, not confirmed)</t>
        </is>
      </c>
      <c r="BF136" t="inlineStr">
        <is>
          <t>Y</t>
        </is>
      </c>
      <c r="BG136" t="inlineStr">
        <is>
          <t>Y</t>
        </is>
      </c>
      <c r="BH136" t="inlineStr">
        <is>
          <t>unknown</t>
        </is>
      </c>
      <c r="BJ136" t="inlineStr">
        <is>
          <t>No public sales figure found</t>
        </is>
      </c>
      <c r="BK136" t="inlineStr">
        <is>
          <t>N</t>
        </is>
      </c>
      <c r="BL136" t="inlineStr">
        <is>
          <t>N</t>
        </is>
      </c>
      <c r="BO136" t="inlineStr">
        <is>
          <t>N</t>
        </is>
      </c>
      <c r="BP136" t="n">
        <v>0</v>
      </c>
      <c r="BS136" t="inlineStr">
        <is>
          <t>Harney &amp; Sons SoHo store and Millerton store (own shops)</t>
        </is>
      </c>
      <c r="BU136" t="inlineStr">
        <is>
          <t>listing</t>
        </is>
      </c>
      <c r="BV136" t="n">
        <v>120</v>
      </c>
      <c r="BX136" t="inlineStr">
        <is>
          <t>John Harney</t>
        </is>
      </c>
      <c r="CF136" t="inlineStr">
        <is>
          <t>none</t>
        </is>
      </c>
      <c r="CK136" t="inlineStr">
        <is>
          <t>none</t>
        </is>
      </c>
      <c r="CL136" t="n">
        <v>41</v>
      </c>
      <c r="CM136" t="n">
        <v>6</v>
      </c>
      <c r="CN136" t="n">
        <v>13</v>
      </c>
      <c r="CO136" t="n">
        <v>8</v>
      </c>
      <c r="CP136" t="n">
        <v>5</v>
      </c>
      <c r="CQ136" t="n">
        <v>7</v>
      </c>
      <c r="CR136" t="n">
        <v>6</v>
      </c>
      <c r="CS136">
        <f>IF(R136="Y",10,0)</f>
        <v/>
      </c>
      <c r="CT136" t="n">
        <v>-4</v>
      </c>
      <c r="CU136" t="inlineStr">
        <is>
          <t>https://www.instagram.com/harneytea</t>
        </is>
      </c>
      <c r="CV136" t="inlineStr">
        <is>
          <t>BR3</t>
        </is>
      </c>
      <c r="CW136" t="inlineStr">
        <is>
          <t>BR3:24</t>
        </is>
      </c>
      <c r="CX136" t="inlineStr">
        <is>
          <t>Matcha page: 'family tea company in Millerton, New York, founded by John Harney in 1983 and now in its third generation'. Founder title is as printed on the about page; current day-to-day leader not confirmed. Dates are Shopify publish dates.</t>
        </is>
      </c>
      <c r="CY136" t="inlineStr">
        <is>
          <t xml:space="preserve">founder_review_reason &lt;- https://www.harney.com/pages/the-hemp-division (2026-10-24, opened); </t>
        </is>
      </c>
      <c r="DA136" t="inlineStr">
        <is>
          <t>stage 1 only</t>
        </is>
      </c>
      <c r="DY136">
        <f>IF(ISNUMBER(MATCH(U136,{"queued","contacted","replied","call_booked","call_done","yes_in_principle","materials_sent"},0)),"Y","N")</f>
        <v/>
      </c>
      <c r="DZ136">
        <f>IF(COUNTIFS($AN$2:$AN$1000,AN136,$DY$2:$DY$1000,"Y")+COUNTIFS($AN$2:$AN$1000,AN136,$T$2:$T$1000,"Y")&gt;0,"Y","N")</f>
        <v/>
      </c>
      <c r="EA136">
        <f>IF(AND(U136="new",T136="N",AR136="Y",AQ136="",DZ136="N"),"Y","N")</f>
        <v/>
      </c>
      <c r="EB136">
        <f>IF(EA136&lt;&gt;"Y","N",IF(COUNTIFS($AN$2:$AN$1000,AN136,$EA$2:$EA$1000,"Y",$J$2:$J$1000,"&gt;"&amp;J136)+COUNTIFS($AN$2:$AN$1000,AN136,$EA$2:$EA$1000,"Y",$J$2:$J$1000,J136,$ED$2:$ED$1000,"&lt;"&amp;ED136)=0,"Y","N"))</f>
        <v/>
      </c>
      <c r="EC136">
        <f>IF(Y136="","N",IF(Y136&lt;=10,"Y","N"))</f>
        <v/>
      </c>
      <c r="ED136">
        <f>ROW()-1</f>
        <v/>
      </c>
    </row>
    <row r="137">
      <c r="A137" t="inlineStr">
        <is>
          <t>AB-098</t>
        </is>
      </c>
      <c r="B137" t="inlineStr">
        <is>
          <t>Jacques Torres Chocolate</t>
        </is>
      </c>
      <c r="C137" t="inlineStr">
        <is>
          <t>Jacques</t>
        </is>
      </c>
      <c r="D137" t="inlineStr">
        <is>
          <t>Torres</t>
        </is>
      </c>
      <c r="E137" t="inlineStr">
        <is>
          <t>Proprietor</t>
        </is>
      </c>
      <c r="H137" t="inlineStr">
        <is>
          <t>none</t>
        </is>
      </c>
      <c r="I137" t="inlineStr">
        <is>
          <t>linkedin</t>
        </is>
      </c>
      <c r="J137">
        <f>IF(AU137="pass",CM137+CN137+CO137+CP137+CQ137+CR137+CS137+CT137,0)</f>
        <v/>
      </c>
      <c r="K137" t="inlineStr">
        <is>
          <t>New York City brand, no graded store within ten blocks, online store only, a new store listing 37 days ago, revenue unknown, contact named; founder review: not-emerging, format.</t>
        </is>
      </c>
      <c r="M137" t="inlineStr">
        <is>
          <t>none found within ten blocks</t>
        </is>
      </c>
      <c r="N137" t="inlineStr">
        <is>
          <t>unverified</t>
        </is>
      </c>
      <c r="O137" t="inlineStr">
        <is>
          <t>Holiday 2026 collection (Hanukkah gelt, Christmas figures) added to brand store, Sept 2026</t>
        </is>
      </c>
      <c r="P137" t="inlineStr">
        <is>
          <t>https://mrchocolate.com/</t>
        </is>
      </c>
      <c r="Q137" t="inlineStr">
        <is>
          <t>2026-09-17</t>
        </is>
      </c>
      <c r="R137" t="inlineStr">
        <is>
          <t>N</t>
        </is>
      </c>
      <c r="S137" t="inlineStr">
        <is>
          <t>unknown</t>
        </is>
      </c>
      <c r="T137" t="inlineStr">
        <is>
          <t>N</t>
        </is>
      </c>
      <c r="U137" t="inlineStr">
        <is>
          <t>new</t>
        </is>
      </c>
      <c r="V137" t="inlineStr">
        <is>
          <t>https://mrchocolate.com/</t>
        </is>
      </c>
      <c r="W137" t="inlineStr">
        <is>
          <t>2026-10-23</t>
        </is>
      </c>
      <c r="X137" t="inlineStr">
        <is>
          <t>brand</t>
        </is>
      </c>
      <c r="Y137">
        <f>IF(EB137&lt;&gt;"Y","",COUNTIFS($EB$2:$EB$1000,"Y",$J$2:$J$1000,"&gt;"&amp;J137)+COUNTIFS($EB$2:$EB$1000,"Y",$J$2:$J$1000,J137,$ED$2:$ED$1000,"&lt;"&amp;ED137)+1)</f>
        <v/>
      </c>
      <c r="Z137" t="n">
        <v>136</v>
      </c>
      <c r="AA137" t="inlineStr">
        <is>
          <t>N</t>
        </is>
      </c>
      <c r="AB137" t="inlineStr">
        <is>
          <t>find Jacques Torres at Jacques Torres Chocolate on LinkedIn and paste the profile URL; founder review (not-emerging, format): read founder_review_reason first</t>
        </is>
      </c>
      <c r="AC137" t="inlineStr">
        <is>
          <t>founder</t>
        </is>
      </c>
      <c r="AD137" t="inlineStr">
        <is>
          <t>verified-page</t>
        </is>
      </c>
      <c r="AE137" t="inlineStr">
        <is>
          <t>press, event or podcast page</t>
        </is>
      </c>
      <c r="AF137" t="inlineStr">
        <is>
          <t>https://jacquestorres.com/about/</t>
        </is>
      </c>
      <c r="AG137" t="inlineStr">
        <is>
          <t>2026-10-23</t>
        </is>
      </c>
      <c r="AH137" t="inlineStr">
        <is>
          <t>Pretzel Mint Bark; holiday chocolate figures</t>
        </is>
      </c>
      <c r="AI137" t="inlineStr">
        <is>
          <t>chocolate-candy</t>
        </is>
      </c>
      <c r="AJ137" t="inlineStr">
        <is>
          <t>New York (brand calls itself 'Best Gourmet Chocolate in New York')</t>
        </is>
      </c>
      <c r="AK137" t="inlineStr">
        <is>
          <t>https://mrchocolate.com</t>
        </is>
      </c>
      <c r="AL137" t="inlineStr">
        <is>
          <t>Y</t>
        </is>
      </c>
      <c r="AM137" t="inlineStr">
        <is>
          <t>Established celebrity-chef chocolatier with own shops, not an emerging CPG brand; gift-focused, single-serve SKU not confirmed; 60-day shelf life not stated</t>
        </is>
      </c>
      <c r="AN137" t="inlineStr">
        <is>
          <t>AB-098</t>
        </is>
      </c>
      <c r="AO137" t="inlineStr">
        <is>
          <t>N</t>
        </is>
      </c>
      <c r="AR137">
        <f>IF(AND(AU137="pass",AO137&lt;&gt;"Y",C137&lt;&gt;""),"Y","N")</f>
        <v/>
      </c>
      <c r="AS137">
        <f>_xlfn.TEXTJOIN("; ",TRUE,IF(AU137&lt;&gt;"pass","gated out",""),IF(AO137="Y","on hold: "&amp;AP137,""),IF(C137="","no contact named on an opened page",""))</f>
        <v/>
      </c>
      <c r="AU137" t="inlineStr">
        <is>
          <t>pass</t>
        </is>
      </c>
      <c r="AW137" t="inlineStr">
        <is>
          <t>passes all hard gates</t>
        </is>
      </c>
      <c r="AX137" t="inlineStr">
        <is>
          <t>not-emerging;format</t>
        </is>
      </c>
      <c r="AY137" t="inlineStr">
        <is>
          <t>https://mrchocolate.com</t>
        </is>
      </c>
      <c r="AZ137" t="inlineStr">
        <is>
          <t>NY</t>
        </is>
      </c>
      <c r="BA137" t="inlineStr">
        <is>
          <t>nyc</t>
        </is>
      </c>
      <c r="BB137" t="inlineStr">
        <is>
          <t>unknown</t>
        </is>
      </c>
      <c r="BD137" t="inlineStr">
        <is>
          <t>likely</t>
        </is>
      </c>
      <c r="BE137" t="inlineStr">
        <is>
          <t>Brand FAQ: 'Chocolate bars and baking discs can be stored up to 6 months in their original packaging'; bon bons and truffles best within 3-4 weeks; refrigeration not necessary.</t>
        </is>
      </c>
      <c r="BF137" t="inlineStr">
        <is>
          <t>unknown</t>
        </is>
      </c>
      <c r="BG137" t="inlineStr">
        <is>
          <t>Y</t>
        </is>
      </c>
      <c r="BH137" t="inlineStr">
        <is>
          <t>unknown</t>
        </is>
      </c>
      <c r="BJ137" t="inlineStr">
        <is>
          <t>unknown</t>
        </is>
      </c>
      <c r="BK137" t="inlineStr">
        <is>
          <t>N</t>
        </is>
      </c>
      <c r="BL137" t="inlineStr">
        <is>
          <t>N</t>
        </is>
      </c>
      <c r="BO137" t="inlineStr">
        <is>
          <t>N</t>
        </is>
      </c>
      <c r="BP137" t="n">
        <v>0</v>
      </c>
      <c r="BS137" t="inlineStr">
        <is>
          <t>Own shops ('In store only' items on brand store)</t>
        </is>
      </c>
      <c r="BT137" t="inlineStr">
        <is>
          <t>https://www.wholefoodsmarket.com/api/search?text=jacques%20torres&amp;store=10162&amp;limit=60&amp;offset=0</t>
        </is>
      </c>
      <c r="BU137" t="inlineStr">
        <is>
          <t>listing</t>
        </is>
      </c>
      <c r="BV137" t="n">
        <v>37</v>
      </c>
      <c r="BX137" t="inlineStr">
        <is>
          <t>Jacques Torres</t>
        </is>
      </c>
      <c r="CF137" t="inlineStr">
        <is>
          <t>none</t>
        </is>
      </c>
      <c r="CK137" t="inlineStr">
        <is>
          <t>none</t>
        </is>
      </c>
      <c r="CL137" t="n">
        <v>41</v>
      </c>
      <c r="CM137" t="n">
        <v>6</v>
      </c>
      <c r="CN137" t="n">
        <v>20</v>
      </c>
      <c r="CO137" t="n">
        <v>8</v>
      </c>
      <c r="CP137" t="n">
        <v>5</v>
      </c>
      <c r="CQ137" t="n">
        <v>6</v>
      </c>
      <c r="CR137" t="n">
        <v>6</v>
      </c>
      <c r="CS137">
        <f>IF(R137="Y",10,0)</f>
        <v/>
      </c>
      <c r="CT137" t="n">
        <v>-10</v>
      </c>
      <c r="CU137" t="inlineStr">
        <is>
          <t>https://www.instagram.com/jacquestorres/</t>
        </is>
      </c>
      <c r="CV137" t="inlineStr">
        <is>
          <t>BR2</t>
        </is>
      </c>
      <c r="CW137" t="inlineStr">
        <is>
          <t>BR2:36</t>
        </is>
      </c>
      <c r="CX137" t="inlineStr">
        <is>
          <t>Shop addresses not captured. Not in WFM cluster catalogs. Why-now from Shopify publish dates.</t>
        </is>
      </c>
      <c r="CY137" t="inlineStr">
        <is>
          <t xml:space="preserve">shelf_stable_basis &lt;- https://mrchocolate.com/pages/faqs (2026-10-24, opened); </t>
        </is>
      </c>
      <c r="DA137" t="inlineStr">
        <is>
          <t>stage 1 only</t>
        </is>
      </c>
      <c r="DY137">
        <f>IF(ISNUMBER(MATCH(U137,{"queued","contacted","replied","call_booked","call_done","yes_in_principle","materials_sent"},0)),"Y","N")</f>
        <v/>
      </c>
      <c r="DZ137">
        <f>IF(COUNTIFS($AN$2:$AN$1000,AN137,$DY$2:$DY$1000,"Y")+COUNTIFS($AN$2:$AN$1000,AN137,$T$2:$T$1000,"Y")&gt;0,"Y","N")</f>
        <v/>
      </c>
      <c r="EA137">
        <f>IF(AND(U137="new",T137="N",AR137="Y",AQ137="",DZ137="N"),"Y","N")</f>
        <v/>
      </c>
      <c r="EB137">
        <f>IF(EA137&lt;&gt;"Y","N",IF(COUNTIFS($AN$2:$AN$1000,AN137,$EA$2:$EA$1000,"Y",$J$2:$J$1000,"&gt;"&amp;J137)+COUNTIFS($AN$2:$AN$1000,AN137,$EA$2:$EA$1000,"Y",$J$2:$J$1000,J137,$ED$2:$ED$1000,"&lt;"&amp;ED137)=0,"Y","N"))</f>
        <v/>
      </c>
      <c r="EC137">
        <f>IF(Y137="","N",IF(Y137&lt;=10,"Y","N"))</f>
        <v/>
      </c>
      <c r="ED137">
        <f>ROW()-1</f>
        <v/>
      </c>
    </row>
    <row r="138">
      <c r="A138" t="inlineStr">
        <is>
          <t>AB-307</t>
        </is>
      </c>
      <c r="B138" t="inlineStr">
        <is>
          <t>Milène Jardine Chocolatier</t>
        </is>
      </c>
      <c r="H138" t="inlineStr">
        <is>
          <t>none</t>
        </is>
      </c>
      <c r="J138">
        <f>IF(AU138="pass",CM138+CN138+CO138+CP138+CQ138+CR138+CS138+CT138,0)</f>
        <v/>
      </c>
      <c r="K138" t="inlineStr">
        <is>
          <t>New York City brand, no graded store within ten blocks, online store only, a new store listing 170 days ago, revenue unknown, contact seen only in a snippet; founder review: perishable-risk.</t>
        </is>
      </c>
      <c r="M138" t="inlineStr">
        <is>
          <t>none found within ten blocks</t>
        </is>
      </c>
      <c r="N138" t="inlineStr">
        <is>
          <t>unverified</t>
        </is>
      </c>
      <c r="O138" t="inlineStr">
        <is>
          <t>Launched five vegan chocolate bars (Raw Pistachio, Rosemary, South American Dark, Sicilian Salted Lemon, Coconut Lime Leaf)</t>
        </is>
      </c>
      <c r="P138" t="inlineStr">
        <is>
          <t>https://milenejardine.com/products.json</t>
        </is>
      </c>
      <c r="Q138" t="inlineStr">
        <is>
          <t>2026-05-07</t>
        </is>
      </c>
      <c r="R138" t="inlineStr">
        <is>
          <t>N</t>
        </is>
      </c>
      <c r="S138" t="inlineStr">
        <is>
          <t>unknown</t>
        </is>
      </c>
      <c r="T138" t="inlineStr">
        <is>
          <t>N</t>
        </is>
      </c>
      <c r="U138" t="inlineStr">
        <is>
          <t>new</t>
        </is>
      </c>
      <c r="V138" t="inlineStr">
        <is>
          <t>https://madeinqueens.org/products</t>
        </is>
      </c>
      <c r="W138" t="inlineStr">
        <is>
          <t>2026-10-24</t>
        </is>
      </c>
      <c r="X138" t="inlineStr">
        <is>
          <t>brand</t>
        </is>
      </c>
      <c r="Y138">
        <f>IF(EB138&lt;&gt;"Y","",COUNTIFS($EB$2:$EB$1000,"Y",$J$2:$J$1000,"&gt;"&amp;J138)+COUNTIFS($EB$2:$EB$1000,"Y",$J$2:$J$1000,J138,$ED$2:$ED$1000,"&lt;"&amp;ED138)+1)</f>
        <v/>
      </c>
      <c r="Z138" t="n">
        <v>137</v>
      </c>
      <c r="AA138" t="inlineStr">
        <is>
          <t>N</t>
        </is>
      </c>
      <c r="AB138" t="inlineStr">
        <is>
          <t>no person named on an opened page: not ready; founder review (perishable-risk): read founder_review_reason first</t>
        </is>
      </c>
      <c r="AC138" t="inlineStr">
        <is>
          <t>founder</t>
        </is>
      </c>
      <c r="AD138" t="inlineStr">
        <is>
          <t>unverified</t>
        </is>
      </c>
      <c r="AE138" t="inlineStr">
        <is>
          <t>employer's own site</t>
        </is>
      </c>
      <c r="AF138" t="inlineStr">
        <is>
          <t>https://milenejardine.com</t>
        </is>
      </c>
      <c r="AG138" t="inlineStr">
        <is>
          <t>2026-10-24</t>
        </is>
      </c>
      <c r="AH138" t="inlineStr">
        <is>
          <t>Raw Pistachio vegan chocolate bar ($7)</t>
        </is>
      </c>
      <c r="AI138" t="inlineStr">
        <is>
          <t>chocolate-candy</t>
        </is>
      </c>
      <c r="AJ138" t="inlineStr">
        <is>
          <t>New York City (Made in Queens maker)</t>
        </is>
      </c>
      <c r="AK138" t="inlineStr">
        <is>
          <t>https://milenejardine.com</t>
        </is>
      </c>
      <c r="AL138" t="inlineStr">
        <is>
          <t>Y</t>
        </is>
      </c>
      <c r="AM138" t="inlineStr">
        <is>
          <t>Truffles are cream-based (perishable, excluded); only the vegan bars might fit. Confirm the bars' shelf life without refrigeration; 60-day shelf life not stated</t>
        </is>
      </c>
      <c r="AN138" t="inlineStr">
        <is>
          <t>AB-307</t>
        </is>
      </c>
      <c r="AO138" t="inlineStr">
        <is>
          <t>N</t>
        </is>
      </c>
      <c r="AR138">
        <f>IF(AND(AU138="pass",AO138&lt;&gt;"Y",C138&lt;&gt;""),"Y","N")</f>
        <v/>
      </c>
      <c r="AS138">
        <f>_xlfn.TEXTJOIN("; ",TRUE,IF(AU138&lt;&gt;"pass","gated out",""),IF(AO138="Y","on hold: "&amp;AP138,""),IF(C138="","no contact named on an opened page",""))</f>
        <v/>
      </c>
      <c r="AU138" t="inlineStr">
        <is>
          <t>pass</t>
        </is>
      </c>
      <c r="AW138" t="inlineStr">
        <is>
          <t>passes all hard gates</t>
        </is>
      </c>
      <c r="AX138" t="inlineStr">
        <is>
          <t>perishable-risk</t>
        </is>
      </c>
      <c r="AY138" t="inlineStr">
        <is>
          <t>https://milenejardine.com</t>
        </is>
      </c>
      <c r="AZ138" t="inlineStr">
        <is>
          <t>NY</t>
        </is>
      </c>
      <c r="BA138" t="inlineStr">
        <is>
          <t>nyc</t>
        </is>
      </c>
      <c r="BB138" t="inlineStr">
        <is>
          <t>unknown</t>
        </is>
      </c>
      <c r="BD138" t="inlineStr">
        <is>
          <t>unknown</t>
        </is>
      </c>
      <c r="BE138" t="inlineStr">
        <is>
          <t>Bars carry a note on bringing chocolate to room temperature 'when stored in the refrigerator'; truffles are made with real cream and are perishable</t>
        </is>
      </c>
      <c r="BF138" t="inlineStr">
        <is>
          <t>Y</t>
        </is>
      </c>
      <c r="BG138" t="inlineStr">
        <is>
          <t>Y</t>
        </is>
      </c>
      <c r="BH138" t="inlineStr">
        <is>
          <t>unknown</t>
        </is>
      </c>
      <c r="BJ138" t="inlineStr">
        <is>
          <t>No sourced sales figure found</t>
        </is>
      </c>
      <c r="BK138" t="inlineStr">
        <is>
          <t>N</t>
        </is>
      </c>
      <c r="BL138" t="inlineStr">
        <is>
          <t>N</t>
        </is>
      </c>
      <c r="BO138" t="inlineStr">
        <is>
          <t>N</t>
        </is>
      </c>
      <c r="BP138" t="n">
        <v>0</v>
      </c>
      <c r="BS138" t="inlineStr">
        <is>
          <t>unknown</t>
        </is>
      </c>
      <c r="BU138" t="inlineStr">
        <is>
          <t>listing</t>
        </is>
      </c>
      <c r="BV138" t="n">
        <v>170</v>
      </c>
      <c r="BX138" t="inlineStr">
        <is>
          <t>Milène Jardine</t>
        </is>
      </c>
      <c r="BY138" t="inlineStr">
        <is>
          <t>inferred from the brand name and first-person site copy; founder to confirm</t>
        </is>
      </c>
      <c r="CF138" t="inlineStr">
        <is>
          <t>none</t>
        </is>
      </c>
      <c r="CK138" t="inlineStr">
        <is>
          <t>none</t>
        </is>
      </c>
      <c r="CL138" t="n">
        <v>41</v>
      </c>
      <c r="CM138" t="n">
        <v>6</v>
      </c>
      <c r="CN138" t="n">
        <v>20</v>
      </c>
      <c r="CO138" t="n">
        <v>8</v>
      </c>
      <c r="CP138" t="n">
        <v>5</v>
      </c>
      <c r="CQ138" t="n">
        <v>7</v>
      </c>
      <c r="CR138" t="n">
        <v>3</v>
      </c>
      <c r="CS138">
        <f>IF(R138="Y",10,0)</f>
        <v/>
      </c>
      <c r="CT138" t="n">
        <v>-8</v>
      </c>
      <c r="CU138" t="inlineStr">
        <is>
          <t>https://www.instagram.com/milene.jardine.chocolatier/</t>
        </is>
      </c>
      <c r="CV138" t="inlineStr">
        <is>
          <t>BR5</t>
        </is>
      </c>
      <c r="CW138" t="inlineStr">
        <is>
          <t>BR5:43</t>
        </is>
      </c>
      <c r="CX138" t="inlineStr">
        <is>
          <t>Made in Queens certified maker; Entrepreneur Space current client ('Milene Jardine, Chocolates'). Site: 'Made in New York City'.</t>
        </is>
      </c>
      <c r="DA138" t="inlineStr">
        <is>
          <t>stage 1 only</t>
        </is>
      </c>
      <c r="DY138">
        <f>IF(ISNUMBER(MATCH(U138,{"queued","contacted","replied","call_booked","call_done","yes_in_principle","materials_sent"},0)),"Y","N")</f>
        <v/>
      </c>
      <c r="DZ138">
        <f>IF(COUNTIFS($AN$2:$AN$1000,AN138,$DY$2:$DY$1000,"Y")+COUNTIFS($AN$2:$AN$1000,AN138,$T$2:$T$1000,"Y")&gt;0,"Y","N")</f>
        <v/>
      </c>
      <c r="EA138">
        <f>IF(AND(U138="new",T138="N",AR138="Y",AQ138="",DZ138="N"),"Y","N")</f>
        <v/>
      </c>
      <c r="EB138">
        <f>IF(EA138&lt;&gt;"Y","N",IF(COUNTIFS($AN$2:$AN$1000,AN138,$EA$2:$EA$1000,"Y",$J$2:$J$1000,"&gt;"&amp;J138)+COUNTIFS($AN$2:$AN$1000,AN138,$EA$2:$EA$1000,"Y",$J$2:$J$1000,J138,$ED$2:$ED$1000,"&lt;"&amp;ED138)=0,"Y","N"))</f>
        <v/>
      </c>
      <c r="EC138">
        <f>IF(Y138="","N",IF(Y138&lt;=10,"Y","N"))</f>
        <v/>
      </c>
      <c r="ED138">
        <f>ROW()-1</f>
        <v/>
      </c>
    </row>
    <row r="139">
      <c r="A139" t="inlineStr">
        <is>
          <t>AB-292</t>
        </is>
      </c>
      <c r="B139" t="inlineStr">
        <is>
          <t>Moka Origins</t>
        </is>
      </c>
      <c r="C139" t="inlineStr">
        <is>
          <t>Ishan</t>
        </is>
      </c>
      <c r="D139" t="inlineStr">
        <is>
          <t>Tigunait</t>
        </is>
      </c>
      <c r="E139" t="inlineStr">
        <is>
          <t>Co-founder</t>
        </is>
      </c>
      <c r="H139" t="inlineStr">
        <is>
          <t>none</t>
        </is>
      </c>
      <c r="I139" t="inlineStr">
        <is>
          <t>linkedin</t>
        </is>
      </c>
      <c r="J139">
        <f>IF(AU139="pass",CM139+CN139+CO139+CP139+CQ139+CR139+CS139+CT139,0)</f>
        <v/>
      </c>
      <c r="K139" t="inlineStr">
        <is>
          <t>Northeast brand, no graded store within ten blocks, online store only, a new store listing 12 days ago, revenue unknown, contact named; founder review: other.</t>
        </is>
      </c>
      <c r="M139" t="inlineStr">
        <is>
          <t>none found within ten blocks</t>
        </is>
      </c>
      <c r="N139" t="inlineStr">
        <is>
          <t>unverified</t>
        </is>
      </c>
      <c r="O139" t="inlineStr">
        <is>
          <t>Launched S'mores and Mexican Spice chocolate bars for fall 2026</t>
        </is>
      </c>
      <c r="P139" t="inlineStr">
        <is>
          <t>https://mokaorigins.com/products.json</t>
        </is>
      </c>
      <c r="Q139" t="inlineStr">
        <is>
          <t>2026-10-12</t>
        </is>
      </c>
      <c r="R139" t="inlineStr">
        <is>
          <t>N</t>
        </is>
      </c>
      <c r="S139" t="inlineStr">
        <is>
          <t>unknown</t>
        </is>
      </c>
      <c r="T139" t="inlineStr">
        <is>
          <t>N</t>
        </is>
      </c>
      <c r="U139" t="inlineStr">
        <is>
          <t>new</t>
        </is>
      </c>
      <c r="V139" t="inlineStr">
        <is>
          <t>https://events.specialtyfood.com/event/2026-summer-fancy-food-show/exhibitor/RXhoaWJpdG9yXzI0MjEyNTE=</t>
        </is>
      </c>
      <c r="W139" t="inlineStr">
        <is>
          <t>2026-10-24</t>
        </is>
      </c>
      <c r="X139" t="inlineStr">
        <is>
          <t>brand</t>
        </is>
      </c>
      <c r="Y139">
        <f>IF(EB139&lt;&gt;"Y","",COUNTIFS($EB$2:$EB$1000,"Y",$J$2:$J$1000,"&gt;"&amp;J139)+COUNTIFS($EB$2:$EB$1000,"Y",$J$2:$J$1000,J139,$ED$2:$ED$1000,"&lt;"&amp;ED139)+1)</f>
        <v/>
      </c>
      <c r="Z139" t="n">
        <v>138</v>
      </c>
      <c r="AA139" t="inlineStr">
        <is>
          <t>N</t>
        </is>
      </c>
      <c r="AB139" t="inlineStr">
        <is>
          <t>find Ishan Tigunait at Moka Origins on LinkedIn and paste the profile URL; founder review (other): read founder_review_reason first</t>
        </is>
      </c>
      <c r="AC139" t="inlineStr">
        <is>
          <t>founder</t>
        </is>
      </c>
      <c r="AD139" t="inlineStr">
        <is>
          <t>verified-page</t>
        </is>
      </c>
      <c r="AE139" t="inlineStr">
        <is>
          <t>employer's own site</t>
        </is>
      </c>
      <c r="AF139" t="inlineStr">
        <is>
          <t>https://mokaorigins.com/pages/our-story</t>
        </is>
      </c>
      <c r="AG139" t="inlineStr">
        <is>
          <t>2026-10-24</t>
        </is>
      </c>
      <c r="AH139" t="inlineStr">
        <is>
          <t>S'mores Chocolate bar; Mexican Spice Milk Chocolate, 4 oz</t>
        </is>
      </c>
      <c r="AI139" t="inlineStr">
        <is>
          <t>chocolate-candy</t>
        </is>
      </c>
      <c r="AJ139" t="inlineStr">
        <is>
          <t>unknown (chocolate factory in Pennsylvania)</t>
        </is>
      </c>
      <c r="AK139" t="inlineStr">
        <is>
          <t>https://mokaorigins.com</t>
        </is>
      </c>
      <c r="AL139" t="inlineStr">
        <is>
          <t>Y</t>
        </is>
      </c>
      <c r="AM139" t="inlineStr">
        <is>
          <t>Brand also sells coffee beans (not eligible). 4 oz bars are large for a pantry drop; check smaller formats. No NYC retailer found</t>
        </is>
      </c>
      <c r="AN139" t="inlineStr">
        <is>
          <t>AB-292</t>
        </is>
      </c>
      <c r="AO139" t="inlineStr">
        <is>
          <t>N</t>
        </is>
      </c>
      <c r="AR139">
        <f>IF(AND(AU139="pass",AO139&lt;&gt;"Y",C139&lt;&gt;""),"Y","N")</f>
        <v/>
      </c>
      <c r="AS139">
        <f>_xlfn.TEXTJOIN("; ",TRUE,IF(AU139&lt;&gt;"pass","gated out",""),IF(AO139="Y","on hold: "&amp;AP139,""),IF(C139="","no contact named on an opened page",""))</f>
        <v/>
      </c>
      <c r="AU139" t="inlineStr">
        <is>
          <t>pass</t>
        </is>
      </c>
      <c r="AW139" t="inlineStr">
        <is>
          <t>passes all hard gates</t>
        </is>
      </c>
      <c r="AX139" t="inlineStr">
        <is>
          <t>other</t>
        </is>
      </c>
      <c r="AY139" t="inlineStr">
        <is>
          <t>https://mokaorigins.com</t>
        </is>
      </c>
      <c r="AZ139" t="inlineStr">
        <is>
          <t>PA</t>
        </is>
      </c>
      <c r="BA139" t="inlineStr">
        <is>
          <t>northeast</t>
        </is>
      </c>
      <c r="BB139" t="inlineStr">
        <is>
          <t>unknown</t>
        </is>
      </c>
      <c r="BD139" t="inlineStr">
        <is>
          <t>Y</t>
        </is>
      </c>
      <c r="BE139" t="inlineStr">
        <is>
          <t>Wrapped bean-to-bar chocolate sold ambient online</t>
        </is>
      </c>
      <c r="BF139" t="inlineStr">
        <is>
          <t>Y</t>
        </is>
      </c>
      <c r="BG139" t="inlineStr">
        <is>
          <t>Y</t>
        </is>
      </c>
      <c r="BH139" t="inlineStr">
        <is>
          <t>unknown</t>
        </is>
      </c>
      <c r="BJ139" t="inlineStr">
        <is>
          <t>No sourced sales figure found</t>
        </is>
      </c>
      <c r="BK139" t="inlineStr">
        <is>
          <t>N</t>
        </is>
      </c>
      <c r="BL139" t="inlineStr">
        <is>
          <t>N</t>
        </is>
      </c>
      <c r="BO139" t="inlineStr">
        <is>
          <t>N</t>
        </is>
      </c>
      <c r="BP139" t="n">
        <v>0</v>
      </c>
      <c r="BS139" t="inlineStr">
        <is>
          <t>unknown</t>
        </is>
      </c>
      <c r="BU139" t="inlineStr">
        <is>
          <t>listing</t>
        </is>
      </c>
      <c r="BV139" t="n">
        <v>12</v>
      </c>
      <c r="BX139" t="inlineStr">
        <is>
          <t>Ishan Tigunait</t>
        </is>
      </c>
      <c r="CA139" t="inlineStr">
        <is>
          <t>Jeff Abella</t>
        </is>
      </c>
      <c r="CB139" t="inlineStr">
        <is>
          <t>Jeff</t>
        </is>
      </c>
      <c r="CC139" t="inlineStr">
        <is>
          <t>Abella</t>
        </is>
      </c>
      <c r="CD139" t="inlineStr">
        <is>
          <t>Co-founder</t>
        </is>
      </c>
      <c r="CE139" t="inlineStr">
        <is>
          <t>co-founder</t>
        </is>
      </c>
      <c r="CF139" t="inlineStr">
        <is>
          <t>verified-page</t>
        </is>
      </c>
      <c r="CK139" t="inlineStr">
        <is>
          <t>none</t>
        </is>
      </c>
      <c r="CL139" t="n">
        <v>41</v>
      </c>
      <c r="CM139" t="n">
        <v>6</v>
      </c>
      <c r="CN139" t="n">
        <v>8</v>
      </c>
      <c r="CO139" t="n">
        <v>8</v>
      </c>
      <c r="CP139" t="n">
        <v>5</v>
      </c>
      <c r="CQ139" t="n">
        <v>10</v>
      </c>
      <c r="CR139" t="n">
        <v>6</v>
      </c>
      <c r="CS139">
        <f>IF(R139="Y",10,0)</f>
        <v/>
      </c>
      <c r="CT139" t="n">
        <v>-2</v>
      </c>
      <c r="CU139" t="inlineStr">
        <is>
          <t>https://www.instagram.com/mokaorigins/</t>
        </is>
      </c>
      <c r="CV139" t="inlineStr">
        <is>
          <t>BR5</t>
        </is>
      </c>
      <c r="CW139" t="inlineStr">
        <is>
          <t>BR5:28</t>
        </is>
      </c>
      <c r="CX139" t="inlineStr">
        <is>
          <t>SFFS 2026 (State: Pennsylvania): 'bean-to-bar chocolate maker and specialty coffee roaster based in Pennsylvania', sourcing from Cameroon, Ghana, Togo, Tanzania, Uganda.</t>
        </is>
      </c>
      <c r="CZ139" t="inlineStr">
        <is>
          <t>https://mokaorigins.com/pages/our-story</t>
        </is>
      </c>
      <c r="DA139" t="inlineStr">
        <is>
          <t>stage 1 only</t>
        </is>
      </c>
      <c r="DC139" t="inlineStr">
        <is>
          <t>employer's own site</t>
        </is>
      </c>
      <c r="DY139">
        <f>IF(ISNUMBER(MATCH(U139,{"queued","contacted","replied","call_booked","call_done","yes_in_principle","materials_sent"},0)),"Y","N")</f>
        <v/>
      </c>
      <c r="DZ139">
        <f>IF(COUNTIFS($AN$2:$AN$1000,AN139,$DY$2:$DY$1000,"Y")+COUNTIFS($AN$2:$AN$1000,AN139,$T$2:$T$1000,"Y")&gt;0,"Y","N")</f>
        <v/>
      </c>
      <c r="EA139">
        <f>IF(AND(U139="new",T139="N",AR139="Y",AQ139="",DZ139="N"),"Y","N")</f>
        <v/>
      </c>
      <c r="EB139">
        <f>IF(EA139&lt;&gt;"Y","N",IF(COUNTIFS($AN$2:$AN$1000,AN139,$EA$2:$EA$1000,"Y",$J$2:$J$1000,"&gt;"&amp;J139)+COUNTIFS($AN$2:$AN$1000,AN139,$EA$2:$EA$1000,"Y",$J$2:$J$1000,J139,$ED$2:$ED$1000,"&lt;"&amp;ED139)=0,"Y","N"))</f>
        <v/>
      </c>
      <c r="EC139">
        <f>IF(Y139="","N",IF(Y139&lt;=10,"Y","N"))</f>
        <v/>
      </c>
      <c r="ED139">
        <f>ROW()-1</f>
        <v/>
      </c>
    </row>
    <row r="140">
      <c r="A140" t="inlineStr">
        <is>
          <t>AB-160</t>
        </is>
      </c>
      <c r="B140" t="inlineStr">
        <is>
          <t>Nixie Sparkling Water</t>
        </is>
      </c>
      <c r="C140" t="inlineStr">
        <is>
          <t>Nicole</t>
        </is>
      </c>
      <c r="D140" t="inlineStr">
        <is>
          <t>Bernard Dawes</t>
        </is>
      </c>
      <c r="E140" t="inlineStr">
        <is>
          <t>Founder</t>
        </is>
      </c>
      <c r="H140" t="inlineStr">
        <is>
          <t>none</t>
        </is>
      </c>
      <c r="I140" t="inlineStr">
        <is>
          <t>linkedin</t>
        </is>
      </c>
      <c r="J140">
        <f>IF(AU140="pass",CM140+CN140+CO140+CP140+CQ140+CR140+CS140+CT140,0)</f>
        <v/>
      </c>
      <c r="K140" t="inlineStr">
        <is>
          <t>Northeast brand, no graded store within ten blocks, online store only, a new store listing 241 days ago, revenue unknown, contact named; founder review: other.</t>
        </is>
      </c>
      <c r="M140" t="inlineStr">
        <is>
          <t>none found within ten blocks</t>
        </is>
      </c>
      <c r="N140" t="inlineStr">
        <is>
          <t>unverified</t>
        </is>
      </c>
      <c r="O140" t="inlineStr">
        <is>
          <t>New flavors Strawberry Cream and Cherry Cola listed</t>
        </is>
      </c>
      <c r="P140" t="inlineStr">
        <is>
          <t>https://drinknixie.com/products.json</t>
        </is>
      </c>
      <c r="Q140" t="inlineStr">
        <is>
          <t>2026-02-25</t>
        </is>
      </c>
      <c r="R140" t="inlineStr">
        <is>
          <t>N</t>
        </is>
      </c>
      <c r="S140" t="inlineStr">
        <is>
          <t>unknown</t>
        </is>
      </c>
      <c r="T140" t="inlineStr">
        <is>
          <t>N</t>
        </is>
      </c>
      <c r="U140" t="inlineStr">
        <is>
          <t>new</t>
        </is>
      </c>
      <c r="V140" t="inlineStr">
        <is>
          <t>https://drinknixie.com/pages/about-us</t>
        </is>
      </c>
      <c r="W140" t="inlineStr">
        <is>
          <t>2026-10-23</t>
        </is>
      </c>
      <c r="X140" t="inlineStr">
        <is>
          <t>brand</t>
        </is>
      </c>
      <c r="Y140">
        <f>IF(EB140&lt;&gt;"Y","",COUNTIFS($EB$2:$EB$1000,"Y",$J$2:$J$1000,"&gt;"&amp;J140)+COUNTIFS($EB$2:$EB$1000,"Y",$J$2:$J$1000,J140,$ED$2:$ED$1000,"&lt;"&amp;ED140)+1)</f>
        <v/>
      </c>
      <c r="Z140" t="n">
        <v>139</v>
      </c>
      <c r="AA140" t="inlineStr">
        <is>
          <t>N</t>
        </is>
      </c>
      <c r="AB140" t="inlineStr">
        <is>
          <t>find Nicole Bernard Dawes at Nixie Sparkling Water on LinkedIn and paste the profile URL; founder review (other): read founder_review_reason first</t>
        </is>
      </c>
      <c r="AC140" t="inlineStr">
        <is>
          <t>founder</t>
        </is>
      </c>
      <c r="AD140" t="inlineStr">
        <is>
          <t>verified-page</t>
        </is>
      </c>
      <c r="AE140" t="inlineStr">
        <is>
          <t>press, event or podcast page</t>
        </is>
      </c>
      <c r="AF140" t="inlineStr">
        <is>
          <t>https://entreprenista.com/nicole-bernard-dawes-of-nixie-sparkling-water-on-proving-that-certified-organic-products-can-be-category-leaders</t>
        </is>
      </c>
      <c r="AG140" t="inlineStr">
        <is>
          <t>2026-10-23</t>
        </is>
      </c>
      <c r="AH140" t="inlineStr">
        <is>
          <t>Nixie zero-sugar Classic Cola / Strawberry Hibiscus sparkling water, 12 oz can</t>
        </is>
      </c>
      <c r="AI140" t="inlineStr">
        <is>
          <t>sparkling-soda</t>
        </is>
      </c>
      <c r="AJ140" t="inlineStr">
        <is>
          <t>Wellesley</t>
        </is>
      </c>
      <c r="AK140" t="inlineStr">
        <is>
          <t>https://drinknixie.com</t>
        </is>
      </c>
      <c r="AL140" t="inlineStr">
        <is>
          <t>Y</t>
        </is>
      </c>
      <c r="AM140" t="inlineStr">
        <is>
          <t>HQ and NYC retail not confirmed; most products show $0.00 on own store (online ordering may be limited)</t>
        </is>
      </c>
      <c r="AN140" t="inlineStr">
        <is>
          <t>AB-160</t>
        </is>
      </c>
      <c r="AO140" t="inlineStr">
        <is>
          <t>N</t>
        </is>
      </c>
      <c r="AR140">
        <f>IF(AND(AU140="pass",AO140&lt;&gt;"Y",C140&lt;&gt;""),"Y","N")</f>
        <v/>
      </c>
      <c r="AS140">
        <f>_xlfn.TEXTJOIN("; ",TRUE,IF(AU140&lt;&gt;"pass","gated out",""),IF(AO140="Y","on hold: "&amp;AP140,""),IF(C140="","no contact named on an opened page",""))</f>
        <v/>
      </c>
      <c r="AU140" t="inlineStr">
        <is>
          <t>pass</t>
        </is>
      </c>
      <c r="AW140" t="inlineStr">
        <is>
          <t>passes all hard gates</t>
        </is>
      </c>
      <c r="AX140" t="inlineStr">
        <is>
          <t>other</t>
        </is>
      </c>
      <c r="AY140" t="inlineStr">
        <is>
          <t>https://drinknixie.com</t>
        </is>
      </c>
      <c r="AZ140" t="inlineStr">
        <is>
          <t>MA</t>
        </is>
      </c>
      <c r="BA140" t="inlineStr">
        <is>
          <t>northeast</t>
        </is>
      </c>
      <c r="BB140" t="inlineStr">
        <is>
          <t>unknown</t>
        </is>
      </c>
      <c r="BD140" t="inlineStr">
        <is>
          <t>Y</t>
        </is>
      </c>
      <c r="BE140" t="inlineStr">
        <is>
          <t>Brand FAQ: Nixie is shelf-stable and can be stored at room temperature (drinknixie.com/pages/frequently-asked-questions, opened 2026-10-24)</t>
        </is>
      </c>
      <c r="BF140" t="inlineStr">
        <is>
          <t>Y</t>
        </is>
      </c>
      <c r="BG140" t="inlineStr">
        <is>
          <t>Y</t>
        </is>
      </c>
      <c r="BH140" t="inlineStr">
        <is>
          <t>unknown</t>
        </is>
      </c>
      <c r="BJ140" t="inlineStr">
        <is>
          <t>No public sales figure found</t>
        </is>
      </c>
      <c r="BK140" t="inlineStr">
        <is>
          <t>N</t>
        </is>
      </c>
      <c r="BL140" t="inlineStr">
        <is>
          <t>N</t>
        </is>
      </c>
      <c r="BO140" t="inlineStr">
        <is>
          <t>N</t>
        </is>
      </c>
      <c r="BP140" t="n">
        <v>0</v>
      </c>
      <c r="BS140" t="inlineStr">
        <is>
          <t>unknown (Destini locator not readable)</t>
        </is>
      </c>
      <c r="BU140" t="inlineStr">
        <is>
          <t>listing</t>
        </is>
      </c>
      <c r="BV140" t="n">
        <v>241</v>
      </c>
      <c r="BX140" t="inlineStr">
        <is>
          <t>Nicole Bernard Dawes</t>
        </is>
      </c>
      <c r="CA140" t="inlineStr">
        <is>
          <t>Sarah Alexander</t>
        </is>
      </c>
      <c r="CB140" t="inlineStr">
        <is>
          <t>Sarah</t>
        </is>
      </c>
      <c r="CC140" t="inlineStr">
        <is>
          <t>Alexander</t>
        </is>
      </c>
      <c r="CD140" t="inlineStr">
        <is>
          <t>Director of Customer Marketing</t>
        </is>
      </c>
      <c r="CE140" t="inlineStr">
        <is>
          <t>marketing</t>
        </is>
      </c>
      <c r="CF140" t="inlineStr">
        <is>
          <t>verified-page</t>
        </is>
      </c>
      <c r="CK140" t="inlineStr">
        <is>
          <t>none</t>
        </is>
      </c>
      <c r="CL140" t="n">
        <v>41</v>
      </c>
      <c r="CM140" t="n">
        <v>6</v>
      </c>
      <c r="CN140" t="n">
        <v>8</v>
      </c>
      <c r="CO140" t="n">
        <v>4</v>
      </c>
      <c r="CP140" t="n">
        <v>5</v>
      </c>
      <c r="CQ140" t="n">
        <v>10</v>
      </c>
      <c r="CR140" t="n">
        <v>10</v>
      </c>
      <c r="CS140">
        <f>IF(R140="Y",10,0)</f>
        <v/>
      </c>
      <c r="CT140" t="n">
        <v>-2</v>
      </c>
      <c r="CU140" t="inlineStr">
        <is>
          <t>https://www.instagram.com/drinknixie</t>
        </is>
      </c>
      <c r="CV140" t="inlineStr">
        <is>
          <t>BR3</t>
        </is>
      </c>
      <c r="CW140" t="inlineStr">
        <is>
          <t>BR3:34</t>
        </is>
      </c>
      <c r="CX140" t="inlineStr">
        <is>
          <t>Zero-sugar soda line (cola, root beer, cream soda) plus sparkling waters. 24-pack listed at $34.99. Dates are Shopify publish dates.</t>
        </is>
      </c>
      <c r="CY140" t="inlineStr">
        <is>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is>
      </c>
      <c r="CZ140" t="inlineStr">
        <is>
          <t>https://attend.expowest.com/event/natural-products-expo-west-2026/exhibitor/RXhoaWJpdG9yXzIzNTc2NzI=</t>
        </is>
      </c>
      <c r="DA140" t="inlineStr">
        <is>
          <t>stage 1 only</t>
        </is>
      </c>
      <c r="DC140" t="inlineStr">
        <is>
          <t>press, event or podcast page</t>
        </is>
      </c>
      <c r="DY140">
        <f>IF(ISNUMBER(MATCH(U140,{"queued","contacted","replied","call_booked","call_done","yes_in_principle","materials_sent"},0)),"Y","N")</f>
        <v/>
      </c>
      <c r="DZ140">
        <f>IF(COUNTIFS($AN$2:$AN$1000,AN140,$DY$2:$DY$1000,"Y")+COUNTIFS($AN$2:$AN$1000,AN140,$T$2:$T$1000,"Y")&gt;0,"Y","N")</f>
        <v/>
      </c>
      <c r="EA140">
        <f>IF(AND(U140="new",T140="N",AR140="Y",AQ140="",DZ140="N"),"Y","N")</f>
        <v/>
      </c>
      <c r="EB140">
        <f>IF(EA140&lt;&gt;"Y","N",IF(COUNTIFS($AN$2:$AN$1000,AN140,$EA$2:$EA$1000,"Y",$J$2:$J$1000,"&gt;"&amp;J140)+COUNTIFS($AN$2:$AN$1000,AN140,$EA$2:$EA$1000,"Y",$J$2:$J$1000,J140,$ED$2:$ED$1000,"&lt;"&amp;ED140)=0,"Y","N"))</f>
        <v/>
      </c>
      <c r="EC140">
        <f>IF(Y140="","N",IF(Y140&lt;=10,"Y","N"))</f>
        <v/>
      </c>
      <c r="ED140">
        <f>ROW()-1</f>
        <v/>
      </c>
    </row>
    <row r="141">
      <c r="A141" t="inlineStr">
        <is>
          <t>AB-095</t>
        </is>
      </c>
      <c r="B141" t="inlineStr">
        <is>
          <t>Joyva</t>
        </is>
      </c>
      <c r="C141" t="inlineStr">
        <is>
          <t>Richard</t>
        </is>
      </c>
      <c r="D141" t="inlineStr">
        <is>
          <t>Radutzky</t>
        </is>
      </c>
      <c r="E141" t="inlineStr">
        <is>
          <t>Third- and fourth-generation owners/operators</t>
        </is>
      </c>
      <c r="H141" t="inlineStr">
        <is>
          <t>none</t>
        </is>
      </c>
      <c r="I141" t="inlineStr">
        <is>
          <t>linkedin</t>
        </is>
      </c>
      <c r="J141">
        <f>IF(AU141="pass",CM141+CN141+CO141+CP141+CQ141+CR141+CS141+CT141,0)</f>
        <v/>
      </c>
      <c r="K141" t="inlineStr">
        <is>
          <t>New York City brand, no graded store within ten blocks, online store only, no dated why-now in the last 12 months, revenue unknown, contact named; founder review: not-emerging.</t>
        </is>
      </c>
      <c r="M141" t="inlineStr">
        <is>
          <t>none found within ten blocks</t>
        </is>
      </c>
      <c r="N141" t="inlineStr">
        <is>
          <t>unverified</t>
        </is>
      </c>
      <c r="R141" t="inlineStr">
        <is>
          <t>N</t>
        </is>
      </c>
      <c r="S141" t="inlineStr">
        <is>
          <t>unknown</t>
        </is>
      </c>
      <c r="T141" t="inlineStr">
        <is>
          <t>N</t>
        </is>
      </c>
      <c r="U141" t="inlineStr">
        <is>
          <t>new</t>
        </is>
      </c>
      <c r="V141" t="inlineStr">
        <is>
          <t>https://joyva.com/pages/faq</t>
        </is>
      </c>
      <c r="W141" t="inlineStr">
        <is>
          <t>2026-10-23</t>
        </is>
      </c>
      <c r="X141" t="inlineStr">
        <is>
          <t>brand</t>
        </is>
      </c>
      <c r="Y141">
        <f>IF(EB141&lt;&gt;"Y","",COUNTIFS($EB$2:$EB$1000,"Y",$J$2:$J$1000,"&gt;"&amp;J141)+COUNTIFS($EB$2:$EB$1000,"Y",$J$2:$J$1000,J141,$ED$2:$ED$1000,"&lt;"&amp;ED141)+1)</f>
        <v/>
      </c>
      <c r="Z141" t="n">
        <v>140</v>
      </c>
      <c r="AA141" t="inlineStr">
        <is>
          <t>N</t>
        </is>
      </c>
      <c r="AB141" t="inlineStr">
        <is>
          <t>find Richard Radutzky at Joyva on LinkedIn and paste the profile URL; founder review (not-emerging): read founder_review_reason first</t>
        </is>
      </c>
      <c r="AC141" t="inlineStr">
        <is>
          <t>founder</t>
        </is>
      </c>
      <c r="AD141" t="inlineStr">
        <is>
          <t>verified-page</t>
        </is>
      </c>
      <c r="AE141" t="inlineStr">
        <is>
          <t>employer's own site</t>
        </is>
      </c>
      <c r="AF141" t="inlineStr">
        <is>
          <t>https://joyva.com/pages/our-story</t>
        </is>
      </c>
      <c r="AG141" t="inlineStr">
        <is>
          <t>2026-10-23</t>
        </is>
      </c>
      <c r="AH141" t="inlineStr">
        <is>
          <t>Jell Rings Single Packs; Sesame Crunch; chocolate-covered halvah</t>
        </is>
      </c>
      <c r="AI141" t="inlineStr">
        <is>
          <t>chocolate-candy</t>
        </is>
      </c>
      <c r="AJ141" t="inlineStr">
        <is>
          <t>Brooklyn</t>
        </is>
      </c>
      <c r="AK141" t="inlineStr">
        <is>
          <t>https://joyva.com</t>
        </is>
      </c>
      <c r="AL141" t="inlineStr">
        <is>
          <t>Y</t>
        </is>
      </c>
      <c r="AM141" t="inlineStr">
        <is>
          <t>Heritage brand (1907), not emerging; revenue unknown; may still fit a local 'Brooklyn-made' story</t>
        </is>
      </c>
      <c r="AN141" t="inlineStr">
        <is>
          <t>AB-095</t>
        </is>
      </c>
      <c r="AO141" t="inlineStr">
        <is>
          <t>N</t>
        </is>
      </c>
      <c r="AR141">
        <f>IF(AND(AU141="pass",AO141&lt;&gt;"Y",C141&lt;&gt;""),"Y","N")</f>
        <v/>
      </c>
      <c r="AS141">
        <f>_xlfn.TEXTJOIN("; ",TRUE,IF(AU141&lt;&gt;"pass","gated out",""),IF(AO141="Y","on hold: "&amp;AP141,""),IF(C141="","no contact named on an opened page",""))</f>
        <v/>
      </c>
      <c r="AU141" t="inlineStr">
        <is>
          <t>pass</t>
        </is>
      </c>
      <c r="AW141" t="inlineStr">
        <is>
          <t>passes all hard gates</t>
        </is>
      </c>
      <c r="AX141" t="inlineStr">
        <is>
          <t>not-emerging</t>
        </is>
      </c>
      <c r="AY141" t="inlineStr">
        <is>
          <t>https://joyva.com</t>
        </is>
      </c>
      <c r="AZ141" t="inlineStr">
        <is>
          <t>NY</t>
        </is>
      </c>
      <c r="BA141" t="inlineStr">
        <is>
          <t>nyc</t>
        </is>
      </c>
      <c r="BB141" t="inlineStr">
        <is>
          <t>family owned (fourth generation, founded 1907)</t>
        </is>
      </c>
      <c r="BC141" t="inlineStr">
        <is>
          <t>https://joyva.com/pages/faq</t>
        </is>
      </c>
      <c r="BD141" t="inlineStr">
        <is>
          <t>Y</t>
        </is>
      </c>
      <c r="BE141" t="inlineStr">
        <is>
          <t>Brand FAQ: halvah 'can be stored at room temperature'; chocolate products stored in pantry; BEST BY dates printed</t>
        </is>
      </c>
      <c r="BF141" t="inlineStr">
        <is>
          <t>Y</t>
        </is>
      </c>
      <c r="BG141" t="inlineStr">
        <is>
          <t>Y</t>
        </is>
      </c>
      <c r="BH141" t="inlineStr">
        <is>
          <t>unknown</t>
        </is>
      </c>
      <c r="BJ141" t="inlineStr">
        <is>
          <t>unknown</t>
        </is>
      </c>
      <c r="BK141" t="inlineStr">
        <is>
          <t>N</t>
        </is>
      </c>
      <c r="BL141" t="inlineStr">
        <is>
          <t>N</t>
        </is>
      </c>
      <c r="BO141" t="inlineStr">
        <is>
          <t>N</t>
        </is>
      </c>
      <c r="BP141" t="n">
        <v>0</v>
      </c>
      <c r="BS141" t="inlineStr">
        <is>
          <t>Stores across the country and online retailers (brand home page)</t>
        </is>
      </c>
      <c r="BT141" t="inlineStr">
        <is>
          <t>https://joyva.com/pages/where-to-find; https://www.wholefoodsmarket.com/api/search?text=joyva&amp;store=10162&amp;limit=60&amp;offset=0</t>
        </is>
      </c>
      <c r="BU141" t="inlineStr">
        <is>
          <t>none</t>
        </is>
      </c>
      <c r="BX141" t="inlineStr">
        <is>
          <t>Richard Radutzky</t>
        </is>
      </c>
      <c r="CA141" t="inlineStr">
        <is>
          <t>Farrah Bezner</t>
        </is>
      </c>
      <c r="CB141" t="inlineStr">
        <is>
          <t>Farrah</t>
        </is>
      </c>
      <c r="CC141" t="inlineStr">
        <is>
          <t>Bezner</t>
        </is>
      </c>
      <c r="CD141" t="inlineStr">
        <is>
          <t>Chief Marketing Officer</t>
        </is>
      </c>
      <c r="CE141" t="inlineStr">
        <is>
          <t>marketing</t>
        </is>
      </c>
      <c r="CF141" t="inlineStr">
        <is>
          <t>verified-page</t>
        </is>
      </c>
      <c r="CK141" t="inlineStr">
        <is>
          <t>none</t>
        </is>
      </c>
      <c r="CL141" t="n">
        <v>41</v>
      </c>
      <c r="CM141" t="n">
        <v>6</v>
      </c>
      <c r="CN141" t="n">
        <v>20</v>
      </c>
      <c r="CO141" t="n">
        <v>0</v>
      </c>
      <c r="CP141" t="n">
        <v>5</v>
      </c>
      <c r="CQ141" t="n">
        <v>10</v>
      </c>
      <c r="CR141" t="n">
        <v>10</v>
      </c>
      <c r="CS141">
        <f>IF(R141="Y",10,0)</f>
        <v/>
      </c>
      <c r="CT141" t="n">
        <v>-10</v>
      </c>
      <c r="CU141" t="inlineStr">
        <is>
          <t>https://www.instagram.com/joyva1907/</t>
        </is>
      </c>
      <c r="CV141" t="inlineStr">
        <is>
          <t>BR2</t>
        </is>
      </c>
      <c r="CW141" t="inlineStr">
        <is>
          <t>BR2:33</t>
        </is>
      </c>
      <c r="CX141" t="inlineStr">
        <is>
          <t>Brooklyn maker of tahini, halvah and jell candies. Locator is Destini (not machine-read). Not in WFM cluster catalogs.</t>
        </is>
      </c>
      <c r="CY141" t="inlineStr">
        <is>
          <t xml:space="preserve">marketing_name &lt;- https://joyva.com/pages/our-story (2026-10-24, opened); marketing_title &lt;- https://joyva.com/pages/our-story (2026-10-24, opened); marketing_profile_url &lt;- https://joyva.com/pages/our-story (2026-10-24, opened); </t>
        </is>
      </c>
      <c r="CZ141" t="inlineStr">
        <is>
          <t>https://joyva.com/pages/our-story</t>
        </is>
      </c>
      <c r="DA141" t="inlineStr">
        <is>
          <t>stage 1 only</t>
        </is>
      </c>
      <c r="DC141" t="inlineStr">
        <is>
          <t>employer's own site</t>
        </is>
      </c>
      <c r="DY141">
        <f>IF(ISNUMBER(MATCH(U141,{"queued","contacted","replied","call_booked","call_done","yes_in_principle","materials_sent"},0)),"Y","N")</f>
        <v/>
      </c>
      <c r="DZ141">
        <f>IF(COUNTIFS($AN$2:$AN$1000,AN141,$DY$2:$DY$1000,"Y")+COUNTIFS($AN$2:$AN$1000,AN141,$T$2:$T$1000,"Y")&gt;0,"Y","N")</f>
        <v/>
      </c>
      <c r="EA141">
        <f>IF(AND(U141="new",T141="N",AR141="Y",AQ141="",DZ141="N"),"Y","N")</f>
        <v/>
      </c>
      <c r="EB141">
        <f>IF(EA141&lt;&gt;"Y","N",IF(COUNTIFS($AN$2:$AN$1000,AN141,$EA$2:$EA$1000,"Y",$J$2:$J$1000,"&gt;"&amp;J141)+COUNTIFS($AN$2:$AN$1000,AN141,$EA$2:$EA$1000,"Y",$J$2:$J$1000,J141,$ED$2:$ED$1000,"&lt;"&amp;ED141)=0,"Y","N"))</f>
        <v/>
      </c>
      <c r="EC141">
        <f>IF(Y141="","N",IF(Y141&lt;=10,"Y","N"))</f>
        <v/>
      </c>
      <c r="ED141">
        <f>ROW()-1</f>
        <v/>
      </c>
    </row>
    <row r="142">
      <c r="A142" t="inlineStr">
        <is>
          <t>AB-049</t>
        </is>
      </c>
      <c r="B142" t="inlineStr">
        <is>
          <t>Barnana</t>
        </is>
      </c>
      <c r="C142" t="inlineStr">
        <is>
          <t>Caue</t>
        </is>
      </c>
      <c r="D142" t="inlineStr">
        <is>
          <t>Suplicy</t>
        </is>
      </c>
      <c r="E142" t="inlineStr">
        <is>
          <t>Founder</t>
        </is>
      </c>
      <c r="H142" t="inlineStr">
        <is>
          <t>none</t>
        </is>
      </c>
      <c r="I142" t="inlineStr">
        <is>
          <t>linkedin</t>
        </is>
      </c>
      <c r="J142">
        <f>IF(AU142="pass",CM142+CN142+CO142+CP142+CQ142+CR142+CS142+CT142,0)</f>
        <v/>
      </c>
      <c r="K142" t="inlineStr">
        <is>
          <t>Brand based outside the Northeast, store page shows Whole Foods Market Union Square inside the cluster, a new store listing 327 days ago, revenue unknown, contact named; founder review: not-emerging, format.</t>
        </is>
      </c>
      <c r="M142" t="inlineStr">
        <is>
          <t>Whole Foods Market Union Square, 4 Union Sq S</t>
        </is>
      </c>
      <c r="N142" t="inlineStr">
        <is>
          <t>store_selector</t>
        </is>
      </c>
      <c r="O142" t="inlineStr">
        <is>
          <t>New plantain chip flavors Flamin' Ghost and Cosmic Churro on brand store</t>
        </is>
      </c>
      <c r="P142" t="inlineStr">
        <is>
          <t>https://barnana.com/products/flamin-ghost-plantain-chips-barnana</t>
        </is>
      </c>
      <c r="Q142" t="inlineStr">
        <is>
          <t>2025-12-01</t>
        </is>
      </c>
      <c r="R142" t="inlineStr">
        <is>
          <t>N</t>
        </is>
      </c>
      <c r="S142" t="inlineStr">
        <is>
          <t>unknown</t>
        </is>
      </c>
      <c r="T142" t="inlineStr">
        <is>
          <t>N</t>
        </is>
      </c>
      <c r="U142" t="inlineStr">
        <is>
          <t>new</t>
        </is>
      </c>
      <c r="V142" t="inlineStr">
        <is>
          <t>https://barnana.com/pages/story</t>
        </is>
      </c>
      <c r="W142" t="inlineStr">
        <is>
          <t>2026-10-23</t>
        </is>
      </c>
      <c r="X142" t="inlineStr">
        <is>
          <t>brand</t>
        </is>
      </c>
      <c r="Y142">
        <f>IF(EB142&lt;&gt;"Y","",COUNTIFS($EB$2:$EB$1000,"Y",$J$2:$J$1000,"&gt;"&amp;J142)+COUNTIFS($EB$2:$EB$1000,"Y",$J$2:$J$1000,J142,$ED$2:$ED$1000,"&lt;"&amp;ED142)+1)</f>
        <v/>
      </c>
      <c r="Z142" t="n">
        <v>141</v>
      </c>
      <c r="AA142" t="inlineStr">
        <is>
          <t>N</t>
        </is>
      </c>
      <c r="AB142" t="inlineStr">
        <is>
          <t>find Caue Suplicy at Barnana on LinkedIn and paste the profile URL; before using the retailer line, check Whole Foods Market Union Square still lists it: https://www.wholefoodsmarket.com/search?text=Barnana with your store set to Union Square (catalogs change daily); founder review (not-emerging, format): read founder_review_reason first</t>
        </is>
      </c>
      <c r="AC142" t="inlineStr">
        <is>
          <t>founder</t>
        </is>
      </c>
      <c r="AD142" t="inlineStr">
        <is>
          <t>verified-page</t>
        </is>
      </c>
      <c r="AE142" t="inlineStr">
        <is>
          <t>employer's own site</t>
        </is>
      </c>
      <c r="AF142" t="inlineStr">
        <is>
          <t>https://barnana.com/pages/story</t>
        </is>
      </c>
      <c r="AG142" t="inlineStr">
        <is>
          <t>2026-10-23</t>
        </is>
      </c>
      <c r="AH142" t="inlineStr">
        <is>
          <t>Barnana Organic Plantain Chips, Himalayan Pink Salt, 5 oz</t>
        </is>
      </c>
      <c r="AI142" t="inlineStr">
        <is>
          <t>chips-crisps</t>
        </is>
      </c>
      <c r="AJ142" t="inlineStr">
        <is>
          <t>Santa Monica</t>
        </is>
      </c>
      <c r="AK142" t="inlineStr">
        <is>
          <t>https://barnana.com</t>
        </is>
      </c>
      <c r="AL142" t="inlineStr">
        <is>
          <t>Y</t>
        </is>
      </c>
      <c r="AM142" t="inlineStr">
        <is>
          <t>Long-established national natural brand (likely mid-size); share-size bags only</t>
        </is>
      </c>
      <c r="AN142" t="inlineStr">
        <is>
          <t>AB-049</t>
        </is>
      </c>
      <c r="AO142" t="inlineStr">
        <is>
          <t>N</t>
        </is>
      </c>
      <c r="AR142">
        <f>IF(AND(AU142="pass",AO142&lt;&gt;"Y",C142&lt;&gt;""),"Y","N")</f>
        <v/>
      </c>
      <c r="AS142">
        <f>_xlfn.TEXTJOIN("; ",TRUE,IF(AU142&lt;&gt;"pass","gated out",""),IF(AO142="Y","on hold: "&amp;AP142,""),IF(C142="","no contact named on an opened page",""))</f>
        <v/>
      </c>
      <c r="AU142" t="inlineStr">
        <is>
          <t>pass</t>
        </is>
      </c>
      <c r="AW142" t="inlineStr">
        <is>
          <t>passes all hard gates</t>
        </is>
      </c>
      <c r="AX142" t="inlineStr">
        <is>
          <t>not-emerging;format</t>
        </is>
      </c>
      <c r="AY142" t="inlineStr">
        <is>
          <t>https://barnana.com</t>
        </is>
      </c>
      <c r="AZ142" t="inlineStr">
        <is>
          <t>CA</t>
        </is>
      </c>
      <c r="BA142" t="inlineStr">
        <is>
          <t>elsewhere</t>
        </is>
      </c>
      <c r="BB142" t="inlineStr">
        <is>
          <t>unknown</t>
        </is>
      </c>
      <c r="BD142" t="inlineStr">
        <is>
          <t>Y</t>
        </is>
      </c>
      <c r="BE142" t="inlineStr">
        <is>
          <t>Brand FAQ: 'Plantain Chips - 10 months, Cassava Chips - 12 months, Banana Bites - 18 months, Plantain Scoops - 12 months.'</t>
        </is>
      </c>
      <c r="BF142" t="inlineStr">
        <is>
          <t>N</t>
        </is>
      </c>
      <c r="BG142" t="inlineStr">
        <is>
          <t>Y</t>
        </is>
      </c>
      <c r="BH142" t="inlineStr">
        <is>
          <t>unknown</t>
        </is>
      </c>
      <c r="BJ142" t="inlineStr">
        <is>
          <t>unknown</t>
        </is>
      </c>
      <c r="BK142" t="inlineStr">
        <is>
          <t>N</t>
        </is>
      </c>
      <c r="BL142" t="inlineStr">
        <is>
          <t>N</t>
        </is>
      </c>
      <c r="BN142" t="n">
        <v>0</v>
      </c>
      <c r="BO142" t="inlineStr">
        <is>
          <t>Y</t>
        </is>
      </c>
      <c r="BP142" t="n">
        <v>1</v>
      </c>
      <c r="BQ142" t="inlineStr">
        <is>
          <t>Whole Foods Market Union Square, 4 Union Sq S (store_selector, inside)</t>
        </is>
      </c>
      <c r="BS142" t="inlineStr">
        <is>
          <t>Whole Foods Market; brand store locator</t>
        </is>
      </c>
      <c r="BT142" t="inlineStr">
        <is>
          <t>https://www.wholefoodsmarket.com/search?text=barnana (Union Square context: Pink Salt and Acapulco Lime Plantain Chips 5 oz IN_STOCK 2026-10-23)</t>
        </is>
      </c>
      <c r="BU142" t="inlineStr">
        <is>
          <t>listing</t>
        </is>
      </c>
      <c r="BV142" t="n">
        <v>327</v>
      </c>
      <c r="BX142" t="inlineStr">
        <is>
          <t>Caue Suplicy</t>
        </is>
      </c>
      <c r="CA142" t="inlineStr">
        <is>
          <t>Nik Ingersoll</t>
        </is>
      </c>
      <c r="CB142" t="inlineStr">
        <is>
          <t>Nik</t>
        </is>
      </c>
      <c r="CC142" t="inlineStr">
        <is>
          <t>Ingersoll</t>
        </is>
      </c>
      <c r="CD142" t="inlineStr">
        <is>
          <t>Founder</t>
        </is>
      </c>
      <c r="CE142" t="inlineStr">
        <is>
          <t>co-founder</t>
        </is>
      </c>
      <c r="CF142" t="inlineStr">
        <is>
          <t>verified-page</t>
        </is>
      </c>
      <c r="CK142" t="inlineStr">
        <is>
          <t>none</t>
        </is>
      </c>
      <c r="CL142" t="n">
        <v>40</v>
      </c>
      <c r="CM142" t="n">
        <v>25</v>
      </c>
      <c r="CN142" t="n">
        <v>3</v>
      </c>
      <c r="CO142" t="n">
        <v>4</v>
      </c>
      <c r="CP142" t="n">
        <v>5</v>
      </c>
      <c r="CQ142" t="n">
        <v>7</v>
      </c>
      <c r="CR142" t="n">
        <v>6</v>
      </c>
      <c r="CS142">
        <f>IF(R142="Y",10,0)</f>
        <v/>
      </c>
      <c r="CT142" t="n">
        <v>-10</v>
      </c>
      <c r="CU142" t="inlineStr">
        <is>
          <t>unknown</t>
        </is>
      </c>
      <c r="CV142" t="inlineStr">
        <is>
          <t>BR1</t>
        </is>
      </c>
      <c r="CW142" t="inlineStr">
        <is>
          <t>BR1:50</t>
        </is>
      </c>
      <c r="CX142" t="inlineStr">
        <is>
          <t>HQ not found on pages opened. why_now date is Shopify published_at.</t>
        </is>
      </c>
      <c r="CY142" t="inlineStr">
        <is>
          <t xml:space="preserve">shelf_stable_basis &lt;- https://barnana.com/pages/faq (2026-10-24, opened); hq_city &lt;- https://barnana.com/policies/refund-policy (2026-10-24, opened); hq_state &lt;- https://barnana.com/policies/refund-policy (2026-10-24, opened); </t>
        </is>
      </c>
      <c r="CZ142" t="inlineStr">
        <is>
          <t>https://barnana.com/pages/story</t>
        </is>
      </c>
      <c r="DA142" t="inlineStr">
        <is>
          <t>stage 1 only</t>
        </is>
      </c>
      <c r="DC142" t="inlineStr">
        <is>
          <t>employer's own site</t>
        </is>
      </c>
      <c r="DY142">
        <f>IF(ISNUMBER(MATCH(U142,{"queued","contacted","replied","call_booked","call_done","yes_in_principle","materials_sent"},0)),"Y","N")</f>
        <v/>
      </c>
      <c r="DZ142">
        <f>IF(COUNTIFS($AN$2:$AN$1000,AN142,$DY$2:$DY$1000,"Y")+COUNTIFS($AN$2:$AN$1000,AN142,$T$2:$T$1000,"Y")&gt;0,"Y","N")</f>
        <v/>
      </c>
      <c r="EA142">
        <f>IF(AND(U142="new",T142="N",AR142="Y",AQ142="",DZ142="N"),"Y","N")</f>
        <v/>
      </c>
      <c r="EB142">
        <f>IF(EA142&lt;&gt;"Y","N",IF(COUNTIFS($AN$2:$AN$1000,AN142,$EA$2:$EA$1000,"Y",$J$2:$J$1000,"&gt;"&amp;J142)+COUNTIFS($AN$2:$AN$1000,AN142,$EA$2:$EA$1000,"Y",$J$2:$J$1000,J142,$ED$2:$ED$1000,"&lt;"&amp;ED142)=0,"Y","N"))</f>
        <v/>
      </c>
      <c r="EC142">
        <f>IF(Y142="","N",IF(Y142&lt;=10,"Y","N"))</f>
        <v/>
      </c>
      <c r="ED142">
        <f>ROW()-1</f>
        <v/>
      </c>
    </row>
    <row r="143">
      <c r="A143" t="inlineStr">
        <is>
          <t>AB-162</t>
        </is>
      </c>
      <c r="B143" t="inlineStr">
        <is>
          <t>COAQUA</t>
        </is>
      </c>
      <c r="C143" t="inlineStr">
        <is>
          <t>Justin</t>
        </is>
      </c>
      <c r="D143" t="inlineStr">
        <is>
          <t>Bruckel</t>
        </is>
      </c>
      <c r="E143" t="inlineStr">
        <is>
          <t>Founder (exact title not stated)</t>
        </is>
      </c>
      <c r="H143" t="inlineStr">
        <is>
          <t>none</t>
        </is>
      </c>
      <c r="I143" t="inlineStr">
        <is>
          <t>linkedin</t>
        </is>
      </c>
      <c r="J143">
        <f>IF(AU143="pass",CM143+CN143+CO143+CP143+CQ143+CR143+CS143+CT143,0)</f>
        <v/>
      </c>
      <c r="K143" t="inlineStr">
        <is>
          <t>Brand based outside the Northeast, brand locator shows Jack's Market 0.9 blocks outside it, a new store listing 115 days ago, revenue unknown, contact named; founder review: other.</t>
        </is>
      </c>
      <c r="M143" t="inlineStr">
        <is>
          <t>Jack's Market, 115 W 31st St</t>
        </is>
      </c>
      <c r="N143" t="inlineStr">
        <is>
          <t>brand_claim</t>
        </is>
      </c>
      <c r="O143" t="inlineStr">
        <is>
          <t>Added to Pop Up Grocer's NYC Flagship directory; new 14-pack variety case listed on own store 2026-10-20</t>
        </is>
      </c>
      <c r="P143" t="inlineStr">
        <is>
          <t>https://popupgrocer.com/products/coaqua</t>
        </is>
      </c>
      <c r="Q143" t="inlineStr">
        <is>
          <t>2026-07-01</t>
        </is>
      </c>
      <c r="R143" t="inlineStr">
        <is>
          <t>N</t>
        </is>
      </c>
      <c r="S143" t="inlineStr">
        <is>
          <t>unknown</t>
        </is>
      </c>
      <c r="T143" t="inlineStr">
        <is>
          <t>N</t>
        </is>
      </c>
      <c r="U143" t="inlineStr">
        <is>
          <t>new</t>
        </is>
      </c>
      <c r="V143" t="inlineStr">
        <is>
          <t>https://www.drinkcoaqua.com/pages/store-locator</t>
        </is>
      </c>
      <c r="W143" t="inlineStr">
        <is>
          <t>2026-10-23</t>
        </is>
      </c>
      <c r="X143" t="inlineStr">
        <is>
          <t>brand</t>
        </is>
      </c>
      <c r="Y143">
        <f>IF(EB143&lt;&gt;"Y","",COUNTIFS($EB$2:$EB$1000,"Y",$J$2:$J$1000,"&gt;"&amp;J143)+COUNTIFS($EB$2:$EB$1000,"Y",$J$2:$J$1000,J143,$ED$2:$ED$1000,"&lt;"&amp;ED143)+1)</f>
        <v/>
      </c>
      <c r="Z143" t="n">
        <v>142</v>
      </c>
      <c r="AA143" t="inlineStr">
        <is>
          <t>N</t>
        </is>
      </c>
      <c r="AB143" t="inlineStr">
        <is>
          <t>find Justin Bruckel at COAQUA on LinkedIn and paste the profile URL; the retailer line rests on the brand's own store locator: say 'your store locator lists ...'; founder review (other): read founder_review_reason first</t>
        </is>
      </c>
      <c r="AC143" t="inlineStr">
        <is>
          <t>founder</t>
        </is>
      </c>
      <c r="AD143" t="inlineStr">
        <is>
          <t>verified-page</t>
        </is>
      </c>
      <c r="AE143" t="inlineStr">
        <is>
          <t>employer's own site</t>
        </is>
      </c>
      <c r="AF143" t="inlineStr">
        <is>
          <t>https://www.drinkcoaqua.com/pages/about-us</t>
        </is>
      </c>
      <c r="AG143" t="inlineStr">
        <is>
          <t>2026-10-23</t>
        </is>
      </c>
      <c r="AH143" t="inlineStr">
        <is>
          <t>COAQUA young green coconut water, 12 fl oz can (OG Still; Espresso'd; Lemony Passion)</t>
        </is>
      </c>
      <c r="AI143" t="inlineStr">
        <is>
          <t>tea-juice</t>
        </is>
      </c>
      <c r="AJ143" t="inlineStr">
        <is>
          <t>Ponte Vedra Beach</t>
        </is>
      </c>
      <c r="AK143" t="inlineStr">
        <is>
          <t>https://www.drinkcoaqua.com</t>
        </is>
      </c>
      <c r="AL143" t="inlineStr">
        <is>
          <t>Y</t>
        </is>
      </c>
      <c r="AM143" t="inlineStr">
        <is>
          <t>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is>
      </c>
      <c r="AN143" t="inlineStr">
        <is>
          <t>AB-162</t>
        </is>
      </c>
      <c r="AO143" t="inlineStr">
        <is>
          <t>N</t>
        </is>
      </c>
      <c r="AR143">
        <f>IF(AND(AU143="pass",AO143&lt;&gt;"Y",C143&lt;&gt;""),"Y","N")</f>
        <v/>
      </c>
      <c r="AS143">
        <f>_xlfn.TEXTJOIN("; ",TRUE,IF(AU143&lt;&gt;"pass","gated out",""),IF(AO143="Y","on hold: "&amp;AP143,""),IF(C143="","no contact named on an opened page",""))</f>
        <v/>
      </c>
      <c r="AU143" t="inlineStr">
        <is>
          <t>pass</t>
        </is>
      </c>
      <c r="AW143" t="inlineStr">
        <is>
          <t>passes all hard gates</t>
        </is>
      </c>
      <c r="AX143" t="inlineStr">
        <is>
          <t>other</t>
        </is>
      </c>
      <c r="AY143" t="inlineStr">
        <is>
          <t>https://www.drinkcoaqua.com</t>
        </is>
      </c>
      <c r="AZ143" t="inlineStr">
        <is>
          <t>FL</t>
        </is>
      </c>
      <c r="BA143" t="inlineStr">
        <is>
          <t>elsewhere</t>
        </is>
      </c>
      <c r="BB143" t="inlineStr">
        <is>
          <t>unknown</t>
        </is>
      </c>
      <c r="BD143" t="inlineStr">
        <is>
          <t>unknown</t>
        </is>
      </c>
      <c r="BE143" t="inlineStr">
        <is>
          <t>Canned coconut water; no storage statement found on site</t>
        </is>
      </c>
      <c r="BF143" t="inlineStr">
        <is>
          <t>Y</t>
        </is>
      </c>
      <c r="BG143" t="inlineStr">
        <is>
          <t>Y</t>
        </is>
      </c>
      <c r="BH143" t="inlineStr">
        <is>
          <t>unknown</t>
        </is>
      </c>
      <c r="BJ143" t="inlineStr">
        <is>
          <t>No public sales figure found</t>
        </is>
      </c>
      <c r="BK143" t="inlineStr">
        <is>
          <t>N</t>
        </is>
      </c>
      <c r="BL143" t="inlineStr">
        <is>
          <t>N</t>
        </is>
      </c>
      <c r="BN143" t="n">
        <v>0.9</v>
      </c>
      <c r="BO143" t="inlineStr">
        <is>
          <t>N</t>
        </is>
      </c>
      <c r="BP143" t="n">
        <v>8</v>
      </c>
      <c r="BQ143" t="inlineStr">
        <is>
          <t>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is>
      </c>
      <c r="BS143" t="inlineStr">
        <is>
          <t>Westside Market; Lincoln Market; D'Agostino; Gristedes; Jack's Market; Elm Drugs (brand Stockist locator, 48 points, 18 near the cluster); Pop Up Grocer NYC Flagship (Pop Up Grocer directory)</t>
        </is>
      </c>
      <c r="BT143" t="inlineStr">
        <is>
          <t>https://www.drinkcoaqua.com/pages/store-locator; https://stockist.co/api/v1/u12267/locations/search?latitude=40.7400&amp;longitude=-73.9900&amp;distance=3; https://popupgrocer.com/products/coaqua</t>
        </is>
      </c>
      <c r="BU143" t="inlineStr">
        <is>
          <t>listing</t>
        </is>
      </c>
      <c r="BV143" t="n">
        <v>115</v>
      </c>
      <c r="BX143" t="inlineStr">
        <is>
          <t>Justin Bruckel</t>
        </is>
      </c>
      <c r="CA143" t="inlineStr">
        <is>
          <t>Anthony Cadieux II</t>
        </is>
      </c>
      <c r="CB143" t="inlineStr">
        <is>
          <t>Anthony</t>
        </is>
      </c>
      <c r="CC143" t="inlineStr">
        <is>
          <t>Cadieux II</t>
        </is>
      </c>
      <c r="CD143" t="inlineStr">
        <is>
          <t>Co Founder)</t>
        </is>
      </c>
      <c r="CE143" t="inlineStr">
        <is>
          <t>co-founder</t>
        </is>
      </c>
      <c r="CF143" t="inlineStr">
        <is>
          <t>verified-page</t>
        </is>
      </c>
      <c r="CK143" t="inlineStr">
        <is>
          <t>none</t>
        </is>
      </c>
      <c r="CL143" t="n">
        <v>40</v>
      </c>
      <c r="CM143" t="n">
        <v>13</v>
      </c>
      <c r="CN143" t="n">
        <v>3</v>
      </c>
      <c r="CO143" t="n">
        <v>8</v>
      </c>
      <c r="CP143" t="n">
        <v>5</v>
      </c>
      <c r="CQ143" t="n">
        <v>7</v>
      </c>
      <c r="CR143" t="n">
        <v>6</v>
      </c>
      <c r="CS143">
        <f>IF(R143="Y",10,0)</f>
        <v/>
      </c>
      <c r="CT143" t="n">
        <v>-2</v>
      </c>
      <c r="CU143" t="inlineStr">
        <is>
          <t>https://www.instagram.com/coaqua</t>
        </is>
      </c>
      <c r="CV143" t="inlineStr">
        <is>
          <t>BR3</t>
        </is>
      </c>
      <c r="CW143" t="inlineStr">
        <is>
          <t>BR3:36</t>
        </is>
      </c>
      <c r="CX143" t="inlineStr">
        <is>
          <t>Stockist query 2026-10-23: 48 locations total, heavily NYC (Westside Market, D'Agostino, Gristedes), so likely NYC-based but HQ unconfirmed. Pop Up Grocer directory entry dated 2026-07-01, availability 'NYC Flagship'. Strong near-cluster footprint.</t>
        </is>
      </c>
      <c r="CY143" t="inlineStr">
        <is>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t>
        </is>
      </c>
      <c r="CZ143" t="inlineStr">
        <is>
          <t>https://www.drinkcoaqua.com/pages/about-us</t>
        </is>
      </c>
      <c r="DA143" t="inlineStr">
        <is>
          <t>stage 1 only</t>
        </is>
      </c>
      <c r="DC143" t="inlineStr">
        <is>
          <t>employer's own site</t>
        </is>
      </c>
      <c r="DY143">
        <f>IF(ISNUMBER(MATCH(U143,{"queued","contacted","replied","call_booked","call_done","yes_in_principle","materials_sent"},0)),"Y","N")</f>
        <v/>
      </c>
      <c r="DZ143">
        <f>IF(COUNTIFS($AN$2:$AN$1000,AN143,$DY$2:$DY$1000,"Y")+COUNTIFS($AN$2:$AN$1000,AN143,$T$2:$T$1000,"Y")&gt;0,"Y","N")</f>
        <v/>
      </c>
      <c r="EA143">
        <f>IF(AND(U143="new",T143="N",AR143="Y",AQ143="",DZ143="N"),"Y","N")</f>
        <v/>
      </c>
      <c r="EB143">
        <f>IF(EA143&lt;&gt;"Y","N",IF(COUNTIFS($AN$2:$AN$1000,AN143,$EA$2:$EA$1000,"Y",$J$2:$J$1000,"&gt;"&amp;J143)+COUNTIFS($AN$2:$AN$1000,AN143,$EA$2:$EA$1000,"Y",$J$2:$J$1000,J143,$ED$2:$ED$1000,"&lt;"&amp;ED143)=0,"Y","N"))</f>
        <v/>
      </c>
      <c r="EC143">
        <f>IF(Y143="","N",IF(Y143&lt;=10,"Y","N"))</f>
        <v/>
      </c>
      <c r="ED143">
        <f>ROW()-1</f>
        <v/>
      </c>
    </row>
    <row r="144">
      <c r="A144" t="inlineStr">
        <is>
          <t>AB-164</t>
        </is>
      </c>
      <c r="B144" t="inlineStr">
        <is>
          <t>Luba Libations</t>
        </is>
      </c>
      <c r="C144" t="inlineStr">
        <is>
          <t>Christiana</t>
        </is>
      </c>
      <c r="D144" t="inlineStr">
        <is>
          <t>Trapani</t>
        </is>
      </c>
      <c r="E144" t="inlineStr">
        <is>
          <t>Co-Founder</t>
        </is>
      </c>
      <c r="H144" t="inlineStr">
        <is>
          <t>none</t>
        </is>
      </c>
      <c r="I144" t="inlineStr">
        <is>
          <t>linkedin</t>
        </is>
      </c>
      <c r="J144">
        <f>IF(AU144="pass",CM144+CN144+CO144+CP144+CQ144+CR144+CS144+CT144,0)</f>
        <v/>
      </c>
      <c r="K144" t="inlineStr">
        <is>
          <t>Brand based outside the Northeast, no graded store within ten blocks, online store only, news 60 days ago, revenue unknown, contact named; founder review: alcohol-adjacent.</t>
        </is>
      </c>
      <c r="M144" t="inlineStr">
        <is>
          <t>none found within ten blocks</t>
        </is>
      </c>
      <c r="N144" t="inlineStr">
        <is>
          <t>unverified</t>
        </is>
      </c>
      <c r="O144" t="inlineStr">
        <is>
          <t>New distribution partnership with Breakthru Beverage in Minnesota, all four flavors (2026-08-25); selected as an emerging brand for the 2026 Nourishing Change Conference (2026-04-08)</t>
        </is>
      </c>
      <c r="P144" t="inlineStr">
        <is>
          <t>https://startupcpg.com/startup-cpg-newswire-luba-libations-expands-midwest-footprint-with-breakthru-beverage-partnership-in-minnesota/</t>
        </is>
      </c>
      <c r="Q144" t="inlineStr">
        <is>
          <t>2026-08-25</t>
        </is>
      </c>
      <c r="R144" t="inlineStr">
        <is>
          <t>N</t>
        </is>
      </c>
      <c r="S144" t="inlineStr">
        <is>
          <t>Y</t>
        </is>
      </c>
      <c r="T144" t="inlineStr">
        <is>
          <t>N</t>
        </is>
      </c>
      <c r="U144" t="inlineStr">
        <is>
          <t>new</t>
        </is>
      </c>
      <c r="V144" t="inlineStr">
        <is>
          <t>https://drinkluba.com/pages/our-story</t>
        </is>
      </c>
      <c r="W144" t="inlineStr">
        <is>
          <t>2026-10-23</t>
        </is>
      </c>
      <c r="X144" t="inlineStr">
        <is>
          <t>brand</t>
        </is>
      </c>
      <c r="Y144">
        <f>IF(EB144&lt;&gt;"Y","",COUNTIFS($EB$2:$EB$1000,"Y",$J$2:$J$1000,"&gt;"&amp;J144)+COUNTIFS($EB$2:$EB$1000,"Y",$J$2:$J$1000,J144,$ED$2:$ED$1000,"&lt;"&amp;ED144)+1)</f>
        <v/>
      </c>
      <c r="Z144" t="n">
        <v>143</v>
      </c>
      <c r="AA144" t="inlineStr">
        <is>
          <t>N</t>
        </is>
      </c>
      <c r="AB144" t="inlineStr">
        <is>
          <t>find Christiana Trapani at Luba Libations on LinkedIn and paste the profile URL; founder review (alcohol-adjacent): read founder_review_reason first</t>
        </is>
      </c>
      <c r="AC144" t="inlineStr">
        <is>
          <t>founder</t>
        </is>
      </c>
      <c r="AD144" t="inlineStr">
        <is>
          <t>verified-page</t>
        </is>
      </c>
      <c r="AE144" t="inlineStr">
        <is>
          <t>press, event or podcast page</t>
        </is>
      </c>
      <c r="AF144" t="inlineStr">
        <is>
          <t>https://startupcpg.com/startup-cpg-newswire-luba-libations-selected-as-emerging-brand-for-2026-nourishing-change-conference/</t>
        </is>
      </c>
      <c r="AG144" t="inlineStr">
        <is>
          <t>2026-10-23</t>
        </is>
      </c>
      <c r="AH144" t="inlineStr">
        <is>
          <t>Luba non-alcoholic Kyiv Mule, 12 oz can</t>
        </is>
      </c>
      <c r="AI144" t="inlineStr">
        <is>
          <t>other-drink</t>
        </is>
      </c>
      <c r="AJ144" t="inlineStr">
        <is>
          <t>Sturgeon Bay (Door County)</t>
        </is>
      </c>
      <c r="AK144" t="inlineStr">
        <is>
          <t>https://drinkluba.com</t>
        </is>
      </c>
      <c r="AL144" t="inlineStr">
        <is>
          <t>Y</t>
        </is>
      </c>
      <c r="AM144" t="inlineStr">
        <is>
          <t>Wisconsin brand with no confirmed current NYC retail; NA cocktail positioning in an office pantry</t>
        </is>
      </c>
      <c r="AN144" t="inlineStr">
        <is>
          <t>AB-164</t>
        </is>
      </c>
      <c r="AO144" t="inlineStr">
        <is>
          <t>N</t>
        </is>
      </c>
      <c r="AR144">
        <f>IF(AND(AU144="pass",AO144&lt;&gt;"Y",C144&lt;&gt;""),"Y","N")</f>
        <v/>
      </c>
      <c r="AS144">
        <f>_xlfn.TEXTJOIN("; ",TRUE,IF(AU144&lt;&gt;"pass","gated out",""),IF(AO144="Y","on hold: "&amp;AP144,""),IF(C144="","no contact named on an opened page",""))</f>
        <v/>
      </c>
      <c r="AU144" t="inlineStr">
        <is>
          <t>pass</t>
        </is>
      </c>
      <c r="AW144" t="inlineStr">
        <is>
          <t>passes all hard gates</t>
        </is>
      </c>
      <c r="AX144" t="inlineStr">
        <is>
          <t>alcohol-adjacent</t>
        </is>
      </c>
      <c r="AY144" t="inlineStr">
        <is>
          <t>https://drinkluba.com</t>
        </is>
      </c>
      <c r="AZ144" t="inlineStr">
        <is>
          <t>WI</t>
        </is>
      </c>
      <c r="BA144" t="inlineStr">
        <is>
          <t>elsewhere</t>
        </is>
      </c>
      <c r="BB144" t="inlineStr">
        <is>
          <t>unknown</t>
        </is>
      </c>
      <c r="BD144" t="inlineStr">
        <is>
          <t>Y</t>
        </is>
      </c>
      <c r="BE144" t="inlineStr">
        <is>
          <t>Brand page: canned then tunnel pasteurized, which makes it safe and shelf stable (drinkluba.com/pages/our-story, opened 2026-10-24); shelf-life length not stated</t>
        </is>
      </c>
      <c r="BF144" t="inlineStr">
        <is>
          <t>Y</t>
        </is>
      </c>
      <c r="BG144" t="inlineStr">
        <is>
          <t>Y</t>
        </is>
      </c>
      <c r="BH144" t="inlineStr">
        <is>
          <t>unknown</t>
        </is>
      </c>
      <c r="BJ144" t="inlineStr">
        <is>
          <t>No public sales figure found</t>
        </is>
      </c>
      <c r="BK144" t="inlineStr">
        <is>
          <t>N</t>
        </is>
      </c>
      <c r="BL144" t="inlineStr">
        <is>
          <t>N</t>
        </is>
      </c>
      <c r="BO144" t="inlineStr">
        <is>
          <t>N</t>
        </is>
      </c>
      <c r="BP144" t="n">
        <v>0</v>
      </c>
      <c r="BS144" t="inlineStr">
        <is>
          <t>Pop Up Grocer (past brand, directory)</t>
        </is>
      </c>
      <c r="BT144" t="inlineStr">
        <is>
          <t>https://popupgrocer.com/products/luba-libations</t>
        </is>
      </c>
      <c r="BU144" t="inlineStr">
        <is>
          <t>press</t>
        </is>
      </c>
      <c r="BV144" t="n">
        <v>60</v>
      </c>
      <c r="BW144" t="inlineStr">
        <is>
          <t>https://startupcpg.com/startup-cpg-newswire-luba-libations-selected-as-emerging-brand-for-2026-nourishing-change-conference/</t>
        </is>
      </c>
      <c r="BX144" t="inlineStr">
        <is>
          <t>Christiana Trapani</t>
        </is>
      </c>
      <c r="CA144" t="inlineStr">
        <is>
          <t>Nic Trapani</t>
        </is>
      </c>
      <c r="CB144" t="inlineStr">
        <is>
          <t>Nic</t>
        </is>
      </c>
      <c r="CC144" t="inlineStr">
        <is>
          <t>Trapani</t>
        </is>
      </c>
      <c r="CD144" t="inlineStr">
        <is>
          <t>President</t>
        </is>
      </c>
      <c r="CE144" t="inlineStr">
        <is>
          <t>co-founder</t>
        </is>
      </c>
      <c r="CF144" t="inlineStr">
        <is>
          <t>verified-page</t>
        </is>
      </c>
      <c r="CK144" t="inlineStr">
        <is>
          <t>none</t>
        </is>
      </c>
      <c r="CL144" t="n">
        <v>40</v>
      </c>
      <c r="CM144" t="n">
        <v>6</v>
      </c>
      <c r="CN144" t="n">
        <v>3</v>
      </c>
      <c r="CO144" t="n">
        <v>15</v>
      </c>
      <c r="CP144" t="n">
        <v>5</v>
      </c>
      <c r="CQ144" t="n">
        <v>10</v>
      </c>
      <c r="CR144" t="n">
        <v>6</v>
      </c>
      <c r="CS144">
        <f>IF(R144="Y",10,0)</f>
        <v/>
      </c>
      <c r="CT144" t="n">
        <v>-5</v>
      </c>
      <c r="CU144" t="inlineStr">
        <is>
          <t>unknown</t>
        </is>
      </c>
      <c r="CV144" t="inlineStr">
        <is>
          <t>BR3</t>
        </is>
      </c>
      <c r="CW144" t="inlineStr">
        <is>
          <t>BR3:38</t>
        </is>
      </c>
      <c r="CX144" t="inlineStr">
        <is>
          <t>Story page: 'non-alcoholic cocktail and mixer brand from Door County, Wisconsin'; explicitly no adaptogens, nootropics or caffeine (clean on claims). 4-pack $12.99.</t>
        </is>
      </c>
      <c r="CY144" t="inlineStr">
        <is>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is>
      </c>
      <c r="CZ144" t="inlineStr">
        <is>
          <t>https://startupcpg.com/startup-cpg-newswire-luba-libations-selected-as-emerging-brand-for-2026-nourishing-change-conference/</t>
        </is>
      </c>
      <c r="DA144" t="inlineStr">
        <is>
          <t>stage 1 only</t>
        </is>
      </c>
      <c r="DC144" t="inlineStr">
        <is>
          <t>press, event or podcast page</t>
        </is>
      </c>
      <c r="DY144">
        <f>IF(ISNUMBER(MATCH(U144,{"queued","contacted","replied","call_booked","call_done","yes_in_principle","materials_sent"},0)),"Y","N")</f>
        <v/>
      </c>
      <c r="DZ144">
        <f>IF(COUNTIFS($AN$2:$AN$1000,AN144,$DY$2:$DY$1000,"Y")+COUNTIFS($AN$2:$AN$1000,AN144,$T$2:$T$1000,"Y")&gt;0,"Y","N")</f>
        <v/>
      </c>
      <c r="EA144">
        <f>IF(AND(U144="new",T144="N",AR144="Y",AQ144="",DZ144="N"),"Y","N")</f>
        <v/>
      </c>
      <c r="EB144">
        <f>IF(EA144&lt;&gt;"Y","N",IF(COUNTIFS($AN$2:$AN$1000,AN144,$EA$2:$EA$1000,"Y",$J$2:$J$1000,"&gt;"&amp;J144)+COUNTIFS($AN$2:$AN$1000,AN144,$EA$2:$EA$1000,"Y",$J$2:$J$1000,J144,$ED$2:$ED$1000,"&lt;"&amp;ED144)=0,"Y","N"))</f>
        <v/>
      </c>
      <c r="EC144">
        <f>IF(Y144="","N",IF(Y144&lt;=10,"Y","N"))</f>
        <v/>
      </c>
      <c r="ED144">
        <f>ROW()-1</f>
        <v/>
      </c>
    </row>
    <row r="145">
      <c r="A145" t="inlineStr">
        <is>
          <t>AB-309</t>
        </is>
      </c>
      <c r="B145" t="inlineStr">
        <is>
          <t>Smolbol (Mismi Foods)</t>
        </is>
      </c>
      <c r="H145" t="inlineStr">
        <is>
          <t>none</t>
        </is>
      </c>
      <c r="J145">
        <f>IF(AU145="pass",CM145+CN145+CO145+CP145+CQ145+CR145+CS145+CT145,0)</f>
        <v/>
      </c>
      <c r="K145" t="inlineStr">
        <is>
          <t>Northeast brand, no graded store within ten blocks, online store only, news 118 days ago, revenue unknown, no contact named; founder review: claim-borderline.</t>
        </is>
      </c>
      <c r="M145" t="inlineStr">
        <is>
          <t>none found within ten blocks</t>
        </is>
      </c>
      <c r="N145" t="inlineStr">
        <is>
          <t>unverified</t>
        </is>
      </c>
      <c r="O145" t="inlineStr">
        <is>
          <t>Exhibited in the Startup CPG pavilion at the 2026 Summer Fancy Food Show</t>
        </is>
      </c>
      <c r="P145" t="inlineStr">
        <is>
          <t>https://startupcpg.com/startup-cpg-pavilion-at-summer-fancy-food-2026/</t>
        </is>
      </c>
      <c r="Q145" t="inlineStr">
        <is>
          <t>2026-06-28</t>
        </is>
      </c>
      <c r="R145" t="inlineStr">
        <is>
          <t>N</t>
        </is>
      </c>
      <c r="S145" t="inlineStr">
        <is>
          <t>Y</t>
        </is>
      </c>
      <c r="T145" t="inlineStr">
        <is>
          <t>N</t>
        </is>
      </c>
      <c r="U145" t="inlineStr">
        <is>
          <t>new</t>
        </is>
      </c>
      <c r="V145" t="inlineStr">
        <is>
          <t>https://events.specialtyfood.com/event/2026-summer-fancy-food-show/exhibitor/RXhoaWJpdG9yXzI0NTExNTY=</t>
        </is>
      </c>
      <c r="W145" t="inlineStr">
        <is>
          <t>2026-10-24</t>
        </is>
      </c>
      <c r="X145" t="inlineStr">
        <is>
          <t>brand</t>
        </is>
      </c>
      <c r="Y145">
        <f>IF(EB145&lt;&gt;"Y","",COUNTIFS($EB$2:$EB$1000,"Y",$J$2:$J$1000,"&gt;"&amp;J145)+COUNTIFS($EB$2:$EB$1000,"Y",$J$2:$J$1000,J145,$ED$2:$ED$1000,"&lt;"&amp;ED145)+1)</f>
        <v/>
      </c>
      <c r="Z145" t="n">
        <v>144</v>
      </c>
      <c r="AA145" t="inlineStr">
        <is>
          <t>N</t>
        </is>
      </c>
      <c r="AB145" t="inlineStr">
        <is>
          <t>no person named on an opened page: not ready; founder review (claim-borderline): read founder_review_reason first</t>
        </is>
      </c>
      <c r="AD145" t="inlineStr">
        <is>
          <t>none</t>
        </is>
      </c>
      <c r="AH145" t="inlineStr">
        <is>
          <t>Smolbol Sea Salt cassava-coated peanuts, 1.75 oz on-the-go pack</t>
        </is>
      </c>
      <c r="AI145" t="inlineStr">
        <is>
          <t>nuts-seeds-trail</t>
        </is>
      </c>
      <c r="AJ145" t="inlineStr">
        <is>
          <t>unknown</t>
        </is>
      </c>
      <c r="AK145" t="inlineStr">
        <is>
          <t>https://www.amazon.com/smolbol</t>
        </is>
      </c>
      <c r="AL145" t="inlineStr">
        <is>
          <t>Y</t>
        </is>
      </c>
      <c r="AM145" t="inlineStr">
        <is>
          <t>Homepage calls it a 'guilt-free, energy-boosting snack' (vague benefit wording; check the pack). Peanut product, so expect office allergen vetoes. Buy path not confirmed ('buy now' link not followed to a store)</t>
        </is>
      </c>
      <c r="AN145" t="inlineStr">
        <is>
          <t>AB-309</t>
        </is>
      </c>
      <c r="AO145" t="inlineStr">
        <is>
          <t>N</t>
        </is>
      </c>
      <c r="AR145">
        <f>IF(AND(AU145="pass",AO145&lt;&gt;"Y",C145&lt;&gt;""),"Y","N")</f>
        <v/>
      </c>
      <c r="AS145">
        <f>_xlfn.TEXTJOIN("; ",TRUE,IF(AU145&lt;&gt;"pass","gated out",""),IF(AO145="Y","on hold: "&amp;AP145,""),IF(C145="","no contact named on an opened page",""))</f>
        <v/>
      </c>
      <c r="AU145" t="inlineStr">
        <is>
          <t>pass</t>
        </is>
      </c>
      <c r="AW145" t="inlineStr">
        <is>
          <t>passes all hard gates</t>
        </is>
      </c>
      <c r="AX145" t="inlineStr">
        <is>
          <t>claim-borderline</t>
        </is>
      </c>
      <c r="AY145" t="inlineStr">
        <is>
          <t>https://www.smolbol.com</t>
        </is>
      </c>
      <c r="AZ145" t="inlineStr">
        <is>
          <t>MA</t>
        </is>
      </c>
      <c r="BA145" t="inlineStr">
        <is>
          <t>northeast</t>
        </is>
      </c>
      <c r="BB145" t="inlineStr">
        <is>
          <t>unknown</t>
        </is>
      </c>
      <c r="BD145" t="inlineStr">
        <is>
          <t>Y</t>
        </is>
      </c>
      <c r="BE145" t="inlineStr">
        <is>
          <t>Coated roasted peanuts in sealed 1.75 oz and 6 oz bags; shelf life not stated</t>
        </is>
      </c>
      <c r="BF145" t="inlineStr">
        <is>
          <t>Y</t>
        </is>
      </c>
      <c r="BG145" t="inlineStr">
        <is>
          <t>Y</t>
        </is>
      </c>
      <c r="BH145" t="inlineStr">
        <is>
          <t>unknown</t>
        </is>
      </c>
      <c r="BJ145" t="inlineStr">
        <is>
          <t>No sourced sales figure found</t>
        </is>
      </c>
      <c r="BK145" t="inlineStr">
        <is>
          <t>N</t>
        </is>
      </c>
      <c r="BL145" t="inlineStr">
        <is>
          <t>N</t>
        </is>
      </c>
      <c r="BO145" t="inlineStr">
        <is>
          <t>N</t>
        </is>
      </c>
      <c r="BP145" t="n">
        <v>0</v>
      </c>
      <c r="BS145" t="inlineStr">
        <is>
          <t>unknown</t>
        </is>
      </c>
      <c r="BU145" t="inlineStr">
        <is>
          <t>press</t>
        </is>
      </c>
      <c r="BV145" t="n">
        <v>118</v>
      </c>
      <c r="BW145" t="inlineStr">
        <is>
          <t>https://startupcpg.com/startup-cpg-pavilion-at-summer-fancy-food-2026/</t>
        </is>
      </c>
      <c r="CF145" t="inlineStr">
        <is>
          <t>none</t>
        </is>
      </c>
      <c r="CK145" t="inlineStr">
        <is>
          <t>none</t>
        </is>
      </c>
      <c r="CL145" t="n">
        <v>40</v>
      </c>
      <c r="CM145" t="n">
        <v>6</v>
      </c>
      <c r="CN145" t="n">
        <v>8</v>
      </c>
      <c r="CO145" t="n">
        <v>15</v>
      </c>
      <c r="CP145" t="n">
        <v>5</v>
      </c>
      <c r="CQ145" t="n">
        <v>10</v>
      </c>
      <c r="CR145" t="n">
        <v>0</v>
      </c>
      <c r="CS145">
        <f>IF(R145="Y",10,0)</f>
        <v/>
      </c>
      <c r="CT145" t="n">
        <v>-4</v>
      </c>
      <c r="CU145" t="inlineStr">
        <is>
          <t>https://www.instagram.com/enjoysmolbol/</t>
        </is>
      </c>
      <c r="CV145" t="inlineStr">
        <is>
          <t>BR5</t>
        </is>
      </c>
      <c r="CW145" t="inlineStr">
        <is>
          <t>BR5:45</t>
        </is>
      </c>
      <c r="CX145" t="inlineStr">
        <is>
          <t>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is>
      </c>
      <c r="CY145" t="inlineStr">
        <is>
          <t xml:space="preserve">online_store &lt;- https://www.smolbol.com (2026-10-24, opened, stage 1); </t>
        </is>
      </c>
      <c r="DA145" t="inlineStr">
        <is>
          <t>stage 1 only</t>
        </is>
      </c>
      <c r="DY145">
        <f>IF(ISNUMBER(MATCH(U145,{"queued","contacted","replied","call_booked","call_done","yes_in_principle","materials_sent"},0)),"Y","N")</f>
        <v/>
      </c>
      <c r="DZ145">
        <f>IF(COUNTIFS($AN$2:$AN$1000,AN145,$DY$2:$DY$1000,"Y")+COUNTIFS($AN$2:$AN$1000,AN145,$T$2:$T$1000,"Y")&gt;0,"Y","N")</f>
        <v/>
      </c>
      <c r="EA145">
        <f>IF(AND(U145="new",T145="N",AR145="Y",AQ145="",DZ145="N"),"Y","N")</f>
        <v/>
      </c>
      <c r="EB145">
        <f>IF(EA145&lt;&gt;"Y","N",IF(COUNTIFS($AN$2:$AN$1000,AN145,$EA$2:$EA$1000,"Y",$J$2:$J$1000,"&gt;"&amp;J145)+COUNTIFS($AN$2:$AN$1000,AN145,$EA$2:$EA$1000,"Y",$J$2:$J$1000,J145,$ED$2:$ED$1000,"&lt;"&amp;ED145)=0,"Y","N"))</f>
        <v/>
      </c>
      <c r="EC145">
        <f>IF(Y145="","N",IF(Y145&lt;=10,"Y","N"))</f>
        <v/>
      </c>
      <c r="ED145">
        <f>ROW()-1</f>
        <v/>
      </c>
    </row>
    <row r="146">
      <c r="A146" t="inlineStr">
        <is>
          <t>AB-294</t>
        </is>
      </c>
      <c r="B146" t="inlineStr">
        <is>
          <t>Snackios</t>
        </is>
      </c>
      <c r="H146" t="inlineStr">
        <is>
          <t>none</t>
        </is>
      </c>
      <c r="J146">
        <f>IF(AU146="pass",CM146+CN146+CO146+CP146+CQ146+CR146+CS146+CT146,0)</f>
        <v/>
      </c>
      <c r="K146" t="inlineStr">
        <is>
          <t>Northeast brand, no graded store within ten blocks, online store only, news 118 days ago, revenue unknown, no contact named; founder review: claim-borderline.</t>
        </is>
      </c>
      <c r="M146" t="inlineStr">
        <is>
          <t>none found within ten blocks</t>
        </is>
      </c>
      <c r="N146" t="inlineStr">
        <is>
          <t>unverified</t>
        </is>
      </c>
      <c r="O146" t="inlineStr">
        <is>
          <t>Exhibited at the 2026 Summer Fancy Food Show with a new product flagged</t>
        </is>
      </c>
      <c r="P146" t="inlineStr">
        <is>
          <t>https://events.specialtyfood.com/event/2026-summer-fancy-food-show/exhibitor/RXhoaWJpdG9yXzIzMTc3OTU=</t>
        </is>
      </c>
      <c r="Q146" t="inlineStr">
        <is>
          <t>2026-06-28</t>
        </is>
      </c>
      <c r="R146" t="inlineStr">
        <is>
          <t>N</t>
        </is>
      </c>
      <c r="S146" t="inlineStr">
        <is>
          <t>unknown</t>
        </is>
      </c>
      <c r="T146" t="inlineStr">
        <is>
          <t>N</t>
        </is>
      </c>
      <c r="U146" t="inlineStr">
        <is>
          <t>new</t>
        </is>
      </c>
      <c r="V146" t="inlineStr">
        <is>
          <t>https://events.specialtyfood.com/event/2026-summer-fancy-food-show/exhibitor/RXhoaWJpdG9yXzIzMTc3OTU=</t>
        </is>
      </c>
      <c r="W146" t="inlineStr">
        <is>
          <t>2026-10-24</t>
        </is>
      </c>
      <c r="X146" t="inlineStr">
        <is>
          <t>brand</t>
        </is>
      </c>
      <c r="Y146">
        <f>IF(EB146&lt;&gt;"Y","",COUNTIFS($EB$2:$EB$1000,"Y",$J$2:$J$1000,"&gt;"&amp;J146)+COUNTIFS($EB$2:$EB$1000,"Y",$J$2:$J$1000,J146,$ED$2:$ED$1000,"&lt;"&amp;ED146)+1)</f>
        <v/>
      </c>
      <c r="Z146" t="n">
        <v>145</v>
      </c>
      <c r="AA146" t="inlineStr">
        <is>
          <t>N</t>
        </is>
      </c>
      <c r="AB146" t="inlineStr">
        <is>
          <t>no person named on an opened page: not ready; founder review (claim-borderline): read founder_review_reason first</t>
        </is>
      </c>
      <c r="AD146" t="inlineStr">
        <is>
          <t>none</t>
        </is>
      </c>
      <c r="AH146" t="inlineStr">
        <is>
          <t>Snackios Sea Salt Pita Chips, 2 oz bag</t>
        </is>
      </c>
      <c r="AI146" t="inlineStr">
        <is>
          <t>chips-crisps</t>
        </is>
      </c>
      <c r="AJ146" t="inlineStr">
        <is>
          <t>unknown</t>
        </is>
      </c>
      <c r="AK146" t="inlineStr">
        <is>
          <t>https://snackios.com/2-oz-bags/</t>
        </is>
      </c>
      <c r="AL146" t="inlineStr">
        <is>
          <t>Y</t>
        </is>
      </c>
      <c r="AM146" t="inlineStr">
        <is>
          <t>Founder and NJ town not named on pages opened. 'Baked fresh daily' with no stated shelf life. Seed-oil-free and 'better-for-you' wording, no health claim seen</t>
        </is>
      </c>
      <c r="AN146" t="inlineStr">
        <is>
          <t>AB-294</t>
        </is>
      </c>
      <c r="AO146" t="inlineStr">
        <is>
          <t>N</t>
        </is>
      </c>
      <c r="AR146">
        <f>IF(AND(AU146="pass",AO146&lt;&gt;"Y",C146&lt;&gt;""),"Y","N")</f>
        <v/>
      </c>
      <c r="AS146">
        <f>_xlfn.TEXTJOIN("; ",TRUE,IF(AU146&lt;&gt;"pass","gated out",""),IF(AO146="Y","on hold: "&amp;AP146,""),IF(C146="","no contact named on an opened page",""))</f>
        <v/>
      </c>
      <c r="AU146" t="inlineStr">
        <is>
          <t>pass</t>
        </is>
      </c>
      <c r="AW146" t="inlineStr">
        <is>
          <t>passes all hard gates</t>
        </is>
      </c>
      <c r="AX146" t="inlineStr">
        <is>
          <t>claim-borderline</t>
        </is>
      </c>
      <c r="AY146" t="inlineStr">
        <is>
          <t>https://snackios.com</t>
        </is>
      </c>
      <c r="AZ146" t="inlineStr">
        <is>
          <t>NJ</t>
        </is>
      </c>
      <c r="BA146" t="inlineStr">
        <is>
          <t>northeast</t>
        </is>
      </c>
      <c r="BB146" t="inlineStr">
        <is>
          <t>unknown</t>
        </is>
      </c>
      <c r="BD146" t="inlineStr">
        <is>
          <t>Y</t>
        </is>
      </c>
      <c r="BE146" t="inlineStr">
        <is>
          <t>Baked pita and bagel chips in 2 oz, 4 oz and 6 oz bags sold online; a reviewer notes 'a good expiration date'</t>
        </is>
      </c>
      <c r="BF146" t="inlineStr">
        <is>
          <t>Y</t>
        </is>
      </c>
      <c r="BG146" t="inlineStr">
        <is>
          <t>Y</t>
        </is>
      </c>
      <c r="BH146" t="inlineStr">
        <is>
          <t>unknown</t>
        </is>
      </c>
      <c r="BJ146" t="inlineStr">
        <is>
          <t>No sourced sales figure found</t>
        </is>
      </c>
      <c r="BK146" t="inlineStr">
        <is>
          <t>N</t>
        </is>
      </c>
      <c r="BL146" t="inlineStr">
        <is>
          <t>N</t>
        </is>
      </c>
      <c r="BO146" t="inlineStr">
        <is>
          <t>N</t>
        </is>
      </c>
      <c r="BP146" t="n">
        <v>0</v>
      </c>
      <c r="BS146" t="inlineStr">
        <is>
          <t>Locator page is script-rendered; a customer review mentions Food Lion</t>
        </is>
      </c>
      <c r="BU146" t="inlineStr">
        <is>
          <t>press</t>
        </is>
      </c>
      <c r="BV146" t="n">
        <v>118</v>
      </c>
      <c r="CF146" t="inlineStr">
        <is>
          <t>none</t>
        </is>
      </c>
      <c r="CK146" t="inlineStr">
        <is>
          <t>none</t>
        </is>
      </c>
      <c r="CL146" t="n">
        <v>40</v>
      </c>
      <c r="CM146" t="n">
        <v>6</v>
      </c>
      <c r="CN146" t="n">
        <v>8</v>
      </c>
      <c r="CO146" t="n">
        <v>15</v>
      </c>
      <c r="CP146" t="n">
        <v>5</v>
      </c>
      <c r="CQ146" t="n">
        <v>10</v>
      </c>
      <c r="CR146" t="n">
        <v>0</v>
      </c>
      <c r="CS146">
        <f>IF(R146="Y",10,0)</f>
        <v/>
      </c>
      <c r="CT146" t="n">
        <v>-4</v>
      </c>
      <c r="CU146" t="inlineStr">
        <is>
          <t>https://www.instagram.com/snackios</t>
        </is>
      </c>
      <c r="CV146" t="inlineStr">
        <is>
          <t>BR5</t>
        </is>
      </c>
      <c r="CW146" t="inlineStr">
        <is>
          <t>BR5:30</t>
        </is>
      </c>
      <c r="CX146" t="inlineStr">
        <is>
          <t>SFFS 2026 (State: New Jersey): 'family-operated, women-owned manufacturer of artisan pita and bagel chips based in New Jersey... 8 craveable' flavors. 2 oz bags fit a single-serve drop.</t>
        </is>
      </c>
      <c r="DA146" t="inlineStr">
        <is>
          <t>stage 1 only</t>
        </is>
      </c>
      <c r="DY146">
        <f>IF(ISNUMBER(MATCH(U146,{"queued","contacted","replied","call_booked","call_done","yes_in_principle","materials_sent"},0)),"Y","N")</f>
        <v/>
      </c>
      <c r="DZ146">
        <f>IF(COUNTIFS($AN$2:$AN$1000,AN146,$DY$2:$DY$1000,"Y")+COUNTIFS($AN$2:$AN$1000,AN146,$T$2:$T$1000,"Y")&gt;0,"Y","N")</f>
        <v/>
      </c>
      <c r="EA146">
        <f>IF(AND(U146="new",T146="N",AR146="Y",AQ146="",DZ146="N"),"Y","N")</f>
        <v/>
      </c>
      <c r="EB146">
        <f>IF(EA146&lt;&gt;"Y","N",IF(COUNTIFS($AN$2:$AN$1000,AN146,$EA$2:$EA$1000,"Y",$J$2:$J$1000,"&gt;"&amp;J146)+COUNTIFS($AN$2:$AN$1000,AN146,$EA$2:$EA$1000,"Y",$J$2:$J$1000,J146,$ED$2:$ED$1000,"&lt;"&amp;ED146)=0,"Y","N"))</f>
        <v/>
      </c>
      <c r="EC146">
        <f>IF(Y146="","N",IF(Y146&lt;=10,"Y","N"))</f>
        <v/>
      </c>
      <c r="ED146">
        <f>ROW()-1</f>
        <v/>
      </c>
    </row>
    <row r="147">
      <c r="A147" t="inlineStr">
        <is>
          <t>AB-214</t>
        </is>
      </c>
      <c r="B147" t="inlineStr">
        <is>
          <t>Brothers All Natural</t>
        </is>
      </c>
      <c r="H147" t="inlineStr">
        <is>
          <t>none</t>
        </is>
      </c>
      <c r="J147">
        <f>IF(AU147="pass",CM147+CN147+CO147+CP147+CQ147+CR147+CS147+CT147,0)</f>
        <v/>
      </c>
      <c r="K147" t="inlineStr">
        <is>
          <t>New York State brand, no graded store within ten blocks, online store only, news 185 days ago, revenue unknown, no contact named; founder review: other.</t>
        </is>
      </c>
      <c r="M147" t="inlineStr">
        <is>
          <t>none found within ten blocks</t>
        </is>
      </c>
      <c r="N147" t="inlineStr">
        <is>
          <t>unverified</t>
        </is>
      </c>
      <c r="O147" t="inlineStr">
        <is>
          <t>Parent Brothers International announced an SK Capital recapitalization for accelerated growth (2026-04-22) and hired former PepsiCo executive Melissa McCormack as VP, CPG Sales for Brothers All Natural (2026-03-31)</t>
        </is>
      </c>
      <c r="P147" t="inlineStr">
        <is>
          <t>https://www.brothersinternational.com/press</t>
        </is>
      </c>
      <c r="Q147" t="inlineStr">
        <is>
          <t>2026-04-22</t>
        </is>
      </c>
      <c r="R147" t="inlineStr">
        <is>
          <t>N</t>
        </is>
      </c>
      <c r="S147" t="inlineStr">
        <is>
          <t>unknown</t>
        </is>
      </c>
      <c r="T147" t="inlineStr">
        <is>
          <t>N</t>
        </is>
      </c>
      <c r="U147" t="inlineStr">
        <is>
          <t>new</t>
        </is>
      </c>
      <c r="V147" t="inlineStr">
        <is>
          <t>https://brothersallnatural.com/faq/</t>
        </is>
      </c>
      <c r="W147" t="inlineStr">
        <is>
          <t>2026-10-23</t>
        </is>
      </c>
      <c r="X147" t="inlineStr">
        <is>
          <t>brand</t>
        </is>
      </c>
      <c r="Y147">
        <f>IF(EB147&lt;&gt;"Y","",COUNTIFS($EB$2:$EB$1000,"Y",$J$2:$J$1000,"&gt;"&amp;J147)+COUNTIFS($EB$2:$EB$1000,"Y",$J$2:$J$1000,J147,$ED$2:$ED$1000,"&lt;"&amp;ED147)+1)</f>
        <v/>
      </c>
      <c r="Z147" t="n">
        <v>146</v>
      </c>
      <c r="AA147" t="inlineStr">
        <is>
          <t>N</t>
        </is>
      </c>
      <c r="AB147" t="inlineStr">
        <is>
          <t>no person named on an opened page: not ready; founder review (other): read founder_review_reason first</t>
        </is>
      </c>
      <c r="AD147" t="inlineStr">
        <is>
          <t>none</t>
        </is>
      </c>
      <c r="AH147" t="inlineStr">
        <is>
          <t>Strawberry Freeze Dried Fruit Crisps 1 oz bag (8-pack); Apple Cinnamon 0.35 oz (24-pack)</t>
        </is>
      </c>
      <c r="AI147" t="inlineStr">
        <is>
          <t>fruit-snacks</t>
        </is>
      </c>
      <c r="AJ147" t="inlineStr">
        <is>
          <t>Rochester (parent Brothers International: 1175 Lexington Avenue, Rochester, NY 14606)</t>
        </is>
      </c>
      <c r="AK147" t="inlineStr">
        <is>
          <t>https://brothersallnatural.com</t>
        </is>
      </c>
      <c r="AL147" t="inlineStr">
        <is>
          <t>Y</t>
        </is>
      </c>
      <c r="AM147" t="inlineStr">
        <is>
          <t>Kids and Disney-licensed line (site nav shows Disney); nutrient-content wording ('zero grams of fat', '30-80 calories per serving')</t>
        </is>
      </c>
      <c r="AN147" t="inlineStr">
        <is>
          <t>AB-214</t>
        </is>
      </c>
      <c r="AO147" t="inlineStr">
        <is>
          <t>N</t>
        </is>
      </c>
      <c r="AR147">
        <f>IF(AND(AU147="pass",AO147&lt;&gt;"Y",C147&lt;&gt;""),"Y","N")</f>
        <v/>
      </c>
      <c r="AS147">
        <f>_xlfn.TEXTJOIN("; ",TRUE,IF(AU147&lt;&gt;"pass","gated out",""),IF(AO147="Y","on hold: "&amp;AP147,""),IF(C147="","no contact named on an opened page",""))</f>
        <v/>
      </c>
      <c r="AU147" t="inlineStr">
        <is>
          <t>pass</t>
        </is>
      </c>
      <c r="AW147" t="inlineStr">
        <is>
          <t>passes all hard gates</t>
        </is>
      </c>
      <c r="AX147" t="inlineStr">
        <is>
          <t>other</t>
        </is>
      </c>
      <c r="AY147" t="inlineStr">
        <is>
          <t>https://brothersallnatural.com</t>
        </is>
      </c>
      <c r="AZ147" t="inlineStr">
        <is>
          <t>NY</t>
        </is>
      </c>
      <c r="BA147" t="inlineStr">
        <is>
          <t>nys</t>
        </is>
      </c>
      <c r="BB147" t="inlineStr">
        <is>
          <t>unknown</t>
        </is>
      </c>
      <c r="BD147" t="inlineStr">
        <is>
          <t>Y</t>
        </is>
      </c>
      <c r="BE147" t="inlineStr">
        <is>
          <t>Brand FAQ: freeze-drying 'allows foods to be stored at room temperature for one year or longer'</t>
        </is>
      </c>
      <c r="BF147" t="inlineStr">
        <is>
          <t>Y</t>
        </is>
      </c>
      <c r="BG147" t="inlineStr">
        <is>
          <t>Y</t>
        </is>
      </c>
      <c r="BH147" t="inlineStr">
        <is>
          <t>unknown</t>
        </is>
      </c>
      <c r="BJ147" t="inlineStr">
        <is>
          <t>unknown</t>
        </is>
      </c>
      <c r="BK147" t="inlineStr">
        <is>
          <t>N</t>
        </is>
      </c>
      <c r="BL147" t="inlineStr">
        <is>
          <t>N</t>
        </is>
      </c>
      <c r="BO147" t="inlineStr">
        <is>
          <t>N</t>
        </is>
      </c>
      <c r="BP147" t="n">
        <v>0</v>
      </c>
      <c r="BS147" t="inlineStr">
        <is>
          <t>Store finder (not machine-readable)</t>
        </is>
      </c>
      <c r="BT147" t="inlineStr">
        <is>
          <t>https://brothersallnatural.com/store-locator/</t>
        </is>
      </c>
      <c r="BU147" t="inlineStr">
        <is>
          <t>press</t>
        </is>
      </c>
      <c r="BV147" t="n">
        <v>185</v>
      </c>
      <c r="CF147" t="inlineStr">
        <is>
          <t>none</t>
        </is>
      </c>
      <c r="CK147" t="inlineStr">
        <is>
          <t>none</t>
        </is>
      </c>
      <c r="CL147" t="n">
        <v>40</v>
      </c>
      <c r="CM147" t="n">
        <v>6</v>
      </c>
      <c r="CN147" t="n">
        <v>13</v>
      </c>
      <c r="CO147" t="n">
        <v>8</v>
      </c>
      <c r="CP147" t="n">
        <v>5</v>
      </c>
      <c r="CQ147" t="n">
        <v>10</v>
      </c>
      <c r="CR147" t="n">
        <v>0</v>
      </c>
      <c r="CS147">
        <f>IF(R147="Y",10,0)</f>
        <v/>
      </c>
      <c r="CT147" t="n">
        <v>-2</v>
      </c>
      <c r="CU147" t="inlineStr">
        <is>
          <t>https://www.instagram.com/brothersallnatural</t>
        </is>
      </c>
      <c r="CV147" t="inlineStr">
        <is>
          <t>BR4</t>
        </is>
      </c>
      <c r="CW147" t="inlineStr">
        <is>
          <t>BR4:9</t>
        </is>
      </c>
      <c r="CX147" t="inlineStr">
        <is>
          <t>Footer: Brothers International Food Holdings, LLC. Not found in WFM cluster catalogs on 2026-10-23.</t>
        </is>
      </c>
      <c r="CY147" t="inlineStr">
        <is>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is>
      </c>
      <c r="DA147" t="inlineStr">
        <is>
          <t>stage 1 only</t>
        </is>
      </c>
      <c r="DY147">
        <f>IF(ISNUMBER(MATCH(U147,{"queued","contacted","replied","call_booked","call_done","yes_in_principle","materials_sent"},0)),"Y","N")</f>
        <v/>
      </c>
      <c r="DZ147">
        <f>IF(COUNTIFS($AN$2:$AN$1000,AN147,$DY$2:$DY$1000,"Y")+COUNTIFS($AN$2:$AN$1000,AN147,$T$2:$T$1000,"Y")&gt;0,"Y","N")</f>
        <v/>
      </c>
      <c r="EA147">
        <f>IF(AND(U147="new",T147="N",AR147="Y",AQ147="",DZ147="N"),"Y","N")</f>
        <v/>
      </c>
      <c r="EB147">
        <f>IF(EA147&lt;&gt;"Y","N",IF(COUNTIFS($AN$2:$AN$1000,AN147,$EA$2:$EA$1000,"Y",$J$2:$J$1000,"&gt;"&amp;J147)+COUNTIFS($AN$2:$AN$1000,AN147,$EA$2:$EA$1000,"Y",$J$2:$J$1000,J147,$ED$2:$ED$1000,"&lt;"&amp;ED147)=0,"Y","N"))</f>
        <v/>
      </c>
      <c r="EC147">
        <f>IF(Y147="","N",IF(Y147&lt;=10,"Y","N"))</f>
        <v/>
      </c>
      <c r="ED147">
        <f>ROW()-1</f>
        <v/>
      </c>
    </row>
    <row r="148">
      <c r="A148" t="inlineStr">
        <is>
          <t>AB-094</t>
        </is>
      </c>
      <c r="B148" t="inlineStr">
        <is>
          <t>Lagusta's Luscious</t>
        </is>
      </c>
      <c r="H148" t="inlineStr">
        <is>
          <t>none</t>
        </is>
      </c>
      <c r="J148">
        <f>IF(AU148="pass",CM148+CN148+CO148+CP148+CQ148+CR148+CS148+CT148,0)</f>
        <v/>
      </c>
      <c r="K148" t="inlineStr">
        <is>
          <t>New York State brand, no graded store within ten blocks, online store only, a new store listing 7 days ago, revenue unknown, contact seen only in a snippet; founder review: other.</t>
        </is>
      </c>
      <c r="M148" t="inlineStr">
        <is>
          <t>none found within ten blocks</t>
        </is>
      </c>
      <c r="N148" t="inlineStr">
        <is>
          <t>unverified</t>
        </is>
      </c>
      <c r="O148" t="inlineStr">
        <is>
          <t>Fall 2026 collections (Sweet Hauntings Box, Thanksliving) on brand store; Wirecutter top pick noted on product name</t>
        </is>
      </c>
      <c r="P148" t="inlineStr">
        <is>
          <t>https://lagustasluscious.com/</t>
        </is>
      </c>
      <c r="Q148" t="inlineStr">
        <is>
          <t>2026-10-17</t>
        </is>
      </c>
      <c r="R148" t="inlineStr">
        <is>
          <t>N</t>
        </is>
      </c>
      <c r="S148" t="inlineStr">
        <is>
          <t>unknown</t>
        </is>
      </c>
      <c r="T148" t="inlineStr">
        <is>
          <t>N</t>
        </is>
      </c>
      <c r="U148" t="inlineStr">
        <is>
          <t>new</t>
        </is>
      </c>
      <c r="V148" t="inlineStr">
        <is>
          <t>https://lagustasluscious.com/pages/about-us</t>
        </is>
      </c>
      <c r="W148" t="inlineStr">
        <is>
          <t>2026-10-23</t>
        </is>
      </c>
      <c r="X148" t="inlineStr">
        <is>
          <t>brand</t>
        </is>
      </c>
      <c r="Y148">
        <f>IF(EB148&lt;&gt;"Y","",COUNTIFS($EB$2:$EB$1000,"Y",$J$2:$J$1000,"&gt;"&amp;J148)+COUNTIFS($EB$2:$EB$1000,"Y",$J$2:$J$1000,J148,$ED$2:$ED$1000,"&lt;"&amp;ED148)+1)</f>
        <v/>
      </c>
      <c r="Z148" t="n">
        <v>147</v>
      </c>
      <c r="AA148" t="inlineStr">
        <is>
          <t>N</t>
        </is>
      </c>
      <c r="AB148" t="inlineStr">
        <is>
          <t>no person named on an opened page: not ready; founder review (other): read founder_review_reason first</t>
        </is>
      </c>
      <c r="AC148" t="inlineStr">
        <is>
          <t>founder</t>
        </is>
      </c>
      <c r="AD148" t="inlineStr">
        <is>
          <t>unverified</t>
        </is>
      </c>
      <c r="AE148" t="inlineStr">
        <is>
          <t>employer's own site</t>
        </is>
      </c>
      <c r="AF148" t="inlineStr">
        <is>
          <t>https://lagustasluscious.com/pages/press</t>
        </is>
      </c>
      <c r="AG148" t="inlineStr">
        <is>
          <t>2026-10-23</t>
        </is>
      </c>
      <c r="AH148" t="inlineStr">
        <is>
          <t>Peanut Butter Caramel Bar; Earl Grey Bar (vegan)</t>
        </is>
      </c>
      <c r="AI148" t="inlineStr">
        <is>
          <t>chocolate-candy</t>
        </is>
      </c>
      <c r="AJ148" t="inlineStr">
        <is>
          <t>New Paltz</t>
        </is>
      </c>
      <c r="AK148" t="inlineStr">
        <is>
          <t>https://lagustasluscious.com</t>
        </is>
      </c>
      <c r="AL148" t="inlineStr">
        <is>
          <t>Y</t>
        </is>
      </c>
      <c r="AM148" t="inlineStr">
        <is>
          <t>Artisan handmade confections, shelf life unknown and likely small volume; some product names may draw office vetoes; 60-day shelf life not stated</t>
        </is>
      </c>
      <c r="AN148" t="inlineStr">
        <is>
          <t>AB-094</t>
        </is>
      </c>
      <c r="AO148" t="inlineStr">
        <is>
          <t>N</t>
        </is>
      </c>
      <c r="AR148">
        <f>IF(AND(AU148="pass",AO148&lt;&gt;"Y",C148&lt;&gt;""),"Y","N")</f>
        <v/>
      </c>
      <c r="AS148">
        <f>_xlfn.TEXTJOIN("; ",TRUE,IF(AU148&lt;&gt;"pass","gated out",""),IF(AO148="Y","on hold: "&amp;AP148,""),IF(C148="","no contact named on an opened page",""))</f>
        <v/>
      </c>
      <c r="AU148" t="inlineStr">
        <is>
          <t>pass</t>
        </is>
      </c>
      <c r="AW148" t="inlineStr">
        <is>
          <t>passes all hard gates</t>
        </is>
      </c>
      <c r="AX148" t="inlineStr">
        <is>
          <t>other</t>
        </is>
      </c>
      <c r="AY148" t="inlineStr">
        <is>
          <t>https://lagustasluscious.com</t>
        </is>
      </c>
      <c r="AZ148" t="inlineStr">
        <is>
          <t>NY</t>
        </is>
      </c>
      <c r="BA148" t="inlineStr">
        <is>
          <t>nys</t>
        </is>
      </c>
      <c r="BB148" t="inlineStr">
        <is>
          <t>unknown</t>
        </is>
      </c>
      <c r="BD148" t="inlineStr">
        <is>
          <t>unknown</t>
        </is>
      </c>
      <c r="BE148" t="inlineStr">
        <is>
          <t>Brand FAQ: caramel and bars with a caramel layer keep up to three months; filled non-caramel bonbons should be eaten within one month. Store at cool room temperature.</t>
        </is>
      </c>
      <c r="BF148" t="inlineStr">
        <is>
          <t>Y</t>
        </is>
      </c>
      <c r="BG148" t="inlineStr">
        <is>
          <t>Y</t>
        </is>
      </c>
      <c r="BH148" t="inlineStr">
        <is>
          <t>unknown</t>
        </is>
      </c>
      <c r="BJ148" t="inlineStr">
        <is>
          <t>unknown</t>
        </is>
      </c>
      <c r="BK148" t="inlineStr">
        <is>
          <t>N</t>
        </is>
      </c>
      <c r="BL148" t="inlineStr">
        <is>
          <t>N</t>
        </is>
      </c>
      <c r="BO148" t="inlineStr">
        <is>
          <t>N</t>
        </is>
      </c>
      <c r="BP148" t="n">
        <v>0</v>
      </c>
      <c r="BS148" t="inlineStr">
        <is>
          <t>Own shop (brand about page mentions shop with drinks and pastries)</t>
        </is>
      </c>
      <c r="BU148" t="inlineStr">
        <is>
          <t>listing</t>
        </is>
      </c>
      <c r="BV148" t="n">
        <v>7</v>
      </c>
      <c r="BX148" t="inlineStr">
        <is>
          <t>Yearwood</t>
        </is>
      </c>
      <c r="BY148" t="inlineStr">
        <is>
          <t>surname on brand press page; first name Lagusta implied by the brand name, founder to confirm</t>
        </is>
      </c>
      <c r="CF148" t="inlineStr">
        <is>
          <t>none</t>
        </is>
      </c>
      <c r="CK148" t="inlineStr">
        <is>
          <t>none</t>
        </is>
      </c>
      <c r="CL148" t="n">
        <v>40</v>
      </c>
      <c r="CM148" t="n">
        <v>6</v>
      </c>
      <c r="CN148" t="n">
        <v>13</v>
      </c>
      <c r="CO148" t="n">
        <v>8</v>
      </c>
      <c r="CP148" t="n">
        <v>5</v>
      </c>
      <c r="CQ148" t="n">
        <v>7</v>
      </c>
      <c r="CR148" t="n">
        <v>3</v>
      </c>
      <c r="CS148">
        <f>IF(R148="Y",10,0)</f>
        <v/>
      </c>
      <c r="CT148" t="n">
        <v>-2</v>
      </c>
      <c r="CU148" t="inlineStr">
        <is>
          <t>https://www.instagram.com/lagustasluscious/</t>
        </is>
      </c>
      <c r="CV148" t="inlineStr">
        <is>
          <t>BR2</t>
        </is>
      </c>
      <c r="CW148" t="inlineStr">
        <is>
          <t>BR2:32</t>
        </is>
      </c>
      <c r="CX148" t="inlineStr">
        <is>
          <t>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is>
      </c>
      <c r="CY148" t="inlineStr">
        <is>
          <t xml:space="preserve">shelf_stable_basis &lt;- https://lagustasluscious.com/pages/faq (2026-10-24, opened); founder_name &lt;- https://lagustasluscious.com/pages/press (2026-10-24, opened); founder_title &lt;- https://lagustasluscious.com/pages/press (2026-10-24, opened); </t>
        </is>
      </c>
      <c r="DA148" t="inlineStr">
        <is>
          <t>stage 1 only</t>
        </is>
      </c>
      <c r="DY148">
        <f>IF(ISNUMBER(MATCH(U148,{"queued","contacted","replied","call_booked","call_done","yes_in_principle","materials_sent"},0)),"Y","N")</f>
        <v/>
      </c>
      <c r="DZ148">
        <f>IF(COUNTIFS($AN$2:$AN$1000,AN148,$DY$2:$DY$1000,"Y")+COUNTIFS($AN$2:$AN$1000,AN148,$T$2:$T$1000,"Y")&gt;0,"Y","N")</f>
        <v/>
      </c>
      <c r="EA148">
        <f>IF(AND(U148="new",T148="N",AR148="Y",AQ148="",DZ148="N"),"Y","N")</f>
        <v/>
      </c>
      <c r="EB148">
        <f>IF(EA148&lt;&gt;"Y","N",IF(COUNTIFS($AN$2:$AN$1000,AN148,$EA$2:$EA$1000,"Y",$J$2:$J$1000,"&gt;"&amp;J148)+COUNTIFS($AN$2:$AN$1000,AN148,$EA$2:$EA$1000,"Y",$J$2:$J$1000,J148,$ED$2:$ED$1000,"&lt;"&amp;ED148)=0,"Y","N"))</f>
        <v/>
      </c>
      <c r="EC148">
        <f>IF(Y148="","N",IF(Y148&lt;=10,"Y","N"))</f>
        <v/>
      </c>
      <c r="ED148">
        <f>ROW()-1</f>
        <v/>
      </c>
    </row>
    <row r="149">
      <c r="A149" t="inlineStr">
        <is>
          <t>AB-178</t>
        </is>
      </c>
      <c r="B149" t="inlineStr">
        <is>
          <t>Rockaway Soda</t>
        </is>
      </c>
      <c r="C149" t="inlineStr">
        <is>
          <t>Bridget</t>
        </is>
      </c>
      <c r="D149" t="inlineStr">
        <is>
          <t>Firtle</t>
        </is>
      </c>
      <c r="E149" t="inlineStr">
        <is>
          <t>Founder</t>
        </is>
      </c>
      <c r="H149" t="inlineStr">
        <is>
          <t>none</t>
        </is>
      </c>
      <c r="I149" t="inlineStr">
        <is>
          <t>linkedin</t>
        </is>
      </c>
      <c r="J149">
        <f>IF(AU149="pass",CM149+CN149+CO149+CP149+CQ149+CR149+CS149+CT149,0)</f>
        <v/>
      </c>
      <c r="K149" t="inlineStr">
        <is>
          <t>New York City brand, no graded store within ten blocks, online store only, no dated why-now in the last 12 months, revenue unknown, contact named; founder review: claim-borderline.</t>
        </is>
      </c>
      <c r="M149" t="inlineStr">
        <is>
          <t>none found within ten blocks</t>
        </is>
      </c>
      <c r="N149" t="inlineStr">
        <is>
          <t>unverified</t>
        </is>
      </c>
      <c r="R149" t="inlineStr">
        <is>
          <t>N</t>
        </is>
      </c>
      <c r="S149" t="inlineStr">
        <is>
          <t>unknown</t>
        </is>
      </c>
      <c r="T149" t="inlineStr">
        <is>
          <t>N</t>
        </is>
      </c>
      <c r="U149" t="inlineStr">
        <is>
          <t>new</t>
        </is>
      </c>
      <c r="V149" t="inlineStr">
        <is>
          <t>https://drinkrockaway.com/pages/story</t>
        </is>
      </c>
      <c r="W149" t="inlineStr">
        <is>
          <t>2026-10-23</t>
        </is>
      </c>
      <c r="X149" t="inlineStr">
        <is>
          <t>brand</t>
        </is>
      </c>
      <c r="Y149">
        <f>IF(EB149&lt;&gt;"Y","",COUNTIFS($EB$2:$EB$1000,"Y",$J$2:$J$1000,"&gt;"&amp;J149)+COUNTIFS($EB$2:$EB$1000,"Y",$J$2:$J$1000,J149,$ED$2:$ED$1000,"&lt;"&amp;ED149)+1)</f>
        <v/>
      </c>
      <c r="Z149" t="n">
        <v>148</v>
      </c>
      <c r="AA149" t="inlineStr">
        <is>
          <t>N</t>
        </is>
      </c>
      <c r="AB149" t="inlineStr">
        <is>
          <t>find Bridget Firtle at Rockaway Soda on LinkedIn and paste the profile URL; founder review (claim-borderline): read founder_review_reason first</t>
        </is>
      </c>
      <c r="AC149" t="inlineStr">
        <is>
          <t>founder</t>
        </is>
      </c>
      <c r="AD149" t="inlineStr">
        <is>
          <t>verified-page</t>
        </is>
      </c>
      <c r="AE149" t="inlineStr">
        <is>
          <t>press, event or podcast page</t>
        </is>
      </c>
      <c r="AF149" t="inlineStr">
        <is>
          <t>https://amny.com/news/queens-entrepreneur-rockaway-sparkling-water-company</t>
        </is>
      </c>
      <c r="AG149" t="inlineStr">
        <is>
          <t>2026-10-23</t>
        </is>
      </c>
      <c r="AH149" t="inlineStr">
        <is>
          <t>ROCKAWAY Pineapple Ginger soda (real fruit, 7 g organic cane sugar), can</t>
        </is>
      </c>
      <c r="AI149" t="inlineStr">
        <is>
          <t>sparkling-soda</t>
        </is>
      </c>
      <c r="AJ149" t="inlineStr">
        <is>
          <t>Queens (Rockaway, New York City)</t>
        </is>
      </c>
      <c r="AK149" t="inlineStr">
        <is>
          <t>https://drinkrockaway.com</t>
        </is>
      </c>
      <c r="AL149" t="inlineStr">
        <is>
          <t>Y</t>
        </is>
      </c>
      <c r="AM149" t="inlineStr">
        <is>
          <t>No current retailer found (Pop Up Grocer lists it as a past brand); 'healthier sodas' wording is soft but check label; 60-day shelf life not stated</t>
        </is>
      </c>
      <c r="AN149" t="inlineStr">
        <is>
          <t>AB-178</t>
        </is>
      </c>
      <c r="AO149" t="inlineStr">
        <is>
          <t>N</t>
        </is>
      </c>
      <c r="AR149">
        <f>IF(AND(AU149="pass",AO149&lt;&gt;"Y",C149&lt;&gt;""),"Y","N")</f>
        <v/>
      </c>
      <c r="AS149">
        <f>_xlfn.TEXTJOIN("; ",TRUE,IF(AU149&lt;&gt;"pass","gated out",""),IF(AO149="Y","on hold: "&amp;AP149,""),IF(C149="","no contact named on an opened page",""))</f>
        <v/>
      </c>
      <c r="AU149" t="inlineStr">
        <is>
          <t>pass</t>
        </is>
      </c>
      <c r="AW149" t="inlineStr">
        <is>
          <t>passes all hard gates</t>
        </is>
      </c>
      <c r="AX149" t="inlineStr">
        <is>
          <t>claim-borderline</t>
        </is>
      </c>
      <c r="AY149" t="inlineStr">
        <is>
          <t>https://drinkrockaway.com</t>
        </is>
      </c>
      <c r="AZ149" t="inlineStr">
        <is>
          <t>NY</t>
        </is>
      </c>
      <c r="BA149" t="inlineStr">
        <is>
          <t>nyc</t>
        </is>
      </c>
      <c r="BB149" t="inlineStr">
        <is>
          <t>independently owned (story page)</t>
        </is>
      </c>
      <c r="BC149" t="inlineStr">
        <is>
          <t>https://drinkrockaway.com/pages/story</t>
        </is>
      </c>
      <c r="BD149" t="inlineStr">
        <is>
          <t>unknown</t>
        </is>
      </c>
      <c r="BE149" t="inlineStr">
        <is>
          <t>No storage statement found</t>
        </is>
      </c>
      <c r="BF149" t="inlineStr">
        <is>
          <t>Y</t>
        </is>
      </c>
      <c r="BG149" t="inlineStr">
        <is>
          <t>Y</t>
        </is>
      </c>
      <c r="BH149" t="inlineStr">
        <is>
          <t>unknown</t>
        </is>
      </c>
      <c r="BJ149" t="inlineStr">
        <is>
          <t>No public sales figure found</t>
        </is>
      </c>
      <c r="BK149" t="inlineStr">
        <is>
          <t>N</t>
        </is>
      </c>
      <c r="BL149" t="inlineStr">
        <is>
          <t>N</t>
        </is>
      </c>
      <c r="BO149" t="inlineStr">
        <is>
          <t>N</t>
        </is>
      </c>
      <c r="BP149" t="n">
        <v>0</v>
      </c>
      <c r="BS149" t="inlineStr">
        <is>
          <t>Pop Up Grocer (past brand, directory)</t>
        </is>
      </c>
      <c r="BT149" t="inlineStr">
        <is>
          <t>https://popupgrocer.com/products/rockaway-soda</t>
        </is>
      </c>
      <c r="BU149" t="inlineStr">
        <is>
          <t>none</t>
        </is>
      </c>
      <c r="BX149" t="inlineStr">
        <is>
          <t>Bridget Firtle</t>
        </is>
      </c>
      <c r="CF149" t="inlineStr">
        <is>
          <t>none</t>
        </is>
      </c>
      <c r="CK149" t="inlineStr">
        <is>
          <t>none</t>
        </is>
      </c>
      <c r="CL149" t="n">
        <v>40</v>
      </c>
      <c r="CM149" t="n">
        <v>6</v>
      </c>
      <c r="CN149" t="n">
        <v>20</v>
      </c>
      <c r="CO149" t="n">
        <v>0</v>
      </c>
      <c r="CP149" t="n">
        <v>5</v>
      </c>
      <c r="CQ149" t="n">
        <v>7</v>
      </c>
      <c r="CR149" t="n">
        <v>6</v>
      </c>
      <c r="CS149">
        <f>IF(R149="Y",10,0)</f>
        <v/>
      </c>
      <c r="CT149" t="n">
        <v>-4</v>
      </c>
      <c r="CU149" t="inlineStr">
        <is>
          <t>https://instagram.com/drinkrockaway</t>
        </is>
      </c>
      <c r="CV149" t="inlineStr">
        <is>
          <t>BR3</t>
        </is>
      </c>
      <c r="CW149" t="inlineStr">
        <is>
          <t>BR3:52</t>
        </is>
      </c>
      <c r="CX149" t="inlineStr">
        <is>
          <t>Story: Born in a special place in New York City (Rockaway), 1% of sales for the ocean, women-owned per Pop Up Grocer. Newest store listing is lime-mint (2025-08-19), outside the 12-month window, so no current why-now.</t>
        </is>
      </c>
      <c r="CY149" t="inlineStr">
        <is>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t>
        </is>
      </c>
      <c r="DA149" t="inlineStr">
        <is>
          <t>stage 1 only</t>
        </is>
      </c>
      <c r="DY149">
        <f>IF(ISNUMBER(MATCH(U149,{"queued","contacted","replied","call_booked","call_done","yes_in_principle","materials_sent"},0)),"Y","N")</f>
        <v/>
      </c>
      <c r="DZ149">
        <f>IF(COUNTIFS($AN$2:$AN$1000,AN149,$DY$2:$DY$1000,"Y")+COUNTIFS($AN$2:$AN$1000,AN149,$T$2:$T$1000,"Y")&gt;0,"Y","N")</f>
        <v/>
      </c>
      <c r="EA149">
        <f>IF(AND(U149="new",T149="N",AR149="Y",AQ149="",DZ149="N"),"Y","N")</f>
        <v/>
      </c>
      <c r="EB149">
        <f>IF(EA149&lt;&gt;"Y","N",IF(COUNTIFS($AN$2:$AN$1000,AN149,$EA$2:$EA$1000,"Y",$J$2:$J$1000,"&gt;"&amp;J149)+COUNTIFS($AN$2:$AN$1000,AN149,$EA$2:$EA$1000,"Y",$J$2:$J$1000,J149,$ED$2:$ED$1000,"&lt;"&amp;ED149)=0,"Y","N"))</f>
        <v/>
      </c>
      <c r="EC149">
        <f>IF(Y149="","N",IF(Y149&lt;=10,"Y","N"))</f>
        <v/>
      </c>
      <c r="ED149">
        <f>ROW()-1</f>
        <v/>
      </c>
    </row>
    <row r="150">
      <c r="A150" t="inlineStr">
        <is>
          <t>AB-114</t>
        </is>
      </c>
      <c r="B150" t="inlineStr">
        <is>
          <t>Knipschildt Chocolatier (Chocopologie)</t>
        </is>
      </c>
      <c r="C150" t="inlineStr">
        <is>
          <t>Fritz</t>
        </is>
      </c>
      <c r="D150" t="inlineStr">
        <is>
          <t>Knipschildt</t>
        </is>
      </c>
      <c r="E150" t="inlineStr">
        <is>
          <t>Founder</t>
        </is>
      </c>
      <c r="H150" t="inlineStr">
        <is>
          <t>none</t>
        </is>
      </c>
      <c r="I150" t="inlineStr">
        <is>
          <t>linkedin</t>
        </is>
      </c>
      <c r="J150">
        <f>IF(AU150="pass",CM150+CN150+CO150+CP150+CQ150+CR150+CS150+CT150,0)</f>
        <v/>
      </c>
      <c r="K150" t="inlineStr">
        <is>
          <t>Northeast brand, store page shows Whole Foods Market NoMad inside the cluster, no dated why-now in the last 12 months, revenue unknown, contact named; founder review: not-emerging, perishable-risk, alcohol-adjacent.</t>
        </is>
      </c>
      <c r="M150" t="inlineStr">
        <is>
          <t>Whole Foods Market NoMad, 63 Madison Ave</t>
        </is>
      </c>
      <c r="N150" t="inlineStr">
        <is>
          <t>store_selector</t>
        </is>
      </c>
      <c r="R150" t="inlineStr">
        <is>
          <t>N</t>
        </is>
      </c>
      <c r="S150" t="inlineStr">
        <is>
          <t>unknown</t>
        </is>
      </c>
      <c r="T150" t="inlineStr">
        <is>
          <t>N</t>
        </is>
      </c>
      <c r="U150" t="inlineStr">
        <is>
          <t>new</t>
        </is>
      </c>
      <c r="V150" t="inlineStr">
        <is>
          <t>https://chocopologie.com/pages/about-us-1</t>
        </is>
      </c>
      <c r="W150" t="inlineStr">
        <is>
          <t>2026-10-23</t>
        </is>
      </c>
      <c r="X150" t="inlineStr">
        <is>
          <t>brand</t>
        </is>
      </c>
      <c r="Y150">
        <f>IF(EB150&lt;&gt;"Y","",COUNTIFS($EB$2:$EB$1000,"Y",$J$2:$J$1000,"&gt;"&amp;J150)+COUNTIFS($EB$2:$EB$1000,"Y",$J$2:$J$1000,J150,$ED$2:$ED$1000,"&lt;"&amp;ED150)+1)</f>
        <v/>
      </c>
      <c r="Z150" t="n">
        <v>149</v>
      </c>
      <c r="AA150" t="inlineStr">
        <is>
          <t>N</t>
        </is>
      </c>
      <c r="AB150" t="inlineStr">
        <is>
          <t>find Fritz Knipschildt at Knipschildt Chocolatier (Chocopologie) on LinkedIn and paste the profile URL; before using the retailer line, check Whole Foods Market NoMad still lists it: https://www.wholefoodsmarket.com/search?text=Knipschildt%20Chocolatier with your store set to NoMad (catalogs change daily); founder review (not-emerging, perishable-risk, alcohol-adjacent): read founder_review_reason first</t>
        </is>
      </c>
      <c r="AC150" t="inlineStr">
        <is>
          <t>founder</t>
        </is>
      </c>
      <c r="AD150" t="inlineStr">
        <is>
          <t>verified-page</t>
        </is>
      </c>
      <c r="AE150" t="inlineStr">
        <is>
          <t>employer's own site</t>
        </is>
      </c>
      <c r="AF150" t="inlineStr">
        <is>
          <t>https://chocopologie.com/</t>
        </is>
      </c>
      <c r="AG150" t="inlineStr">
        <is>
          <t>2026-10-23</t>
        </is>
      </c>
      <c r="AH150" t="inlineStr">
        <is>
          <t>Sea Salt Caramel Collection 2.1 oz; truffle collections</t>
        </is>
      </c>
      <c r="AI150" t="inlineStr">
        <is>
          <t>chocolate-candy</t>
        </is>
      </c>
      <c r="AJ150" t="inlineStr">
        <is>
          <t>Norwalk</t>
        </is>
      </c>
      <c r="AK150" t="inlineStr">
        <is>
          <t>https://chocopologie.com</t>
        </is>
      </c>
      <c r="AL150" t="inlineStr">
        <is>
          <t>Y</t>
        </is>
      </c>
      <c r="AM150" t="inlineStr">
        <is>
          <t>Luxury truffle maker; perishable cakes in line and an espresso martini truffle (check alcohol); not an emerging snack brand; 60-day shelf life not stated</t>
        </is>
      </c>
      <c r="AN150" t="inlineStr">
        <is>
          <t>AB-114</t>
        </is>
      </c>
      <c r="AO150" t="inlineStr">
        <is>
          <t>N</t>
        </is>
      </c>
      <c r="AR150">
        <f>IF(AND(AU150="pass",AO150&lt;&gt;"Y",C150&lt;&gt;""),"Y","N")</f>
        <v/>
      </c>
      <c r="AS150">
        <f>_xlfn.TEXTJOIN("; ",TRUE,IF(AU150&lt;&gt;"pass","gated out",""),IF(AO150="Y","on hold: "&amp;AP150,""),IF(C150="","no contact named on an opened page",""))</f>
        <v/>
      </c>
      <c r="AU150" t="inlineStr">
        <is>
          <t>pass</t>
        </is>
      </c>
      <c r="AW150" t="inlineStr">
        <is>
          <t>passes all hard gates</t>
        </is>
      </c>
      <c r="AX150" t="inlineStr">
        <is>
          <t>not-emerging;perishable-risk;alcohol-adjacent</t>
        </is>
      </c>
      <c r="AY150" t="inlineStr">
        <is>
          <t>https://chocopologie.com</t>
        </is>
      </c>
      <c r="AZ150" t="inlineStr">
        <is>
          <t>CT</t>
        </is>
      </c>
      <c r="BA150" t="inlineStr">
        <is>
          <t>northeast</t>
        </is>
      </c>
      <c r="BB150" t="inlineStr">
        <is>
          <t>unknown</t>
        </is>
      </c>
      <c r="BD150" t="inlineStr">
        <is>
          <t>unknown</t>
        </is>
      </c>
      <c r="BE150" t="inlineStr">
        <is>
          <t>Product page (La Madeline au Truffle): 'Product has a 7 day shelf life' and ships Next Day Air. No shelf-life figure found for bars.</t>
        </is>
      </c>
      <c r="BF150" t="inlineStr">
        <is>
          <t>unknown</t>
        </is>
      </c>
      <c r="BG150" t="inlineStr">
        <is>
          <t>Y</t>
        </is>
      </c>
      <c r="BH150" t="inlineStr">
        <is>
          <t>unknown</t>
        </is>
      </c>
      <c r="BJ150" t="inlineStr">
        <is>
          <t>unknown</t>
        </is>
      </c>
      <c r="BK150" t="inlineStr">
        <is>
          <t>N</t>
        </is>
      </c>
      <c r="BL150" t="inlineStr">
        <is>
          <t>N</t>
        </is>
      </c>
      <c r="BN150" t="n">
        <v>0</v>
      </c>
      <c r="BO150" t="inlineStr">
        <is>
          <t>Y</t>
        </is>
      </c>
      <c r="BP150" t="n">
        <v>3</v>
      </c>
      <c r="BQ150" t="inlineStr">
        <is>
          <t>Whole Foods Market NoMad, 63 Madison Ave (store_selector, inside);Whole Foods Market Union Square, 4 Union Sq S (store_selector, inside);Whole Foods Market Chelsea, 250 7th Ave (store_selector, 3.0 blocks out)</t>
        </is>
      </c>
      <c r="BS150" t="inlineStr">
        <is>
          <t>Whole Foods</t>
        </is>
      </c>
      <c r="BT150" t="inlineStr">
        <is>
          <t>https://www.wholefoodsmarket.com/api/search?text=knipschildt&amp;store=10162&amp;limit=60&amp;offset=0; https://www.wholefoodsmarket.com/api/search?text=knipschildt&amp;store=10773&amp;limit=60&amp;offset=0; https://www.wholefoodsmarket.com/api/search?text=knipschildt&amp;store=10131&amp;limit=60&amp;offset=0</t>
        </is>
      </c>
      <c r="BU150" t="inlineStr">
        <is>
          <t>none</t>
        </is>
      </c>
      <c r="BX150" t="inlineStr">
        <is>
          <t>Fritz Knipschildt</t>
        </is>
      </c>
      <c r="CF150" t="inlineStr">
        <is>
          <t>none</t>
        </is>
      </c>
      <c r="CK150" t="inlineStr">
        <is>
          <t>none</t>
        </is>
      </c>
      <c r="CL150" t="n">
        <v>39</v>
      </c>
      <c r="CM150" t="n">
        <v>25</v>
      </c>
      <c r="CN150" t="n">
        <v>8</v>
      </c>
      <c r="CO150" t="n">
        <v>0</v>
      </c>
      <c r="CP150" t="n">
        <v>5</v>
      </c>
      <c r="CQ150" t="n">
        <v>5</v>
      </c>
      <c r="CR150" t="n">
        <v>6</v>
      </c>
      <c r="CS150">
        <f>IF(R150="Y",10,0)</f>
        <v/>
      </c>
      <c r="CT150" t="n">
        <v>-10</v>
      </c>
      <c r="CU150" t="inlineStr">
        <is>
          <t>https://www.instagram.com/fritzknipschildt/</t>
        </is>
      </c>
      <c r="CV150" t="inlineStr">
        <is>
          <t>BR2</t>
        </is>
      </c>
      <c r="CW150" t="inlineStr">
        <is>
          <t>BR2:52</t>
        </is>
      </c>
      <c r="CX150" t="inlineStr">
        <is>
          <t>Last new product on brand store Feb 2026 (Dubai Chocolate Easter Eggs).</t>
        </is>
      </c>
      <c r="CY150" t="inlineStr">
        <is>
          <t xml:space="preserve">hq_city &lt;- https://chocopologie.com/policies/refund-policy (2026-10-24, opened); hq_state &lt;- https://chocopologie.com/policies/refund-policy (2026-10-24, opened); shelf_stable_basis &lt;- https://chocopologie.com/products/la-madeline-au-truffle (2026-10-24, opened); </t>
        </is>
      </c>
      <c r="DA150" t="inlineStr">
        <is>
          <t>stage 1 only</t>
        </is>
      </c>
      <c r="DY150">
        <f>IF(ISNUMBER(MATCH(U150,{"queued","contacted","replied","call_booked","call_done","yes_in_principle","materials_sent"},0)),"Y","N")</f>
        <v/>
      </c>
      <c r="DZ150">
        <f>IF(COUNTIFS($AN$2:$AN$1000,AN150,$DY$2:$DY$1000,"Y")+COUNTIFS($AN$2:$AN$1000,AN150,$T$2:$T$1000,"Y")&gt;0,"Y","N")</f>
        <v/>
      </c>
      <c r="EA150">
        <f>IF(AND(U150="new",T150="N",AR150="Y",AQ150="",DZ150="N"),"Y","N")</f>
        <v/>
      </c>
      <c r="EB150">
        <f>IF(EA150&lt;&gt;"Y","N",IF(COUNTIFS($AN$2:$AN$1000,AN150,$EA$2:$EA$1000,"Y",$J$2:$J$1000,"&gt;"&amp;J150)+COUNTIFS($AN$2:$AN$1000,AN150,$EA$2:$EA$1000,"Y",$J$2:$J$1000,J150,$ED$2:$ED$1000,"&lt;"&amp;ED150)=0,"Y","N"))</f>
        <v/>
      </c>
      <c r="EC150">
        <f>IF(Y150="","N",IF(Y150&lt;=10,"Y","N"))</f>
        <v/>
      </c>
      <c r="ED150">
        <f>ROW()-1</f>
        <v/>
      </c>
    </row>
    <row r="151">
      <c r="A151" t="inlineStr">
        <is>
          <t>AB-031</t>
        </is>
      </c>
      <c r="B151" t="inlineStr">
        <is>
          <t>LOVE CORN</t>
        </is>
      </c>
      <c r="H151" t="inlineStr">
        <is>
          <t>none</t>
        </is>
      </c>
      <c r="J151">
        <f>IF(AU151="pass",CM151+CN151+CO151+CP151+CQ151+CR151+CS151+CT151,0)</f>
        <v/>
      </c>
      <c r="K151" t="inlineStr">
        <is>
          <t>Northeast brand, store page shows Whole Foods Market NoMad inside the cluster, no dated why-now in the last 12 months, revenue unknown, contact seen only in a snippet; founder review: scale.</t>
        </is>
      </c>
      <c r="M151" t="inlineStr">
        <is>
          <t>Whole Foods Market NoMad, 63 Madison Ave</t>
        </is>
      </c>
      <c r="N151" t="inlineStr">
        <is>
          <t>store_selector</t>
        </is>
      </c>
      <c r="O151" t="inlineStr">
        <is>
          <t>Limited Edition Halloween packs on WFM NoMad shelf listing (undated)</t>
        </is>
      </c>
      <c r="P151" t="inlineStr">
        <is>
          <t>https://www.wholefoodsmarket.com/search?text=love%20corn</t>
        </is>
      </c>
      <c r="R151" t="inlineStr">
        <is>
          <t>N</t>
        </is>
      </c>
      <c r="S151" t="inlineStr">
        <is>
          <t>unknown</t>
        </is>
      </c>
      <c r="T151" t="inlineStr">
        <is>
          <t>N</t>
        </is>
      </c>
      <c r="U151" t="inlineStr">
        <is>
          <t>new</t>
        </is>
      </c>
      <c r="V151" t="inlineStr">
        <is>
          <t>https://lovecorn.com</t>
        </is>
      </c>
      <c r="W151" t="inlineStr">
        <is>
          <t>2026-10-23</t>
        </is>
      </c>
      <c r="X151" t="inlineStr">
        <is>
          <t>brand</t>
        </is>
      </c>
      <c r="Y151">
        <f>IF(EB151&lt;&gt;"Y","",COUNTIFS($EB$2:$EB$1000,"Y",$J$2:$J$1000,"&gt;"&amp;J151)+COUNTIFS($EB$2:$EB$1000,"Y",$J$2:$J$1000,J151,$ED$2:$ED$1000,"&lt;"&amp;ED151)+1)</f>
        <v/>
      </c>
      <c r="Z151" t="n">
        <v>150</v>
      </c>
      <c r="AA151" t="inlineStr">
        <is>
          <t>N</t>
        </is>
      </c>
      <c r="AB151" t="inlineStr">
        <is>
          <t>no person named on an opened page: not ready; before using the retailer line, check Whole Foods Market NoMad still lists it: https://www.wholefoodsmarket.com/search?text=LOVE%20CORN with your store set to NoMad (catalogs change daily); founder review (scale): read founder_review_reason first</t>
        </is>
      </c>
      <c r="AC151" t="inlineStr">
        <is>
          <t>founder</t>
        </is>
      </c>
      <c r="AD151" t="inlineStr">
        <is>
          <t>unverified</t>
        </is>
      </c>
      <c r="AE151" t="inlineStr">
        <is>
          <t>unknown</t>
        </is>
      </c>
      <c r="AG151" t="inlineStr">
        <is>
          <t>2026-10-23</t>
        </is>
      </c>
      <c r="AH151" t="inlineStr">
        <is>
          <t>LOVE CORN Sea Salt crunchy roasted corn, 0.7 oz single bags (20-count)</t>
        </is>
      </c>
      <c r="AI151" t="inlineStr">
        <is>
          <t>other-snack</t>
        </is>
      </c>
      <c r="AJ151" t="inlineStr">
        <is>
          <t>Ho-Ho-Kus</t>
        </is>
      </c>
      <c r="AK151" t="inlineStr">
        <is>
          <t>https://lovecorn.com</t>
        </is>
      </c>
      <c r="AL151" t="inlineStr">
        <is>
          <t>Y</t>
        </is>
      </c>
      <c r="AM151" t="inlineStr">
        <is>
          <t>UK-founded, investor-backed brand with wide US distribution; may be above the $10M band (no sourced figure)</t>
        </is>
      </c>
      <c r="AN151" t="inlineStr">
        <is>
          <t>AB-031</t>
        </is>
      </c>
      <c r="AO151" t="inlineStr">
        <is>
          <t>N</t>
        </is>
      </c>
      <c r="AR151">
        <f>IF(AND(AU151="pass",AO151&lt;&gt;"Y",C151&lt;&gt;""),"Y","N")</f>
        <v/>
      </c>
      <c r="AS151">
        <f>_xlfn.TEXTJOIN("; ",TRUE,IF(AU151&lt;&gt;"pass","gated out",""),IF(AO151="Y","on hold: "&amp;AP151,""),IF(C151="","no contact named on an opened page",""))</f>
        <v/>
      </c>
      <c r="AU151" t="inlineStr">
        <is>
          <t>pass</t>
        </is>
      </c>
      <c r="AW151" t="inlineStr">
        <is>
          <t>passes all hard gates</t>
        </is>
      </c>
      <c r="AX151" t="inlineStr">
        <is>
          <t>scale</t>
        </is>
      </c>
      <c r="AY151" t="inlineStr">
        <is>
          <t>https://lovecorn.com</t>
        </is>
      </c>
      <c r="AZ151" t="inlineStr">
        <is>
          <t>NJ</t>
        </is>
      </c>
      <c r="BA151" t="inlineStr">
        <is>
          <t>northeast</t>
        </is>
      </c>
      <c r="BB151" t="inlineStr">
        <is>
          <t>unknown</t>
        </is>
      </c>
      <c r="BD151" t="inlineStr">
        <is>
          <t>Y</t>
        </is>
      </c>
      <c r="BE151" t="inlineStr">
        <is>
          <t>Roasted corn kernels in sealed bags, ambient</t>
        </is>
      </c>
      <c r="BF151" t="inlineStr">
        <is>
          <t>Y</t>
        </is>
      </c>
      <c r="BG151" t="inlineStr">
        <is>
          <t>Y</t>
        </is>
      </c>
      <c r="BH151" t="inlineStr">
        <is>
          <t>unknown</t>
        </is>
      </c>
      <c r="BJ151" t="inlineStr">
        <is>
          <t>unknown</t>
        </is>
      </c>
      <c r="BK151" t="inlineStr">
        <is>
          <t>N</t>
        </is>
      </c>
      <c r="BL151" t="inlineStr">
        <is>
          <t>N</t>
        </is>
      </c>
      <c r="BN151" t="n">
        <v>0</v>
      </c>
      <c r="BO151" t="inlineStr">
        <is>
          <t>Y</t>
        </is>
      </c>
      <c r="BP151" t="n">
        <v>3</v>
      </c>
      <c r="BQ151" t="inlineStr">
        <is>
          <t>Whole Foods Market NoMad, 63 Madison Ave (store_selector, inside);Whole Foods Market Union Square, 4 Union Sq S (store_selector, inside);Whole Foods Market Chelsea, 250 7th Ave (store_selector, 3.0 blocks out)</t>
        </is>
      </c>
      <c r="BS151" t="inlineStr">
        <is>
          <t>Whole Foods Market; Publix; Kroger; Target (per investor page in search results, not opened)</t>
        </is>
      </c>
      <c r="BT151" t="inlineStr">
        <is>
          <t>https://www.wholefoodsmarket.com/search?text=love%20corn (Union Square, NoMad, Chelsea contexts: 4 oz bags and 0.7 oz x 9 variety pack IN_STOCK 2026-10-23)</t>
        </is>
      </c>
      <c r="BU151" t="inlineStr">
        <is>
          <t>none</t>
        </is>
      </c>
      <c r="BX151" t="inlineStr">
        <is>
          <t>Gavin McCloskey</t>
        </is>
      </c>
      <c r="BY151" t="inlineStr">
        <is>
          <t>search snippet citing the brand site, founded 2016; unverified, founder to confirm</t>
        </is>
      </c>
      <c r="CA151" t="inlineStr">
        <is>
          <t>Missy McCloskey</t>
        </is>
      </c>
      <c r="CE151" t="inlineStr">
        <is>
          <t>co-founder</t>
        </is>
      </c>
      <c r="CF151" t="inlineStr">
        <is>
          <t>unverified</t>
        </is>
      </c>
      <c r="CG151" t="inlineStr">
        <is>
          <t>search snippet citing the brand site, founded 2016; unverified, founder to confirm</t>
        </is>
      </c>
      <c r="CK151" t="inlineStr">
        <is>
          <t>none</t>
        </is>
      </c>
      <c r="CL151" t="n">
        <v>39</v>
      </c>
      <c r="CM151" t="n">
        <v>25</v>
      </c>
      <c r="CN151" t="n">
        <v>8</v>
      </c>
      <c r="CO151" t="n">
        <v>0</v>
      </c>
      <c r="CP151" t="n">
        <v>5</v>
      </c>
      <c r="CQ151" t="n">
        <v>10</v>
      </c>
      <c r="CR151" t="n">
        <v>3</v>
      </c>
      <c r="CS151">
        <f>IF(R151="Y",10,0)</f>
        <v/>
      </c>
      <c r="CT151" t="n">
        <v>-12</v>
      </c>
      <c r="CU151" t="inlineStr">
        <is>
          <t>https://instagram.com/lovecorn_snacks</t>
        </is>
      </c>
      <c r="CV151" t="inlineStr">
        <is>
          <t>BR1</t>
        </is>
      </c>
      <c r="CW151" t="inlineStr">
        <is>
          <t>BR1:32</t>
        </is>
      </c>
      <c r="CX151" t="inlineStr">
        <is>
          <t>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t>
        </is>
      </c>
      <c r="CY151" t="inlineStr">
        <is>
          <t xml:space="preserve">hq_city &lt;- https://love-corn.breezy.hr/ (2026-10-24, opened); founder_name &lt;- https://love-corn.breezy.hr/p/839c329e7d69-field-sales-philadelphia-south-jersey-full-time-45-50k/apply (2026-10-24, snippet-unverified); </t>
        </is>
      </c>
      <c r="DA151" t="inlineStr">
        <is>
          <t>stage 1 only</t>
        </is>
      </c>
      <c r="DC151" t="inlineStr">
        <is>
          <t>unknown</t>
        </is>
      </c>
      <c r="DY151">
        <f>IF(ISNUMBER(MATCH(U151,{"queued","contacted","replied","call_booked","call_done","yes_in_principle","materials_sent"},0)),"Y","N")</f>
        <v/>
      </c>
      <c r="DZ151">
        <f>IF(COUNTIFS($AN$2:$AN$1000,AN151,$DY$2:$DY$1000,"Y")+COUNTIFS($AN$2:$AN$1000,AN151,$T$2:$T$1000,"Y")&gt;0,"Y","N")</f>
        <v/>
      </c>
      <c r="EA151">
        <f>IF(AND(U151="new",T151="N",AR151="Y",AQ151="",DZ151="N"),"Y","N")</f>
        <v/>
      </c>
      <c r="EB151">
        <f>IF(EA151&lt;&gt;"Y","N",IF(COUNTIFS($AN$2:$AN$1000,AN151,$EA$2:$EA$1000,"Y",$J$2:$J$1000,"&gt;"&amp;J151)+COUNTIFS($AN$2:$AN$1000,AN151,$EA$2:$EA$1000,"Y",$J$2:$J$1000,J151,$ED$2:$ED$1000,"&lt;"&amp;ED151)=0,"Y","N"))</f>
        <v/>
      </c>
      <c r="EC151">
        <f>IF(Y151="","N",IF(Y151&lt;=10,"Y","N"))</f>
        <v/>
      </c>
      <c r="ED151">
        <f>ROW()-1</f>
        <v/>
      </c>
    </row>
    <row r="152">
      <c r="A152" t="inlineStr">
        <is>
          <t>AB-046</t>
        </is>
      </c>
      <c r="B152" t="inlineStr">
        <is>
          <t>Simply 7</t>
        </is>
      </c>
      <c r="H152" t="inlineStr">
        <is>
          <t>none</t>
        </is>
      </c>
      <c r="J152">
        <f>IF(AU152="pass",CM152+CN152+CO152+CP152+CQ152+CR152+CS152+CT152,0)</f>
        <v/>
      </c>
      <c r="K152" t="inlineStr">
        <is>
          <t>Brand based outside the Northeast, store page shows Whole Foods Market NoMad inside the cluster, no dated why-now in the last 12 months, revenue unknown, contact seen only in a snippet; founder review: other.</t>
        </is>
      </c>
      <c r="M152" t="inlineStr">
        <is>
          <t>Whole Foods Market NoMad, 63 Madison Ave</t>
        </is>
      </c>
      <c r="N152" t="inlineStr">
        <is>
          <t>store_selector</t>
        </is>
      </c>
      <c r="R152" t="inlineStr">
        <is>
          <t>N</t>
        </is>
      </c>
      <c r="S152" t="inlineStr">
        <is>
          <t>unknown</t>
        </is>
      </c>
      <c r="T152" t="inlineStr">
        <is>
          <t>N</t>
        </is>
      </c>
      <c r="U152" t="inlineStr">
        <is>
          <t>new</t>
        </is>
      </c>
      <c r="V152" t="inlineStr">
        <is>
          <t>https://www.wholefoodsmarket.com/search?text=simply%207%20lentil</t>
        </is>
      </c>
      <c r="W152" t="inlineStr">
        <is>
          <t>2026-10-23</t>
        </is>
      </c>
      <c r="X152" t="inlineStr">
        <is>
          <t>brand</t>
        </is>
      </c>
      <c r="Y152">
        <f>IF(EB152&lt;&gt;"Y","",COUNTIFS($EB$2:$EB$1000,"Y",$J$2:$J$1000,"&gt;"&amp;J152)+COUNTIFS($EB$2:$EB$1000,"Y",$J$2:$J$1000,J152,$ED$2:$ED$1000,"&lt;"&amp;ED152)+1)</f>
        <v/>
      </c>
      <c r="Z152" t="n">
        <v>151</v>
      </c>
      <c r="AA152" t="inlineStr">
        <is>
          <t>N</t>
        </is>
      </c>
      <c r="AB152" t="inlineStr">
        <is>
          <t>no person named on an opened page: not ready; before using the retailer line, check Whole Foods Market NoMad still lists it: https://www.wholefoodsmarket.com/search?text=Simply%207 with your store set to NoMad (catalogs change daily); founder review (other): read founder_review_reason first</t>
        </is>
      </c>
      <c r="AC152" t="inlineStr">
        <is>
          <t>founder</t>
        </is>
      </c>
      <c r="AD152" t="inlineStr">
        <is>
          <t>unverified</t>
        </is>
      </c>
      <c r="AE152" t="inlineStr">
        <is>
          <t>unknown</t>
        </is>
      </c>
      <c r="AG152" t="inlineStr">
        <is>
          <t>2026-10-23</t>
        </is>
      </c>
      <c r="AH152" t="inlineStr">
        <is>
          <t>Simply 7 Lentil Chips, Sea Salt, 4 oz</t>
        </is>
      </c>
      <c r="AI152" t="inlineStr">
        <is>
          <t>chips-crisps</t>
        </is>
      </c>
      <c r="AJ152" t="inlineStr">
        <is>
          <t>Houston</t>
        </is>
      </c>
      <c r="AL152" t="inlineStr">
        <is>
          <t>Y</t>
        </is>
      </c>
      <c r="AM152" t="inlineStr">
        <is>
          <t>Brand site unreachable through proxy on 2026-10-23; owner and HQ unconfirmed; no online store: buy path is the store only</t>
        </is>
      </c>
      <c r="AN152" t="inlineStr">
        <is>
          <t>AB-046</t>
        </is>
      </c>
      <c r="AO152" t="inlineStr">
        <is>
          <t>N</t>
        </is>
      </c>
      <c r="AR152">
        <f>IF(AND(AU152="pass",AO152&lt;&gt;"Y",C152&lt;&gt;""),"Y","N")</f>
        <v/>
      </c>
      <c r="AS152">
        <f>_xlfn.TEXTJOIN("; ",TRUE,IF(AU152&lt;&gt;"pass","gated out",""),IF(AO152="Y","on hold: "&amp;AP152,""),IF(C152="","no contact named on an opened page",""))</f>
        <v/>
      </c>
      <c r="AU152" t="inlineStr">
        <is>
          <t>pass</t>
        </is>
      </c>
      <c r="AW152" t="inlineStr">
        <is>
          <t>passes all hard gates</t>
        </is>
      </c>
      <c r="AX152" t="inlineStr">
        <is>
          <t>other</t>
        </is>
      </c>
      <c r="AY152" t="inlineStr">
        <is>
          <t>https://www.simply7snacks.com</t>
        </is>
      </c>
      <c r="AZ152" t="inlineStr">
        <is>
          <t>TX</t>
        </is>
      </c>
      <c r="BA152" t="inlineStr">
        <is>
          <t>elsewhere</t>
        </is>
      </c>
      <c r="BB152" t="inlineStr">
        <is>
          <t>unknown</t>
        </is>
      </c>
      <c r="BD152" t="inlineStr">
        <is>
          <t>Y</t>
        </is>
      </c>
      <c r="BE152" t="inlineStr">
        <is>
          <t>Bagged lentil chips, ambient</t>
        </is>
      </c>
      <c r="BF152" t="inlineStr">
        <is>
          <t>N</t>
        </is>
      </c>
      <c r="BG152" t="inlineStr">
        <is>
          <t>unknown</t>
        </is>
      </c>
      <c r="BH152" t="inlineStr">
        <is>
          <t>unknown</t>
        </is>
      </c>
      <c r="BJ152" t="inlineStr">
        <is>
          <t>unknown</t>
        </is>
      </c>
      <c r="BK152" t="inlineStr">
        <is>
          <t>N</t>
        </is>
      </c>
      <c r="BL152" t="inlineStr">
        <is>
          <t>N</t>
        </is>
      </c>
      <c r="BN152" t="n">
        <v>0</v>
      </c>
      <c r="BO152" t="inlineStr">
        <is>
          <t>Y</t>
        </is>
      </c>
      <c r="BP152" t="n">
        <v>3</v>
      </c>
      <c r="BQ152" t="inlineStr">
        <is>
          <t>Whole Foods Market NoMad, 63 Madison Ave (store_selector, inside);Whole Foods Market Union Square, 4 Union Sq S (store_selector, inside);Whole Foods Market Chelsea, 250 7th Ave (store_selector, 3.0 blocks out)</t>
        </is>
      </c>
      <c r="BS152" t="inlineStr">
        <is>
          <t>Whole Foods Market</t>
        </is>
      </c>
      <c r="BT152" t="inlineStr">
        <is>
          <t>https://www.wholefoodsmarket.com/search?text=simply%207%20lentil (Sea Salt and Jalapeño 4 oz IN_STOCK in each cluster store context, 2026-10-23)</t>
        </is>
      </c>
      <c r="BU152" t="inlineStr">
        <is>
          <t>none</t>
        </is>
      </c>
      <c r="BX152" t="inlineStr">
        <is>
          <t>Rashim Oberoi</t>
        </is>
      </c>
      <c r="BY152" t="inlineStr">
        <is>
          <t>search snippet; unverified, founder to confirm</t>
        </is>
      </c>
      <c r="CF152" t="inlineStr">
        <is>
          <t>none</t>
        </is>
      </c>
      <c r="CK152" t="inlineStr">
        <is>
          <t>none</t>
        </is>
      </c>
      <c r="CL152" t="n">
        <v>39</v>
      </c>
      <c r="CM152" t="n">
        <v>25</v>
      </c>
      <c r="CN152" t="n">
        <v>3</v>
      </c>
      <c r="CO152" t="n">
        <v>0</v>
      </c>
      <c r="CP152" t="n">
        <v>5</v>
      </c>
      <c r="CQ152" t="n">
        <v>5</v>
      </c>
      <c r="CR152" t="n">
        <v>3</v>
      </c>
      <c r="CS152">
        <f>IF(R152="Y",10,0)</f>
        <v/>
      </c>
      <c r="CT152" t="n">
        <v>-2</v>
      </c>
      <c r="CU152" t="inlineStr">
        <is>
          <t>unknown</t>
        </is>
      </c>
      <c r="CV152" t="inlineStr">
        <is>
          <t>BR1</t>
        </is>
      </c>
      <c r="CW152" t="inlineStr">
        <is>
          <t>BR1:47</t>
        </is>
      </c>
      <c r="CX152" t="inlineStr">
        <is>
          <t>Shelf presence confirmed; everything else needs a second pass.</t>
        </is>
      </c>
      <c r="CY152" t="inlineStr">
        <is>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t>
        </is>
      </c>
      <c r="DA152" t="inlineStr">
        <is>
          <t>stage 1 only</t>
        </is>
      </c>
      <c r="DY152">
        <f>IF(ISNUMBER(MATCH(U152,{"queued","contacted","replied","call_booked","call_done","yes_in_principle","materials_sent"},0)),"Y","N")</f>
        <v/>
      </c>
      <c r="DZ152">
        <f>IF(COUNTIFS($AN$2:$AN$1000,AN152,$DY$2:$DY$1000,"Y")+COUNTIFS($AN$2:$AN$1000,AN152,$T$2:$T$1000,"Y")&gt;0,"Y","N")</f>
        <v/>
      </c>
      <c r="EA152">
        <f>IF(AND(U152="new",T152="N",AR152="Y",AQ152="",DZ152="N"),"Y","N")</f>
        <v/>
      </c>
      <c r="EB152">
        <f>IF(EA152&lt;&gt;"Y","N",IF(COUNTIFS($AN$2:$AN$1000,AN152,$EA$2:$EA$1000,"Y",$J$2:$J$1000,"&gt;"&amp;J152)+COUNTIFS($AN$2:$AN$1000,AN152,$EA$2:$EA$1000,"Y",$J$2:$J$1000,J152,$ED$2:$ED$1000,"&lt;"&amp;ED152)=0,"Y","N"))</f>
        <v/>
      </c>
      <c r="EC152">
        <f>IF(Y152="","N",IF(Y152&lt;=10,"Y","N"))</f>
        <v/>
      </c>
      <c r="ED152">
        <f>ROW()-1</f>
        <v/>
      </c>
    </row>
    <row r="153">
      <c r="A153" t="inlineStr">
        <is>
          <t>AB-064</t>
        </is>
      </c>
      <c r="B153" t="inlineStr">
        <is>
          <t>Guinness Steak Cuts (Sidari Artisan Brands)</t>
        </is>
      </c>
      <c r="C153" t="inlineStr">
        <is>
          <t>Elizabeth</t>
        </is>
      </c>
      <c r="D153" t="inlineStr">
        <is>
          <t>Brauser</t>
        </is>
      </c>
      <c r="E153" t="inlineStr">
        <is>
          <t>Co-founder, Sidari Artisan Brands</t>
        </is>
      </c>
      <c r="H153" t="inlineStr">
        <is>
          <t>none</t>
        </is>
      </c>
      <c r="I153" t="inlineStr">
        <is>
          <t>linkedin</t>
        </is>
      </c>
      <c r="J153">
        <f>IF(AU153="pass",CM153+CN153+CO153+CP153+CQ153+CR153+CS153+CT153,0)</f>
        <v/>
      </c>
      <c r="K153" t="inlineStr">
        <is>
          <t>Brand based outside the Northeast, no graded store within ten blocks, online store only, news 32 days ago, revenue unknown, contact named; founder review: alcohol-adjacent.</t>
        </is>
      </c>
      <c r="M153" t="inlineStr">
        <is>
          <t>none found within ten blocks</t>
        </is>
      </c>
      <c r="N153" t="inlineStr">
        <is>
          <t>unverified</t>
        </is>
      </c>
      <c r="O153" t="inlineStr">
        <is>
          <t>Debuted NY-Style Pastrami and The Spicy Blend flavors at the NACS Show, expanding the line from three to five flavors</t>
        </is>
      </c>
      <c r="P153" t="inlineStr">
        <is>
          <t>https://www.snackandbakery.com/articles/116326-guinness-steak-cuts-adds-two-new-flavors-to-lineup</t>
        </is>
      </c>
      <c r="Q153" t="inlineStr">
        <is>
          <t>2026-09-22</t>
        </is>
      </c>
      <c r="R153" t="inlineStr">
        <is>
          <t>N</t>
        </is>
      </c>
      <c r="S153" t="inlineStr">
        <is>
          <t>Y</t>
        </is>
      </c>
      <c r="T153" t="inlineStr">
        <is>
          <t>N</t>
        </is>
      </c>
      <c r="U153" t="inlineStr">
        <is>
          <t>new</t>
        </is>
      </c>
      <c r="V153" t="inlineStr">
        <is>
          <t>https://startupcpg.com/startup-cpg-newswire-steak-not-jerky-sidari-artisan-brands-partners-with-guinness-to-bring-the-steakhouse-to-the-snack-aisle/</t>
        </is>
      </c>
      <c r="W153" t="inlineStr">
        <is>
          <t>2026-10-23</t>
        </is>
      </c>
      <c r="X153" t="inlineStr">
        <is>
          <t>brand</t>
        </is>
      </c>
      <c r="Y153">
        <f>IF(EB153&lt;&gt;"Y","",COUNTIFS($EB$2:$EB$1000,"Y",$J$2:$J$1000,"&gt;"&amp;J153)+COUNTIFS($EB$2:$EB$1000,"Y",$J$2:$J$1000,J153,$ED$2:$ED$1000,"&lt;"&amp;ED153)+1)</f>
        <v/>
      </c>
      <c r="Z153" t="n">
        <v>152</v>
      </c>
      <c r="AA153" t="inlineStr">
        <is>
          <t>N</t>
        </is>
      </c>
      <c r="AB153" t="inlineStr">
        <is>
          <t>find Elizabeth Brauser at Guinness Steak Cuts (Sidari Artisan Brands) on LinkedIn and paste the profile URL; founder review (alcohol-adjacent): read founder_review_reason first</t>
        </is>
      </c>
      <c r="AC153" t="inlineStr">
        <is>
          <t>founder</t>
        </is>
      </c>
      <c r="AD153" t="inlineStr">
        <is>
          <t>verified-page</t>
        </is>
      </c>
      <c r="AE153" t="inlineStr">
        <is>
          <t>press, event or podcast page</t>
        </is>
      </c>
      <c r="AF153" t="inlineStr">
        <is>
          <t>https://startupcpg.com/startup-cpg-newswire-steak-not-jerky-sidari-artisan-brands-partners-with-guinness-to-bring-the-steakhouse-to-the-snack-aisle/</t>
        </is>
      </c>
      <c r="AG153" t="inlineStr">
        <is>
          <t>2026-10-23</t>
        </is>
      </c>
      <c r="AH153" t="inlineStr">
        <is>
          <t>Guinness Steak Cuts, Original (Pot Roast)</t>
        </is>
      </c>
      <c r="AI153" t="inlineStr">
        <is>
          <t>meat-snacks</t>
        </is>
      </c>
      <c r="AJ153" t="inlineStr">
        <is>
          <t>Cleveland</t>
        </is>
      </c>
      <c r="AK153" t="inlineStr">
        <is>
          <t>https://www.amazon.com/Guinness-Steak-Original-Flavor-Ounce/dp</t>
        </is>
      </c>
      <c r="AL153" t="inlineStr">
        <is>
          <t>Y</t>
        </is>
      </c>
      <c r="AM153" t="inlineStr">
        <is>
          <t>Licensed beer brand (marinated with Guinness 0.0, 'designed to pair with a pint'); offices may veto alcohol-adjacent branding; shelf stability unconfirmed; 60-day shelf life not stated</t>
        </is>
      </c>
      <c r="AN153" t="inlineStr">
        <is>
          <t>AB-064</t>
        </is>
      </c>
      <c r="AO153" t="inlineStr">
        <is>
          <t>N</t>
        </is>
      </c>
      <c r="AR153">
        <f>IF(AND(AU153="pass",AO153&lt;&gt;"Y",C153&lt;&gt;""),"Y","N")</f>
        <v/>
      </c>
      <c r="AS153">
        <f>_xlfn.TEXTJOIN("; ",TRUE,IF(AU153&lt;&gt;"pass","gated out",""),IF(AO153="Y","on hold: "&amp;AP153,""),IF(C153="","no contact named on an opened page",""))</f>
        <v/>
      </c>
      <c r="AU153" t="inlineStr">
        <is>
          <t>pass</t>
        </is>
      </c>
      <c r="AW153" t="inlineStr">
        <is>
          <t>passes all hard gates</t>
        </is>
      </c>
      <c r="AX153" t="inlineStr">
        <is>
          <t>alcohol-adjacent</t>
        </is>
      </c>
      <c r="AY153" t="inlineStr">
        <is>
          <t>https://guinnesssteakcuts.com</t>
        </is>
      </c>
      <c r="AZ153" t="inlineStr">
        <is>
          <t>OH</t>
        </is>
      </c>
      <c r="BA153" t="inlineStr">
        <is>
          <t>elsewhere</t>
        </is>
      </c>
      <c r="BB153" t="inlineStr">
        <is>
          <t>unknown</t>
        </is>
      </c>
      <c r="BD153" t="inlineStr">
        <is>
          <t>unknown</t>
        </is>
      </c>
      <c r="BE153" t="inlineStr">
        <is>
          <t>Release calls it a steak snack sold on Amazon; storage not stated</t>
        </is>
      </c>
      <c r="BF153" t="inlineStr">
        <is>
          <t>unknown</t>
        </is>
      </c>
      <c r="BG153" t="inlineStr">
        <is>
          <t>Y</t>
        </is>
      </c>
      <c r="BH153" t="inlineStr">
        <is>
          <t>unknown</t>
        </is>
      </c>
      <c r="BJ153" t="inlineStr">
        <is>
          <t>unknown</t>
        </is>
      </c>
      <c r="BK153" t="inlineStr">
        <is>
          <t>N</t>
        </is>
      </c>
      <c r="BL153" t="inlineStr">
        <is>
          <t>N</t>
        </is>
      </c>
      <c r="BO153" t="inlineStr">
        <is>
          <t>N</t>
        </is>
      </c>
      <c r="BP153" t="n">
        <v>0</v>
      </c>
      <c r="BS153" t="inlineStr">
        <is>
          <t>Amazon (national launch April 2026); retail debut fall 2025</t>
        </is>
      </c>
      <c r="BT153" t="inlineStr">
        <is>
          <t>https://www.wholefoodsmarket.com/search?text=guinness%20steak%20cuts (no WFM results, 2026-10-23)</t>
        </is>
      </c>
      <c r="BU153" t="inlineStr">
        <is>
          <t>press</t>
        </is>
      </c>
      <c r="BV153" t="n">
        <v>32</v>
      </c>
      <c r="BW153" t="inlineStr">
        <is>
          <t>https://startupcpg.com/startup-cpg-newswire-steak-not-jerky-sidari-artisan-brands-partners-with-guinness-to-bring-the-steakhouse-to-the-snack-aisle/</t>
        </is>
      </c>
      <c r="BX153" t="inlineStr">
        <is>
          <t>Elizabeth Brauser</t>
        </is>
      </c>
      <c r="CA153" t="inlineStr">
        <is>
          <t>Mary Santelli</t>
        </is>
      </c>
      <c r="CB153" t="inlineStr">
        <is>
          <t>Mary</t>
        </is>
      </c>
      <c r="CC153" t="inlineStr">
        <is>
          <t>Santelli</t>
        </is>
      </c>
      <c r="CD153" t="inlineStr">
        <is>
          <t>Press contact on release</t>
        </is>
      </c>
      <c r="CE153" t="inlineStr">
        <is>
          <t>marketing</t>
        </is>
      </c>
      <c r="CF153" t="inlineStr">
        <is>
          <t>verified-page</t>
        </is>
      </c>
      <c r="CK153" t="inlineStr">
        <is>
          <t>none</t>
        </is>
      </c>
      <c r="CL153" t="n">
        <v>39</v>
      </c>
      <c r="CM153" t="n">
        <v>6</v>
      </c>
      <c r="CN153" t="n">
        <v>3</v>
      </c>
      <c r="CO153" t="n">
        <v>15</v>
      </c>
      <c r="CP153" t="n">
        <v>5</v>
      </c>
      <c r="CQ153" t="n">
        <v>5</v>
      </c>
      <c r="CR153" t="n">
        <v>10</v>
      </c>
      <c r="CS153">
        <f>IF(R153="Y",10,0)</f>
        <v/>
      </c>
      <c r="CT153" t="n">
        <v>-5</v>
      </c>
      <c r="CU153" t="inlineStr">
        <is>
          <t>unknown</t>
        </is>
      </c>
      <c r="CV153" t="inlineStr">
        <is>
          <t>BR1</t>
        </is>
      </c>
      <c r="CW153" t="inlineStr">
        <is>
          <t>BR1:65</t>
        </is>
      </c>
      <c r="CX153" t="inlineStr">
        <is>
          <t>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is>
      </c>
      <c r="CY153" t="inlineStr">
        <is>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is>
      </c>
      <c r="CZ153" t="inlineStr">
        <is>
          <t>https://startupcpg.com/startup-cpg-newswire-steak-not-jerky-sidari-artisan-brands-partners-with-guinness-to-bring-the-steakhouse-to-the-snack-aisle/</t>
        </is>
      </c>
      <c r="DA153" t="inlineStr">
        <is>
          <t>stage 1 only</t>
        </is>
      </c>
      <c r="DC153" t="inlineStr">
        <is>
          <t>press, event or podcast page</t>
        </is>
      </c>
      <c r="DY153">
        <f>IF(ISNUMBER(MATCH(U153,{"queued","contacted","replied","call_booked","call_done","yes_in_principle","materials_sent"},0)),"Y","N")</f>
        <v/>
      </c>
      <c r="DZ153">
        <f>IF(COUNTIFS($AN$2:$AN$1000,AN153,$DY$2:$DY$1000,"Y")+COUNTIFS($AN$2:$AN$1000,AN153,$T$2:$T$1000,"Y")&gt;0,"Y","N")</f>
        <v/>
      </c>
      <c r="EA153">
        <f>IF(AND(U153="new",T153="N",AR153="Y",AQ153="",DZ153="N"),"Y","N")</f>
        <v/>
      </c>
      <c r="EB153">
        <f>IF(EA153&lt;&gt;"Y","N",IF(COUNTIFS($AN$2:$AN$1000,AN153,$EA$2:$EA$1000,"Y",$J$2:$J$1000,"&gt;"&amp;J153)+COUNTIFS($AN$2:$AN$1000,AN153,$EA$2:$EA$1000,"Y",$J$2:$J$1000,J153,$ED$2:$ED$1000,"&lt;"&amp;ED153)=0,"Y","N"))</f>
        <v/>
      </c>
      <c r="EC153">
        <f>IF(Y153="","N",IF(Y153&lt;=10,"Y","N"))</f>
        <v/>
      </c>
      <c r="ED153">
        <f>ROW()-1</f>
        <v/>
      </c>
    </row>
    <row r="154">
      <c r="A154" t="inlineStr">
        <is>
          <t>AB-179</t>
        </is>
      </c>
      <c r="B154" t="inlineStr">
        <is>
          <t>Ample Hydration</t>
        </is>
      </c>
      <c r="C154" t="inlineStr">
        <is>
          <t>Noah</t>
        </is>
      </c>
      <c r="D154" t="inlineStr">
        <is>
          <t>Fischman</t>
        </is>
      </c>
      <c r="E154" t="inlineStr">
        <is>
          <t>Founder</t>
        </is>
      </c>
      <c r="H154" t="inlineStr">
        <is>
          <t>none</t>
        </is>
      </c>
      <c r="I154" t="inlineStr">
        <is>
          <t>linkedin</t>
        </is>
      </c>
      <c r="J154">
        <f>IF(AU154="pass",CM154+CN154+CO154+CP154+CQ154+CR154+CS154+CT154,0)</f>
        <v/>
      </c>
      <c r="K154" t="inlineStr">
        <is>
          <t>Northeast brand, no graded store within ten blocks, online store only, a new store listing 115 days ago, revenue unknown, contact named; founder review: claim-borderline.</t>
        </is>
      </c>
      <c r="M154" t="inlineStr">
        <is>
          <t>none found within ten blocks</t>
        </is>
      </c>
      <c r="N154" t="inlineStr">
        <is>
          <t>unverified</t>
        </is>
      </c>
      <c r="O154" t="inlineStr">
        <is>
          <t>Added to Pop Up Grocer NYC Flagship directory; Pure Maple Water relisted on own store 2026-05-29; now shipping to Canada</t>
        </is>
      </c>
      <c r="P154" t="inlineStr">
        <is>
          <t>https://popupgrocer.com/products/ample-hydration</t>
        </is>
      </c>
      <c r="Q154" t="inlineStr">
        <is>
          <t>2026-07-01</t>
        </is>
      </c>
      <c r="R154" t="inlineStr">
        <is>
          <t>N</t>
        </is>
      </c>
      <c r="S154" t="inlineStr">
        <is>
          <t>unknown</t>
        </is>
      </c>
      <c r="T154" t="inlineStr">
        <is>
          <t>N</t>
        </is>
      </c>
      <c r="U154" t="inlineStr">
        <is>
          <t>new</t>
        </is>
      </c>
      <c r="V154" t="inlineStr">
        <is>
          <t>https://drinkample.com/pages/faqs</t>
        </is>
      </c>
      <c r="W154" t="inlineStr">
        <is>
          <t>2026-10-23</t>
        </is>
      </c>
      <c r="X154" t="inlineStr">
        <is>
          <t>brand</t>
        </is>
      </c>
      <c r="Y154">
        <f>IF(EB154&lt;&gt;"Y","",COUNTIFS($EB$2:$EB$1000,"Y",$J$2:$J$1000,"&gt;"&amp;J154)+COUNTIFS($EB$2:$EB$1000,"Y",$J$2:$J$1000,J154,$ED$2:$ED$1000,"&lt;"&amp;ED154)+1)</f>
        <v/>
      </c>
      <c r="Z154" t="n">
        <v>153</v>
      </c>
      <c r="AA154" t="inlineStr">
        <is>
          <t>N</t>
        </is>
      </c>
      <c r="AB154" t="inlineStr">
        <is>
          <t>find Noah Fischman at Ample Hydration on LinkedIn and paste the profile URL; founder review (claim-borderline): read founder_review_reason first</t>
        </is>
      </c>
      <c r="AC154" t="inlineStr">
        <is>
          <t>founder</t>
        </is>
      </c>
      <c r="AD154" t="inlineStr">
        <is>
          <t>verified-page</t>
        </is>
      </c>
      <c r="AE154" t="inlineStr">
        <is>
          <t>employer's own site</t>
        </is>
      </c>
      <c r="AF154" t="inlineStr">
        <is>
          <t>https://drinkample.com/pages/our-story</t>
        </is>
      </c>
      <c r="AG154" t="inlineStr">
        <is>
          <t>2026-10-23</t>
        </is>
      </c>
      <c r="AH154" t="inlineStr">
        <is>
          <t>Ample Pure Maple Water (organic, one ingredient, 35 calories), can</t>
        </is>
      </c>
      <c r="AI154" t="inlineStr">
        <is>
          <t>tea-juice</t>
        </is>
      </c>
      <c r="AJ154" t="inlineStr">
        <is>
          <t>Englewood Cliffs</t>
        </is>
      </c>
      <c r="AK154" t="inlineStr">
        <is>
          <t>https://drinkample.com</t>
        </is>
      </c>
      <c r="AL154" t="inlineStr">
        <is>
          <t>Y</t>
        </is>
      </c>
      <c r="AM154" t="inlineStr">
        <is>
          <t>'Hydration' and naturally occurring electrolytes positioning (check label for claims); single SKU; HQ not found</t>
        </is>
      </c>
      <c r="AN154" t="inlineStr">
        <is>
          <t>AB-179</t>
        </is>
      </c>
      <c r="AO154" t="inlineStr">
        <is>
          <t>N</t>
        </is>
      </c>
      <c r="AR154">
        <f>IF(AND(AU154="pass",AO154&lt;&gt;"Y",C154&lt;&gt;""),"Y","N")</f>
        <v/>
      </c>
      <c r="AS154">
        <f>_xlfn.TEXTJOIN("; ",TRUE,IF(AU154&lt;&gt;"pass","gated out",""),IF(AO154="Y","on hold: "&amp;AP154,""),IF(C154="","no contact named on an opened page",""))</f>
        <v/>
      </c>
      <c r="AU154" t="inlineStr">
        <is>
          <t>pass</t>
        </is>
      </c>
      <c r="AW154" t="inlineStr">
        <is>
          <t>passes all hard gates</t>
        </is>
      </c>
      <c r="AX154" t="inlineStr">
        <is>
          <t>claim-borderline</t>
        </is>
      </c>
      <c r="AY154" t="inlineStr">
        <is>
          <t>https://drinkample.com</t>
        </is>
      </c>
      <c r="AZ154" t="inlineStr">
        <is>
          <t>NJ</t>
        </is>
      </c>
      <c r="BA154" t="inlineStr">
        <is>
          <t>northeast</t>
        </is>
      </c>
      <c r="BB154" t="inlineStr">
        <is>
          <t>unknown</t>
        </is>
      </c>
      <c r="BD154" t="inlineStr">
        <is>
          <t>Y</t>
        </is>
      </c>
      <c r="BE154" t="inlineStr">
        <is>
          <t>FAQ: 'Ample is shelf stable, so unopened cans can be stored at room temperature' (drinkample.com/pages/faqs, opened 2026-10-23)</t>
        </is>
      </c>
      <c r="BF154" t="inlineStr">
        <is>
          <t>Y</t>
        </is>
      </c>
      <c r="BG154" t="inlineStr">
        <is>
          <t>Y</t>
        </is>
      </c>
      <c r="BH154" t="inlineStr">
        <is>
          <t>unknown</t>
        </is>
      </c>
      <c r="BJ154" t="inlineStr">
        <is>
          <t>No public sales figure found</t>
        </is>
      </c>
      <c r="BK154" t="inlineStr">
        <is>
          <t>N</t>
        </is>
      </c>
      <c r="BL154" t="inlineStr">
        <is>
          <t>N</t>
        </is>
      </c>
      <c r="BO154" t="inlineStr">
        <is>
          <t>N</t>
        </is>
      </c>
      <c r="BP154" t="n">
        <v>0</v>
      </c>
      <c r="BR154" t="inlineStr">
        <is>
          <t>Pop Up Grocer (brand_claim, unplaced)</t>
        </is>
      </c>
      <c r="BS154" t="inlineStr">
        <is>
          <t>Pop Up Grocer NYC Flagship, 205 Bleecker St (retailer directory); store locator page not readable</t>
        </is>
      </c>
      <c r="BT154" t="inlineStr">
        <is>
          <t>https://popupgrocer.com/products/ample-hydration</t>
        </is>
      </c>
      <c r="BU154" t="inlineStr">
        <is>
          <t>listing</t>
        </is>
      </c>
      <c r="BV154" t="n">
        <v>115</v>
      </c>
      <c r="BX154" t="inlineStr">
        <is>
          <t>Noah Fischman</t>
        </is>
      </c>
      <c r="CF154" t="inlineStr">
        <is>
          <t>none</t>
        </is>
      </c>
      <c r="CK154" t="inlineStr">
        <is>
          <t>none</t>
        </is>
      </c>
      <c r="CL154" t="n">
        <v>39</v>
      </c>
      <c r="CM154" t="n">
        <v>6</v>
      </c>
      <c r="CN154" t="n">
        <v>8</v>
      </c>
      <c r="CO154" t="n">
        <v>8</v>
      </c>
      <c r="CP154" t="n">
        <v>5</v>
      </c>
      <c r="CQ154" t="n">
        <v>10</v>
      </c>
      <c r="CR154" t="n">
        <v>6</v>
      </c>
      <c r="CS154">
        <f>IF(R154="Y",10,0)</f>
        <v/>
      </c>
      <c r="CT154" t="n">
        <v>-4</v>
      </c>
      <c r="CU154" t="inlineStr">
        <is>
          <t>unknown</t>
        </is>
      </c>
      <c r="CV154" t="inlineStr">
        <is>
          <t>BR3</t>
        </is>
      </c>
      <c r="CW154" t="inlineStr">
        <is>
          <t>BR3:53</t>
        </is>
      </c>
      <c r="CX154" t="inlineStr">
        <is>
          <t>Jewish-owned per Pop Up Grocer directory. A clean, plain product for an office pantry.</t>
        </is>
      </c>
      <c r="CY154" t="inlineStr">
        <is>
          <t xml:space="preserve">hq_city &lt;- https://drinkample.com/policies/privacy-policy (2026-10-24, opened); hq_state &lt;- https://drinkample.com/policies/privacy-policy (2026-10-24, opened); </t>
        </is>
      </c>
      <c r="DA154" t="inlineStr">
        <is>
          <t>stage 1 only</t>
        </is>
      </c>
      <c r="DY154">
        <f>IF(ISNUMBER(MATCH(U154,{"queued","contacted","replied","call_booked","call_done","yes_in_principle","materials_sent"},0)),"Y","N")</f>
        <v/>
      </c>
      <c r="DZ154">
        <f>IF(COUNTIFS($AN$2:$AN$1000,AN154,$DY$2:$DY$1000,"Y")+COUNTIFS($AN$2:$AN$1000,AN154,$T$2:$T$1000,"Y")&gt;0,"Y","N")</f>
        <v/>
      </c>
      <c r="EA154">
        <f>IF(AND(U154="new",T154="N",AR154="Y",AQ154="",DZ154="N"),"Y","N")</f>
        <v/>
      </c>
      <c r="EB154">
        <f>IF(EA154&lt;&gt;"Y","N",IF(COUNTIFS($AN$2:$AN$1000,AN154,$EA$2:$EA$1000,"Y",$J$2:$J$1000,"&gt;"&amp;J154)+COUNTIFS($AN$2:$AN$1000,AN154,$EA$2:$EA$1000,"Y",$J$2:$J$1000,J154,$ED$2:$ED$1000,"&lt;"&amp;ED154)=0,"Y","N"))</f>
        <v/>
      </c>
      <c r="EC154">
        <f>IF(Y154="","N",IF(Y154&lt;=10,"Y","N"))</f>
        <v/>
      </c>
      <c r="ED154">
        <f>ROW()-1</f>
        <v/>
      </c>
    </row>
    <row r="155">
      <c r="A155" t="inlineStr">
        <is>
          <t>AB-274</t>
        </is>
      </c>
      <c r="B155" t="inlineStr">
        <is>
          <t>Claudio's Kitchen</t>
        </is>
      </c>
      <c r="C155" t="inlineStr">
        <is>
          <t>Claudio</t>
        </is>
      </c>
      <c r="D155" t="inlineStr">
        <is>
          <t>unknown</t>
        </is>
      </c>
      <c r="E155" t="inlineStr">
        <is>
          <t>Founder</t>
        </is>
      </c>
      <c r="H155" t="inlineStr">
        <is>
          <t>none</t>
        </is>
      </c>
      <c r="I155" t="inlineStr">
        <is>
          <t>linkedin</t>
        </is>
      </c>
      <c r="J155">
        <f>IF(AU155="pass",CM155+CN155+CO155+CP155+CQ155+CR155+CS155+CT155,0)</f>
        <v/>
      </c>
      <c r="K155" t="inlineStr">
        <is>
          <t>New York City brand, no graded store within ten blocks, online store only, a new store listing 53 days ago, revenue unknown, contact named (first name only); founder review: perishable-risk.</t>
        </is>
      </c>
      <c r="M155" t="inlineStr">
        <is>
          <t>none found within ten blocks</t>
        </is>
      </c>
      <c r="N155" t="inlineStr">
        <is>
          <t>unverified</t>
        </is>
      </c>
      <c r="O155" t="inlineStr">
        <is>
          <t>Launched a 'Gowanus Bites' cookie of the month</t>
        </is>
      </c>
      <c r="P155" t="inlineStr">
        <is>
          <t>https://claudioskitchennyc.com/products/cookie-of-the-month-gowanus-bites</t>
        </is>
      </c>
      <c r="Q155" t="inlineStr">
        <is>
          <t>2026-09-01</t>
        </is>
      </c>
      <c r="R155" t="inlineStr">
        <is>
          <t>N</t>
        </is>
      </c>
      <c r="S155" t="inlineStr">
        <is>
          <t>unknown</t>
        </is>
      </c>
      <c r="T155" t="inlineStr">
        <is>
          <t>N</t>
        </is>
      </c>
      <c r="U155" t="inlineStr">
        <is>
          <t>new</t>
        </is>
      </c>
      <c r="V155" t="inlineStr">
        <is>
          <t>https://events.specialtyfood.com/event/2026-summer-fancy-food-show/exhibitor/RXhoaWJpdG9yXzI0MjQ1NjY=</t>
        </is>
      </c>
      <c r="W155" t="inlineStr">
        <is>
          <t>2026-10-24</t>
        </is>
      </c>
      <c r="X155" t="inlineStr">
        <is>
          <t>brand</t>
        </is>
      </c>
      <c r="Y155">
        <f>IF(EB155&lt;&gt;"Y","",COUNTIFS($EB$2:$EB$1000,"Y",$J$2:$J$1000,"&gt;"&amp;J155)+COUNTIFS($EB$2:$EB$1000,"Y",$J$2:$J$1000,J155,$ED$2:$ED$1000,"&lt;"&amp;ED155)+1)</f>
        <v/>
      </c>
      <c r="Z155" t="n">
        <v>154</v>
      </c>
      <c r="AA155" t="inlineStr">
        <is>
          <t>N</t>
        </is>
      </c>
      <c r="AB155" t="inlineStr">
        <is>
          <t>find Claudio at Claudio's Kitchen on LinkedIn and paste the profile URL; surname not public: take it from LinkedIn; founder review (perishable-risk): read founder_review_reason first</t>
        </is>
      </c>
      <c r="AC155" t="inlineStr">
        <is>
          <t>founder</t>
        </is>
      </c>
      <c r="AD155" t="inlineStr">
        <is>
          <t>first-name-only</t>
        </is>
      </c>
      <c r="AE155" t="inlineStr">
        <is>
          <t>employer's own site</t>
        </is>
      </c>
      <c r="AF155" t="inlineStr">
        <is>
          <t>https://claudioskitchennyc.com</t>
        </is>
      </c>
      <c r="AG155" t="inlineStr">
        <is>
          <t>2026-10-24</t>
        </is>
      </c>
      <c r="AH155" t="inlineStr">
        <is>
          <t>Cookie of the Month 'Gowanus Bites'; Rainbow cookies; Palmier</t>
        </is>
      </c>
      <c r="AI155" t="inlineStr">
        <is>
          <t>cookies-baked</t>
        </is>
      </c>
      <c r="AJ155" t="inlineStr">
        <is>
          <t>Brooklyn (Gowanus, 11215)</t>
        </is>
      </c>
      <c r="AK155" t="inlineStr">
        <is>
          <t>https://claudioskitchennyc.com</t>
        </is>
      </c>
      <c r="AL155" t="inlineStr">
        <is>
          <t>Y</t>
        </is>
      </c>
      <c r="AM155" t="inlineStr">
        <is>
          <t>Fresh-baked Italian cookies shipped weekly; 60-day shelf life and retail labeling unconfirmed, so it may fail the perishable gate; 60-day shelf life not stated</t>
        </is>
      </c>
      <c r="AN155" t="inlineStr">
        <is>
          <t>AB-274</t>
        </is>
      </c>
      <c r="AO155" t="inlineStr">
        <is>
          <t>N</t>
        </is>
      </c>
      <c r="AR155">
        <f>IF(AND(AU155="pass",AO155&lt;&gt;"Y",C155&lt;&gt;""),"Y","N")</f>
        <v/>
      </c>
      <c r="AS155">
        <f>_xlfn.TEXTJOIN("; ",TRUE,IF(AU155&lt;&gt;"pass","gated out",""),IF(AO155="Y","on hold: "&amp;AP155,""),IF(C155="","no contact named on an opened page",""))</f>
        <v/>
      </c>
      <c r="AU155" t="inlineStr">
        <is>
          <t>pass</t>
        </is>
      </c>
      <c r="AW155" t="inlineStr">
        <is>
          <t>passes all hard gates</t>
        </is>
      </c>
      <c r="AX155" t="inlineStr">
        <is>
          <t>perishable-risk</t>
        </is>
      </c>
      <c r="AY155" t="inlineStr">
        <is>
          <t>https://claudioskitchennyc.com</t>
        </is>
      </c>
      <c r="AZ155" t="inlineStr">
        <is>
          <t>NY</t>
        </is>
      </c>
      <c r="BA155" t="inlineStr">
        <is>
          <t>nyc</t>
        </is>
      </c>
      <c r="BB155" t="inlineStr">
        <is>
          <t>unknown</t>
        </is>
      </c>
      <c r="BD155" t="inlineStr">
        <is>
          <t>unknown</t>
        </is>
      </c>
      <c r="BE155" t="inlineStr">
        <is>
          <t>Homepage says 'Shipped Fresh from Our Brooklyn Kitchen Weekly'; no shelf life stated</t>
        </is>
      </c>
      <c r="BF155" t="inlineStr">
        <is>
          <t>unknown</t>
        </is>
      </c>
      <c r="BG155" t="inlineStr">
        <is>
          <t>Y</t>
        </is>
      </c>
      <c r="BH155" t="inlineStr">
        <is>
          <t>unknown</t>
        </is>
      </c>
      <c r="BJ155" t="inlineStr">
        <is>
          <t>No sourced sales figure found</t>
        </is>
      </c>
      <c r="BK155" t="inlineStr">
        <is>
          <t>N</t>
        </is>
      </c>
      <c r="BL155" t="inlineStr">
        <is>
          <t>N</t>
        </is>
      </c>
      <c r="BO155" t="inlineStr">
        <is>
          <t>N</t>
        </is>
      </c>
      <c r="BP155" t="n">
        <v>0</v>
      </c>
      <c r="BR155" t="inlineStr">
        <is>
          <t>Claudio's Kitchen shop (unverified, unplaced)</t>
        </is>
      </c>
      <c r="BS155" t="inlineStr">
        <is>
          <t>Own Gowanus coffee shop</t>
        </is>
      </c>
      <c r="BU155" t="inlineStr">
        <is>
          <t>listing</t>
        </is>
      </c>
      <c r="BV155" t="n">
        <v>53</v>
      </c>
      <c r="BX155" t="inlineStr">
        <is>
          <t>Claudio</t>
        </is>
      </c>
      <c r="BY155" t="inlineStr">
        <is>
          <t>surname not given</t>
        </is>
      </c>
      <c r="CF155" t="inlineStr">
        <is>
          <t>none</t>
        </is>
      </c>
      <c r="CK155" t="inlineStr">
        <is>
          <t>none</t>
        </is>
      </c>
      <c r="CL155" t="n">
        <v>39</v>
      </c>
      <c r="CM155" t="n">
        <v>6</v>
      </c>
      <c r="CN155" t="n">
        <v>20</v>
      </c>
      <c r="CO155" t="n">
        <v>8</v>
      </c>
      <c r="CP155" t="n">
        <v>5</v>
      </c>
      <c r="CQ155" t="n">
        <v>5</v>
      </c>
      <c r="CR155" t="n">
        <v>3</v>
      </c>
      <c r="CS155">
        <f>IF(R155="Y",10,0)</f>
        <v/>
      </c>
      <c r="CT155" t="n">
        <v>-8</v>
      </c>
      <c r="CU155" t="inlineStr">
        <is>
          <t>https://www.instagram.com/claudioskitchennyc/</t>
        </is>
      </c>
      <c r="CV155" t="inlineStr">
        <is>
          <t>BR5</t>
        </is>
      </c>
      <c r="CW155" t="inlineStr">
        <is>
          <t>BR5:10</t>
        </is>
      </c>
      <c r="CX155" t="inlineStr">
        <is>
          <t>SFFS 2026 exhibitor (Bread &amp; Bakery, In The Fancy Bodega). Founder story: Rome-born, moved to New York in 2015. why_now date is Shopify published_at.</t>
        </is>
      </c>
      <c r="DA155" t="inlineStr">
        <is>
          <t>stage 1 only</t>
        </is>
      </c>
      <c r="DY155">
        <f>IF(ISNUMBER(MATCH(U155,{"queued","contacted","replied","call_booked","call_done","yes_in_principle","materials_sent"},0)),"Y","N")</f>
        <v/>
      </c>
      <c r="DZ155">
        <f>IF(COUNTIFS($AN$2:$AN$1000,AN155,$DY$2:$DY$1000,"Y")+COUNTIFS($AN$2:$AN$1000,AN155,$T$2:$T$1000,"Y")&gt;0,"Y","N")</f>
        <v/>
      </c>
      <c r="EA155">
        <f>IF(AND(U155="new",T155="N",AR155="Y",AQ155="",DZ155="N"),"Y","N")</f>
        <v/>
      </c>
      <c r="EB155">
        <f>IF(EA155&lt;&gt;"Y","N",IF(COUNTIFS($AN$2:$AN$1000,AN155,$EA$2:$EA$1000,"Y",$J$2:$J$1000,"&gt;"&amp;J155)+COUNTIFS($AN$2:$AN$1000,AN155,$EA$2:$EA$1000,"Y",$J$2:$J$1000,J155,$ED$2:$ED$1000,"&lt;"&amp;ED155)=0,"Y","N"))</f>
        <v/>
      </c>
      <c r="EC155">
        <f>IF(Y155="","N",IF(Y155&lt;=10,"Y","N"))</f>
        <v/>
      </c>
      <c r="ED155">
        <f>ROW()-1</f>
        <v/>
      </c>
    </row>
    <row r="156">
      <c r="A156" t="inlineStr">
        <is>
          <t>AB-191</t>
        </is>
      </c>
      <c r="B156" t="inlineStr">
        <is>
          <t>Pop &amp; Bottle</t>
        </is>
      </c>
      <c r="C156" t="inlineStr">
        <is>
          <t>Jash</t>
        </is>
      </c>
      <c r="D156" t="inlineStr">
        <is>
          <t>Mehta</t>
        </is>
      </c>
      <c r="E156" t="inlineStr">
        <is>
          <t>Co-Founder and CEO</t>
        </is>
      </c>
      <c r="H156" t="inlineStr">
        <is>
          <t>none</t>
        </is>
      </c>
      <c r="I156" t="inlineStr">
        <is>
          <t>linkedin</t>
        </is>
      </c>
      <c r="J156">
        <f>IF(AU156="pass",CM156+CN156+CO156+CP156+CQ156+CR156+CS156+CT156,0)</f>
        <v/>
      </c>
      <c r="K156" t="inlineStr">
        <is>
          <t>HQ unknown, no graded store within ten blocks, online store only, a new store listing 22 days ago, revenue unknown, contact named; founder review: claim-borderline.</t>
        </is>
      </c>
      <c r="M156" t="inlineStr">
        <is>
          <t>none found within ten blocks</t>
        </is>
      </c>
      <c r="N156" t="inlineStr">
        <is>
          <t>unverified</t>
        </is>
      </c>
      <c r="O156" t="inlineStr">
        <is>
          <t>New matcha almond milk lattes (Blueberry, Strawberry, Vanilla Bean), Organic Decaf Cold Brew and Matcha Coconut Water listed</t>
        </is>
      </c>
      <c r="P156" t="inlineStr">
        <is>
          <t>https://www.popandbottle.com/products.json</t>
        </is>
      </c>
      <c r="Q156" t="inlineStr">
        <is>
          <t>2026-10-02</t>
        </is>
      </c>
      <c r="R156" t="inlineStr">
        <is>
          <t>N</t>
        </is>
      </c>
      <c r="S156" t="inlineStr">
        <is>
          <t>unknown</t>
        </is>
      </c>
      <c r="T156" t="inlineStr">
        <is>
          <t>N</t>
        </is>
      </c>
      <c r="U156" t="inlineStr">
        <is>
          <t>new</t>
        </is>
      </c>
      <c r="V156" t="inlineStr">
        <is>
          <t>https://www.popandbottle.com/pages/our-story</t>
        </is>
      </c>
      <c r="W156" t="inlineStr">
        <is>
          <t>2026-10-23</t>
        </is>
      </c>
      <c r="X156" t="inlineStr">
        <is>
          <t>brand</t>
        </is>
      </c>
      <c r="Y156">
        <f>IF(EB156&lt;&gt;"Y","",COUNTIFS($EB$2:$EB$1000,"Y",$J$2:$J$1000,"&gt;"&amp;J156)+COUNTIFS($EB$2:$EB$1000,"Y",$J$2:$J$1000,J156,$ED$2:$ED$1000,"&lt;"&amp;ED156)+1)</f>
        <v/>
      </c>
      <c r="Z156" t="n">
        <v>155</v>
      </c>
      <c r="AA156" t="inlineStr">
        <is>
          <t>N</t>
        </is>
      </c>
      <c r="AB156" t="inlineStr">
        <is>
          <t>find Jash Mehta at Pop &amp; Bottle on LinkedIn and paste the profile URL; founder review (claim-borderline): read founder_review_reason first</t>
        </is>
      </c>
      <c r="AC156" t="inlineStr">
        <is>
          <t>founder</t>
        </is>
      </c>
      <c r="AD156" t="inlineStr">
        <is>
          <t>verified-page</t>
        </is>
      </c>
      <c r="AE156" t="inlineStr">
        <is>
          <t>press, event or podcast page</t>
        </is>
      </c>
      <c r="AF156" t="inlineStr">
        <is>
          <t>https://karagoldin.com/podcasts/jash-mehta/</t>
        </is>
      </c>
      <c r="AG156" t="inlineStr">
        <is>
          <t>2026-10-23</t>
        </is>
      </c>
      <c r="AH156" t="inlineStr">
        <is>
          <t>Pop &amp; Bottle Vanilla Bean Matcha almond milk latte; Organic Decaf Cold Brew</t>
        </is>
      </c>
      <c r="AI156" t="inlineStr">
        <is>
          <t>coffee-rtd</t>
        </is>
      </c>
      <c r="AJ156" t="inlineStr">
        <is>
          <t>unknown</t>
        </is>
      </c>
      <c r="AK156" t="inlineStr">
        <is>
          <t>https://www.popandbottle.com</t>
        </is>
      </c>
      <c r="AL156" t="inlineStr">
        <is>
          <t>Y</t>
        </is>
      </c>
      <c r="AM156" t="inlineStr">
        <is>
          <t>One SKU contains marine collagen (check other SKUs for functional add-ins); tree-nut allergen (almond milk); HQ not found</t>
        </is>
      </c>
      <c r="AN156" t="inlineStr">
        <is>
          <t>AB-191</t>
        </is>
      </c>
      <c r="AO156" t="inlineStr">
        <is>
          <t>N</t>
        </is>
      </c>
      <c r="AR156">
        <f>IF(AND(AU156="pass",AO156&lt;&gt;"Y",C156&lt;&gt;""),"Y","N")</f>
        <v/>
      </c>
      <c r="AS156">
        <f>_xlfn.TEXTJOIN("; ",TRUE,IF(AU156&lt;&gt;"pass","gated out",""),IF(AO156="Y","on hold: "&amp;AP156,""),IF(C156="","no contact named on an opened page",""))</f>
        <v/>
      </c>
      <c r="AU156" t="inlineStr">
        <is>
          <t>pass</t>
        </is>
      </c>
      <c r="AW156" t="inlineStr">
        <is>
          <t>passes all hard gates</t>
        </is>
      </c>
      <c r="AX156" t="inlineStr">
        <is>
          <t>claim-borderline</t>
        </is>
      </c>
      <c r="AY156" t="inlineStr">
        <is>
          <t>https://www.popandbottle.com</t>
        </is>
      </c>
      <c r="AZ156" t="inlineStr">
        <is>
          <t>unknown</t>
        </is>
      </c>
      <c r="BA156" t="inlineStr">
        <is>
          <t>unknown</t>
        </is>
      </c>
      <c r="BB156" t="inlineStr">
        <is>
          <t>unknown</t>
        </is>
      </c>
      <c r="BD156" t="inlineStr">
        <is>
          <t>Y</t>
        </is>
      </c>
      <c r="BE156" t="inlineStr">
        <is>
          <t>Brand FAQ: oat milk lattes are pantry friendly and do not need to be refrigerated (popandbottle.com/pages/faq, opened 2026-10-24); shelf-life length not stated</t>
        </is>
      </c>
      <c r="BF156" t="inlineStr">
        <is>
          <t>Y</t>
        </is>
      </c>
      <c r="BG156" t="inlineStr">
        <is>
          <t>Y</t>
        </is>
      </c>
      <c r="BH156" t="inlineStr">
        <is>
          <t>unknown</t>
        </is>
      </c>
      <c r="BJ156" t="inlineStr">
        <is>
          <t>No public sales figure found</t>
        </is>
      </c>
      <c r="BK156" t="inlineStr">
        <is>
          <t>N</t>
        </is>
      </c>
      <c r="BL156" t="inlineStr">
        <is>
          <t>N</t>
        </is>
      </c>
      <c r="BO156" t="inlineStr">
        <is>
          <t>N</t>
        </is>
      </c>
      <c r="BP156" t="n">
        <v>0</v>
      </c>
      <c r="BS156" t="inlineStr">
        <is>
          <t>Pop Up Grocer (past brand, directory); GoToAisle locator not readable</t>
        </is>
      </c>
      <c r="BT156" t="inlineStr">
        <is>
          <t>https://popupgrocer.com/products/pop-bottle</t>
        </is>
      </c>
      <c r="BU156" t="inlineStr">
        <is>
          <t>listing</t>
        </is>
      </c>
      <c r="BV156" t="n">
        <v>22</v>
      </c>
      <c r="BX156" t="inlineStr">
        <is>
          <t>Jash Mehta</t>
        </is>
      </c>
      <c r="CA156" t="inlineStr">
        <is>
          <t>Charis Lee</t>
        </is>
      </c>
      <c r="CB156" t="inlineStr">
        <is>
          <t>Charis</t>
        </is>
      </c>
      <c r="CC156" t="inlineStr">
        <is>
          <t>Lee</t>
        </is>
      </c>
      <c r="CD156" t="inlineStr">
        <is>
          <t>Sr. Brand Manager</t>
        </is>
      </c>
      <c r="CE156" t="inlineStr">
        <is>
          <t>marketing</t>
        </is>
      </c>
      <c r="CF156" t="inlineStr">
        <is>
          <t>verified-page</t>
        </is>
      </c>
      <c r="CK156" t="inlineStr">
        <is>
          <t>none</t>
        </is>
      </c>
      <c r="CL156" t="n">
        <v>39</v>
      </c>
      <c r="CM156" t="n">
        <v>6</v>
      </c>
      <c r="CN156" t="n">
        <v>4</v>
      </c>
      <c r="CO156" t="n">
        <v>8</v>
      </c>
      <c r="CP156" t="n">
        <v>5</v>
      </c>
      <c r="CQ156" t="n">
        <v>10</v>
      </c>
      <c r="CR156" t="n">
        <v>10</v>
      </c>
      <c r="CS156">
        <f>IF(R156="Y",10,0)</f>
        <v/>
      </c>
      <c r="CT156" t="n">
        <v>-4</v>
      </c>
      <c r="CU156" t="inlineStr">
        <is>
          <t>https://instagram.com/popandbottle</t>
        </is>
      </c>
      <c r="CV156" t="inlineStr">
        <is>
          <t>BR3</t>
        </is>
      </c>
      <c r="CW156" t="inlineStr">
        <is>
          <t>BR3:65</t>
        </is>
      </c>
      <c r="CX156" t="inlineStr">
        <is>
          <t>Dates are Shopify publish dates; new items show $0.00 (pre-launch or retail-only).</t>
        </is>
      </c>
      <c r="CY156" t="inlineStr">
        <is>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t>
        </is>
      </c>
      <c r="CZ156" t="inlineStr">
        <is>
          <t>https://attend.expowest.com/event/natural-products-expo-west-2026/exhibitor/RXhoaWJpdG9yXzIzNTg4MTU=</t>
        </is>
      </c>
      <c r="DA156" t="inlineStr">
        <is>
          <t>stage 1 only</t>
        </is>
      </c>
      <c r="DC156" t="inlineStr">
        <is>
          <t>press, event or podcast page</t>
        </is>
      </c>
      <c r="DY156">
        <f>IF(ISNUMBER(MATCH(U156,{"queued","contacted","replied","call_booked","call_done","yes_in_principle","materials_sent"},0)),"Y","N")</f>
        <v/>
      </c>
      <c r="DZ156">
        <f>IF(COUNTIFS($AN$2:$AN$1000,AN156,$DY$2:$DY$1000,"Y")+COUNTIFS($AN$2:$AN$1000,AN156,$T$2:$T$1000,"Y")&gt;0,"Y","N")</f>
        <v/>
      </c>
      <c r="EA156">
        <f>IF(AND(U156="new",T156="N",AR156="Y",AQ156="",DZ156="N"),"Y","N")</f>
        <v/>
      </c>
      <c r="EB156">
        <f>IF(EA156&lt;&gt;"Y","N",IF(COUNTIFS($AN$2:$AN$1000,AN156,$EA$2:$EA$1000,"Y",$J$2:$J$1000,"&gt;"&amp;J156)+COUNTIFS($AN$2:$AN$1000,AN156,$EA$2:$EA$1000,"Y",$J$2:$J$1000,J156,$ED$2:$ED$1000,"&lt;"&amp;ED156)=0,"Y","N"))</f>
        <v/>
      </c>
      <c r="EC156">
        <f>IF(Y156="","N",IF(Y156&lt;=10,"Y","N"))</f>
        <v/>
      </c>
      <c r="ED156">
        <f>ROW()-1</f>
        <v/>
      </c>
    </row>
    <row r="157">
      <c r="A157" t="inlineStr">
        <is>
          <t>AB-269</t>
        </is>
      </c>
      <c r="B157" t="inlineStr">
        <is>
          <t>Skinny Earth</t>
        </is>
      </c>
      <c r="C157" t="inlineStr">
        <is>
          <t>Pat</t>
        </is>
      </c>
      <c r="D157" t="inlineStr">
        <is>
          <t>unknown</t>
        </is>
      </c>
      <c r="E157" t="inlineStr">
        <is>
          <t>Co-founder</t>
        </is>
      </c>
      <c r="H157" t="inlineStr">
        <is>
          <t>none</t>
        </is>
      </c>
      <c r="I157" t="inlineStr">
        <is>
          <t>linkedin</t>
        </is>
      </c>
      <c r="J157">
        <f>IF(AU157="pass",CM157+CN157+CO157+CP157+CQ157+CR157+CS157+CT157,0)</f>
        <v/>
      </c>
      <c r="K157" t="inlineStr">
        <is>
          <t>New York State brand, no graded store within ten blocks, online store only, a new store listing 63 days ago, revenue unknown, contact named (first name only); founder review: format.</t>
        </is>
      </c>
      <c r="M157" t="inlineStr">
        <is>
          <t>none found within ten blocks</t>
        </is>
      </c>
      <c r="N157" t="inlineStr">
        <is>
          <t>unverified</t>
        </is>
      </c>
      <c r="O157" t="inlineStr">
        <is>
          <t>Added Sweet Plantain Chips to its online store</t>
        </is>
      </c>
      <c r="P157" t="inlineStr">
        <is>
          <t>https://skinnyearth.com/products/sweet-plantain-chips</t>
        </is>
      </c>
      <c r="Q157" t="inlineStr">
        <is>
          <t>2026-08-22</t>
        </is>
      </c>
      <c r="R157" t="inlineStr">
        <is>
          <t>N</t>
        </is>
      </c>
      <c r="S157" t="inlineStr">
        <is>
          <t>unknown</t>
        </is>
      </c>
      <c r="T157" t="inlineStr">
        <is>
          <t>N</t>
        </is>
      </c>
      <c r="U157" t="inlineStr">
        <is>
          <t>new</t>
        </is>
      </c>
      <c r="V157" t="inlineStr">
        <is>
          <t>https://events.specialtyfood.com/event/2026-summer-fancy-food-show/exhibitor/RXhoaWJpdG9yXzI0NjQ3ODM=</t>
        </is>
      </c>
      <c r="W157" t="inlineStr">
        <is>
          <t>2026-10-24</t>
        </is>
      </c>
      <c r="X157" t="inlineStr">
        <is>
          <t>brand</t>
        </is>
      </c>
      <c r="Y157">
        <f>IF(EB157&lt;&gt;"Y","",COUNTIFS($EB$2:$EB$1000,"Y",$J$2:$J$1000,"&gt;"&amp;J157)+COUNTIFS($EB$2:$EB$1000,"Y",$J$2:$J$1000,J157,$ED$2:$ED$1000,"&lt;"&amp;ED157)+1)</f>
        <v/>
      </c>
      <c r="Z157" t="n">
        <v>156</v>
      </c>
      <c r="AA157" t="inlineStr">
        <is>
          <t>N</t>
        </is>
      </c>
      <c r="AB157" t="inlineStr">
        <is>
          <t>find Pat at Skinny Earth on LinkedIn and paste the profile URL; surname not public: take it from LinkedIn; founder review (format): read founder_review_reason first</t>
        </is>
      </c>
      <c r="AC157" t="inlineStr">
        <is>
          <t>founder</t>
        </is>
      </c>
      <c r="AD157" t="inlineStr">
        <is>
          <t>first-name-only</t>
        </is>
      </c>
      <c r="AE157" t="inlineStr">
        <is>
          <t>press, event or podcast page</t>
        </is>
      </c>
      <c r="AF157" t="inlineStr">
        <is>
          <t>https://events.specialtyfood.com/event/2026-summer-fancy-food-show/exhibitor/RXhoaWJpdG9yXzI0NjQ3ODM=</t>
        </is>
      </c>
      <c r="AG157" t="inlineStr">
        <is>
          <t>2026-10-24</t>
        </is>
      </c>
      <c r="AH157" t="inlineStr">
        <is>
          <t>Green Plantain Chips; Gluten Free Pink Salt D'Crisp</t>
        </is>
      </c>
      <c r="AI157" t="inlineStr">
        <is>
          <t>chips-crisps</t>
        </is>
      </c>
      <c r="AJ157" t="inlineStr">
        <is>
          <t>Long Island (town unknown)</t>
        </is>
      </c>
      <c r="AK157" t="inlineStr">
        <is>
          <t>https://skinnyearth.com</t>
        </is>
      </c>
      <c r="AL157" t="inlineStr">
        <is>
          <t>Y</t>
        </is>
      </c>
      <c r="AM157" t="inlineStr">
        <is>
          <t>Bag size and single-serve format not confirmed ($9.99 listings); brand also sells pancake mix and oatmeal (not eligible SKUs)</t>
        </is>
      </c>
      <c r="AN157" t="inlineStr">
        <is>
          <t>AB-269</t>
        </is>
      </c>
      <c r="AO157" t="inlineStr">
        <is>
          <t>N</t>
        </is>
      </c>
      <c r="AR157">
        <f>IF(AND(AU157="pass",AO157&lt;&gt;"Y",C157&lt;&gt;""),"Y","N")</f>
        <v/>
      </c>
      <c r="AS157">
        <f>_xlfn.TEXTJOIN("; ",TRUE,IF(AU157&lt;&gt;"pass","gated out",""),IF(AO157="Y","on hold: "&amp;AP157,""),IF(C157="","no contact named on an opened page",""))</f>
        <v/>
      </c>
      <c r="AU157" t="inlineStr">
        <is>
          <t>pass</t>
        </is>
      </c>
      <c r="AW157" t="inlineStr">
        <is>
          <t>passes all hard gates</t>
        </is>
      </c>
      <c r="AX157" t="inlineStr">
        <is>
          <t>format</t>
        </is>
      </c>
      <c r="AY157" t="inlineStr">
        <is>
          <t>https://skinnyearth.com</t>
        </is>
      </c>
      <c r="AZ157" t="inlineStr">
        <is>
          <t>NY</t>
        </is>
      </c>
      <c r="BA157" t="inlineStr">
        <is>
          <t>nys</t>
        </is>
      </c>
      <c r="BB157" t="inlineStr">
        <is>
          <t>unknown</t>
        </is>
      </c>
      <c r="BD157" t="inlineStr">
        <is>
          <t>Y</t>
        </is>
      </c>
      <c r="BE157" t="inlineStr">
        <is>
          <t>Bagged chips and crisps sold ambient online; shelf life not stated</t>
        </is>
      </c>
      <c r="BF157" t="inlineStr">
        <is>
          <t>unknown</t>
        </is>
      </c>
      <c r="BG157" t="inlineStr">
        <is>
          <t>Y</t>
        </is>
      </c>
      <c r="BH157" t="inlineStr">
        <is>
          <t>unknown</t>
        </is>
      </c>
      <c r="BJ157" t="inlineStr">
        <is>
          <t>No sourced sales figure found</t>
        </is>
      </c>
      <c r="BK157" t="inlineStr">
        <is>
          <t>N</t>
        </is>
      </c>
      <c r="BL157" t="inlineStr">
        <is>
          <t>N</t>
        </is>
      </c>
      <c r="BO157" t="inlineStr">
        <is>
          <t>N</t>
        </is>
      </c>
      <c r="BP157" t="n">
        <v>0</v>
      </c>
      <c r="BS157" t="inlineStr">
        <is>
          <t>unknown (SFFS listing flags 'In The Fancy Bodega')</t>
        </is>
      </c>
      <c r="BU157" t="inlineStr">
        <is>
          <t>listing</t>
        </is>
      </c>
      <c r="BV157" t="n">
        <v>63</v>
      </c>
      <c r="BX157" t="inlineStr">
        <is>
          <t>Pat</t>
        </is>
      </c>
      <c r="BY157" t="inlineStr">
        <is>
          <t>surnames not given</t>
        </is>
      </c>
      <c r="CA157" t="inlineStr">
        <is>
          <t>Èfè</t>
        </is>
      </c>
      <c r="CB157" t="inlineStr">
        <is>
          <t>Èfè</t>
        </is>
      </c>
      <c r="CC157" t="inlineStr">
        <is>
          <t>unknown</t>
        </is>
      </c>
      <c r="CD157" t="inlineStr">
        <is>
          <t>Co-founder</t>
        </is>
      </c>
      <c r="CE157" t="inlineStr">
        <is>
          <t>co-founder</t>
        </is>
      </c>
      <c r="CF157" t="inlineStr">
        <is>
          <t>first-name-only</t>
        </is>
      </c>
      <c r="CG157" t="inlineStr">
        <is>
          <t>surnames not given</t>
        </is>
      </c>
      <c r="CK157" t="inlineStr">
        <is>
          <t>none</t>
        </is>
      </c>
      <c r="CL157" t="n">
        <v>39</v>
      </c>
      <c r="CM157" t="n">
        <v>6</v>
      </c>
      <c r="CN157" t="n">
        <v>13</v>
      </c>
      <c r="CO157" t="n">
        <v>8</v>
      </c>
      <c r="CP157" t="n">
        <v>5</v>
      </c>
      <c r="CQ157" t="n">
        <v>8</v>
      </c>
      <c r="CR157" t="n">
        <v>3</v>
      </c>
      <c r="CS157">
        <f>IF(R157="Y",10,0)</f>
        <v/>
      </c>
      <c r="CT157" t="n">
        <v>-4</v>
      </c>
      <c r="CU157" t="inlineStr">
        <is>
          <t>https://www.instagram.com/skinnyearth/</t>
        </is>
      </c>
      <c r="CV157" t="inlineStr">
        <is>
          <t>BR5</t>
        </is>
      </c>
      <c r="CW157" t="inlineStr">
        <is>
          <t>BR5:5</t>
        </is>
      </c>
      <c r="CX157" t="inlineStr">
        <is>
          <t>SFFS 2026 description: 'crafted with all-natural, non-GMO ingredients on Long Island, New York. Founded by mother-daughter team Pat and Èfè, Nigerian American'. why_now date is Shopify published_at.</t>
        </is>
      </c>
      <c r="CZ157" t="inlineStr">
        <is>
          <t>https://events.specialtyfood.com/event/2026-summer-fancy-food-show/exhibitor/RXhoaWJpdG9yXzI0NjQ3ODM=</t>
        </is>
      </c>
      <c r="DA157" t="inlineStr">
        <is>
          <t>stage 1 only</t>
        </is>
      </c>
      <c r="DC157" t="inlineStr">
        <is>
          <t>press, event or podcast page</t>
        </is>
      </c>
      <c r="DY157">
        <f>IF(ISNUMBER(MATCH(U157,{"queued","contacted","replied","call_booked","call_done","yes_in_principle","materials_sent"},0)),"Y","N")</f>
        <v/>
      </c>
      <c r="DZ157">
        <f>IF(COUNTIFS($AN$2:$AN$1000,AN157,$DY$2:$DY$1000,"Y")+COUNTIFS($AN$2:$AN$1000,AN157,$T$2:$T$1000,"Y")&gt;0,"Y","N")</f>
        <v/>
      </c>
      <c r="EA157">
        <f>IF(AND(U157="new",T157="N",AR157="Y",AQ157="",DZ157="N"),"Y","N")</f>
        <v/>
      </c>
      <c r="EB157">
        <f>IF(EA157&lt;&gt;"Y","N",IF(COUNTIFS($AN$2:$AN$1000,AN157,$EA$2:$EA$1000,"Y",$J$2:$J$1000,"&gt;"&amp;J157)+COUNTIFS($AN$2:$AN$1000,AN157,$EA$2:$EA$1000,"Y",$J$2:$J$1000,J157,$ED$2:$ED$1000,"&lt;"&amp;ED157)=0,"Y","N"))</f>
        <v/>
      </c>
      <c r="EC157">
        <f>IF(Y157="","N",IF(Y157&lt;=10,"Y","N"))</f>
        <v/>
      </c>
      <c r="ED157">
        <f>ROW()-1</f>
        <v/>
      </c>
    </row>
    <row r="158">
      <c r="A158" t="inlineStr">
        <is>
          <t>AB-252</t>
        </is>
      </c>
      <c r="B158" t="inlineStr">
        <is>
          <t>Whey Water</t>
        </is>
      </c>
      <c r="C158" t="inlineStr">
        <is>
          <t>Ujwal</t>
        </is>
      </c>
      <c r="D158" t="inlineStr">
        <is>
          <t>Trivedi</t>
        </is>
      </c>
      <c r="E158" t="inlineStr">
        <is>
          <t>Founder</t>
        </is>
      </c>
      <c r="H158" t="inlineStr">
        <is>
          <t>none</t>
        </is>
      </c>
      <c r="I158" t="inlineStr">
        <is>
          <t>linkedin</t>
        </is>
      </c>
      <c r="J158">
        <f>IF(AU158="pass",CM158+CN158+CO158+CP158+CQ158+CR158+CS158+CT158,0)</f>
        <v/>
      </c>
      <c r="K158" t="inlineStr">
        <is>
          <t>Northeast brand, no graded store within ten blocks, online store only, news 219 days ago, revenue unknown, contact named; founder review: claim-borderline.</t>
        </is>
      </c>
      <c r="M158" t="inlineStr">
        <is>
          <t>none found within ten blocks</t>
        </is>
      </c>
      <c r="N158" t="inlineStr">
        <is>
          <t>unverified</t>
        </is>
      </c>
      <c r="O158" t="inlineStr">
        <is>
          <t>Announced May 2026 DTC launch of sparkling protein beverage</t>
        </is>
      </c>
      <c r="P158" t="inlineStr">
        <is>
          <t>https://startupcpg.com/startup-cpg-newswire-whey-water-announces-may-2026-launch-of-sparkling-protein-beverage/</t>
        </is>
      </c>
      <c r="Q158" t="inlineStr">
        <is>
          <t>2026-03-19</t>
        </is>
      </c>
      <c r="R158" t="inlineStr">
        <is>
          <t>N</t>
        </is>
      </c>
      <c r="S158" t="inlineStr">
        <is>
          <t>Y</t>
        </is>
      </c>
      <c r="T158" t="inlineStr">
        <is>
          <t>N</t>
        </is>
      </c>
      <c r="U158" t="inlineStr">
        <is>
          <t>new</t>
        </is>
      </c>
      <c r="V158" t="inlineStr">
        <is>
          <t>https://startupcpg.com/startup-cpg-newswire-whey-water-announces-may-2026-launch-of-sparkling-protein-beverage/</t>
        </is>
      </c>
      <c r="W158" t="inlineStr">
        <is>
          <t>2026-10-23</t>
        </is>
      </c>
      <c r="X158" t="inlineStr">
        <is>
          <t>brand</t>
        </is>
      </c>
      <c r="Y158">
        <f>IF(EB158&lt;&gt;"Y","",COUNTIFS($EB$2:$EB$1000,"Y",$J$2:$J$1000,"&gt;"&amp;J158)+COUNTIFS($EB$2:$EB$1000,"Y",$J$2:$J$1000,J158,$ED$2:$ED$1000,"&lt;"&amp;ED158)+1)</f>
        <v/>
      </c>
      <c r="Z158" t="n">
        <v>157</v>
      </c>
      <c r="AA158" t="inlineStr">
        <is>
          <t>N</t>
        </is>
      </c>
      <c r="AB158" t="inlineStr">
        <is>
          <t>find Ujwal Trivedi at Whey Water on LinkedIn and paste the profile URL; founder review (claim-borderline): read founder_review_reason first</t>
        </is>
      </c>
      <c r="AC158" t="inlineStr">
        <is>
          <t>founder</t>
        </is>
      </c>
      <c r="AD158" t="inlineStr">
        <is>
          <t>verified-page</t>
        </is>
      </c>
      <c r="AE158" t="inlineStr">
        <is>
          <t>press, event or podcast page</t>
        </is>
      </c>
      <c r="AF158" t="inlineStr">
        <is>
          <t>https://startupcpg.com/startup-cpg-newswire-whey-water-announces-may-2026-launch-of-sparkling-protein-beverage/</t>
        </is>
      </c>
      <c r="AG158" t="inlineStr">
        <is>
          <t>2026-10-23</t>
        </is>
      </c>
      <c r="AH158" t="inlineStr">
        <is>
          <t>Sparkling protein beverage, 12 oz can (18g whey protein isolate, 5g sugar)</t>
        </is>
      </c>
      <c r="AI158" t="inlineStr">
        <is>
          <t>other-drink</t>
        </is>
      </c>
      <c r="AJ158" t="inlineStr">
        <is>
          <t>Metuchen</t>
        </is>
      </c>
      <c r="AK158" t="inlineStr">
        <is>
          <t>https://drinkwheywater.com</t>
        </is>
      </c>
      <c r="AL158" t="inlineStr">
        <is>
          <t>Y</t>
        </is>
      </c>
      <c r="AM158" t="inlineStr">
        <is>
          <t>Protein drink positioned for post-workout and the workday; protein nutrient claims; dairy-based (confirm ambient storage)</t>
        </is>
      </c>
      <c r="AN158" t="inlineStr">
        <is>
          <t>AB-252</t>
        </is>
      </c>
      <c r="AO158" t="inlineStr">
        <is>
          <t>N</t>
        </is>
      </c>
      <c r="AR158">
        <f>IF(AND(AU158="pass",AO158&lt;&gt;"Y",C158&lt;&gt;""),"Y","N")</f>
        <v/>
      </c>
      <c r="AS158">
        <f>_xlfn.TEXTJOIN("; ",TRUE,IF(AU158&lt;&gt;"pass","gated out",""),IF(AO158="Y","on hold: "&amp;AP158,""),IF(C158="","no contact named on an opened page",""))</f>
        <v/>
      </c>
      <c r="AU158" t="inlineStr">
        <is>
          <t>pass</t>
        </is>
      </c>
      <c r="AW158" t="inlineStr">
        <is>
          <t>passes all hard gates</t>
        </is>
      </c>
      <c r="AX158" t="inlineStr">
        <is>
          <t>claim-borderline</t>
        </is>
      </c>
      <c r="AY158" t="inlineStr">
        <is>
          <t>https://drinkwheywater.com</t>
        </is>
      </c>
      <c r="AZ158" t="inlineStr">
        <is>
          <t>NJ</t>
        </is>
      </c>
      <c r="BA158" t="inlineStr">
        <is>
          <t>northeast</t>
        </is>
      </c>
      <c r="BB158" t="inlineStr">
        <is>
          <t>unknown</t>
        </is>
      </c>
      <c r="BD158" t="inlineStr">
        <is>
          <t>Y</t>
        </is>
      </c>
      <c r="BE158" t="inlineStr">
        <is>
          <t>Brand FAQ: store at room temperature; commercial heat pasteurization for shelf stability; no months stated | brand FAQ; no shelf-life figure, founder to confirm 60+ days</t>
        </is>
      </c>
      <c r="BF158" t="inlineStr">
        <is>
          <t>Y</t>
        </is>
      </c>
      <c r="BG158" t="inlineStr">
        <is>
          <t>Y</t>
        </is>
      </c>
      <c r="BH158" t="inlineStr">
        <is>
          <t>unknown</t>
        </is>
      </c>
      <c r="BJ158" t="inlineStr">
        <is>
          <t>No sales figure published. DTC launch scheduled May 2026 (Startup CPG 2026-03-19)</t>
        </is>
      </c>
      <c r="BK158" t="inlineStr">
        <is>
          <t>N</t>
        </is>
      </c>
      <c r="BL158" t="inlineStr">
        <is>
          <t>N</t>
        </is>
      </c>
      <c r="BO158" t="inlineStr">
        <is>
          <t>N</t>
        </is>
      </c>
      <c r="BP158" t="n">
        <v>0</v>
      </c>
      <c r="BS158" t="inlineStr">
        <is>
          <t>DTC (drinkwheywater.com)</t>
        </is>
      </c>
      <c r="BU158" t="inlineStr">
        <is>
          <t>press</t>
        </is>
      </c>
      <c r="BV158" t="n">
        <v>219</v>
      </c>
      <c r="BW158" t="inlineStr">
        <is>
          <t>https://startupcpg.com/startup-cpg-newswire-whey-water-announces-may-2026-launch-of-sparkling-protein-beverage/</t>
        </is>
      </c>
      <c r="BX158" t="inlineStr">
        <is>
          <t>Ujwal Trivedi</t>
        </is>
      </c>
      <c r="CF158" t="inlineStr">
        <is>
          <t>none</t>
        </is>
      </c>
      <c r="CK158" t="inlineStr">
        <is>
          <t>none</t>
        </is>
      </c>
      <c r="CL158" t="n">
        <v>39</v>
      </c>
      <c r="CM158" t="n">
        <v>6</v>
      </c>
      <c r="CN158" t="n">
        <v>8</v>
      </c>
      <c r="CO158" t="n">
        <v>8</v>
      </c>
      <c r="CP158" t="n">
        <v>5</v>
      </c>
      <c r="CQ158" t="n">
        <v>10</v>
      </c>
      <c r="CR158" t="n">
        <v>6</v>
      </c>
      <c r="CS158">
        <f>IF(R158="Y",10,0)</f>
        <v/>
      </c>
      <c r="CT158" t="n">
        <v>-4</v>
      </c>
      <c r="CV158" t="inlineStr">
        <is>
          <t>BR4</t>
        </is>
      </c>
      <c r="CW158" t="inlineStr">
        <is>
          <t>BR4:47</t>
        </is>
      </c>
      <c r="CX158" t="inlineStr">
        <is>
          <t>Release explicitly names 'on-the-go consumption during the workday' as an occasion.</t>
        </is>
      </c>
      <c r="CY158" t="inlineStr">
        <is>
          <t xml:space="preserve">shelf_stable &lt;- https://drinkwheywater.com/pages/faq (2026-10-24, opened); shelf_stable_basis &lt;- https://drinkwheywater.com/pages/faq (2026-10-24, opened); </t>
        </is>
      </c>
      <c r="DA158" t="inlineStr">
        <is>
          <t>stage 1 only</t>
        </is>
      </c>
      <c r="DY158">
        <f>IF(ISNUMBER(MATCH(U158,{"queued","contacted","replied","call_booked","call_done","yes_in_principle","materials_sent"},0)),"Y","N")</f>
        <v/>
      </c>
      <c r="DZ158">
        <f>IF(COUNTIFS($AN$2:$AN$1000,AN158,$DY$2:$DY$1000,"Y")+COUNTIFS($AN$2:$AN$1000,AN158,$T$2:$T$1000,"Y")&gt;0,"Y","N")</f>
        <v/>
      </c>
      <c r="EA158">
        <f>IF(AND(U158="new",T158="N",AR158="Y",AQ158="",DZ158="N"),"Y","N")</f>
        <v/>
      </c>
      <c r="EB158">
        <f>IF(EA158&lt;&gt;"Y","N",IF(COUNTIFS($AN$2:$AN$1000,AN158,$EA$2:$EA$1000,"Y",$J$2:$J$1000,"&gt;"&amp;J158)+COUNTIFS($AN$2:$AN$1000,AN158,$EA$2:$EA$1000,"Y",$J$2:$J$1000,J158,$ED$2:$ED$1000,"&lt;"&amp;ED158)=0,"Y","N"))</f>
        <v/>
      </c>
      <c r="EC158">
        <f>IF(Y158="","N",IF(Y158&lt;=10,"Y","N"))</f>
        <v/>
      </c>
      <c r="ED158">
        <f>ROW()-1</f>
        <v/>
      </c>
    </row>
    <row r="159">
      <c r="A159" t="inlineStr">
        <is>
          <t>AB-140</t>
        </is>
      </c>
      <c r="B159" t="inlineStr">
        <is>
          <t>Nguyen Coffee Supply</t>
        </is>
      </c>
      <c r="C159" t="inlineStr">
        <is>
          <t>Sahra</t>
        </is>
      </c>
      <c r="D159" t="inlineStr">
        <is>
          <t>Nguyen</t>
        </is>
      </c>
      <c r="E159" t="inlineStr">
        <is>
          <t>Founder</t>
        </is>
      </c>
      <c r="H159" t="inlineStr">
        <is>
          <t>none</t>
        </is>
      </c>
      <c r="I159" t="inlineStr">
        <is>
          <t>linkedin</t>
        </is>
      </c>
      <c r="J159">
        <f>IF(AU159="pass",CM159+CN159+CO159+CP159+CQ159+CR159+CS159+CT159,0)</f>
        <v/>
      </c>
      <c r="K159" t="inlineStr">
        <is>
          <t>New York City brand, no graded store within ten blocks, online store only, a new store listing 221 days ago, revenue unknown, contact named; founder review: dormant, claim-borderline.</t>
        </is>
      </c>
      <c r="M159" t="inlineStr">
        <is>
          <t>none found within ten blocks</t>
        </is>
      </c>
      <c r="N159" t="inlineStr">
        <is>
          <t>unverified</t>
        </is>
      </c>
      <c r="O159" t="inlineStr">
        <is>
          <t>Launched Vietnamese Coffee Ground Espresso on its store (not the RTD line)</t>
        </is>
      </c>
      <c r="P159" t="inlineStr">
        <is>
          <t>https://nguyencoffeesupply.com/products/vietnamese-coffee-ground-espresso</t>
        </is>
      </c>
      <c r="Q159" t="inlineStr">
        <is>
          <t>2026-03-17</t>
        </is>
      </c>
      <c r="R159" t="inlineStr">
        <is>
          <t>N</t>
        </is>
      </c>
      <c r="S159" t="inlineStr">
        <is>
          <t>unknown</t>
        </is>
      </c>
      <c r="T159" t="inlineStr">
        <is>
          <t>N</t>
        </is>
      </c>
      <c r="U159" t="inlineStr">
        <is>
          <t>new</t>
        </is>
      </c>
      <c r="V159" t="inlineStr">
        <is>
          <t>https://nguyencoffeesupply.com/pages/about-us</t>
        </is>
      </c>
      <c r="W159" t="inlineStr">
        <is>
          <t>2026-10-23</t>
        </is>
      </c>
      <c r="X159" t="inlineStr">
        <is>
          <t>brand</t>
        </is>
      </c>
      <c r="Y159">
        <f>IF(EB159&lt;&gt;"Y","",COUNTIFS($EB$2:$EB$1000,"Y",$J$2:$J$1000,"&gt;"&amp;J159)+COUNTIFS($EB$2:$EB$1000,"Y",$J$2:$J$1000,J159,$ED$2:$ED$1000,"&lt;"&amp;ED159)+1)</f>
        <v/>
      </c>
      <c r="Z159" t="n">
        <v>158</v>
      </c>
      <c r="AA159" t="inlineStr">
        <is>
          <t>N</t>
        </is>
      </c>
      <c r="AB159" t="inlineStr">
        <is>
          <t>find Sahra Nguyen at Nguyen Coffee Supply on LinkedIn and paste the profile URL; founder review (dormant, claim-borderline): read founder_review_reason first</t>
        </is>
      </c>
      <c r="AC159" t="inlineStr">
        <is>
          <t>founder</t>
        </is>
      </c>
      <c r="AD159" t="inlineStr">
        <is>
          <t>verified-page</t>
        </is>
      </c>
      <c r="AE159" t="inlineStr">
        <is>
          <t>employer's own site</t>
        </is>
      </c>
      <c r="AF159" t="inlineStr">
        <is>
          <t>https://nguyencoffeesupply.com/pages/about-us</t>
        </is>
      </c>
      <c r="AG159" t="inlineStr">
        <is>
          <t>2026-10-23</t>
        </is>
      </c>
      <c r="AH159" t="inlineStr">
        <is>
          <t>Vietnamese Coffee RTD cans: Espresso Black, Condensed Milk Latte, Coconut Milk Latte</t>
        </is>
      </c>
      <c r="AI159" t="inlineStr">
        <is>
          <t>coffee-rtd</t>
        </is>
      </c>
      <c r="AJ159" t="inlineStr">
        <is>
          <t>Brooklyn</t>
        </is>
      </c>
      <c r="AK159" t="inlineStr">
        <is>
          <t>https://nguyencoffeesupply.com/products/cold-brew-variety-pack</t>
        </is>
      </c>
      <c r="AL159" t="inlineStr">
        <is>
          <t>Y</t>
        </is>
      </c>
      <c r="AM159" t="inlineStr">
        <is>
          <t>RTD 6-pack showed 'currently sold out' on own store (2026-10-23), so cans may be paused; core business is roasted coffee. Copy uses 'boost of energy' wording (caffeine, not a structure claim, but check)</t>
        </is>
      </c>
      <c r="AN159" t="inlineStr">
        <is>
          <t>AB-140</t>
        </is>
      </c>
      <c r="AO159" t="inlineStr">
        <is>
          <t>N</t>
        </is>
      </c>
      <c r="AR159">
        <f>IF(AND(AU159="pass",AO159&lt;&gt;"Y",C159&lt;&gt;""),"Y","N")</f>
        <v/>
      </c>
      <c r="AS159">
        <f>_xlfn.TEXTJOIN("; ",TRUE,IF(AU159&lt;&gt;"pass","gated out",""),IF(AO159="Y","on hold: "&amp;AP159,""),IF(C159="","no contact named on an opened page",""))</f>
        <v/>
      </c>
      <c r="AU159" t="inlineStr">
        <is>
          <t>pass</t>
        </is>
      </c>
      <c r="AW159" t="inlineStr">
        <is>
          <t>passes all hard gates</t>
        </is>
      </c>
      <c r="AX159" t="inlineStr">
        <is>
          <t>dormant;claim-borderline</t>
        </is>
      </c>
      <c r="AY159" t="inlineStr">
        <is>
          <t>https://nguyencoffeesupply.com</t>
        </is>
      </c>
      <c r="AZ159" t="inlineStr">
        <is>
          <t>NY</t>
        </is>
      </c>
      <c r="BA159" t="inlineStr">
        <is>
          <t>nyc</t>
        </is>
      </c>
      <c r="BB159" t="inlineStr">
        <is>
          <t>unknown</t>
        </is>
      </c>
      <c r="BD159" t="inlineStr">
        <is>
          <t>Y</t>
        </is>
      </c>
      <c r="BE159" t="inlineStr">
        <is>
          <t>RTD product copy: 'Shelf stable' (nguyencoffeesupply.com/products.json, cold-brew-variety-pack, read 2026-10-23)</t>
        </is>
      </c>
      <c r="BF159" t="inlineStr">
        <is>
          <t>Y</t>
        </is>
      </c>
      <c r="BG159" t="inlineStr">
        <is>
          <t>Y</t>
        </is>
      </c>
      <c r="BH159" t="inlineStr">
        <is>
          <t>unknown</t>
        </is>
      </c>
      <c r="BJ159" t="inlineStr">
        <is>
          <t>Business Insider profile: Nguyen Coffee Supply declined to share revenue figures with Insider; founded 2018-11 as a DTC brand roasting in Brooklyn</t>
        </is>
      </c>
      <c r="BK159" t="inlineStr">
        <is>
          <t>N</t>
        </is>
      </c>
      <c r="BL159" t="inlineStr">
        <is>
          <t>N</t>
        </is>
      </c>
      <c r="BO159" t="inlineStr">
        <is>
          <t>N</t>
        </is>
      </c>
      <c r="BP159" t="n">
        <v>0</v>
      </c>
      <c r="BS159" t="inlineStr">
        <is>
          <t>unknown</t>
        </is>
      </c>
      <c r="BU159" t="inlineStr">
        <is>
          <t>listing</t>
        </is>
      </c>
      <c r="BV159" t="n">
        <v>221</v>
      </c>
      <c r="BX159" t="inlineStr">
        <is>
          <t>Sahra Nguyen</t>
        </is>
      </c>
      <c r="CF159" t="inlineStr">
        <is>
          <t>none</t>
        </is>
      </c>
      <c r="CK159" t="inlineStr">
        <is>
          <t>none</t>
        </is>
      </c>
      <c r="CL159" t="n">
        <v>39</v>
      </c>
      <c r="CM159" t="n">
        <v>6</v>
      </c>
      <c r="CN159" t="n">
        <v>20</v>
      </c>
      <c r="CO159" t="n">
        <v>4</v>
      </c>
      <c r="CP159" t="n">
        <v>5</v>
      </c>
      <c r="CQ159" t="n">
        <v>10</v>
      </c>
      <c r="CR159" t="n">
        <v>6</v>
      </c>
      <c r="CS159">
        <f>IF(R159="Y",10,0)</f>
        <v/>
      </c>
      <c r="CT159" t="n">
        <v>-12</v>
      </c>
      <c r="CU159" t="inlineStr">
        <is>
          <t>https://www.instagram.com/nguyencoffeesupply</t>
        </is>
      </c>
      <c r="CV159" t="inlineStr">
        <is>
          <t>BR3</t>
        </is>
      </c>
      <c r="CW159" t="inlineStr">
        <is>
          <t>BR3:14</t>
        </is>
      </c>
      <c r="CX159" t="inlineStr">
        <is>
          <t>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is>
      </c>
      <c r="CY159" t="inlineStr">
        <is>
          <t xml:space="preserve">notes &lt;- https://www.nombase.com/newswire/2026/03/18/nguyen-coffee-supply-launches-ground-espresso-its-first-product-sourced-and-roasted-in-vietnam (2026-10-24, snippet-unverified); revenue_basis &lt;- https://shorefire.com/images/uploads/album/Sahra_Nguyen_Business_Insider.pdf (2026-10-24, opened); </t>
        </is>
      </c>
      <c r="DA159" t="inlineStr">
        <is>
          <t>stage 1 only</t>
        </is>
      </c>
      <c r="DY159">
        <f>IF(ISNUMBER(MATCH(U159,{"queued","contacted","replied","call_booked","call_done","yes_in_principle","materials_sent"},0)),"Y","N")</f>
        <v/>
      </c>
      <c r="DZ159">
        <f>IF(COUNTIFS($AN$2:$AN$1000,AN159,$DY$2:$DY$1000,"Y")+COUNTIFS($AN$2:$AN$1000,AN159,$T$2:$T$1000,"Y")&gt;0,"Y","N")</f>
        <v/>
      </c>
      <c r="EA159">
        <f>IF(AND(U159="new",T159="N",AR159="Y",AQ159="",DZ159="N"),"Y","N")</f>
        <v/>
      </c>
      <c r="EB159">
        <f>IF(EA159&lt;&gt;"Y","N",IF(COUNTIFS($AN$2:$AN$1000,AN159,$EA$2:$EA$1000,"Y",$J$2:$J$1000,"&gt;"&amp;J159)+COUNTIFS($AN$2:$AN$1000,AN159,$EA$2:$EA$1000,"Y",$J$2:$J$1000,J159,$ED$2:$ED$1000,"&lt;"&amp;ED159)=0,"Y","N"))</f>
        <v/>
      </c>
      <c r="EC159">
        <f>IF(Y159="","N",IF(Y159&lt;=10,"Y","N"))</f>
        <v/>
      </c>
      <c r="ED159">
        <f>ROW()-1</f>
        <v/>
      </c>
    </row>
    <row r="160">
      <c r="A160" t="inlineStr">
        <is>
          <t>AB-279</t>
        </is>
      </c>
      <c r="B160" t="inlineStr">
        <is>
          <t>Nature's Best Snacks</t>
        </is>
      </c>
      <c r="H160" t="inlineStr">
        <is>
          <t>none</t>
        </is>
      </c>
      <c r="J160">
        <f>IF(AU160="pass",CM160+CN160+CO160+CP160+CQ160+CR160+CS160+CT160,0)</f>
        <v/>
      </c>
      <c r="K160" t="inlineStr">
        <is>
          <t>New York City brand, no graded store within ten blocks, online store only, no dated why-now in the last 12 months, revenue unknown, no contact named; founder review: other.</t>
        </is>
      </c>
      <c r="M160" t="inlineStr">
        <is>
          <t>none found within ten blocks</t>
        </is>
      </c>
      <c r="N160" t="inlineStr">
        <is>
          <t>unverified</t>
        </is>
      </c>
      <c r="R160" t="inlineStr">
        <is>
          <t>N</t>
        </is>
      </c>
      <c r="S160" t="inlineStr">
        <is>
          <t>unknown</t>
        </is>
      </c>
      <c r="T160" t="inlineStr">
        <is>
          <t>N</t>
        </is>
      </c>
      <c r="U160" t="inlineStr">
        <is>
          <t>new</t>
        </is>
      </c>
      <c r="V160" t="inlineStr">
        <is>
          <t>https://www.entrepreneurspace.org/clients</t>
        </is>
      </c>
      <c r="W160" t="inlineStr">
        <is>
          <t>2026-10-24</t>
        </is>
      </c>
      <c r="X160" t="inlineStr">
        <is>
          <t>brand</t>
        </is>
      </c>
      <c r="Y160">
        <f>IF(EB160&lt;&gt;"Y","",COUNTIFS($EB$2:$EB$1000,"Y",$J$2:$J$1000,"&gt;"&amp;J160)+COUNTIFS($EB$2:$EB$1000,"Y",$J$2:$J$1000,J160,$ED$2:$ED$1000,"&lt;"&amp;ED160)+1)</f>
        <v/>
      </c>
      <c r="Z160" t="n">
        <v>159</v>
      </c>
      <c r="AA160" t="inlineStr">
        <is>
          <t>N</t>
        </is>
      </c>
      <c r="AB160" t="inlineStr">
        <is>
          <t>no person named on an opened page: not ready; founder review (other): read founder_review_reason first</t>
        </is>
      </c>
      <c r="AD160" t="inlineStr">
        <is>
          <t>none</t>
        </is>
      </c>
      <c r="AH160" t="inlineStr">
        <is>
          <t>Grab &amp; Go Crunchy ChinChin bite-size cookie snack, 3 oz</t>
        </is>
      </c>
      <c r="AI160" t="inlineStr">
        <is>
          <t>cookies-baked</t>
        </is>
      </c>
      <c r="AJ160" t="inlineStr">
        <is>
          <t>Queens</t>
        </is>
      </c>
      <c r="AK160" t="inlineStr">
        <is>
          <t>https://naturesbestsnacks.com</t>
        </is>
      </c>
      <c r="AL160" t="inlineStr">
        <is>
          <t>Y</t>
        </is>
      </c>
      <c r="AM160" t="inlineStr">
        <is>
          <t>No dated launch or news in the last 12 months; newest online SKU is from 2024. Founder unnamed</t>
        </is>
      </c>
      <c r="AN160" t="inlineStr">
        <is>
          <t>AB-279</t>
        </is>
      </c>
      <c r="AO160" t="inlineStr">
        <is>
          <t>N</t>
        </is>
      </c>
      <c r="AR160">
        <f>IF(AND(AU160="pass",AO160&lt;&gt;"Y",C160&lt;&gt;""),"Y","N")</f>
        <v/>
      </c>
      <c r="AS160">
        <f>_xlfn.TEXTJOIN("; ",TRUE,IF(AU160&lt;&gt;"pass","gated out",""),IF(AO160="Y","on hold: "&amp;AP160,""),IF(C160="","no contact named on an opened page",""))</f>
        <v/>
      </c>
      <c r="AU160" t="inlineStr">
        <is>
          <t>pass</t>
        </is>
      </c>
      <c r="AW160" t="inlineStr">
        <is>
          <t>passes all hard gates</t>
        </is>
      </c>
      <c r="AX160" t="inlineStr">
        <is>
          <t>other</t>
        </is>
      </c>
      <c r="AY160" t="inlineStr">
        <is>
          <t>https://naturesbestsnacks.com</t>
        </is>
      </c>
      <c r="AZ160" t="inlineStr">
        <is>
          <t>NY</t>
        </is>
      </c>
      <c r="BA160" t="inlineStr">
        <is>
          <t>nyc</t>
        </is>
      </c>
      <c r="BB160" t="inlineStr">
        <is>
          <t>unknown</t>
        </is>
      </c>
      <c r="BD160" t="inlineStr">
        <is>
          <t>Y</t>
        </is>
      </c>
      <c r="BE160" t="inlineStr">
        <is>
          <t>Fried-dough chin chin, plantain chips and caramelized peanuts in sealed bags shipped nationwide; shelf life not stated</t>
        </is>
      </c>
      <c r="BF160" t="inlineStr">
        <is>
          <t>Y</t>
        </is>
      </c>
      <c r="BG160" t="inlineStr">
        <is>
          <t>Y</t>
        </is>
      </c>
      <c r="BH160" t="inlineStr">
        <is>
          <t>unknown</t>
        </is>
      </c>
      <c r="BJ160" t="inlineStr">
        <is>
          <t>No sourced sales figure found</t>
        </is>
      </c>
      <c r="BK160" t="inlineStr">
        <is>
          <t>N</t>
        </is>
      </c>
      <c r="BL160" t="inlineStr">
        <is>
          <t>N</t>
        </is>
      </c>
      <c r="BO160" t="inlineStr">
        <is>
          <t>N</t>
        </is>
      </c>
      <c r="BP160" t="n">
        <v>0</v>
      </c>
      <c r="BS160" t="inlineStr">
        <is>
          <t>unknown (store locator page has no machine-readable list)</t>
        </is>
      </c>
      <c r="BU160" t="inlineStr">
        <is>
          <t>none</t>
        </is>
      </c>
      <c r="CF160" t="inlineStr">
        <is>
          <t>none</t>
        </is>
      </c>
      <c r="CK160" t="inlineStr">
        <is>
          <t>none</t>
        </is>
      </c>
      <c r="CL160" t="n">
        <v>39</v>
      </c>
      <c r="CM160" t="n">
        <v>6</v>
      </c>
      <c r="CN160" t="n">
        <v>20</v>
      </c>
      <c r="CO160" t="n">
        <v>0</v>
      </c>
      <c r="CP160" t="n">
        <v>5</v>
      </c>
      <c r="CQ160" t="n">
        <v>10</v>
      </c>
      <c r="CR160" t="n">
        <v>0</v>
      </c>
      <c r="CS160">
        <f>IF(R160="Y",10,0)</f>
        <v/>
      </c>
      <c r="CT160" t="n">
        <v>-2</v>
      </c>
      <c r="CU160" t="inlineStr">
        <is>
          <t>https://www.instagram.com/naturesbestsnacks/</t>
        </is>
      </c>
      <c r="CV160" t="inlineStr">
        <is>
          <t>BR5</t>
        </is>
      </c>
      <c r="CW160" t="inlineStr">
        <is>
          <t>BR5:15</t>
        </is>
      </c>
      <c r="CX160" t="inlineStr">
        <is>
          <t>Entrepreneur Space current client: 'Nature's Best Snacks, African Inspired Savory Snacks'. Site: 'Born in Queens. Rooted in West Africa (Cameroon).' Also sells 3.5 oz plantain chips and 5 oz caramelized peanuts.</t>
        </is>
      </c>
      <c r="DA160" t="inlineStr">
        <is>
          <t>stage 1 only</t>
        </is>
      </c>
      <c r="DY160">
        <f>IF(ISNUMBER(MATCH(U160,{"queued","contacted","replied","call_booked","call_done","yes_in_principle","materials_sent"},0)),"Y","N")</f>
        <v/>
      </c>
      <c r="DZ160">
        <f>IF(COUNTIFS($AN$2:$AN$1000,AN160,$DY$2:$DY$1000,"Y")+COUNTIFS($AN$2:$AN$1000,AN160,$T$2:$T$1000,"Y")&gt;0,"Y","N")</f>
        <v/>
      </c>
      <c r="EA160">
        <f>IF(AND(U160="new",T160="N",AR160="Y",AQ160="",DZ160="N"),"Y","N")</f>
        <v/>
      </c>
      <c r="EB160">
        <f>IF(EA160&lt;&gt;"Y","N",IF(COUNTIFS($AN$2:$AN$1000,AN160,$EA$2:$EA$1000,"Y",$J$2:$J$1000,"&gt;"&amp;J160)+COUNTIFS($AN$2:$AN$1000,AN160,$EA$2:$EA$1000,"Y",$J$2:$J$1000,J160,$ED$2:$ED$1000,"&lt;"&amp;ED160)=0,"Y","N"))</f>
        <v/>
      </c>
      <c r="EC160">
        <f>IF(Y160="","N",IF(Y160&lt;=10,"Y","N"))</f>
        <v/>
      </c>
      <c r="ED160">
        <f>ROW()-1</f>
        <v/>
      </c>
    </row>
    <row r="161">
      <c r="A161" t="inlineStr">
        <is>
          <t>AB-128</t>
        </is>
      </c>
      <c r="B161" t="inlineStr">
        <is>
          <t>Sanzo</t>
        </is>
      </c>
      <c r="C161" t="inlineStr">
        <is>
          <t>Sandro</t>
        </is>
      </c>
      <c r="D161" t="inlineStr">
        <is>
          <t>Roco</t>
        </is>
      </c>
      <c r="E161" t="inlineStr">
        <is>
          <t>Founder and CEO</t>
        </is>
      </c>
      <c r="H161" t="inlineStr">
        <is>
          <t>none</t>
        </is>
      </c>
      <c r="I161" t="inlineStr">
        <is>
          <t>linkedin</t>
        </is>
      </c>
      <c r="J161">
        <f>IF(AU161="pass",CM161+CN161+CO161+CP161+CQ161+CR161+CS161+CT161,0)</f>
        <v/>
      </c>
      <c r="K161" t="inlineStr">
        <is>
          <t>New York City brand, no graded store within ten blocks, online store only, no dated why-now in the last 12 months, revenue unknown, contact named; founder review: scale.</t>
        </is>
      </c>
      <c r="M161" t="inlineStr">
        <is>
          <t>none found within ten blocks</t>
        </is>
      </c>
      <c r="N161" t="inlineStr">
        <is>
          <t>unverified</t>
        </is>
      </c>
      <c r="R161" t="inlineStr">
        <is>
          <t>N</t>
        </is>
      </c>
      <c r="S161" t="inlineStr">
        <is>
          <t>unknown</t>
        </is>
      </c>
      <c r="T161" t="inlineStr">
        <is>
          <t>N</t>
        </is>
      </c>
      <c r="U161" t="inlineStr">
        <is>
          <t>new</t>
        </is>
      </c>
      <c r="V161" t="inlineStr">
        <is>
          <t>https://drinksanzo.com/pages/about</t>
        </is>
      </c>
      <c r="W161" t="inlineStr">
        <is>
          <t>2026-10-23</t>
        </is>
      </c>
      <c r="X161" t="inlineStr">
        <is>
          <t>brand</t>
        </is>
      </c>
      <c r="Y161">
        <f>IF(EB161&lt;&gt;"Y","",COUNTIFS($EB$2:$EB$1000,"Y",$J$2:$J$1000,"&gt;"&amp;J161)+COUNTIFS($EB$2:$EB$1000,"Y",$J$2:$J$1000,J161,$ED$2:$ED$1000,"&lt;"&amp;ED161)+1)</f>
        <v/>
      </c>
      <c r="Z161" t="n">
        <v>160</v>
      </c>
      <c r="AA161" t="inlineStr">
        <is>
          <t>N</t>
        </is>
      </c>
      <c r="AB161" t="inlineStr">
        <is>
          <t>find Sandro Roco at Sanzo on LinkedIn and paste the profile URL; founder review (scale): read founder_review_reason first</t>
        </is>
      </c>
      <c r="AC161" t="inlineStr">
        <is>
          <t>founder</t>
        </is>
      </c>
      <c r="AD161" t="inlineStr">
        <is>
          <t>verified-page</t>
        </is>
      </c>
      <c r="AE161" t="inlineStr">
        <is>
          <t>employer's own site</t>
        </is>
      </c>
      <c r="AF161" t="inlineStr">
        <is>
          <t>https://drinksanzo.com/pages/about</t>
        </is>
      </c>
      <c r="AG161" t="inlineStr">
        <is>
          <t>2026-10-23</t>
        </is>
      </c>
      <c r="AH161" t="inlineStr">
        <is>
          <t>Sanzo Calamansi sparkling water, 12 oz can</t>
        </is>
      </c>
      <c r="AI161" t="inlineStr">
        <is>
          <t>sparkling-soda</t>
        </is>
      </c>
      <c r="AJ161" t="inlineStr">
        <is>
          <t>New York</t>
        </is>
      </c>
      <c r="AK161" t="inlineStr">
        <is>
          <t>https://drinksanzo.com</t>
        </is>
      </c>
      <c r="AL161" t="inlineStr">
        <is>
          <t>Y</t>
        </is>
      </c>
      <c r="AM161" t="inlineStr">
        <is>
          <t>Series A funded with 2,000+ doors by 2022; may be above the $10M revenue band (no sourced figure). Store locator is a JS widget (GoToAisle) not readable; no named near-cluster store confirmed</t>
        </is>
      </c>
      <c r="AN161" t="inlineStr">
        <is>
          <t>AB-128</t>
        </is>
      </c>
      <c r="AO161" t="inlineStr">
        <is>
          <t>N</t>
        </is>
      </c>
      <c r="AR161">
        <f>IF(AND(AU161="pass",AO161&lt;&gt;"Y",C161&lt;&gt;""),"Y","N")</f>
        <v/>
      </c>
      <c r="AS161">
        <f>_xlfn.TEXTJOIN("; ",TRUE,IF(AU161&lt;&gt;"pass","gated out",""),IF(AO161="Y","on hold: "&amp;AP161,""),IF(C161="","no contact named on an opened page",""))</f>
        <v/>
      </c>
      <c r="AU161" t="inlineStr">
        <is>
          <t>pass</t>
        </is>
      </c>
      <c r="AW161" t="inlineStr">
        <is>
          <t>passes all hard gates</t>
        </is>
      </c>
      <c r="AX161" t="inlineStr">
        <is>
          <t>scale</t>
        </is>
      </c>
      <c r="AY161" t="inlineStr">
        <is>
          <t>https://drinksanzo.com</t>
        </is>
      </c>
      <c r="AZ161" t="inlineStr">
        <is>
          <t>NY</t>
        </is>
      </c>
      <c r="BA161" t="inlineStr">
        <is>
          <t>nyc</t>
        </is>
      </c>
      <c r="BB161" t="inlineStr">
        <is>
          <t>Series A ($10M, 2022, CircleUp Growth Partners)</t>
        </is>
      </c>
      <c r="BC161" t="inlineStr">
        <is>
          <t>https://www.foodbusinessnews.net/articles/20727-sanzo-raises-10-million-in-series-a-funding</t>
        </is>
      </c>
      <c r="BD161" t="inlineStr">
        <is>
          <t>Y</t>
        </is>
      </c>
      <c r="BE161" t="inlineStr">
        <is>
          <t>Brand FAQ: 'Our sparkling water is shelf stable' (drinksanzo.com/pages/faq, opened 2026-10-23)</t>
        </is>
      </c>
      <c r="BF161" t="inlineStr">
        <is>
          <t>Y</t>
        </is>
      </c>
      <c r="BG161" t="inlineStr">
        <is>
          <t>Y</t>
        </is>
      </c>
      <c r="BH161" t="inlineStr">
        <is>
          <t>unknown</t>
        </is>
      </c>
      <c r="BJ161" t="inlineStr">
        <is>
          <t>Modern Retail 2023-08-02: Sanzo declined to share specific revenue figures; 3,000 retail doors nationwide and household penetration up 300% year over year (no revenue figure)</t>
        </is>
      </c>
      <c r="BK161" t="inlineStr">
        <is>
          <t>N</t>
        </is>
      </c>
      <c r="BL161" t="inlineStr">
        <is>
          <t>N</t>
        </is>
      </c>
      <c r="BO161" t="inlineStr">
        <is>
          <t>N</t>
        </is>
      </c>
      <c r="BP161" t="n">
        <v>0</v>
      </c>
      <c r="BS161" t="inlineStr">
        <is>
          <t>Whole Foods Market; Erewhon; Panda Express (foodservice); 2,000+ retail and foodservice outlets (2022 press)</t>
        </is>
      </c>
      <c r="BT161" t="inlineStr">
        <is>
          <t>https://www.foodbusinessnews.net/articles/20727-sanzo-raises-10-million-in-series-a-funding</t>
        </is>
      </c>
      <c r="BU161" t="inlineStr">
        <is>
          <t>none</t>
        </is>
      </c>
      <c r="BX161" t="inlineStr">
        <is>
          <t>Sandro Roco</t>
        </is>
      </c>
      <c r="CA161" t="inlineStr">
        <is>
          <t>Kimberly Lam</t>
        </is>
      </c>
      <c r="CB161" t="inlineStr">
        <is>
          <t>Kimberly</t>
        </is>
      </c>
      <c r="CC161" t="inlineStr">
        <is>
          <t>Lam</t>
        </is>
      </c>
      <c r="CD161" t="inlineStr">
        <is>
          <t>Senior Marketing Director</t>
        </is>
      </c>
      <c r="CE161" t="inlineStr">
        <is>
          <t>marketing</t>
        </is>
      </c>
      <c r="CF161" t="inlineStr">
        <is>
          <t>verified-page</t>
        </is>
      </c>
      <c r="CK161" t="inlineStr">
        <is>
          <t>none</t>
        </is>
      </c>
      <c r="CL161" t="n">
        <v>39</v>
      </c>
      <c r="CM161" t="n">
        <v>6</v>
      </c>
      <c r="CN161" t="n">
        <v>20</v>
      </c>
      <c r="CO161" t="n">
        <v>0</v>
      </c>
      <c r="CP161" t="n">
        <v>5</v>
      </c>
      <c r="CQ161" t="n">
        <v>10</v>
      </c>
      <c r="CR161" t="n">
        <v>10</v>
      </c>
      <c r="CS161">
        <f>IF(R161="Y",10,0)</f>
        <v/>
      </c>
      <c r="CT161" t="n">
        <v>-12</v>
      </c>
      <c r="CU161" t="inlineStr">
        <is>
          <t>https://www.instagram.com/drinksanzo</t>
        </is>
      </c>
      <c r="CV161" t="inlineStr">
        <is>
          <t>BR3</t>
        </is>
      </c>
      <c r="CW161" t="inlineStr">
        <is>
          <t>BR3:2</t>
        </is>
      </c>
      <c r="CX161" t="inlineStr">
        <is>
          <t>Queens-born Filipino American founder; FBN dateline NEW YORK. Whole Foods product page exists for Yuzu 6-pack (wholefoodsmarket.com/grocery/product/...b0bfkcmr99, from search results, not store-specific). No dated signal found in last 12 months.</t>
        </is>
      </c>
      <c r="CY161" t="inlineStr">
        <is>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is>
      </c>
      <c r="CZ161" t="inlineStr">
        <is>
          <t>https://www.modernretail.co/marketing/amid-its-retail-expansion-sanzo-is-investing-in-more-nontraditional-collaborations-with-food-and-accessories-brands/</t>
        </is>
      </c>
      <c r="DA161" t="inlineStr">
        <is>
          <t>stage 1 only</t>
        </is>
      </c>
      <c r="DC161" t="inlineStr">
        <is>
          <t>press, event or podcast page</t>
        </is>
      </c>
      <c r="DY161">
        <f>IF(ISNUMBER(MATCH(U161,{"queued","contacted","replied","call_booked","call_done","yes_in_principle","materials_sent"},0)),"Y","N")</f>
        <v/>
      </c>
      <c r="DZ161">
        <f>IF(COUNTIFS($AN$2:$AN$1000,AN161,$DY$2:$DY$1000,"Y")+COUNTIFS($AN$2:$AN$1000,AN161,$T$2:$T$1000,"Y")&gt;0,"Y","N")</f>
        <v/>
      </c>
      <c r="EA161">
        <f>IF(AND(U161="new",T161="N",AR161="Y",AQ161="",DZ161="N"),"Y","N")</f>
        <v/>
      </c>
      <c r="EB161">
        <f>IF(EA161&lt;&gt;"Y","N",IF(COUNTIFS($AN$2:$AN$1000,AN161,$EA$2:$EA$1000,"Y",$J$2:$J$1000,"&gt;"&amp;J161)+COUNTIFS($AN$2:$AN$1000,AN161,$EA$2:$EA$1000,"Y",$J$2:$J$1000,J161,$ED$2:$ED$1000,"&lt;"&amp;ED161)=0,"Y","N"))</f>
        <v/>
      </c>
      <c r="EC161">
        <f>IF(Y161="","N",IF(Y161&lt;=10,"Y","N"))</f>
        <v/>
      </c>
      <c r="ED161">
        <f>ROW()-1</f>
        <v/>
      </c>
    </row>
    <row r="162">
      <c r="A162" t="inlineStr">
        <is>
          <t>AB-158</t>
        </is>
      </c>
      <c r="B162" t="inlineStr">
        <is>
          <t>Vita Coco</t>
        </is>
      </c>
      <c r="C162" t="inlineStr">
        <is>
          <t>Michael</t>
        </is>
      </c>
      <c r="D162" t="inlineStr">
        <is>
          <t>Kirban</t>
        </is>
      </c>
      <c r="E162" t="inlineStr">
        <is>
          <t>CEO per an older press headline quoted on the our-story page</t>
        </is>
      </c>
      <c r="H162" t="inlineStr">
        <is>
          <t>none</t>
        </is>
      </c>
      <c r="I162" t="inlineStr">
        <is>
          <t>linkedin</t>
        </is>
      </c>
      <c r="J162">
        <f>IF(AU162="pass",CM162+CN162+CO162+CP162+CQ162+CR162+CS162+CT162,0)</f>
        <v/>
      </c>
      <c r="K162" t="inlineStr">
        <is>
          <t>New York City brand, no graded store within ten blocks, online store only, no dated why-now in the last 12 months, revenue unknown, contact named; founder review: scale.</t>
        </is>
      </c>
      <c r="M162" t="inlineStr">
        <is>
          <t>none found within ten blocks</t>
        </is>
      </c>
      <c r="N162" t="inlineStr">
        <is>
          <t>unverified</t>
        </is>
      </c>
      <c r="R162" t="inlineStr">
        <is>
          <t>N</t>
        </is>
      </c>
      <c r="S162" t="inlineStr">
        <is>
          <t>unknown</t>
        </is>
      </c>
      <c r="T162" t="inlineStr">
        <is>
          <t>N</t>
        </is>
      </c>
      <c r="U162" t="inlineStr">
        <is>
          <t>new</t>
        </is>
      </c>
      <c r="V162" t="inlineStr">
        <is>
          <t>https://vitacoco.com/pages/our-story</t>
        </is>
      </c>
      <c r="W162" t="inlineStr">
        <is>
          <t>2026-10-23</t>
        </is>
      </c>
      <c r="X162" t="inlineStr">
        <is>
          <t>brand</t>
        </is>
      </c>
      <c r="Y162">
        <f>IF(EB162&lt;&gt;"Y","",COUNTIFS($EB$2:$EB$1000,"Y",$J$2:$J$1000,"&gt;"&amp;J162)+COUNTIFS($EB$2:$EB$1000,"Y",$J$2:$J$1000,J162,$ED$2:$ED$1000,"&lt;"&amp;ED162)+1)</f>
        <v/>
      </c>
      <c r="Z162" t="n">
        <v>161</v>
      </c>
      <c r="AA162" t="inlineStr">
        <is>
          <t>N</t>
        </is>
      </c>
      <c r="AB162" t="inlineStr">
        <is>
          <t>find Michael Kirban at Vita Coco on LinkedIn and paste the profile URL; founder review (scale): read founder_review_reason first</t>
        </is>
      </c>
      <c r="AC162" t="inlineStr">
        <is>
          <t>founder</t>
        </is>
      </c>
      <c r="AD162" t="inlineStr">
        <is>
          <t>verified-page</t>
        </is>
      </c>
      <c r="AE162" t="inlineStr">
        <is>
          <t>employer's own site</t>
        </is>
      </c>
      <c r="AF162" t="inlineStr">
        <is>
          <t>https://vitacoco.com/pages/our-story</t>
        </is>
      </c>
      <c r="AG162" t="inlineStr">
        <is>
          <t>2026-10-23</t>
        </is>
      </c>
      <c r="AH162" t="inlineStr">
        <is>
          <t>Vita Coco Coconut Water, 11.1 oz carton</t>
        </is>
      </c>
      <c r="AI162" t="inlineStr">
        <is>
          <t>tea-juice</t>
        </is>
      </c>
      <c r="AJ162" t="inlineStr">
        <is>
          <t>New York</t>
        </is>
      </c>
      <c r="AK162" t="inlineStr">
        <is>
          <t>https://vitacoco.com</t>
        </is>
      </c>
      <c r="AL162" t="inlineStr">
        <is>
          <t>Y</t>
        </is>
      </c>
      <c r="AM162" t="inlineStr">
        <is>
          <t>Large national brand, almost certainly far above the $10M band; recorded as a reference and a possible later standard-tier buyer, not a founding prospect</t>
        </is>
      </c>
      <c r="AN162" t="inlineStr">
        <is>
          <t>AB-158</t>
        </is>
      </c>
      <c r="AO162" t="inlineStr">
        <is>
          <t>N</t>
        </is>
      </c>
      <c r="AR162">
        <f>IF(AND(AU162="pass",AO162&lt;&gt;"Y",C162&lt;&gt;""),"Y","N")</f>
        <v/>
      </c>
      <c r="AS162">
        <f>_xlfn.TEXTJOIN("; ",TRUE,IF(AU162&lt;&gt;"pass","gated out",""),IF(AO162="Y","on hold: "&amp;AP162,""),IF(C162="","no contact named on an opened page",""))</f>
        <v/>
      </c>
      <c r="AU162" t="inlineStr">
        <is>
          <t>pass</t>
        </is>
      </c>
      <c r="AW162" t="inlineStr">
        <is>
          <t>passes all hard gates</t>
        </is>
      </c>
      <c r="AX162" t="inlineStr">
        <is>
          <t>scale</t>
        </is>
      </c>
      <c r="AY162" t="inlineStr">
        <is>
          <t>https://vitacoco.com</t>
        </is>
      </c>
      <c r="AZ162" t="inlineStr">
        <is>
          <t>NY</t>
        </is>
      </c>
      <c r="BA162" t="inlineStr">
        <is>
          <t>nyc</t>
        </is>
      </c>
      <c r="BB162" t="inlineStr">
        <is>
          <t>unknown</t>
        </is>
      </c>
      <c r="BD162" t="inlineStr">
        <is>
          <t>Y</t>
        </is>
      </c>
      <c r="BE162" t="inlineStr">
        <is>
          <t>Brand FAQ: shelf stable for up to 12 months outside of the fridge (Tetra Pak, flash pasteurized) (vitacoco.com/pages/faq, opened 2026-10-24)</t>
        </is>
      </c>
      <c r="BF162" t="inlineStr">
        <is>
          <t>Y</t>
        </is>
      </c>
      <c r="BG162" t="inlineStr">
        <is>
          <t>Y</t>
        </is>
      </c>
      <c r="BH162" t="inlineStr">
        <is>
          <t>unknown</t>
        </is>
      </c>
      <c r="BJ162" t="inlineStr">
        <is>
          <t>No figure opened (investor site returned 403)</t>
        </is>
      </c>
      <c r="BK162" t="inlineStr">
        <is>
          <t>N</t>
        </is>
      </c>
      <c r="BL162" t="inlineStr">
        <is>
          <t>N</t>
        </is>
      </c>
      <c r="BO162" t="inlineStr">
        <is>
          <t>N</t>
        </is>
      </c>
      <c r="BP162" t="n">
        <v>0</v>
      </c>
      <c r="BS162" t="inlineStr">
        <is>
          <t>unknown (GoToAisle locator not readable)</t>
        </is>
      </c>
      <c r="BU162" t="inlineStr">
        <is>
          <t>none</t>
        </is>
      </c>
      <c r="BX162" t="inlineStr">
        <is>
          <t>Michael Kirban</t>
        </is>
      </c>
      <c r="CA162" t="inlineStr">
        <is>
          <t>Jenny Ly</t>
        </is>
      </c>
      <c r="CB162" t="inlineStr">
        <is>
          <t>Jenny</t>
        </is>
      </c>
      <c r="CC162" t="inlineStr">
        <is>
          <t>Ly</t>
        </is>
      </c>
      <c r="CD162" t="inlineStr">
        <is>
          <t>Brand Activation Manager</t>
        </is>
      </c>
      <c r="CE162" t="inlineStr">
        <is>
          <t>marketing</t>
        </is>
      </c>
      <c r="CF162" t="inlineStr">
        <is>
          <t>verified-page</t>
        </is>
      </c>
      <c r="CK162" t="inlineStr">
        <is>
          <t>none</t>
        </is>
      </c>
      <c r="CL162" t="n">
        <v>39</v>
      </c>
      <c r="CM162" t="n">
        <v>6</v>
      </c>
      <c r="CN162" t="n">
        <v>20</v>
      </c>
      <c r="CO162" t="n">
        <v>0</v>
      </c>
      <c r="CP162" t="n">
        <v>5</v>
      </c>
      <c r="CQ162" t="n">
        <v>10</v>
      </c>
      <c r="CR162" t="n">
        <v>10</v>
      </c>
      <c r="CS162">
        <f>IF(R162="Y",10,0)</f>
        <v/>
      </c>
      <c r="CT162" t="n">
        <v>-12</v>
      </c>
      <c r="CU162" t="inlineStr">
        <is>
          <t>https://www.instagram.com/vitacoco</t>
        </is>
      </c>
      <c r="CV162" t="inlineStr">
        <is>
          <t>BR3</t>
        </is>
      </c>
      <c r="CW162" t="inlineStr">
        <is>
          <t>BR3:32</t>
        </is>
      </c>
      <c r="CX162" t="inlineStr">
        <is>
          <t>Widely reported as New York-based; HQ not stated on pages opened, so left unknown (founder to confirm).</t>
        </is>
      </c>
      <c r="CY162" t="inlineStr">
        <is>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is>
      </c>
      <c r="CZ162" t="inlineStr">
        <is>
          <t>https://attend.expowest.com/event/natural-products-expo-west-2026/exhibitor/RXhoaWJpdG9yXzIzNTYzNDU=</t>
        </is>
      </c>
      <c r="DA162" t="inlineStr">
        <is>
          <t>stage 1 only</t>
        </is>
      </c>
      <c r="DC162" t="inlineStr">
        <is>
          <t>press, event or podcast page</t>
        </is>
      </c>
      <c r="DY162">
        <f>IF(ISNUMBER(MATCH(U162,{"queued","contacted","replied","call_booked","call_done","yes_in_principle","materials_sent"},0)),"Y","N")</f>
        <v/>
      </c>
      <c r="DZ162">
        <f>IF(COUNTIFS($AN$2:$AN$1000,AN162,$DY$2:$DY$1000,"Y")+COUNTIFS($AN$2:$AN$1000,AN162,$T$2:$T$1000,"Y")&gt;0,"Y","N")</f>
        <v/>
      </c>
      <c r="EA162">
        <f>IF(AND(U162="new",T162="N",AR162="Y",AQ162="",DZ162="N"),"Y","N")</f>
        <v/>
      </c>
      <c r="EB162">
        <f>IF(EA162&lt;&gt;"Y","N",IF(COUNTIFS($AN$2:$AN$1000,AN162,$EA$2:$EA$1000,"Y",$J$2:$J$1000,"&gt;"&amp;J162)+COUNTIFS($AN$2:$AN$1000,AN162,$EA$2:$EA$1000,"Y",$J$2:$J$1000,J162,$ED$2:$ED$1000,"&lt;"&amp;ED162)=0,"Y","N"))</f>
        <v/>
      </c>
      <c r="EC162">
        <f>IF(Y162="","N",IF(Y162&lt;=10,"Y","N"))</f>
        <v/>
      </c>
      <c r="ED162">
        <f>ROW()-1</f>
        <v/>
      </c>
    </row>
    <row r="163">
      <c r="A163" t="inlineStr">
        <is>
          <t>AB-050</t>
        </is>
      </c>
      <c r="B163" t="inlineStr">
        <is>
          <t>DANG Foods</t>
        </is>
      </c>
      <c r="H163" t="inlineStr">
        <is>
          <t>none</t>
        </is>
      </c>
      <c r="J163">
        <f>IF(AU163="pass",CM163+CN163+CO163+CP163+CQ163+CR163+CS163+CT163,0)</f>
        <v/>
      </c>
      <c r="K163" t="inlineStr">
        <is>
          <t>Brand based outside the Northeast, store page shows Whole Foods Market Union Square inside the cluster, no dated why-now in the last 12 months, revenue unknown, no contact named; founder review: other.</t>
        </is>
      </c>
      <c r="M163" t="inlineStr">
        <is>
          <t>Whole Foods Market Union Square, 4 Union Sq S</t>
        </is>
      </c>
      <c r="N163" t="inlineStr">
        <is>
          <t>store_selector</t>
        </is>
      </c>
      <c r="R163" t="inlineStr">
        <is>
          <t>N</t>
        </is>
      </c>
      <c r="S163" t="inlineStr">
        <is>
          <t>unknown</t>
        </is>
      </c>
      <c r="T163" t="inlineStr">
        <is>
          <t>N</t>
        </is>
      </c>
      <c r="U163" t="inlineStr">
        <is>
          <t>new</t>
        </is>
      </c>
      <c r="V163" t="inlineStr">
        <is>
          <t>https://dangfoods.com/pages/our-dang-story</t>
        </is>
      </c>
      <c r="W163" t="inlineStr">
        <is>
          <t>2026-10-23</t>
        </is>
      </c>
      <c r="X163" t="inlineStr">
        <is>
          <t>brand</t>
        </is>
      </c>
      <c r="Y163">
        <f>IF(EB163&lt;&gt;"Y","",COUNTIFS($EB$2:$EB$1000,"Y",$J$2:$J$1000,"&gt;"&amp;J163)+COUNTIFS($EB$2:$EB$1000,"Y",$J$2:$J$1000,J163,$ED$2:$ED$1000,"&lt;"&amp;ED163)+1)</f>
        <v/>
      </c>
      <c r="Z163" t="n">
        <v>162</v>
      </c>
      <c r="AA163" t="inlineStr">
        <is>
          <t>N</t>
        </is>
      </c>
      <c r="AB163" t="inlineStr">
        <is>
          <t>no person named on an opened page: not ready; before using the retailer line, check Whole Foods Market Union Square still lists it: https://www.wholefoodsmarket.com/search?text=DANG%20Foods with your store set to Union Square (catalogs change daily); founder review (other): read founder_review_reason first</t>
        </is>
      </c>
      <c r="AD163" t="inlineStr">
        <is>
          <t>none</t>
        </is>
      </c>
      <c r="AH163" t="inlineStr">
        <is>
          <t>Dang Sticky Rice Chips, Original, 3.5 oz</t>
        </is>
      </c>
      <c r="AI163" t="inlineStr">
        <is>
          <t>chips-crisps</t>
        </is>
      </c>
      <c r="AJ163" t="inlineStr">
        <is>
          <t>Sausalito</t>
        </is>
      </c>
      <c r="AK163" t="inlineStr">
        <is>
          <t>https://dangfoods.com</t>
        </is>
      </c>
      <c r="AL163" t="inlineStr">
        <is>
          <t>Y</t>
        </is>
      </c>
      <c r="AM163" t="inlineStr">
        <is>
          <t>Main office listed as 'Dang Foods at Safe Catch' (Sausalito), which suggests a parent or partner company; budget owner unclear</t>
        </is>
      </c>
      <c r="AN163" t="inlineStr">
        <is>
          <t>AB-050</t>
        </is>
      </c>
      <c r="AO163" t="inlineStr">
        <is>
          <t>N</t>
        </is>
      </c>
      <c r="AR163">
        <f>IF(AND(AU163="pass",AO163&lt;&gt;"Y",C163&lt;&gt;""),"Y","N")</f>
        <v/>
      </c>
      <c r="AS163">
        <f>_xlfn.TEXTJOIN("; ",TRUE,IF(AU163&lt;&gt;"pass","gated out",""),IF(AO163="Y","on hold: "&amp;AP163,""),IF(C163="","no contact named on an opened page",""))</f>
        <v/>
      </c>
      <c r="AU163" t="inlineStr">
        <is>
          <t>pass</t>
        </is>
      </c>
      <c r="AW163" t="inlineStr">
        <is>
          <t>passes all hard gates</t>
        </is>
      </c>
      <c r="AX163" t="inlineStr">
        <is>
          <t>other</t>
        </is>
      </c>
      <c r="AY163" t="inlineStr">
        <is>
          <t>https://dangfoods.com</t>
        </is>
      </c>
      <c r="AZ163" t="inlineStr">
        <is>
          <t>CA</t>
        </is>
      </c>
      <c r="BA163" t="inlineStr">
        <is>
          <t>elsewhere</t>
        </is>
      </c>
      <c r="BB163" t="inlineStr">
        <is>
          <t>unknown</t>
        </is>
      </c>
      <c r="BD163" t="inlineStr">
        <is>
          <t>Y</t>
        </is>
      </c>
      <c r="BE163" t="inlineStr">
        <is>
          <t>Bagged rice chips and toasted coconut chips, ambient</t>
        </is>
      </c>
      <c r="BF163" t="inlineStr">
        <is>
          <t>N</t>
        </is>
      </c>
      <c r="BG163" t="inlineStr">
        <is>
          <t>Y</t>
        </is>
      </c>
      <c r="BH163" t="inlineStr">
        <is>
          <t>unknown</t>
        </is>
      </c>
      <c r="BJ163" t="inlineStr">
        <is>
          <t>unknown</t>
        </is>
      </c>
      <c r="BK163" t="inlineStr">
        <is>
          <t>N</t>
        </is>
      </c>
      <c r="BL163" t="inlineStr">
        <is>
          <t>N</t>
        </is>
      </c>
      <c r="BN163" t="n">
        <v>0</v>
      </c>
      <c r="BO163" t="inlineStr">
        <is>
          <t>Y</t>
        </is>
      </c>
      <c r="BP163" t="n">
        <v>1</v>
      </c>
      <c r="BQ163" t="inlineStr">
        <is>
          <t>Whole Foods Market Union Square, 4 Union Sq S (store_selector, inside)</t>
        </is>
      </c>
      <c r="BS163" t="inlineStr">
        <is>
          <t>Whole Foods Market</t>
        </is>
      </c>
      <c r="BT163" t="inlineStr">
        <is>
          <t>https://www.wholefoodsmarket.com/search?text=rice%20crackers (Union Square context: Dang Sticky Rice Chips Original and Coconut Crunch 3.5 oz IN_STOCK, category search 2026-10-23)</t>
        </is>
      </c>
      <c r="BU163" t="inlineStr">
        <is>
          <t>none</t>
        </is>
      </c>
      <c r="CF163" t="inlineStr">
        <is>
          <t>none</t>
        </is>
      </c>
      <c r="CK163" t="inlineStr">
        <is>
          <t>none</t>
        </is>
      </c>
      <c r="CL163" t="n">
        <v>38</v>
      </c>
      <c r="CM163" t="n">
        <v>25</v>
      </c>
      <c r="CN163" t="n">
        <v>3</v>
      </c>
      <c r="CO163" t="n">
        <v>0</v>
      </c>
      <c r="CP163" t="n">
        <v>5</v>
      </c>
      <c r="CQ163" t="n">
        <v>7</v>
      </c>
      <c r="CR163" t="n">
        <v>0</v>
      </c>
      <c r="CS163">
        <f>IF(R163="Y",10,0)</f>
        <v/>
      </c>
      <c r="CT163" t="n">
        <v>-2</v>
      </c>
      <c r="CU163" t="inlineStr">
        <is>
          <t>unknown</t>
        </is>
      </c>
      <c r="CV163" t="inlineStr">
        <is>
          <t>BR1</t>
        </is>
      </c>
      <c r="CW163" t="inlineStr">
        <is>
          <t>BR1:51</t>
        </is>
      </c>
      <c r="CX163" t="inlineStr">
        <is>
          <t>Brand story says the founders lived between NYC and Bangkok.</t>
        </is>
      </c>
      <c r="DA163" t="inlineStr">
        <is>
          <t>stage 1 only</t>
        </is>
      </c>
      <c r="DY163">
        <f>IF(ISNUMBER(MATCH(U163,{"queued","contacted","replied","call_booked","call_done","yes_in_principle","materials_sent"},0)),"Y","N")</f>
        <v/>
      </c>
      <c r="DZ163">
        <f>IF(COUNTIFS($AN$2:$AN$1000,AN163,$DY$2:$DY$1000,"Y")+COUNTIFS($AN$2:$AN$1000,AN163,$T$2:$T$1000,"Y")&gt;0,"Y","N")</f>
        <v/>
      </c>
      <c r="EA163">
        <f>IF(AND(U163="new",T163="N",AR163="Y",AQ163="",DZ163="N"),"Y","N")</f>
        <v/>
      </c>
      <c r="EB163">
        <f>IF(EA163&lt;&gt;"Y","N",IF(COUNTIFS($AN$2:$AN$1000,AN163,$EA$2:$EA$1000,"Y",$J$2:$J$1000,"&gt;"&amp;J163)+COUNTIFS($AN$2:$AN$1000,AN163,$EA$2:$EA$1000,"Y",$J$2:$J$1000,J163,$ED$2:$ED$1000,"&lt;"&amp;ED163)=0,"Y","N"))</f>
        <v/>
      </c>
      <c r="EC163">
        <f>IF(Y163="","N",IF(Y163&lt;=10,"Y","N"))</f>
        <v/>
      </c>
      <c r="ED163">
        <f>ROW()-1</f>
        <v/>
      </c>
    </row>
    <row r="164">
      <c r="A164" t="inlineStr">
        <is>
          <t>AB-051</t>
        </is>
      </c>
      <c r="B164" t="inlineStr">
        <is>
          <t>Humble Potato Chips Co.</t>
        </is>
      </c>
      <c r="H164" t="inlineStr">
        <is>
          <t>none</t>
        </is>
      </c>
      <c r="J164">
        <f>IF(AU164="pass",CM164+CN164+CO164+CP164+CQ164+CR164+CS164+CT164,0)</f>
        <v/>
      </c>
      <c r="K164" t="inlineStr">
        <is>
          <t>Brand based outside the Northeast (HQ unverified), store page shows Whole Foods Market NoMad inside the cluster, no dated why-now in the last 12 months, revenue unknown, contact seen only in a snippet; founder review: other.</t>
        </is>
      </c>
      <c r="M164" t="inlineStr">
        <is>
          <t>Whole Foods Market NoMad, 63 Madison Ave</t>
        </is>
      </c>
      <c r="N164" t="inlineStr">
        <is>
          <t>store_selector</t>
        </is>
      </c>
      <c r="O164" t="inlineStr">
        <is>
          <t>Rumbles (ridged) line on WFM NYC shelves (undated)</t>
        </is>
      </c>
      <c r="P164" t="inlineStr">
        <is>
          <t>https://www.wholefoodsmarket.com/search?text=humble%20potato%20chips</t>
        </is>
      </c>
      <c r="R164" t="inlineStr">
        <is>
          <t>N</t>
        </is>
      </c>
      <c r="S164" t="inlineStr">
        <is>
          <t>unknown</t>
        </is>
      </c>
      <c r="T164" t="inlineStr">
        <is>
          <t>N</t>
        </is>
      </c>
      <c r="U164" t="inlineStr">
        <is>
          <t>new</t>
        </is>
      </c>
      <c r="V164" t="inlineStr">
        <is>
          <t>https://www.wholefoodsmarket.com/search?text=humble%20potato%20chips</t>
        </is>
      </c>
      <c r="W164" t="inlineStr">
        <is>
          <t>2026-10-23</t>
        </is>
      </c>
      <c r="X164" t="inlineStr">
        <is>
          <t>brand</t>
        </is>
      </c>
      <c r="Y164">
        <f>IF(EB164&lt;&gt;"Y","",COUNTIFS($EB$2:$EB$1000,"Y",$J$2:$J$1000,"&gt;"&amp;J164)+COUNTIFS($EB$2:$EB$1000,"Y",$J$2:$J$1000,J164,$ED$2:$ED$1000,"&lt;"&amp;ED164)+1)</f>
        <v/>
      </c>
      <c r="Z164" t="n">
        <v>163</v>
      </c>
      <c r="AA164" t="inlineStr">
        <is>
          <t>N</t>
        </is>
      </c>
      <c r="AB164" t="inlineStr">
        <is>
          <t>no person named on an opened page: not ready; before using the retailer line, check Whole Foods Market NoMad still lists it: https://www.wholefoodsmarket.com/search?text=Humble%20Potato%20Chips%20Co. with your store set to NoMad (catalogs change daily); founder review (other): read founder_review_reason first</t>
        </is>
      </c>
      <c r="AC164" t="inlineStr">
        <is>
          <t>founder</t>
        </is>
      </c>
      <c r="AD164" t="inlineStr">
        <is>
          <t>unverified</t>
        </is>
      </c>
      <c r="AE164" t="inlineStr">
        <is>
          <t>unknown</t>
        </is>
      </c>
      <c r="AG164" t="inlineStr">
        <is>
          <t>2026-10-23</t>
        </is>
      </c>
      <c r="AH164" t="inlineStr">
        <is>
          <t>Humble Organic Sea Salt Rumbles Potato Chips, 5 oz</t>
        </is>
      </c>
      <c r="AI164" t="inlineStr">
        <is>
          <t>chips-crisps</t>
        </is>
      </c>
      <c r="AJ164" t="inlineStr">
        <is>
          <t>Puslinch or Guelph (unverified, founder to confirm)</t>
        </is>
      </c>
      <c r="AL164" t="inlineStr">
        <is>
          <t>Y</t>
        </is>
      </c>
      <c r="AM164" t="inlineStr">
        <is>
          <t>Canadian brand; brand site shows only 'Coming Soon'; HQ and founders from search snippets only; no online store: buy path is the store only</t>
        </is>
      </c>
      <c r="AN164" t="inlineStr">
        <is>
          <t>AB-051</t>
        </is>
      </c>
      <c r="AO164" t="inlineStr">
        <is>
          <t>N</t>
        </is>
      </c>
      <c r="AR164">
        <f>IF(AND(AU164="pass",AO164&lt;&gt;"Y",C164&lt;&gt;""),"Y","N")</f>
        <v/>
      </c>
      <c r="AS164">
        <f>_xlfn.TEXTJOIN("; ",TRUE,IF(AU164&lt;&gt;"pass","gated out",""),IF(AO164="Y","on hold: "&amp;AP164,""),IF(C164="","no contact named on an opened page",""))</f>
        <v/>
      </c>
      <c r="AU164" t="inlineStr">
        <is>
          <t>pass</t>
        </is>
      </c>
      <c r="AW164" t="inlineStr">
        <is>
          <t>passes all hard gates</t>
        </is>
      </c>
      <c r="AX164" t="inlineStr">
        <is>
          <t>other</t>
        </is>
      </c>
      <c r="AY164" t="inlineStr">
        <is>
          <t>https://humblepotatochips.com</t>
        </is>
      </c>
      <c r="AZ164" t="inlineStr">
        <is>
          <t>ON (Canada)</t>
        </is>
      </c>
      <c r="BA164" t="inlineStr">
        <is>
          <t>elsewhere (unverified)</t>
        </is>
      </c>
      <c r="BB164" t="inlineStr">
        <is>
          <t>unknown</t>
        </is>
      </c>
      <c r="BD164" t="inlineStr">
        <is>
          <t>Y</t>
        </is>
      </c>
      <c r="BE164" t="inlineStr">
        <is>
          <t>Bagged organic potato chips, ambient</t>
        </is>
      </c>
      <c r="BF164" t="inlineStr">
        <is>
          <t>N</t>
        </is>
      </c>
      <c r="BG164" t="inlineStr">
        <is>
          <t>N</t>
        </is>
      </c>
      <c r="BH164" t="inlineStr">
        <is>
          <t>unknown</t>
        </is>
      </c>
      <c r="BJ164" t="inlineStr">
        <is>
          <t>unknown</t>
        </is>
      </c>
      <c r="BK164" t="inlineStr">
        <is>
          <t>N</t>
        </is>
      </c>
      <c r="BL164" t="inlineStr">
        <is>
          <t>N</t>
        </is>
      </c>
      <c r="BN164" t="n">
        <v>0</v>
      </c>
      <c r="BO164" t="inlineStr">
        <is>
          <t>Y</t>
        </is>
      </c>
      <c r="BP164" t="n">
        <v>3</v>
      </c>
      <c r="BQ164" t="inlineStr">
        <is>
          <t>Whole Foods Market NoMad, 63 Madison Ave (store_selector, inside);Whole Foods Market Union Square, 4 Union Sq S (store_selector, inside);Whole Foods Market Chelsea, 250 7th Ave (store_selector, 3.0 blocks out)</t>
        </is>
      </c>
      <c r="BS164" t="inlineStr">
        <is>
          <t>Whole Foods Market</t>
        </is>
      </c>
      <c r="BT164" t="inlineStr">
        <is>
          <t>https://www.wholefoodsmarket.com/search?text=humble%20potato%20chips (4 items IN_STOCK in each cluster store context, 2026-10-23)</t>
        </is>
      </c>
      <c r="BU164" t="inlineStr">
        <is>
          <t>none</t>
        </is>
      </c>
      <c r="BX164" t="inlineStr">
        <is>
          <t>Alicia Lahey</t>
        </is>
      </c>
      <c r="BY164" t="inlineStr">
        <is>
          <t>unverified, founder to confirm; search snippets</t>
        </is>
      </c>
      <c r="CA164" t="inlineStr">
        <is>
          <t>Jeff Lahey</t>
        </is>
      </c>
      <c r="CE164" t="inlineStr">
        <is>
          <t>co-founder</t>
        </is>
      </c>
      <c r="CF164" t="inlineStr">
        <is>
          <t>unverified</t>
        </is>
      </c>
      <c r="CG164" t="inlineStr">
        <is>
          <t>unverified, founder to confirm; search snippets</t>
        </is>
      </c>
      <c r="CK164" t="inlineStr">
        <is>
          <t>none</t>
        </is>
      </c>
      <c r="CL164" t="n">
        <v>38</v>
      </c>
      <c r="CM164" t="n">
        <v>25</v>
      </c>
      <c r="CN164" t="n">
        <v>3</v>
      </c>
      <c r="CO164" t="n">
        <v>0</v>
      </c>
      <c r="CP164" t="n">
        <v>5</v>
      </c>
      <c r="CQ164" t="n">
        <v>4</v>
      </c>
      <c r="CR164" t="n">
        <v>3</v>
      </c>
      <c r="CS164">
        <f>IF(R164="Y",10,0)</f>
        <v/>
      </c>
      <c r="CT164" t="n">
        <v>-2</v>
      </c>
      <c r="CU164" t="inlineStr">
        <is>
          <t>unknown</t>
        </is>
      </c>
      <c r="CV164" t="inlineStr">
        <is>
          <t>BR1</t>
        </is>
      </c>
      <c r="CW164" t="inlineStr">
        <is>
          <t>BR1:52</t>
        </is>
      </c>
      <c r="CX164" t="inlineStr">
        <is>
          <t>Strong NYC shelf presence; identity fields need a second pass.</t>
        </is>
      </c>
      <c r="DA164" t="inlineStr">
        <is>
          <t>stage 1 only</t>
        </is>
      </c>
      <c r="DC164" t="inlineStr">
        <is>
          <t>unknown</t>
        </is>
      </c>
      <c r="DY164">
        <f>IF(ISNUMBER(MATCH(U164,{"queued","contacted","replied","call_booked","call_done","yes_in_principle","materials_sent"},0)),"Y","N")</f>
        <v/>
      </c>
      <c r="DZ164">
        <f>IF(COUNTIFS($AN$2:$AN$1000,AN164,$DY$2:$DY$1000,"Y")+COUNTIFS($AN$2:$AN$1000,AN164,$T$2:$T$1000,"Y")&gt;0,"Y","N")</f>
        <v/>
      </c>
      <c r="EA164">
        <f>IF(AND(U164="new",T164="N",AR164="Y",AQ164="",DZ164="N"),"Y","N")</f>
        <v/>
      </c>
      <c r="EB164">
        <f>IF(EA164&lt;&gt;"Y","N",IF(COUNTIFS($AN$2:$AN$1000,AN164,$EA$2:$EA$1000,"Y",$J$2:$J$1000,"&gt;"&amp;J164)+COUNTIFS($AN$2:$AN$1000,AN164,$EA$2:$EA$1000,"Y",$J$2:$J$1000,J164,$ED$2:$ED$1000,"&lt;"&amp;ED164)=0,"Y","N"))</f>
        <v/>
      </c>
      <c r="EC164">
        <f>IF(Y164="","N",IF(Y164&lt;=10,"Y","N"))</f>
        <v/>
      </c>
      <c r="ED164">
        <f>ROW()-1</f>
        <v/>
      </c>
    </row>
    <row r="165">
      <c r="A165" t="inlineStr">
        <is>
          <t>AB-156</t>
        </is>
      </c>
      <c r="B165" t="inlineStr">
        <is>
          <t>Slate Milk</t>
        </is>
      </c>
      <c r="C165" t="inlineStr">
        <is>
          <t>Manny</t>
        </is>
      </c>
      <c r="D165" t="inlineStr">
        <is>
          <t>Lubin</t>
        </is>
      </c>
      <c r="E165" t="inlineStr">
        <is>
          <t>Co-founder</t>
        </is>
      </c>
      <c r="H165" t="inlineStr">
        <is>
          <t>none</t>
        </is>
      </c>
      <c r="I165" t="inlineStr">
        <is>
          <t>linkedin</t>
        </is>
      </c>
      <c r="J165">
        <f>IF(AU165="pass",CM165+CN165+CO165+CP165+CQ165+CR165+CS165+CT165,0)</f>
        <v/>
      </c>
      <c r="K165" t="inlineStr">
        <is>
          <t>Northeast brand, no graded store within ten blocks, online store only, news 66 days ago, revenue unknown, contact named; founder review: scale, claim-borderline.</t>
        </is>
      </c>
      <c r="M165" t="inlineStr">
        <is>
          <t>none found within ten blocks</t>
        </is>
      </c>
      <c r="N165" t="inlineStr">
        <is>
          <t>unverified</t>
        </is>
      </c>
      <c r="O165" t="inlineStr">
        <is>
          <t>LAGO completed a strategic financing facility for Slate (2026-08-19, size not disclosed); raised a 23M Series B to scale US retail distribution (2025-09-22)</t>
        </is>
      </c>
      <c r="P165" t="inlineStr">
        <is>
          <t>https://www.abfjournal.com/?p=171272</t>
        </is>
      </c>
      <c r="Q165" t="inlineStr">
        <is>
          <t>2026-08-19</t>
        </is>
      </c>
      <c r="R165" t="inlineStr">
        <is>
          <t>N</t>
        </is>
      </c>
      <c r="S165" t="inlineStr">
        <is>
          <t>unknown</t>
        </is>
      </c>
      <c r="T165" t="inlineStr">
        <is>
          <t>N</t>
        </is>
      </c>
      <c r="U165" t="inlineStr">
        <is>
          <t>new</t>
        </is>
      </c>
      <c r="V165" t="inlineStr">
        <is>
          <t>https://slatemilk.com/pages/our-story</t>
        </is>
      </c>
      <c r="W165" t="inlineStr">
        <is>
          <t>2026-10-23</t>
        </is>
      </c>
      <c r="X165" t="inlineStr">
        <is>
          <t>brand</t>
        </is>
      </c>
      <c r="Y165">
        <f>IF(EB165&lt;&gt;"Y","",COUNTIFS($EB$2:$EB$1000,"Y",$J$2:$J$1000,"&gt;"&amp;J165)+COUNTIFS($EB$2:$EB$1000,"Y",$J$2:$J$1000,J165,$ED$2:$ED$1000,"&lt;"&amp;ED165)+1)</f>
        <v/>
      </c>
      <c r="Z165" t="n">
        <v>164</v>
      </c>
      <c r="AA165" t="inlineStr">
        <is>
          <t>N</t>
        </is>
      </c>
      <c r="AB165" t="inlineStr">
        <is>
          <t>find Manny Lubin at Slate Milk on LinkedIn and paste the profile URL; founder review (scale, claim-borderline): read founder_review_reason first</t>
        </is>
      </c>
      <c r="AC165" t="inlineStr">
        <is>
          <t>founder</t>
        </is>
      </c>
      <c r="AD165" t="inlineStr">
        <is>
          <t>verified-page</t>
        </is>
      </c>
      <c r="AE165" t="inlineStr">
        <is>
          <t>employer's own site</t>
        </is>
      </c>
      <c r="AF165" t="inlineStr">
        <is>
          <t>https://slatemilk.com/pages/our-story</t>
        </is>
      </c>
      <c r="AG165" t="inlineStr">
        <is>
          <t>2026-10-23</t>
        </is>
      </c>
      <c r="AH165" t="inlineStr">
        <is>
          <t>Slate 20g Protein Milk Shake / Protein Iced Coffee, can</t>
        </is>
      </c>
      <c r="AI165" t="inlineStr">
        <is>
          <t>other-drink</t>
        </is>
      </c>
      <c r="AJ165" t="inlineStr">
        <is>
          <t>Boston area (Westwood, MA mailing address; press says Boston-based)</t>
        </is>
      </c>
      <c r="AK165" t="inlineStr">
        <is>
          <t>https://slatemilk.com</t>
        </is>
      </c>
      <c r="AL165" t="inlineStr">
        <is>
          <t>Y</t>
        </is>
      </c>
      <c r="AM165" t="inlineStr">
        <is>
          <t>Protein positioning (20g to 42g protein, 0g added sugar) is a nutrient-content claim; dairy product (lactose-free) needs allergen care; possibly above $10M (no figure)</t>
        </is>
      </c>
      <c r="AN165" t="inlineStr">
        <is>
          <t>AB-156</t>
        </is>
      </c>
      <c r="AO165" t="inlineStr">
        <is>
          <t>N</t>
        </is>
      </c>
      <c r="AR165">
        <f>IF(AND(AU165="pass",AO165&lt;&gt;"Y",C165&lt;&gt;""),"Y","N")</f>
        <v/>
      </c>
      <c r="AS165">
        <f>_xlfn.TEXTJOIN("; ",TRUE,IF(AU165&lt;&gt;"pass","gated out",""),IF(AO165="Y","on hold: "&amp;AP165,""),IF(C165="","no contact named on an opened page",""))</f>
        <v/>
      </c>
      <c r="AU165" t="inlineStr">
        <is>
          <t>pass</t>
        </is>
      </c>
      <c r="AW165" t="inlineStr">
        <is>
          <t>passes all hard gates</t>
        </is>
      </c>
      <c r="AX165" t="inlineStr">
        <is>
          <t>scale;claim-borderline</t>
        </is>
      </c>
      <c r="AY165" t="inlineStr">
        <is>
          <t>https://slatemilk.com</t>
        </is>
      </c>
      <c r="AZ165" t="inlineStr">
        <is>
          <t>MA</t>
        </is>
      </c>
      <c r="BA165" t="inlineStr">
        <is>
          <t>northeast</t>
        </is>
      </c>
      <c r="BB165" t="inlineStr">
        <is>
          <t>Series B (23M, 2025-09); debt facility from LAGO (2026-08)</t>
        </is>
      </c>
      <c r="BD165" t="inlineStr">
        <is>
          <t>Y</t>
        </is>
      </c>
      <c r="BE165" t="inlineStr">
        <is>
          <t>Brand FAQ: 'Our Slate Cans do NOT require refrigeration and remain shelf-stable in your cabinet for months' (slatemilk.com/pages/slate-faqs, opened 2026-10-23)</t>
        </is>
      </c>
      <c r="BF165" t="inlineStr">
        <is>
          <t>Y</t>
        </is>
      </c>
      <c r="BG165" t="inlineStr">
        <is>
          <t>Y</t>
        </is>
      </c>
      <c r="BH165" t="inlineStr">
        <is>
          <t>unknown</t>
        </is>
      </c>
      <c r="BJ165" t="inlineStr">
        <is>
          <t>No public sales figure found</t>
        </is>
      </c>
      <c r="BK165" t="inlineStr">
        <is>
          <t>N</t>
        </is>
      </c>
      <c r="BL165" t="inlineStr">
        <is>
          <t>N</t>
        </is>
      </c>
      <c r="BO165" t="inlineStr">
        <is>
          <t>N</t>
        </is>
      </c>
      <c r="BP165" t="n">
        <v>0</v>
      </c>
      <c r="BS165" t="inlineStr">
        <is>
          <t>unknown (GoToAisle 'Find Stores' widget not readable)</t>
        </is>
      </c>
      <c r="BU165" t="inlineStr">
        <is>
          <t>press</t>
        </is>
      </c>
      <c r="BV165" t="n">
        <v>66</v>
      </c>
      <c r="BX165" t="inlineStr">
        <is>
          <t>Manny Lubin</t>
        </is>
      </c>
      <c r="CA165" t="inlineStr">
        <is>
          <t>Josh Belinsky</t>
        </is>
      </c>
      <c r="CB165" t="inlineStr">
        <is>
          <t>Josh</t>
        </is>
      </c>
      <c r="CC165" t="inlineStr">
        <is>
          <t>Belinsky</t>
        </is>
      </c>
      <c r="CD165" t="inlineStr">
        <is>
          <t>Co-founder</t>
        </is>
      </c>
      <c r="CE165" t="inlineStr">
        <is>
          <t>co-founder</t>
        </is>
      </c>
      <c r="CF165" t="inlineStr">
        <is>
          <t>verified-page</t>
        </is>
      </c>
      <c r="CK165" t="inlineStr">
        <is>
          <t>none</t>
        </is>
      </c>
      <c r="CL165" t="n">
        <v>38</v>
      </c>
      <c r="CM165" t="n">
        <v>6</v>
      </c>
      <c r="CN165" t="n">
        <v>8</v>
      </c>
      <c r="CO165" t="n">
        <v>15</v>
      </c>
      <c r="CP165" t="n">
        <v>5</v>
      </c>
      <c r="CQ165" t="n">
        <v>10</v>
      </c>
      <c r="CR165" t="n">
        <v>6</v>
      </c>
      <c r="CS165">
        <f>IF(R165="Y",10,0)</f>
        <v/>
      </c>
      <c r="CT165" t="n">
        <v>-12</v>
      </c>
      <c r="CU165" t="inlineStr">
        <is>
          <t>https://www.instagram.com/slatemilk</t>
        </is>
      </c>
      <c r="CV165" t="inlineStr">
        <is>
          <t>BR3</t>
        </is>
      </c>
      <c r="CW165" t="inlineStr">
        <is>
          <t>BR3:30</t>
        </is>
      </c>
      <c r="CX165" t="inlineStr">
        <is>
          <t>Story page: Kickstarter, then ABC Shark Tank appearance. HQ not stated on pages read. Date is Shopify publish date.</t>
        </is>
      </c>
      <c r="CY165" t="inlineStr">
        <is>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t>
        </is>
      </c>
      <c r="CZ165" t="inlineStr">
        <is>
          <t>https://slatemilk.com/pages/our-story</t>
        </is>
      </c>
      <c r="DA165" t="inlineStr">
        <is>
          <t>stage 1 only</t>
        </is>
      </c>
      <c r="DC165" t="inlineStr">
        <is>
          <t>employer's own site</t>
        </is>
      </c>
      <c r="DY165">
        <f>IF(ISNUMBER(MATCH(U165,{"queued","contacted","replied","call_booked","call_done","yes_in_principle","materials_sent"},0)),"Y","N")</f>
        <v/>
      </c>
      <c r="DZ165">
        <f>IF(COUNTIFS($AN$2:$AN$1000,AN165,$DY$2:$DY$1000,"Y")+COUNTIFS($AN$2:$AN$1000,AN165,$T$2:$T$1000,"Y")&gt;0,"Y","N")</f>
        <v/>
      </c>
      <c r="EA165">
        <f>IF(AND(U165="new",T165="N",AR165="Y",AQ165="",DZ165="N"),"Y","N")</f>
        <v/>
      </c>
      <c r="EB165">
        <f>IF(EA165&lt;&gt;"Y","N",IF(COUNTIFS($AN$2:$AN$1000,AN165,$EA$2:$EA$1000,"Y",$J$2:$J$1000,"&gt;"&amp;J165)+COUNTIFS($AN$2:$AN$1000,AN165,$EA$2:$EA$1000,"Y",$J$2:$J$1000,J165,$ED$2:$ED$1000,"&lt;"&amp;ED165)=0,"Y","N"))</f>
        <v/>
      </c>
      <c r="EC165">
        <f>IF(Y165="","N",IF(Y165&lt;=10,"Y","N"))</f>
        <v/>
      </c>
      <c r="ED165">
        <f>ROW()-1</f>
        <v/>
      </c>
    </row>
    <row r="166">
      <c r="A166" t="inlineStr">
        <is>
          <t>AB-165</t>
        </is>
      </c>
      <c r="B166" t="inlineStr">
        <is>
          <t>Elmhurst 1925</t>
        </is>
      </c>
      <c r="C166" t="inlineStr">
        <is>
          <t>Henry</t>
        </is>
      </c>
      <c r="D166" t="inlineStr">
        <is>
          <t>Schwartz</t>
        </is>
      </c>
      <c r="E166" t="inlineStr">
        <is>
          <t>Founder</t>
        </is>
      </c>
      <c r="H166" t="inlineStr">
        <is>
          <t>none</t>
        </is>
      </c>
      <c r="I166" t="inlineStr">
        <is>
          <t>linkedin</t>
        </is>
      </c>
      <c r="J166">
        <f>IF(AU166="pass",CM166+CN166+CO166+CP166+CQ166+CR166+CS166+CT166,0)</f>
        <v/>
      </c>
      <c r="K166" t="inlineStr">
        <is>
          <t>New York State brand, no graded store within ten blocks, online store only, a new store listing 130 days ago, revenue unknown, contact named; founder review: scale, claim-borderline.</t>
        </is>
      </c>
      <c r="M166" t="inlineStr">
        <is>
          <t>none found within ten blocks</t>
        </is>
      </c>
      <c r="N166" t="inlineStr">
        <is>
          <t>unverified</t>
        </is>
      </c>
      <c r="O166" t="inlineStr">
        <is>
          <t>Good Housekeeping 2026 Snack Awards named Clean Protein Pistachio Creme Best Protein Drink; Clean Protein line nationwide at Sprouts (press page)</t>
        </is>
      </c>
      <c r="P166" t="inlineStr">
        <is>
          <t>https://elmhurst1925.com/blogs/press</t>
        </is>
      </c>
      <c r="Q166" t="inlineStr">
        <is>
          <t>2026-06-16</t>
        </is>
      </c>
      <c r="R166" t="inlineStr">
        <is>
          <t>N</t>
        </is>
      </c>
      <c r="S166" t="inlineStr">
        <is>
          <t>unknown</t>
        </is>
      </c>
      <c r="T166" t="inlineStr">
        <is>
          <t>N</t>
        </is>
      </c>
      <c r="U166" t="inlineStr">
        <is>
          <t>new</t>
        </is>
      </c>
      <c r="V166" t="inlineStr">
        <is>
          <t>https://elmhurst1925.com/pages/our-story</t>
        </is>
      </c>
      <c r="W166" t="inlineStr">
        <is>
          <t>2026-10-23</t>
        </is>
      </c>
      <c r="X166" t="inlineStr">
        <is>
          <t>brand</t>
        </is>
      </c>
      <c r="Y166">
        <f>IF(EB166&lt;&gt;"Y","",COUNTIFS($EB$2:$EB$1000,"Y",$J$2:$J$1000,"&gt;"&amp;J166)+COUNTIFS($EB$2:$EB$1000,"Y",$J$2:$J$1000,J166,$ED$2:$ED$1000,"&lt;"&amp;ED166)+1)</f>
        <v/>
      </c>
      <c r="Z166" t="n">
        <v>165</v>
      </c>
      <c r="AA166" t="inlineStr">
        <is>
          <t>N</t>
        </is>
      </c>
      <c r="AB166" t="inlineStr">
        <is>
          <t>find Henry Schwartz at Elmhurst 1925 on LinkedIn and paste the profile URL; founder review (scale, claim-borderline): read founder_review_reason first</t>
        </is>
      </c>
      <c r="AC166" t="inlineStr">
        <is>
          <t>founder</t>
        </is>
      </c>
      <c r="AD166" t="inlineStr">
        <is>
          <t>verified-page</t>
        </is>
      </c>
      <c r="AE166" t="inlineStr">
        <is>
          <t>employer's own site</t>
        </is>
      </c>
      <c r="AF166" t="inlineStr">
        <is>
          <t>https://elmhurst1925.com/pages/our-story</t>
        </is>
      </c>
      <c r="AG166" t="inlineStr">
        <is>
          <t>2026-10-23</t>
        </is>
      </c>
      <c r="AH166" t="inlineStr">
        <is>
          <t>Elmhurst Clean Protein Pistachio Creme plant-based protein drink</t>
        </is>
      </c>
      <c r="AI166" t="inlineStr">
        <is>
          <t>other-drink</t>
        </is>
      </c>
      <c r="AJ166" t="inlineStr">
        <is>
          <t>Elma</t>
        </is>
      </c>
      <c r="AK166" t="inlineStr">
        <is>
          <t>https://elmhurst1925.com</t>
        </is>
      </c>
      <c r="AL166" t="inlineStr">
        <is>
          <t>Y</t>
        </is>
      </c>
      <c r="AM166" t="inlineStr">
        <is>
          <t>Protein positioning (nutrient-content claims); plant-milk maker whose single-serve format is not confirmed; tree-nut and other allergens; may be above $10M (no figure). Destini locator not readable</t>
        </is>
      </c>
      <c r="AN166" t="inlineStr">
        <is>
          <t>AB-165</t>
        </is>
      </c>
      <c r="AO166" t="inlineStr">
        <is>
          <t>N</t>
        </is>
      </c>
      <c r="AR166">
        <f>IF(AND(AU166="pass",AO166&lt;&gt;"Y",C166&lt;&gt;""),"Y","N")</f>
        <v/>
      </c>
      <c r="AS166">
        <f>_xlfn.TEXTJOIN("; ",TRUE,IF(AU166&lt;&gt;"pass","gated out",""),IF(AO166="Y","on hold: "&amp;AP166,""),IF(C166="","no contact named on an opened page",""))</f>
        <v/>
      </c>
      <c r="AU166" t="inlineStr">
        <is>
          <t>pass</t>
        </is>
      </c>
      <c r="AW166" t="inlineStr">
        <is>
          <t>passes all hard gates</t>
        </is>
      </c>
      <c r="AX166" t="inlineStr">
        <is>
          <t>scale;claim-borderline</t>
        </is>
      </c>
      <c r="AY166" t="inlineStr">
        <is>
          <t>https://elmhurst1925.com</t>
        </is>
      </c>
      <c r="AZ166" t="inlineStr">
        <is>
          <t>NY</t>
        </is>
      </c>
      <c r="BA166" t="inlineStr">
        <is>
          <t>nys</t>
        </is>
      </c>
      <c r="BB166" t="inlineStr">
        <is>
          <t>unknown</t>
        </is>
      </c>
      <c r="BD166" t="inlineStr">
        <is>
          <t>Y</t>
        </is>
      </c>
      <c r="BE166" t="inlineStr">
        <is>
          <t>Brand FAQ: 'DO I HAVE TO REFRIGERATE MY CARTON? Nope! If the carton or bottle is unopened...' (elmhurst1925.com/pages/faq, opened 2026-10-23)</t>
        </is>
      </c>
      <c r="BF166" t="inlineStr">
        <is>
          <t>unknown</t>
        </is>
      </c>
      <c r="BG166" t="inlineStr">
        <is>
          <t>Y</t>
        </is>
      </c>
      <c r="BH166" t="inlineStr">
        <is>
          <t>unknown</t>
        </is>
      </c>
      <c r="BJ166" t="inlineStr">
        <is>
          <t>No public sales figure found</t>
        </is>
      </c>
      <c r="BK166" t="inlineStr">
        <is>
          <t>N</t>
        </is>
      </c>
      <c r="BL166" t="inlineStr">
        <is>
          <t>N</t>
        </is>
      </c>
      <c r="BO166" t="inlineStr">
        <is>
          <t>N</t>
        </is>
      </c>
      <c r="BP166" t="n">
        <v>0</v>
      </c>
      <c r="BR166" t="inlineStr">
        <is>
          <t>Pop Up Grocer (brand_claim, unplaced)</t>
        </is>
      </c>
      <c r="BS166" t="inlineStr">
        <is>
          <t>Sprouts Farmers Market (Clean Protein nationwide, 2026 press); Pop Up Grocer NYC Flagship, 205 Bleecker St (retailer directory)</t>
        </is>
      </c>
      <c r="BT166" t="inlineStr">
        <is>
          <t>https://elmhurst1925.com/blogs/press; https://popupgrocer.com/products/elmhurst-1925</t>
        </is>
      </c>
      <c r="BU166" t="inlineStr">
        <is>
          <t>listing</t>
        </is>
      </c>
      <c r="BV166" t="n">
        <v>130</v>
      </c>
      <c r="BX166" t="inlineStr">
        <is>
          <t>Henry Schwartz</t>
        </is>
      </c>
      <c r="CA166" t="inlineStr">
        <is>
          <t>Christie Hartman</t>
        </is>
      </c>
      <c r="CB166" t="inlineStr">
        <is>
          <t>Christie</t>
        </is>
      </c>
      <c r="CC166" t="inlineStr">
        <is>
          <t>Hartman</t>
        </is>
      </c>
      <c r="CD166" t="inlineStr">
        <is>
          <t>Brand Manager</t>
        </is>
      </c>
      <c r="CE166" t="inlineStr">
        <is>
          <t>marketing</t>
        </is>
      </c>
      <c r="CF166" t="inlineStr">
        <is>
          <t>verified-page</t>
        </is>
      </c>
      <c r="CK166" t="inlineStr">
        <is>
          <t>none</t>
        </is>
      </c>
      <c r="CL166" t="n">
        <v>38</v>
      </c>
      <c r="CM166" t="n">
        <v>6</v>
      </c>
      <c r="CN166" t="n">
        <v>13</v>
      </c>
      <c r="CO166" t="n">
        <v>8</v>
      </c>
      <c r="CP166" t="n">
        <v>5</v>
      </c>
      <c r="CQ166" t="n">
        <v>8</v>
      </c>
      <c r="CR166" t="n">
        <v>10</v>
      </c>
      <c r="CS166">
        <f>IF(R166="Y",10,0)</f>
        <v/>
      </c>
      <c r="CT166" t="n">
        <v>-12</v>
      </c>
      <c r="CU166" t="inlineStr">
        <is>
          <t>https://www.instagram.com/elmhurst1925</t>
        </is>
      </c>
      <c r="CV166" t="inlineStr">
        <is>
          <t>BR3</t>
        </is>
      </c>
      <c r="CW166" t="inlineStr">
        <is>
          <t>BR3:39</t>
        </is>
      </c>
      <c r="CX166" t="inlineStr">
        <is>
          <t>Our-story: relaunch of New York City's last dairy, Elmhurst (Queens and Brooklyn milk delivery). Current HQ and plant location not stated on pages read (founder to confirm). Clean Protein SKUs listed 2026-02-27.</t>
        </is>
      </c>
      <c r="CY166" t="inlineStr">
        <is>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t>
        </is>
      </c>
      <c r="CZ166" t="inlineStr">
        <is>
          <t>https://attend.expowest.com/event/natural-products-expo-west-2026/exhibitor/RXhoaWJpdG9yXzIzNTc0MjA=</t>
        </is>
      </c>
      <c r="DA166" t="inlineStr">
        <is>
          <t>stage 1 only</t>
        </is>
      </c>
      <c r="DC166" t="inlineStr">
        <is>
          <t>press, event or podcast page</t>
        </is>
      </c>
      <c r="DY166">
        <f>IF(ISNUMBER(MATCH(U166,{"queued","contacted","replied","call_booked","call_done","yes_in_principle","materials_sent"},0)),"Y","N")</f>
        <v/>
      </c>
      <c r="DZ166">
        <f>IF(COUNTIFS($AN$2:$AN$1000,AN166,$DY$2:$DY$1000,"Y")+COUNTIFS($AN$2:$AN$1000,AN166,$T$2:$T$1000,"Y")&gt;0,"Y","N")</f>
        <v/>
      </c>
      <c r="EA166">
        <f>IF(AND(U166="new",T166="N",AR166="Y",AQ166="",DZ166="N"),"Y","N")</f>
        <v/>
      </c>
      <c r="EB166">
        <f>IF(EA166&lt;&gt;"Y","N",IF(COUNTIFS($AN$2:$AN$1000,AN166,$EA$2:$EA$1000,"Y",$J$2:$J$1000,"&gt;"&amp;J166)+COUNTIFS($AN$2:$AN$1000,AN166,$EA$2:$EA$1000,"Y",$J$2:$J$1000,J166,$ED$2:$ED$1000,"&lt;"&amp;ED166)=0,"Y","N"))</f>
        <v/>
      </c>
      <c r="EC166">
        <f>IF(Y166="","N",IF(Y166&lt;=10,"Y","N"))</f>
        <v/>
      </c>
      <c r="ED166">
        <f>ROW()-1</f>
        <v/>
      </c>
    </row>
    <row r="167">
      <c r="A167" t="inlineStr">
        <is>
          <t>AB-180</t>
        </is>
      </c>
      <c r="B167" t="inlineStr">
        <is>
          <t>MODA Mocktails</t>
        </is>
      </c>
      <c r="C167" t="inlineStr">
        <is>
          <t>Grace</t>
        </is>
      </c>
      <c r="D167" t="inlineStr">
        <is>
          <t>Hachigian</t>
        </is>
      </c>
      <c r="E167" t="inlineStr">
        <is>
          <t>Co-founder</t>
        </is>
      </c>
      <c r="H167" t="inlineStr">
        <is>
          <t>none</t>
        </is>
      </c>
      <c r="I167" t="inlineStr">
        <is>
          <t>linkedin</t>
        </is>
      </c>
      <c r="J167">
        <f>IF(AU167="pass",CM167+CN167+CO167+CP167+CQ167+CR167+CS167+CT167,0)</f>
        <v/>
      </c>
      <c r="K167" t="inlineStr">
        <is>
          <t>Brand based outside the Northeast, no graded store within ten blocks, online store only, a new store listing 16 days ago, revenue in band, contact named; founder review: other.</t>
        </is>
      </c>
      <c r="M167" t="inlineStr">
        <is>
          <t>none found within ten blocks</t>
        </is>
      </c>
      <c r="N167" t="inlineStr">
        <is>
          <t>unverified</t>
        </is>
      </c>
      <c r="O167" t="inlineStr">
        <is>
          <t>Featured in Entrepreneur (2026-10-08): 500k revenue since launch, co-founder Grace Hachigian runs the East Coast from NYC; added to Pop Up Grocer NYC Flagship directory 2026-09-29</t>
        </is>
      </c>
      <c r="P167" t="inlineStr">
        <is>
          <t>https://www.entrepreneur.com/building-a-business/this-mother-daughter-duo-started-a-sparkling-side-hustle-that-made-500000-in-less-than-a-year</t>
        </is>
      </c>
      <c r="Q167" t="inlineStr">
        <is>
          <t>2026-10-08</t>
        </is>
      </c>
      <c r="R167" t="inlineStr">
        <is>
          <t>N</t>
        </is>
      </c>
      <c r="S167" t="inlineStr">
        <is>
          <t>unknown</t>
        </is>
      </c>
      <c r="T167" t="inlineStr">
        <is>
          <t>N</t>
        </is>
      </c>
      <c r="U167" t="inlineStr">
        <is>
          <t>new</t>
        </is>
      </c>
      <c r="V167" t="inlineStr">
        <is>
          <t>https://modamocktails.com/about-us-2/</t>
        </is>
      </c>
      <c r="W167" t="inlineStr">
        <is>
          <t>2026-10-23</t>
        </is>
      </c>
      <c r="X167" t="inlineStr">
        <is>
          <t>brand</t>
        </is>
      </c>
      <c r="Y167">
        <f>IF(EB167&lt;&gt;"Y","",COUNTIFS($EB$2:$EB$1000,"Y",$J$2:$J$1000,"&gt;"&amp;J167)+COUNTIFS($EB$2:$EB$1000,"Y",$J$2:$J$1000,J167,$ED$2:$ED$1000,"&lt;"&amp;ED167)+1)</f>
        <v/>
      </c>
      <c r="Z167" t="n">
        <v>166</v>
      </c>
      <c r="AA167" t="inlineStr">
        <is>
          <t>N</t>
        </is>
      </c>
      <c r="AB167" t="inlineStr">
        <is>
          <t>find Grace Hachigian at MODA Mocktails on LinkedIn and paste the profile URL; founder review (other): read founder_review_reason first</t>
        </is>
      </c>
      <c r="AC167" t="inlineStr">
        <is>
          <t>founder</t>
        </is>
      </c>
      <c r="AD167" t="inlineStr">
        <is>
          <t>verified-page</t>
        </is>
      </c>
      <c r="AE167" t="inlineStr">
        <is>
          <t>press, event or podcast page</t>
        </is>
      </c>
      <c r="AF167" t="inlineStr">
        <is>
          <t>https://www.entrepreneur.com/building-a-business/this-mother-daughter-duo-started-a-sparkling-side-hustle-that-made-500000-in-less-than-a-year</t>
        </is>
      </c>
      <c r="AG167" t="inlineStr">
        <is>
          <t>2026-10-23</t>
        </is>
      </c>
      <c r="AH167" t="inlineStr">
        <is>
          <t>MODA non-alcoholic canned mocktail</t>
        </is>
      </c>
      <c r="AI167" t="inlineStr">
        <is>
          <t>other-drink</t>
        </is>
      </c>
      <c r="AJ167" t="inlineStr">
        <is>
          <t>Newport Beach</t>
        </is>
      </c>
      <c r="AK167" t="inlineStr">
        <is>
          <t>https://modamocktails.com/shop</t>
        </is>
      </c>
      <c r="AL167" t="inlineStr">
        <is>
          <t>Y</t>
        </is>
      </c>
      <c r="AM167" t="inlineStr">
        <is>
          <t>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is>
      </c>
      <c r="AN167" t="inlineStr">
        <is>
          <t>AB-180</t>
        </is>
      </c>
      <c r="AO167" t="inlineStr">
        <is>
          <t>N</t>
        </is>
      </c>
      <c r="AR167">
        <f>IF(AND(AU167="pass",AO167&lt;&gt;"Y",C167&lt;&gt;""),"Y","N")</f>
        <v/>
      </c>
      <c r="AS167">
        <f>_xlfn.TEXTJOIN("; ",TRUE,IF(AU167&lt;&gt;"pass","gated out",""),IF(AO167="Y","on hold: "&amp;AP167,""),IF(C167="","no contact named on an opened page",""))</f>
        <v/>
      </c>
      <c r="AU167" t="inlineStr">
        <is>
          <t>pass</t>
        </is>
      </c>
      <c r="AW167" t="inlineStr">
        <is>
          <t>passes all hard gates</t>
        </is>
      </c>
      <c r="AX167" t="inlineStr">
        <is>
          <t>other</t>
        </is>
      </c>
      <c r="AY167" t="inlineStr">
        <is>
          <t>https://modamocktails.com</t>
        </is>
      </c>
      <c r="AZ167" t="inlineStr">
        <is>
          <t>CA</t>
        </is>
      </c>
      <c r="BA167" t="inlineStr">
        <is>
          <t>elsewhere</t>
        </is>
      </c>
      <c r="BB167" t="inlineStr">
        <is>
          <t>unknown</t>
        </is>
      </c>
      <c r="BD167" t="inlineStr">
        <is>
          <t>unknown</t>
        </is>
      </c>
      <c r="BE167" t="inlineStr">
        <is>
          <t>No storage statement in FAQ</t>
        </is>
      </c>
      <c r="BF167" t="inlineStr">
        <is>
          <t>Y</t>
        </is>
      </c>
      <c r="BG167" t="inlineStr">
        <is>
          <t>Y</t>
        </is>
      </c>
      <c r="BH167" t="inlineStr">
        <is>
          <t>500k-10m</t>
        </is>
      </c>
      <c r="BI167" t="inlineStr">
        <is>
          <t>press quote, cumulative since launch (edge of band)</t>
        </is>
      </c>
      <c r="BJ167" t="inlineStr">
        <is>
          <t>Entrepreneur 2026-10-08: MODA has hit $500,000 in revenue since launch earlier this year; $3 million to $5 million projected for 2027 (projection); founders personally invested over $500,000 | about 500k since launch in 2026 (press quote)</t>
        </is>
      </c>
      <c r="BK167" t="inlineStr">
        <is>
          <t>N</t>
        </is>
      </c>
      <c r="BL167" t="inlineStr">
        <is>
          <t>N</t>
        </is>
      </c>
      <c r="BO167" t="inlineStr">
        <is>
          <t>N</t>
        </is>
      </c>
      <c r="BP167" t="n">
        <v>0</v>
      </c>
      <c r="BR167" t="inlineStr">
        <is>
          <t>Pop Up Grocer (brand_claim, unplaced)</t>
        </is>
      </c>
      <c r="BS167" t="inlineStr">
        <is>
          <t>Pop Up Grocer NYC Flagship, 205 Bleecker St (retailer directory)</t>
        </is>
      </c>
      <c r="BT167" t="inlineStr">
        <is>
          <t>https://popupgrocer.com/products/moda-mocktails</t>
        </is>
      </c>
      <c r="BU167" t="inlineStr">
        <is>
          <t>listing</t>
        </is>
      </c>
      <c r="BV167" t="n">
        <v>16</v>
      </c>
      <c r="BX167" t="inlineStr">
        <is>
          <t>Grace Hachigian</t>
        </is>
      </c>
      <c r="CA167" t="inlineStr">
        <is>
          <t>Sosy Hachigian</t>
        </is>
      </c>
      <c r="CB167" t="inlineStr">
        <is>
          <t>Sosy</t>
        </is>
      </c>
      <c r="CC167" t="inlineStr">
        <is>
          <t>Hachigian</t>
        </is>
      </c>
      <c r="CD167" t="inlineStr">
        <is>
          <t>Co-founder</t>
        </is>
      </c>
      <c r="CE167" t="inlineStr">
        <is>
          <t>co-founder</t>
        </is>
      </c>
      <c r="CF167" t="inlineStr">
        <is>
          <t>verified-page</t>
        </is>
      </c>
      <c r="CK167" t="inlineStr">
        <is>
          <t>none</t>
        </is>
      </c>
      <c r="CL167" t="n">
        <v>38</v>
      </c>
      <c r="CM167" t="n">
        <v>6</v>
      </c>
      <c r="CN167" t="n">
        <v>3</v>
      </c>
      <c r="CO167" t="n">
        <v>8</v>
      </c>
      <c r="CP167" t="n">
        <v>10</v>
      </c>
      <c r="CQ167" t="n">
        <v>7</v>
      </c>
      <c r="CR167" t="n">
        <v>6</v>
      </c>
      <c r="CS167">
        <f>IF(R167="Y",10,0)</f>
        <v/>
      </c>
      <c r="CT167" t="n">
        <v>-2</v>
      </c>
      <c r="CU167" t="inlineStr">
        <is>
          <t>unknown</t>
        </is>
      </c>
      <c r="CV167" t="inlineStr">
        <is>
          <t>BR3</t>
        </is>
      </c>
      <c r="CW167" t="inlineStr">
        <is>
          <t>BR3:54</t>
        </is>
      </c>
      <c r="CX167" t="inlineStr">
        <is>
          <t>MODA = mother and daughter (about page). Women-owned per Pop Up Grocer. Brand-new in NYC retail, so a timely but unproven prospect. | Stage 1 online-store check 2026-10-24: WooCommerce shop page with add-to-cart buttons (https://modamocktails.com/shop)</t>
        </is>
      </c>
      <c r="CY167" t="inlineStr">
        <is>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is>
      </c>
      <c r="CZ167" t="inlineStr">
        <is>
          <t>https://www.entrepreneur.com/building-a-business/this-mother-daughter-duo-started-a-sparkling-side-hustle-that-made-500000-in-less-than-a-year</t>
        </is>
      </c>
      <c r="DA167" t="inlineStr">
        <is>
          <t>stage 1 only</t>
        </is>
      </c>
      <c r="DC167" t="inlineStr">
        <is>
          <t>press, event or podcast page</t>
        </is>
      </c>
      <c r="DY167">
        <f>IF(ISNUMBER(MATCH(U167,{"queued","contacted","replied","call_booked","call_done","yes_in_principle","materials_sent"},0)),"Y","N")</f>
        <v/>
      </c>
      <c r="DZ167">
        <f>IF(COUNTIFS($AN$2:$AN$1000,AN167,$DY$2:$DY$1000,"Y")+COUNTIFS($AN$2:$AN$1000,AN167,$T$2:$T$1000,"Y")&gt;0,"Y","N")</f>
        <v/>
      </c>
      <c r="EA167">
        <f>IF(AND(U167="new",T167="N",AR167="Y",AQ167="",DZ167="N"),"Y","N")</f>
        <v/>
      </c>
      <c r="EB167">
        <f>IF(EA167&lt;&gt;"Y","N",IF(COUNTIFS($AN$2:$AN$1000,AN167,$EA$2:$EA$1000,"Y",$J$2:$J$1000,"&gt;"&amp;J167)+COUNTIFS($AN$2:$AN$1000,AN167,$EA$2:$EA$1000,"Y",$J$2:$J$1000,J167,$ED$2:$ED$1000,"&lt;"&amp;ED167)=0,"Y","N"))</f>
        <v/>
      </c>
      <c r="EC167">
        <f>IF(Y167="","N",IF(Y167&lt;=10,"Y","N"))</f>
        <v/>
      </c>
      <c r="ED167">
        <f>ROW()-1</f>
        <v/>
      </c>
    </row>
    <row r="168">
      <c r="A168" t="inlineStr">
        <is>
          <t>AB-295</t>
        </is>
      </c>
      <c r="B168" t="inlineStr">
        <is>
          <t>Scamps Toffee</t>
        </is>
      </c>
      <c r="C168" t="inlineStr">
        <is>
          <t>Justin</t>
        </is>
      </c>
      <c r="D168" t="inlineStr">
        <is>
          <t>unknown</t>
        </is>
      </c>
      <c r="E168" t="inlineStr">
        <is>
          <t>Owner</t>
        </is>
      </c>
      <c r="H168" t="inlineStr">
        <is>
          <t>none</t>
        </is>
      </c>
      <c r="I168" t="inlineStr">
        <is>
          <t>linkedin</t>
        </is>
      </c>
      <c r="J168">
        <f>IF(AU168="pass",CM168+CN168+CO168+CP168+CQ168+CR168+CS168+CT168,0)</f>
        <v/>
      </c>
      <c r="K168" t="inlineStr">
        <is>
          <t>Northeast brand, no graded store within ten blocks, online store only, a new store listing 60 days ago, revenue unknown, contact named (first name only); founder review: other.</t>
        </is>
      </c>
      <c r="M168" t="inlineStr">
        <is>
          <t>none found within ten blocks</t>
        </is>
      </c>
      <c r="N168" t="inlineStr">
        <is>
          <t>unverified</t>
        </is>
      </c>
      <c r="O168" t="inlineStr">
        <is>
          <t>Launched Pumpkin Spice Toffee Popcorn mini-pops for fall 2026</t>
        </is>
      </c>
      <c r="P168" t="inlineStr">
        <is>
          <t>https://www.scampstoffee.com/products.json</t>
        </is>
      </c>
      <c r="Q168" t="inlineStr">
        <is>
          <t>2026-08-25</t>
        </is>
      </c>
      <c r="R168" t="inlineStr">
        <is>
          <t>N</t>
        </is>
      </c>
      <c r="S168" t="inlineStr">
        <is>
          <t>unknown</t>
        </is>
      </c>
      <c r="T168" t="inlineStr">
        <is>
          <t>N</t>
        </is>
      </c>
      <c r="U168" t="inlineStr">
        <is>
          <t>new</t>
        </is>
      </c>
      <c r="V168" t="inlineStr">
        <is>
          <t>https://events.specialtyfood.com/event/2026-summer-fancy-food-show/exhibitor/RXhoaWJpdG9yXzI0MjExMjE=</t>
        </is>
      </c>
      <c r="W168" t="inlineStr">
        <is>
          <t>2026-10-24</t>
        </is>
      </c>
      <c r="X168" t="inlineStr">
        <is>
          <t>brand</t>
        </is>
      </c>
      <c r="Y168">
        <f>IF(EB168&lt;&gt;"Y","",COUNTIFS($EB$2:$EB$1000,"Y",$J$2:$J$1000,"&gt;"&amp;J168)+COUNTIFS($EB$2:$EB$1000,"Y",$J$2:$J$1000,J168,$ED$2:$ED$1000,"&lt;"&amp;ED168)+1)</f>
        <v/>
      </c>
      <c r="Z168" t="n">
        <v>167</v>
      </c>
      <c r="AA168" t="inlineStr">
        <is>
          <t>N</t>
        </is>
      </c>
      <c r="AB168" t="inlineStr">
        <is>
          <t>find Justin at Scamps Toffee on LinkedIn and paste the profile URL; surname not public: take it from LinkedIn; founder review (other): read founder_review_reason first</t>
        </is>
      </c>
      <c r="AC168" t="inlineStr">
        <is>
          <t>founder</t>
        </is>
      </c>
      <c r="AD168" t="inlineStr">
        <is>
          <t>first-name-only</t>
        </is>
      </c>
      <c r="AE168" t="inlineStr">
        <is>
          <t>employer's own site</t>
        </is>
      </c>
      <c r="AF168" t="inlineStr">
        <is>
          <t>https://www.scampstoffee.com/pages/about</t>
        </is>
      </c>
      <c r="AG168" t="inlineStr">
        <is>
          <t>2026-10-24</t>
        </is>
      </c>
      <c r="AH168" t="inlineStr">
        <is>
          <t>Pumpkin Spice Mini Toffee Popcorn, 3.5 oz bag; No Nut Milk Chocolate Toffee bag</t>
        </is>
      </c>
      <c r="AI168" t="inlineStr">
        <is>
          <t>chocolate-candy</t>
        </is>
      </c>
      <c r="AJ168" t="inlineStr">
        <is>
          <t>unknown</t>
        </is>
      </c>
      <c r="AK168" t="inlineStr">
        <is>
          <t>https://www.scampstoffee.com</t>
        </is>
      </c>
      <c r="AL168" t="inlineStr">
        <is>
          <t>Y</t>
        </is>
      </c>
      <c r="AM168" t="inlineStr">
        <is>
          <t>Gift-led confectioner under new owners since 2025; per-unit price high for pantry sampling. No NYC retailer found</t>
        </is>
      </c>
      <c r="AN168" t="inlineStr">
        <is>
          <t>AB-295</t>
        </is>
      </c>
      <c r="AO168" t="inlineStr">
        <is>
          <t>N</t>
        </is>
      </c>
      <c r="AR168">
        <f>IF(AND(AU168="pass",AO168&lt;&gt;"Y",C168&lt;&gt;""),"Y","N")</f>
        <v/>
      </c>
      <c r="AS168">
        <f>_xlfn.TEXTJOIN("; ",TRUE,IF(AU168&lt;&gt;"pass","gated out",""),IF(AO168="Y","on hold: "&amp;AP168,""),IF(C168="","no contact named on an opened page",""))</f>
        <v/>
      </c>
      <c r="AU168" t="inlineStr">
        <is>
          <t>pass</t>
        </is>
      </c>
      <c r="AW168" t="inlineStr">
        <is>
          <t>passes all hard gates</t>
        </is>
      </c>
      <c r="AX168" t="inlineStr">
        <is>
          <t>other</t>
        </is>
      </c>
      <c r="AY168" t="inlineStr">
        <is>
          <t>https://www.scampstoffee.com</t>
        </is>
      </c>
      <c r="AZ168" t="inlineStr">
        <is>
          <t>PA</t>
        </is>
      </c>
      <c r="BA168" t="inlineStr">
        <is>
          <t>northeast</t>
        </is>
      </c>
      <c r="BB168" t="inlineStr">
        <is>
          <t>unknown</t>
        </is>
      </c>
      <c r="BD168" t="inlineStr">
        <is>
          <t>Y</t>
        </is>
      </c>
      <c r="BE168" t="inlineStr">
        <is>
          <t>Chocolate-covered toffee and toffee popcorn in sealed bags sold ambient online</t>
        </is>
      </c>
      <c r="BF168" t="inlineStr">
        <is>
          <t>Y</t>
        </is>
      </c>
      <c r="BG168" t="inlineStr">
        <is>
          <t>Y</t>
        </is>
      </c>
      <c r="BH168" t="inlineStr">
        <is>
          <t>unknown</t>
        </is>
      </c>
      <c r="BJ168" t="inlineStr">
        <is>
          <t>No sourced sales figure found</t>
        </is>
      </c>
      <c r="BK168" t="inlineStr">
        <is>
          <t>N</t>
        </is>
      </c>
      <c r="BL168" t="inlineStr">
        <is>
          <t>N</t>
        </is>
      </c>
      <c r="BO168" t="inlineStr">
        <is>
          <t>N</t>
        </is>
      </c>
      <c r="BP168" t="n">
        <v>0</v>
      </c>
      <c r="BS168" t="inlineStr">
        <is>
          <t>Gift shops and specialty retailers (wholesale page)</t>
        </is>
      </c>
      <c r="BU168" t="inlineStr">
        <is>
          <t>listing</t>
        </is>
      </c>
      <c r="BV168" t="n">
        <v>60</v>
      </c>
      <c r="BX168" t="inlineStr">
        <is>
          <t>Justin</t>
        </is>
      </c>
      <c r="CA168" t="inlineStr">
        <is>
          <t>Emily Korns</t>
        </is>
      </c>
      <c r="CB168" t="inlineStr">
        <is>
          <t>Emily</t>
        </is>
      </c>
      <c r="CC168" t="inlineStr">
        <is>
          <t>Korns</t>
        </is>
      </c>
      <c r="CD168" t="inlineStr">
        <is>
          <t>Owner</t>
        </is>
      </c>
      <c r="CE168" t="inlineStr">
        <is>
          <t>co-founder</t>
        </is>
      </c>
      <c r="CF168" t="inlineStr">
        <is>
          <t>verified-page</t>
        </is>
      </c>
      <c r="CK168" t="inlineStr">
        <is>
          <t>none</t>
        </is>
      </c>
      <c r="CL168" t="n">
        <v>38</v>
      </c>
      <c r="CM168" t="n">
        <v>6</v>
      </c>
      <c r="CN168" t="n">
        <v>8</v>
      </c>
      <c r="CO168" t="n">
        <v>8</v>
      </c>
      <c r="CP168" t="n">
        <v>5</v>
      </c>
      <c r="CQ168" t="n">
        <v>10</v>
      </c>
      <c r="CR168" t="n">
        <v>3</v>
      </c>
      <c r="CS168">
        <f>IF(R168="Y",10,0)</f>
        <v/>
      </c>
      <c r="CT168" t="n">
        <v>-2</v>
      </c>
      <c r="CU168" t="inlineStr">
        <is>
          <t>https://www.instagram.com/scampstoffee/</t>
        </is>
      </c>
      <c r="CV168" t="inlineStr">
        <is>
          <t>BR5</t>
        </is>
      </c>
      <c r="CW168" t="inlineStr">
        <is>
          <t>BR5:31</t>
        </is>
      </c>
      <c r="CX168" t="inlineStr">
        <is>
          <t>SFFS 2026 exhibitor (State: Pennsylvania). No-nut toffee SKUs exist (allergen-friendly option).</t>
        </is>
      </c>
      <c r="CZ168" t="inlineStr">
        <is>
          <t>https://www.scampstoffee.com/pages/about</t>
        </is>
      </c>
      <c r="DA168" t="inlineStr">
        <is>
          <t>stage 1 only</t>
        </is>
      </c>
      <c r="DC168" t="inlineStr">
        <is>
          <t>employer's own site</t>
        </is>
      </c>
      <c r="DY168">
        <f>IF(ISNUMBER(MATCH(U168,{"queued","contacted","replied","call_booked","call_done","yes_in_principle","materials_sent"},0)),"Y","N")</f>
        <v/>
      </c>
      <c r="DZ168">
        <f>IF(COUNTIFS($AN$2:$AN$1000,AN168,$DY$2:$DY$1000,"Y")+COUNTIFS($AN$2:$AN$1000,AN168,$T$2:$T$1000,"Y")&gt;0,"Y","N")</f>
        <v/>
      </c>
      <c r="EA168">
        <f>IF(AND(U168="new",T168="N",AR168="Y",AQ168="",DZ168="N"),"Y","N")</f>
        <v/>
      </c>
      <c r="EB168">
        <f>IF(EA168&lt;&gt;"Y","N",IF(COUNTIFS($AN$2:$AN$1000,AN168,$EA$2:$EA$1000,"Y",$J$2:$J$1000,"&gt;"&amp;J168)+COUNTIFS($AN$2:$AN$1000,AN168,$EA$2:$EA$1000,"Y",$J$2:$J$1000,J168,$ED$2:$ED$1000,"&lt;"&amp;ED168)=0,"Y","N"))</f>
        <v/>
      </c>
      <c r="EC168">
        <f>IF(Y168="","N",IF(Y168&lt;=10,"Y","N"))</f>
        <v/>
      </c>
      <c r="ED168">
        <f>ROW()-1</f>
        <v/>
      </c>
    </row>
    <row r="169">
      <c r="A169" t="inlineStr">
        <is>
          <t>AB-268</t>
        </is>
      </c>
      <c r="B169" t="inlineStr">
        <is>
          <t>Norwegian Baked</t>
        </is>
      </c>
      <c r="H169" t="inlineStr">
        <is>
          <t>none</t>
        </is>
      </c>
      <c r="J169">
        <f>IF(AU169="pass",CM169+CN169+CO169+CP169+CQ169+CR169+CS169+CT169,0)</f>
        <v/>
      </c>
      <c r="K169" t="inlineStr">
        <is>
          <t>New York City brand, no graded store within ten blocks, online store only, a new store listing 248 days ago, revenue unknown, no contact named; founder review: format, claim-borderline.</t>
        </is>
      </c>
      <c r="M169" t="inlineStr">
        <is>
          <t>none found within ten blocks</t>
        </is>
      </c>
      <c r="N169" t="inlineStr">
        <is>
          <t>unverified</t>
        </is>
      </c>
      <c r="O169" t="inlineStr">
        <is>
          <t>KnekkeGodis named 2026 sofi Gold (Sweet Snack); new Sea Salt Flakes Knekkebrød added to the online store</t>
        </is>
      </c>
      <c r="P169" t="inlineStr">
        <is>
          <t>https://norwegianbaked.com/products/sea-salt-flakes-knekkebrod-crispbread</t>
        </is>
      </c>
      <c r="Q169" t="inlineStr">
        <is>
          <t>2026-02-18</t>
        </is>
      </c>
      <c r="R169" t="inlineStr">
        <is>
          <t>N</t>
        </is>
      </c>
      <c r="S169" t="inlineStr">
        <is>
          <t>unknown</t>
        </is>
      </c>
      <c r="T169" t="inlineStr">
        <is>
          <t>N</t>
        </is>
      </c>
      <c r="U169" t="inlineStr">
        <is>
          <t>new</t>
        </is>
      </c>
      <c r="V169" t="inlineStr">
        <is>
          <t>https://www.specialtyfood.com/awards/sofi-awards/winners/</t>
        </is>
      </c>
      <c r="W169" t="inlineStr">
        <is>
          <t>2026-10-24</t>
        </is>
      </c>
      <c r="X169" t="inlineStr">
        <is>
          <t>brand</t>
        </is>
      </c>
      <c r="Y169">
        <f>IF(EB169&lt;&gt;"Y","",COUNTIFS($EB$2:$EB$1000,"Y",$J$2:$J$1000,"&gt;"&amp;J169)+COUNTIFS($EB$2:$EB$1000,"Y",$J$2:$J$1000,J169,$ED$2:$ED$1000,"&lt;"&amp;ED169)+1)</f>
        <v/>
      </c>
      <c r="Z169" t="n">
        <v>168</v>
      </c>
      <c r="AA169" t="inlineStr">
        <is>
          <t>N</t>
        </is>
      </c>
      <c r="AB169" t="inlineStr">
        <is>
          <t>no person named on an opened page: not ready; founder review (format, claim-borderline): read founder_review_reason first</t>
        </is>
      </c>
      <c r="AD169" t="inlineStr">
        <is>
          <t>none</t>
        </is>
      </c>
      <c r="AH169" t="inlineStr">
        <is>
          <t>Classic Knekkebrød organic crispbread; KnekkeGodis chocolate-kissed crispbread</t>
        </is>
      </c>
      <c r="AI169" t="inlineStr">
        <is>
          <t>crackers-pretzels</t>
        </is>
      </c>
      <c r="AJ169" t="inlineStr">
        <is>
          <t>Brooklyn</t>
        </is>
      </c>
      <c r="AK169" t="inlineStr">
        <is>
          <t>https://norwegianbaked.com</t>
        </is>
      </c>
      <c r="AL169" t="inlineStr">
        <is>
          <t>Y</t>
        </is>
      </c>
      <c r="AM169" t="inlineStr">
        <is>
          <t>Sold as share-size packs ($12); single-serve format not seen. Founder is unnamed (first-person story only). Site copy says 'nutrient-rich' and 'healthy addition' (soft wording, no structure-function claim)</t>
        </is>
      </c>
      <c r="AN169" t="inlineStr">
        <is>
          <t>AB-268</t>
        </is>
      </c>
      <c r="AO169" t="inlineStr">
        <is>
          <t>N</t>
        </is>
      </c>
      <c r="AR169">
        <f>IF(AND(AU169="pass",AO169&lt;&gt;"Y",C169&lt;&gt;""),"Y","N")</f>
        <v/>
      </c>
      <c r="AS169">
        <f>_xlfn.TEXTJOIN("; ",TRUE,IF(AU169&lt;&gt;"pass","gated out",""),IF(AO169="Y","on hold: "&amp;AP169,""),IF(C169="","no contact named on an opened page",""))</f>
        <v/>
      </c>
      <c r="AU169" t="inlineStr">
        <is>
          <t>pass</t>
        </is>
      </c>
      <c r="AW169" t="inlineStr">
        <is>
          <t>passes all hard gates</t>
        </is>
      </c>
      <c r="AX169" t="inlineStr">
        <is>
          <t>format;claim-borderline</t>
        </is>
      </c>
      <c r="AY169" t="inlineStr">
        <is>
          <t>https://norwegianbaked.com</t>
        </is>
      </c>
      <c r="AZ169" t="inlineStr">
        <is>
          <t>NY</t>
        </is>
      </c>
      <c r="BA169" t="inlineStr">
        <is>
          <t>nyc</t>
        </is>
      </c>
      <c r="BB169" t="inlineStr">
        <is>
          <t>unknown</t>
        </is>
      </c>
      <c r="BD169" t="inlineStr">
        <is>
          <t>Y</t>
        </is>
      </c>
      <c r="BE169" t="inlineStr">
        <is>
          <t>Baked seeded crispbread sold ambient by mail and in stores; shelf life not stated</t>
        </is>
      </c>
      <c r="BF169" t="inlineStr">
        <is>
          <t>N</t>
        </is>
      </c>
      <c r="BG169" t="inlineStr">
        <is>
          <t>Y</t>
        </is>
      </c>
      <c r="BH169" t="inlineStr">
        <is>
          <t>unknown</t>
        </is>
      </c>
      <c r="BJ169" t="inlineStr">
        <is>
          <t>No sourced sales figure found</t>
        </is>
      </c>
      <c r="BK169" t="inlineStr">
        <is>
          <t>N</t>
        </is>
      </c>
      <c r="BL169" t="inlineStr">
        <is>
          <t>N</t>
        </is>
      </c>
      <c r="BO169" t="inlineStr">
        <is>
          <t>N</t>
        </is>
      </c>
      <c r="BP169" t="n">
        <v>0</v>
      </c>
      <c r="BS169" t="inlineStr">
        <is>
          <t>'Stores nationwide' and farmers' markets (about page); locator is a Storemapper widget that returned no data</t>
        </is>
      </c>
      <c r="BU169" t="inlineStr">
        <is>
          <t>listing</t>
        </is>
      </c>
      <c r="BV169" t="n">
        <v>248</v>
      </c>
      <c r="CF169" t="inlineStr">
        <is>
          <t>none</t>
        </is>
      </c>
      <c r="CK169" t="inlineStr">
        <is>
          <t>none</t>
        </is>
      </c>
      <c r="CL169" t="n">
        <v>38</v>
      </c>
      <c r="CM169" t="n">
        <v>6</v>
      </c>
      <c r="CN169" t="n">
        <v>20</v>
      </c>
      <c r="CO169" t="n">
        <v>4</v>
      </c>
      <c r="CP169" t="n">
        <v>5</v>
      </c>
      <c r="CQ169" t="n">
        <v>7</v>
      </c>
      <c r="CR169" t="n">
        <v>0</v>
      </c>
      <c r="CS169">
        <f>IF(R169="Y",10,0)</f>
        <v/>
      </c>
      <c r="CT169" t="n">
        <v>-4</v>
      </c>
      <c r="CU169" t="inlineStr">
        <is>
          <t>https://www.instagram.com/norwegianbaked/</t>
        </is>
      </c>
      <c r="CV169" t="inlineStr">
        <is>
          <t>BR5</t>
        </is>
      </c>
      <c r="CW169" t="inlineStr">
        <is>
          <t>BR5:4</t>
        </is>
      </c>
      <c r="CX169" t="inlineStr">
        <is>
          <t>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is>
      </c>
      <c r="DA169" t="inlineStr">
        <is>
          <t>stage 1 only</t>
        </is>
      </c>
      <c r="DY169">
        <f>IF(ISNUMBER(MATCH(U169,{"queued","contacted","replied","call_booked","call_done","yes_in_principle","materials_sent"},0)),"Y","N")</f>
        <v/>
      </c>
      <c r="DZ169">
        <f>IF(COUNTIFS($AN$2:$AN$1000,AN169,$DY$2:$DY$1000,"Y")+COUNTIFS($AN$2:$AN$1000,AN169,$T$2:$T$1000,"Y")&gt;0,"Y","N")</f>
        <v/>
      </c>
      <c r="EA169">
        <f>IF(AND(U169="new",T169="N",AR169="Y",AQ169="",DZ169="N"),"Y","N")</f>
        <v/>
      </c>
      <c r="EB169">
        <f>IF(EA169&lt;&gt;"Y","N",IF(COUNTIFS($AN$2:$AN$1000,AN169,$EA$2:$EA$1000,"Y",$J$2:$J$1000,"&gt;"&amp;J169)+COUNTIFS($AN$2:$AN$1000,AN169,$EA$2:$EA$1000,"Y",$J$2:$J$1000,J169,$ED$2:$ED$1000,"&lt;"&amp;ED169)=0,"Y","N"))</f>
        <v/>
      </c>
      <c r="EC169">
        <f>IF(Y169="","N",IF(Y169&lt;=10,"Y","N"))</f>
        <v/>
      </c>
      <c r="ED169">
        <f>ROW()-1</f>
        <v/>
      </c>
    </row>
    <row r="170">
      <c r="A170" t="inlineStr">
        <is>
          <t>AB-093</t>
        </is>
      </c>
      <c r="B170" t="inlineStr">
        <is>
          <t>Peeled Snacks</t>
        </is>
      </c>
      <c r="H170" t="inlineStr">
        <is>
          <t>none</t>
        </is>
      </c>
      <c r="J170">
        <f>IF(AU170="pass",CM170+CN170+CO170+CP170+CQ170+CR170+CS170+CT170,0)</f>
        <v/>
      </c>
      <c r="K170" t="inlineStr">
        <is>
          <t>New York City brand (HQ unverified), no graded store within ten blocks, online store only, a new store listing 243 days ago, revenue unknown, no contact named; founder review: other.</t>
        </is>
      </c>
      <c r="M170" t="inlineStr">
        <is>
          <t>none found within ten blocks</t>
        </is>
      </c>
      <c r="N170" t="inlineStr">
        <is>
          <t>unverified</t>
        </is>
      </c>
      <c r="O170" t="inlineStr">
        <is>
          <t>Brand store relisted its four organic dried fruit SKUs in Feb 2026</t>
        </is>
      </c>
      <c r="P170" t="inlineStr">
        <is>
          <t>https://peeledsnacks.com/</t>
        </is>
      </c>
      <c r="Q170" t="inlineStr">
        <is>
          <t>2026-02-23</t>
        </is>
      </c>
      <c r="R170" t="inlineStr">
        <is>
          <t>N</t>
        </is>
      </c>
      <c r="S170" t="inlineStr">
        <is>
          <t>unknown</t>
        </is>
      </c>
      <c r="T170" t="inlineStr">
        <is>
          <t>N</t>
        </is>
      </c>
      <c r="U170" t="inlineStr">
        <is>
          <t>new</t>
        </is>
      </c>
      <c r="V170" t="inlineStr">
        <is>
          <t>https://peeledsnacks.com/pages/about-us</t>
        </is>
      </c>
      <c r="W170" t="inlineStr">
        <is>
          <t>2026-10-23</t>
        </is>
      </c>
      <c r="X170" t="inlineStr">
        <is>
          <t>brand</t>
        </is>
      </c>
      <c r="Y170">
        <f>IF(EB170&lt;&gt;"Y","",COUNTIFS($EB$2:$EB$1000,"Y",$J$2:$J$1000,"&gt;"&amp;J170)+COUNTIFS($EB$2:$EB$1000,"Y",$J$2:$J$1000,J170,$ED$2:$ED$1000,"&lt;"&amp;ED170)+1)</f>
        <v/>
      </c>
      <c r="Z170" t="n">
        <v>169</v>
      </c>
      <c r="AA170" t="inlineStr">
        <is>
          <t>N</t>
        </is>
      </c>
      <c r="AB170" t="inlineStr">
        <is>
          <t>no person named on an opened page: not ready; founder review (other): read founder_review_reason first</t>
        </is>
      </c>
      <c r="AD170" t="inlineStr">
        <is>
          <t>none</t>
        </is>
      </c>
      <c r="AH170" t="inlineStr">
        <is>
          <t>Organic Dried Mango; Organic Tropical Blend (12 x 2.5 oz)</t>
        </is>
      </c>
      <c r="AI170" t="inlineStr">
        <is>
          <t>fruit-snacks</t>
        </is>
      </c>
      <c r="AJ170" t="inlineStr">
        <is>
          <t>Cumberland RI or Brooklyn NY (search snippets conflict: Craft and Winmo say Cumberland RI, CB Insights says Brooklyn; unverified, founder to confirm)</t>
        </is>
      </c>
      <c r="AK170" t="inlineStr">
        <is>
          <t>https://peeledsnacks.com</t>
        </is>
      </c>
      <c r="AL170" t="inlineStr">
        <is>
          <t>Y</t>
        </is>
      </c>
      <c r="AM170" t="inlineStr">
        <is>
          <t>HQ, team and retailers not stated on brand site; buy path is online only as far as found; 60-day shelf life not stated</t>
        </is>
      </c>
      <c r="AN170" t="inlineStr">
        <is>
          <t>AB-093</t>
        </is>
      </c>
      <c r="AO170" t="inlineStr">
        <is>
          <t>N</t>
        </is>
      </c>
      <c r="AR170">
        <f>IF(AND(AU170="pass",AO170&lt;&gt;"Y",C170&lt;&gt;""),"Y","N")</f>
        <v/>
      </c>
      <c r="AS170">
        <f>_xlfn.TEXTJOIN("; ",TRUE,IF(AU170&lt;&gt;"pass","gated out",""),IF(AO170="Y","on hold: "&amp;AP170,""),IF(C170="","no contact named on an opened page",""))</f>
        <v/>
      </c>
      <c r="AU170" t="inlineStr">
        <is>
          <t>pass</t>
        </is>
      </c>
      <c r="AW170" t="inlineStr">
        <is>
          <t>passes all hard gates</t>
        </is>
      </c>
      <c r="AX170" t="inlineStr">
        <is>
          <t>other</t>
        </is>
      </c>
      <c r="AY170" t="inlineStr">
        <is>
          <t>https://peeledsnacks.com</t>
        </is>
      </c>
      <c r="AZ170" t="inlineStr">
        <is>
          <t>unknown</t>
        </is>
      </c>
      <c r="BA170" t="inlineStr">
        <is>
          <t>nyc (unverified)</t>
        </is>
      </c>
      <c r="BB170" t="inlineStr">
        <is>
          <t>unknown</t>
        </is>
      </c>
      <c r="BD170" t="inlineStr">
        <is>
          <t>likely</t>
        </is>
      </c>
      <c r="BE170" t="inlineStr">
        <is>
          <t>Dried fruit in 2.5 oz bags; shelf-life figure not found</t>
        </is>
      </c>
      <c r="BF170" t="inlineStr">
        <is>
          <t>Y</t>
        </is>
      </c>
      <c r="BG170" t="inlineStr">
        <is>
          <t>Y</t>
        </is>
      </c>
      <c r="BH170" t="inlineStr">
        <is>
          <t>unknown</t>
        </is>
      </c>
      <c r="BJ170" t="inlineStr">
        <is>
          <t>unknown</t>
        </is>
      </c>
      <c r="BK170" t="inlineStr">
        <is>
          <t>N</t>
        </is>
      </c>
      <c r="BL170" t="inlineStr">
        <is>
          <t>N</t>
        </is>
      </c>
      <c r="BO170" t="inlineStr">
        <is>
          <t>N</t>
        </is>
      </c>
      <c r="BP170" t="n">
        <v>0</v>
      </c>
      <c r="BT170" t="inlineStr">
        <is>
          <t>https://www.wholefoodsmarket.com/api/search?text=peeled%20snacks&amp;store=10162&amp;limit=60&amp;offset=0</t>
        </is>
      </c>
      <c r="BU170" t="inlineStr">
        <is>
          <t>listing</t>
        </is>
      </c>
      <c r="BV170" t="n">
        <v>243</v>
      </c>
      <c r="CF170" t="inlineStr">
        <is>
          <t>none</t>
        </is>
      </c>
      <c r="CK170" t="inlineStr">
        <is>
          <t>none</t>
        </is>
      </c>
      <c r="CL170" t="n">
        <v>38</v>
      </c>
      <c r="CM170" t="n">
        <v>6</v>
      </c>
      <c r="CN170" t="n">
        <v>17</v>
      </c>
      <c r="CO170" t="n">
        <v>4</v>
      </c>
      <c r="CP170" t="n">
        <v>5</v>
      </c>
      <c r="CQ170" t="n">
        <v>8</v>
      </c>
      <c r="CR170" t="n">
        <v>0</v>
      </c>
      <c r="CS170">
        <f>IF(R170="Y",10,0)</f>
        <v/>
      </c>
      <c r="CT170" t="n">
        <v>-2</v>
      </c>
      <c r="CU170" t="inlineStr">
        <is>
          <t>https://www.instagram.com/peeledsnacks/</t>
        </is>
      </c>
      <c r="CV170" t="inlineStr">
        <is>
          <t>BR2</t>
        </is>
      </c>
      <c r="CW170" t="inlineStr">
        <is>
          <t>BR2:31</t>
        </is>
      </c>
      <c r="CX170" t="inlineStr">
        <is>
          <t>Donates 10% of profits to fight hunger (about page). No added sugar. Not in WFM cluster catalogs. Why-now is weak (Shopify publish date).</t>
        </is>
      </c>
      <c r="CY170" t="inlineStr">
        <is>
          <t xml:space="preserve">hq_city &lt;- https://craft.co/peeled-snacks (2026-10-24, snippet-unverified); </t>
        </is>
      </c>
      <c r="DA170" t="inlineStr">
        <is>
          <t>stage 1 only</t>
        </is>
      </c>
      <c r="DY170">
        <f>IF(ISNUMBER(MATCH(U170,{"queued","contacted","replied","call_booked","call_done","yes_in_principle","materials_sent"},0)),"Y","N")</f>
        <v/>
      </c>
      <c r="DZ170">
        <f>IF(COUNTIFS($AN$2:$AN$1000,AN170,$DY$2:$DY$1000,"Y")+COUNTIFS($AN$2:$AN$1000,AN170,$T$2:$T$1000,"Y")&gt;0,"Y","N")</f>
        <v/>
      </c>
      <c r="EA170">
        <f>IF(AND(U170="new",T170="N",AR170="Y",AQ170="",DZ170="N"),"Y","N")</f>
        <v/>
      </c>
      <c r="EB170">
        <f>IF(EA170&lt;&gt;"Y","N",IF(COUNTIFS($AN$2:$AN$1000,AN170,$EA$2:$EA$1000,"Y",$J$2:$J$1000,"&gt;"&amp;J170)+COUNTIFS($AN$2:$AN$1000,AN170,$EA$2:$EA$1000,"Y",$J$2:$J$1000,J170,$ED$2:$ED$1000,"&lt;"&amp;ED170)=0,"Y","N"))</f>
        <v/>
      </c>
      <c r="EC170">
        <f>IF(Y170="","N",IF(Y170&lt;=10,"Y","N"))</f>
        <v/>
      </c>
      <c r="ED170">
        <f>ROW()-1</f>
        <v/>
      </c>
    </row>
    <row r="171">
      <c r="A171" t="inlineStr">
        <is>
          <t>AB-022</t>
        </is>
      </c>
      <c r="B171" t="inlineStr">
        <is>
          <t>BobbySue's Nuts</t>
        </is>
      </c>
      <c r="C171" t="inlineStr">
        <is>
          <t>Barb</t>
        </is>
      </c>
      <c r="D171" t="inlineStr">
        <is>
          <t>Kobren</t>
        </is>
      </c>
      <c r="E171" t="inlineStr">
        <is>
          <t>Founder</t>
        </is>
      </c>
      <c r="H171" t="inlineStr">
        <is>
          <t>none</t>
        </is>
      </c>
      <c r="I171" t="inlineStr">
        <is>
          <t>linkedin</t>
        </is>
      </c>
      <c r="J171">
        <f>IF(AU171="pass",CM171+CN171+CO171+CP171+CQ171+CR171+CS171+CT171,0)</f>
        <v/>
      </c>
      <c r="K171" t="inlineStr">
        <is>
          <t>New York State brand, no graded store within ten blocks, online store only, no dated why-now in the last 12 months, revenue unknown, contact named.</t>
        </is>
      </c>
      <c r="M171" t="inlineStr">
        <is>
          <t>none found within ten blocks</t>
        </is>
      </c>
      <c r="N171" t="inlineStr">
        <is>
          <t>unverified</t>
        </is>
      </c>
      <c r="R171" t="inlineStr">
        <is>
          <t>N</t>
        </is>
      </c>
      <c r="S171" t="inlineStr">
        <is>
          <t>unknown</t>
        </is>
      </c>
      <c r="T171" t="inlineStr">
        <is>
          <t>N</t>
        </is>
      </c>
      <c r="U171" t="inlineStr">
        <is>
          <t>new</t>
        </is>
      </c>
      <c r="V171" t="inlineStr">
        <is>
          <t>https://www.bobbysuesnuts.com/story</t>
        </is>
      </c>
      <c r="W171" t="inlineStr">
        <is>
          <t>2026-10-23</t>
        </is>
      </c>
      <c r="X171" t="inlineStr">
        <is>
          <t>brand</t>
        </is>
      </c>
      <c r="Y171">
        <f>IF(EB171&lt;&gt;"Y","",COUNTIFS($EB$2:$EB$1000,"Y",$J$2:$J$1000,"&gt;"&amp;J171)+COUNTIFS($EB$2:$EB$1000,"Y",$J$2:$J$1000,J171,$ED$2:$ED$1000,"&lt;"&amp;ED171)+1)</f>
        <v/>
      </c>
      <c r="Z171" t="n">
        <v>170</v>
      </c>
      <c r="AA171" t="inlineStr">
        <is>
          <t>N</t>
        </is>
      </c>
      <c r="AB171" t="inlineStr">
        <is>
          <t>find Barb Kobren at BobbySue's Nuts on LinkedIn and paste the profile URL</t>
        </is>
      </c>
      <c r="AC171" t="inlineStr">
        <is>
          <t>founder</t>
        </is>
      </c>
      <c r="AD171" t="inlineStr">
        <is>
          <t>verified-page</t>
        </is>
      </c>
      <c r="AE171" t="inlineStr">
        <is>
          <t>employer's own site</t>
        </is>
      </c>
      <c r="AF171" t="inlineStr">
        <is>
          <t>https://www.bobbysuesnuts.com/story</t>
        </is>
      </c>
      <c r="AG171" t="inlineStr">
        <is>
          <t>2026-10-23</t>
        </is>
      </c>
      <c r="AH171" t="inlineStr">
        <is>
          <t>BobbySue's Nuts hand-roasted nut mixes (on-the-go packs listed on homepage)</t>
        </is>
      </c>
      <c r="AI171" t="inlineStr">
        <is>
          <t>nuts-seeds-trail</t>
        </is>
      </c>
      <c r="AJ171" t="inlineStr">
        <is>
          <t>Chappaqua</t>
        </is>
      </c>
      <c r="AK171" t="inlineStr">
        <is>
          <t>https://www.bobbysuesnuts.com</t>
        </is>
      </c>
      <c r="AL171" t="inlineStr">
        <is>
          <t>N</t>
        </is>
      </c>
      <c r="AN171" t="inlineStr">
        <is>
          <t>AB-022</t>
        </is>
      </c>
      <c r="AO171" t="inlineStr">
        <is>
          <t>N</t>
        </is>
      </c>
      <c r="AR171">
        <f>IF(AND(AU171="pass",AO171&lt;&gt;"Y",C171&lt;&gt;""),"Y","N")</f>
        <v/>
      </c>
      <c r="AS171">
        <f>_xlfn.TEXTJOIN("; ",TRUE,IF(AU171&lt;&gt;"pass","gated out",""),IF(AO171="Y","on hold: "&amp;AP171,""),IF(C171="","no contact named on an opened page",""))</f>
        <v/>
      </c>
      <c r="AU171" t="inlineStr">
        <is>
          <t>pass</t>
        </is>
      </c>
      <c r="AW171" t="inlineStr">
        <is>
          <t>passes all hard gates</t>
        </is>
      </c>
      <c r="AY171" t="inlineStr">
        <is>
          <t>https://www.bobbysuesnuts.com</t>
        </is>
      </c>
      <c r="AZ171" t="inlineStr">
        <is>
          <t>NY</t>
        </is>
      </c>
      <c r="BA171" t="inlineStr">
        <is>
          <t>nys</t>
        </is>
      </c>
      <c r="BB171" t="inlineStr">
        <is>
          <t>unknown</t>
        </is>
      </c>
      <c r="BD171" t="inlineStr">
        <is>
          <t>Y</t>
        </is>
      </c>
      <c r="BE171" t="inlineStr">
        <is>
          <t>Hand-roasted nut mixes in sealed packs, ambient</t>
        </is>
      </c>
      <c r="BF171" t="inlineStr">
        <is>
          <t>unknown</t>
        </is>
      </c>
      <c r="BG171" t="inlineStr">
        <is>
          <t>Y</t>
        </is>
      </c>
      <c r="BH171" t="inlineStr">
        <is>
          <t>unknown</t>
        </is>
      </c>
      <c r="BJ171" t="inlineStr">
        <is>
          <t>unknown</t>
        </is>
      </c>
      <c r="BK171" t="inlineStr">
        <is>
          <t>N</t>
        </is>
      </c>
      <c r="BL171" t="inlineStr">
        <is>
          <t>N</t>
        </is>
      </c>
      <c r="BO171" t="inlineStr">
        <is>
          <t>N</t>
        </is>
      </c>
      <c r="BP171" t="n">
        <v>0</v>
      </c>
      <c r="BS171" t="inlineStr">
        <is>
          <t>unknown (Find Us page did not render without JavaScript)</t>
        </is>
      </c>
      <c r="BT171" t="inlineStr">
        <is>
          <t>https://www.wholefoodsmarket.com/search?text=bobbysue%27s%20nuts (no results in Union Square, NoMad or Chelsea context, 2026-10-23)</t>
        </is>
      </c>
      <c r="BU171" t="inlineStr">
        <is>
          <t>none</t>
        </is>
      </c>
      <c r="BX171" t="inlineStr">
        <is>
          <t>Barb Kobren</t>
        </is>
      </c>
      <c r="BY171" t="inlineStr">
        <is>
          <t>a.k.a. BobbySue</t>
        </is>
      </c>
      <c r="CF171" t="inlineStr">
        <is>
          <t>none</t>
        </is>
      </c>
      <c r="CK171" t="inlineStr">
        <is>
          <t>none</t>
        </is>
      </c>
      <c r="CL171" t="n">
        <v>38</v>
      </c>
      <c r="CM171" t="n">
        <v>6</v>
      </c>
      <c r="CN171" t="n">
        <v>13</v>
      </c>
      <c r="CO171" t="n">
        <v>0</v>
      </c>
      <c r="CP171" t="n">
        <v>5</v>
      </c>
      <c r="CQ171" t="n">
        <v>8</v>
      </c>
      <c r="CR171" t="n">
        <v>6</v>
      </c>
      <c r="CS171">
        <f>IF(R171="Y",10,0)</f>
        <v/>
      </c>
      <c r="CT171" t="n">
        <v>0</v>
      </c>
      <c r="CU171" t="inlineStr">
        <is>
          <t>unknown</t>
        </is>
      </c>
      <c r="CV171" t="inlineStr">
        <is>
          <t>BR1</t>
        </is>
      </c>
      <c r="CW171" t="inlineStr">
        <is>
          <t>BR1:23</t>
        </is>
      </c>
      <c r="CX171" t="inlineStr">
        <is>
          <t>Westchester brand with an animal-welfare mission; team named on story page (Barb, Adam, Greg, Marta, Dave). Business address on site footer is Chappaqua NY. Older press includes sofi awards and Consumer Reports mention.</t>
        </is>
      </c>
      <c r="DA171" t="inlineStr">
        <is>
          <t>stage 1 only</t>
        </is>
      </c>
      <c r="DY171">
        <f>IF(ISNUMBER(MATCH(U171,{"queued","contacted","replied","call_booked","call_done","yes_in_principle","materials_sent"},0)),"Y","N")</f>
        <v/>
      </c>
      <c r="DZ171">
        <f>IF(COUNTIFS($AN$2:$AN$1000,AN171,$DY$2:$DY$1000,"Y")+COUNTIFS($AN$2:$AN$1000,AN171,$T$2:$T$1000,"Y")&gt;0,"Y","N")</f>
        <v/>
      </c>
      <c r="EA171">
        <f>IF(AND(U171="new",T171="N",AR171="Y",AQ171="",DZ171="N"),"Y","N")</f>
        <v/>
      </c>
      <c r="EB171">
        <f>IF(EA171&lt;&gt;"Y","N",IF(COUNTIFS($AN$2:$AN$1000,AN171,$EA$2:$EA$1000,"Y",$J$2:$J$1000,"&gt;"&amp;J171)+COUNTIFS($AN$2:$AN$1000,AN171,$EA$2:$EA$1000,"Y",$J$2:$J$1000,J171,$ED$2:$ED$1000,"&lt;"&amp;ED171)=0,"Y","N"))</f>
        <v/>
      </c>
      <c r="EC171">
        <f>IF(Y171="","N",IF(Y171&lt;=10,"Y","N"))</f>
        <v/>
      </c>
      <c r="ED171">
        <f>ROW()-1</f>
        <v/>
      </c>
    </row>
    <row r="172">
      <c r="A172" t="inlineStr">
        <is>
          <t>AB-212</t>
        </is>
      </c>
      <c r="B172" t="inlineStr">
        <is>
          <t>North Fork Potato Chips</t>
        </is>
      </c>
      <c r="C172" t="inlineStr">
        <is>
          <t>Martin</t>
        </is>
      </c>
      <c r="D172" t="inlineStr">
        <is>
          <t>Sidor</t>
        </is>
      </c>
      <c r="E172" t="inlineStr">
        <is>
          <t>Farmer and owner, Martin Sidor Farms</t>
        </is>
      </c>
      <c r="H172" t="inlineStr">
        <is>
          <t>none</t>
        </is>
      </c>
      <c r="I172" t="inlineStr">
        <is>
          <t>linkedin</t>
        </is>
      </c>
      <c r="J172">
        <f>IF(AU172="pass",CM172+CN172+CO172+CP172+CQ172+CR172+CS172+CT172,0)</f>
        <v/>
      </c>
      <c r="K172" t="inlineStr">
        <is>
          <t>New York State brand, no graded store within ten blocks, online store only, no dated why-now in the last 12 months, revenue unknown, contact named; founder review: other.</t>
        </is>
      </c>
      <c r="M172" t="inlineStr">
        <is>
          <t>none found within ten blocks</t>
        </is>
      </c>
      <c r="N172" t="inlineStr">
        <is>
          <t>unverified</t>
        </is>
      </c>
      <c r="R172" t="inlineStr">
        <is>
          <t>N</t>
        </is>
      </c>
      <c r="S172" t="inlineStr">
        <is>
          <t>unknown</t>
        </is>
      </c>
      <c r="T172" t="inlineStr">
        <is>
          <t>N</t>
        </is>
      </c>
      <c r="U172" t="inlineStr">
        <is>
          <t>new</t>
        </is>
      </c>
      <c r="V172" t="inlineStr">
        <is>
          <t>https://northforkchips.com/our-story/</t>
        </is>
      </c>
      <c r="W172" t="inlineStr">
        <is>
          <t>2026-10-23</t>
        </is>
      </c>
      <c r="X172" t="inlineStr">
        <is>
          <t>brand</t>
        </is>
      </c>
      <c r="Y172">
        <f>IF(EB172&lt;&gt;"Y","",COUNTIFS($EB$2:$EB$1000,"Y",$J$2:$J$1000,"&gt;"&amp;J172)+COUNTIFS($EB$2:$EB$1000,"Y",$J$2:$J$1000,J172,$ED$2:$ED$1000,"&lt;"&amp;ED172)+1)</f>
        <v/>
      </c>
      <c r="Z172" t="n">
        <v>171</v>
      </c>
      <c r="AA172" t="inlineStr">
        <is>
          <t>N</t>
        </is>
      </c>
      <c r="AB172" t="inlineStr">
        <is>
          <t>find Martin Sidor at North Fork Potato Chips on LinkedIn and paste the profile URL; founder review (other): read founder_review_reason first</t>
        </is>
      </c>
      <c r="AC172" t="inlineStr">
        <is>
          <t>founder</t>
        </is>
      </c>
      <c r="AD172" t="inlineStr">
        <is>
          <t>verified-page</t>
        </is>
      </c>
      <c r="AE172" t="inlineStr">
        <is>
          <t>employer's own site</t>
        </is>
      </c>
      <c r="AF172" t="inlineStr">
        <is>
          <t>https://northforkchips.com/our-story/</t>
        </is>
      </c>
      <c r="AG172" t="inlineStr">
        <is>
          <t>2026-10-23</t>
        </is>
      </c>
      <c r="AH172" t="inlineStr">
        <is>
          <t>Kettle-cooked potato chips in sunflower oil (sampler cases sold online)</t>
        </is>
      </c>
      <c r="AI172" t="inlineStr">
        <is>
          <t>chips-crisps</t>
        </is>
      </c>
      <c r="AJ172" t="inlineStr">
        <is>
          <t>Cutchogue (Long Island)</t>
        </is>
      </c>
      <c r="AK172" t="inlineStr">
        <is>
          <t>https://northforkchips.com</t>
        </is>
      </c>
      <c r="AL172" t="inlineStr">
        <is>
          <t>Y</t>
        </is>
      </c>
      <c r="AM172" t="inlineStr">
        <is>
          <t>No Manhattan retailer found; qualifies only through the online store, and discount-code ability is unknown</t>
        </is>
      </c>
      <c r="AN172" t="inlineStr">
        <is>
          <t>AB-212</t>
        </is>
      </c>
      <c r="AO172" t="inlineStr">
        <is>
          <t>N</t>
        </is>
      </c>
      <c r="AR172">
        <f>IF(AND(AU172="pass",AO172&lt;&gt;"Y",C172&lt;&gt;""),"Y","N")</f>
        <v/>
      </c>
      <c r="AS172">
        <f>_xlfn.TEXTJOIN("; ",TRUE,IF(AU172&lt;&gt;"pass","gated out",""),IF(AO172="Y","on hold: "&amp;AP172,""),IF(C172="","no contact named on an opened page",""))</f>
        <v/>
      </c>
      <c r="AU172" t="inlineStr">
        <is>
          <t>pass</t>
        </is>
      </c>
      <c r="AW172" t="inlineStr">
        <is>
          <t>passes all hard gates</t>
        </is>
      </c>
      <c r="AX172" t="inlineStr">
        <is>
          <t>other</t>
        </is>
      </c>
      <c r="AY172" t="inlineStr">
        <is>
          <t>https://northforkchips.com</t>
        </is>
      </c>
      <c r="AZ172" t="inlineStr">
        <is>
          <t>NY</t>
        </is>
      </c>
      <c r="BA172" t="inlineStr">
        <is>
          <t>nys</t>
        </is>
      </c>
      <c r="BB172" t="inlineStr">
        <is>
          <t>family-owned farm business (Martin Sidor Farms, per Our Story)</t>
        </is>
      </c>
      <c r="BC172" t="inlineStr">
        <is>
          <t>https://northforkchips.com/our-story/</t>
        </is>
      </c>
      <c r="BD172" t="inlineStr">
        <is>
          <t>Y</t>
        </is>
      </c>
      <c r="BE172" t="inlineStr">
        <is>
          <t>Bagged kettle chips sold ambient; no shelf-life figure published, founder to confirm 60+ days</t>
        </is>
      </c>
      <c r="BF172" t="inlineStr">
        <is>
          <t>Y</t>
        </is>
      </c>
      <c r="BG172" t="inlineStr">
        <is>
          <t>Y</t>
        </is>
      </c>
      <c r="BH172" t="inlineStr">
        <is>
          <t>unknown</t>
        </is>
      </c>
      <c r="BJ172" t="inlineStr">
        <is>
          <t>unknown</t>
        </is>
      </c>
      <c r="BK172" t="inlineStr">
        <is>
          <t>N</t>
        </is>
      </c>
      <c r="BL172" t="inlineStr">
        <is>
          <t>N</t>
        </is>
      </c>
      <c r="BO172" t="inlineStr">
        <is>
          <t>N</t>
        </is>
      </c>
      <c r="BP172" t="n">
        <v>0</v>
      </c>
      <c r="BS172" t="inlineStr">
        <is>
          <t>King Kullen (Long Island); LI Welcome Center; local grocers and delis (homepage Find in Stores list)</t>
        </is>
      </c>
      <c r="BT172" t="inlineStr">
        <is>
          <t>https://northforkchips.com/</t>
        </is>
      </c>
      <c r="BU172" t="inlineStr">
        <is>
          <t>none</t>
        </is>
      </c>
      <c r="BX172" t="inlineStr">
        <is>
          <t>Martin Sidor</t>
        </is>
      </c>
      <c r="CF172" t="inlineStr">
        <is>
          <t>none</t>
        </is>
      </c>
      <c r="CK172" t="inlineStr">
        <is>
          <t>none</t>
        </is>
      </c>
      <c r="CL172" t="n">
        <v>38</v>
      </c>
      <c r="CM172" t="n">
        <v>6</v>
      </c>
      <c r="CN172" t="n">
        <v>13</v>
      </c>
      <c r="CO172" t="n">
        <v>0</v>
      </c>
      <c r="CP172" t="n">
        <v>5</v>
      </c>
      <c r="CQ172" t="n">
        <v>10</v>
      </c>
      <c r="CR172" t="n">
        <v>6</v>
      </c>
      <c r="CS172">
        <f>IF(R172="Y",10,0)</f>
        <v/>
      </c>
      <c r="CT172" t="n">
        <v>-2</v>
      </c>
      <c r="CU172" t="inlineStr">
        <is>
          <t>https://www.instagram.com/northforkchips</t>
        </is>
      </c>
      <c r="CV172" t="inlineStr">
        <is>
          <t>BR4</t>
        </is>
      </c>
      <c r="CW172" t="inlineStr">
        <is>
          <t>BR4:7</t>
        </is>
      </c>
      <c r="CX172" t="inlineStr">
        <is>
          <t>Contact page: 8595 Cox Ln, Unit 4, Cutchogue, NY 11935. Family potato farm since 1910 (Our Story). Homepage store list shows Long Island stores only. Not in WFM cluster catalogs on 2026-10-23. No dated 12-month signal on site.</t>
        </is>
      </c>
      <c r="CY172" t="inlineStr">
        <is>
          <t xml:space="preserve">nyc_retailers_near_cluster &lt;- https://northforkchips.com/ (2026-10-24, opened); </t>
        </is>
      </c>
      <c r="DA172" t="inlineStr">
        <is>
          <t>stage 1 only</t>
        </is>
      </c>
      <c r="DY172">
        <f>IF(ISNUMBER(MATCH(U172,{"queued","contacted","replied","call_booked","call_done","yes_in_principle","materials_sent"},0)),"Y","N")</f>
        <v/>
      </c>
      <c r="DZ172">
        <f>IF(COUNTIFS($AN$2:$AN$1000,AN172,$DY$2:$DY$1000,"Y")+COUNTIFS($AN$2:$AN$1000,AN172,$T$2:$T$1000,"Y")&gt;0,"Y","N")</f>
        <v/>
      </c>
      <c r="EA172">
        <f>IF(AND(U172="new",T172="N",AR172="Y",AQ172="",DZ172="N"),"Y","N")</f>
        <v/>
      </c>
      <c r="EB172">
        <f>IF(EA172&lt;&gt;"Y","N",IF(COUNTIFS($AN$2:$AN$1000,AN172,$EA$2:$EA$1000,"Y",$J$2:$J$1000,"&gt;"&amp;J172)+COUNTIFS($AN$2:$AN$1000,AN172,$EA$2:$EA$1000,"Y",$J$2:$J$1000,J172,$ED$2:$ED$1000,"&lt;"&amp;ED172)=0,"Y","N"))</f>
        <v/>
      </c>
      <c r="EC172">
        <f>IF(Y172="","N",IF(Y172&lt;=10,"Y","N"))</f>
        <v/>
      </c>
      <c r="ED172">
        <f>ROW()-1</f>
        <v/>
      </c>
    </row>
    <row r="173">
      <c r="A173" t="inlineStr">
        <is>
          <t>AB-171</t>
        </is>
      </c>
      <c r="B173" t="inlineStr">
        <is>
          <t>Esprizio</t>
        </is>
      </c>
      <c r="H173" t="inlineStr">
        <is>
          <t>none</t>
        </is>
      </c>
      <c r="J173">
        <f>IF(AU173="pass",CM173+CN173+CO173+CP173+CQ173+CR173+CS173+CT173,0)</f>
        <v/>
      </c>
      <c r="K173" t="inlineStr">
        <is>
          <t>Brand based outside the Northeast (HQ unverified), no graded store within ten blocks, online store only, news 79 days ago, revenue unknown, contact seen only in a snippet; founder review: other.</t>
        </is>
      </c>
      <c r="M173" t="inlineStr">
        <is>
          <t>none found within ten blocks</t>
        </is>
      </c>
      <c r="N173" t="inlineStr">
        <is>
          <t>unverified</t>
        </is>
      </c>
      <c r="O173" t="inlineStr">
        <is>
          <t>2026 Startup CPG Shelfie Award finalist, Coffee category; variety pack listed 2026-01-21</t>
        </is>
      </c>
      <c r="P173" t="inlineStr">
        <is>
          <t>https://startupcpg.com/startup-cpg-shelfie-finalists-2026/</t>
        </is>
      </c>
      <c r="Q173" t="inlineStr">
        <is>
          <t>2026-08-06</t>
        </is>
      </c>
      <c r="R173" t="inlineStr">
        <is>
          <t>N</t>
        </is>
      </c>
      <c r="S173" t="inlineStr">
        <is>
          <t>Y</t>
        </is>
      </c>
      <c r="T173" t="inlineStr">
        <is>
          <t>N</t>
        </is>
      </c>
      <c r="U173" t="inlineStr">
        <is>
          <t>new</t>
        </is>
      </c>
      <c r="V173" t="inlineStr">
        <is>
          <t>https://drinkesprizio.com/pages/our-story</t>
        </is>
      </c>
      <c r="W173" t="inlineStr">
        <is>
          <t>2026-10-23</t>
        </is>
      </c>
      <c r="X173" t="inlineStr">
        <is>
          <t>brand</t>
        </is>
      </c>
      <c r="Y173">
        <f>IF(EB173&lt;&gt;"Y","",COUNTIFS($EB$2:$EB$1000,"Y",$J$2:$J$1000,"&gt;"&amp;J173)+COUNTIFS($EB$2:$EB$1000,"Y",$J$2:$J$1000,J173,$ED$2:$ED$1000,"&lt;"&amp;ED173)+1)</f>
        <v/>
      </c>
      <c r="Z173" t="n">
        <v>172</v>
      </c>
      <c r="AA173" t="inlineStr">
        <is>
          <t>N</t>
        </is>
      </c>
      <c r="AB173" t="inlineStr">
        <is>
          <t>no person named on an opened page: not ready; founder review (other): read founder_review_reason first</t>
        </is>
      </c>
      <c r="AC173" t="inlineStr">
        <is>
          <t>founder</t>
        </is>
      </c>
      <c r="AD173" t="inlineStr">
        <is>
          <t>unverified</t>
        </is>
      </c>
      <c r="AE173" t="inlineStr">
        <is>
          <t>employer's own site</t>
        </is>
      </c>
      <c r="AF173" t="inlineStr">
        <is>
          <t>https://drinkesprizio.com/pages/our-story</t>
        </is>
      </c>
      <c r="AG173" t="inlineStr">
        <is>
          <t>2026-10-23</t>
        </is>
      </c>
      <c r="AH173" t="inlineStr">
        <is>
          <t>Esprizio Blood Orange Espresso Spritz, can</t>
        </is>
      </c>
      <c r="AI173" t="inlineStr">
        <is>
          <t>coffee-rtd</t>
        </is>
      </c>
      <c r="AJ173" t="inlineStr">
        <is>
          <t>Los Angeles (unverified, founder to confirm)</t>
        </is>
      </c>
      <c r="AK173" t="inlineStr">
        <is>
          <t>https://drinkesprizio.com</t>
        </is>
      </c>
      <c r="AL173" t="inlineStr">
        <is>
          <t>Y</t>
        </is>
      </c>
      <c r="AM173" t="inlineStr">
        <is>
          <t>California brand, no NYC retail found; caffeinated; 60-day shelf life not stated</t>
        </is>
      </c>
      <c r="AN173" t="inlineStr">
        <is>
          <t>AB-171</t>
        </is>
      </c>
      <c r="AO173" t="inlineStr">
        <is>
          <t>N</t>
        </is>
      </c>
      <c r="AR173">
        <f>IF(AND(AU173="pass",AO173&lt;&gt;"Y",C173&lt;&gt;""),"Y","N")</f>
        <v/>
      </c>
      <c r="AS173">
        <f>_xlfn.TEXTJOIN("; ",TRUE,IF(AU173&lt;&gt;"pass","gated out",""),IF(AO173="Y","on hold: "&amp;AP173,""),IF(C173="","no contact named on an opened page",""))</f>
        <v/>
      </c>
      <c r="AU173" t="inlineStr">
        <is>
          <t>pass</t>
        </is>
      </c>
      <c r="AW173" t="inlineStr">
        <is>
          <t>passes all hard gates</t>
        </is>
      </c>
      <c r="AX173" t="inlineStr">
        <is>
          <t>other</t>
        </is>
      </c>
      <c r="AY173" t="inlineStr">
        <is>
          <t>https://drinkesprizio.com</t>
        </is>
      </c>
      <c r="AZ173" t="inlineStr">
        <is>
          <t>CA</t>
        </is>
      </c>
      <c r="BA173" t="inlineStr">
        <is>
          <t>elsewhere (unverified)</t>
        </is>
      </c>
      <c r="BB173" t="inlineStr">
        <is>
          <t>unknown</t>
        </is>
      </c>
      <c r="BD173" t="inlineStr">
        <is>
          <t>unknown</t>
        </is>
      </c>
      <c r="BE173" t="inlineStr">
        <is>
          <t>No storage statement in FAQ</t>
        </is>
      </c>
      <c r="BF173" t="inlineStr">
        <is>
          <t>Y</t>
        </is>
      </c>
      <c r="BG173" t="inlineStr">
        <is>
          <t>Y</t>
        </is>
      </c>
      <c r="BH173" t="inlineStr">
        <is>
          <t>unknown</t>
        </is>
      </c>
      <c r="BJ173" t="inlineStr">
        <is>
          <t>No public sales figure found</t>
        </is>
      </c>
      <c r="BK173" t="inlineStr">
        <is>
          <t>N</t>
        </is>
      </c>
      <c r="BL173" t="inlineStr">
        <is>
          <t>N</t>
        </is>
      </c>
      <c r="BO173" t="inlineStr">
        <is>
          <t>N</t>
        </is>
      </c>
      <c r="BP173" t="n">
        <v>0</v>
      </c>
      <c r="BS173" t="inlineStr">
        <is>
          <t>unknown (Stockist returned no NYC-area points)</t>
        </is>
      </c>
      <c r="BT173" t="inlineStr">
        <is>
          <t>https://stockist.co/api/v1/map_p3xw2j6q/locations/search?latitude=40.7400&amp;longitude=-73.9900&amp;distance=3</t>
        </is>
      </c>
      <c r="BU173" t="inlineStr">
        <is>
          <t>press</t>
        </is>
      </c>
      <c r="BV173" t="n">
        <v>79</v>
      </c>
      <c r="BW173" t="inlineStr">
        <is>
          <t>https://startupcpg.com/startup-cpg-shelfie-finalists-2026/</t>
        </is>
      </c>
      <c r="BX173" t="inlineStr">
        <is>
          <t>Nick Elliott</t>
        </is>
      </c>
      <c r="BY173" t="inlineStr">
        <is>
          <t>unverified, founder to confirm</t>
        </is>
      </c>
      <c r="CF173" t="inlineStr">
        <is>
          <t>none</t>
        </is>
      </c>
      <c r="CK173" t="inlineStr">
        <is>
          <t>none</t>
        </is>
      </c>
      <c r="CL173" t="n">
        <v>37</v>
      </c>
      <c r="CM173" t="n">
        <v>6</v>
      </c>
      <c r="CN173" t="n">
        <v>3</v>
      </c>
      <c r="CO173" t="n">
        <v>15</v>
      </c>
      <c r="CP173" t="n">
        <v>5</v>
      </c>
      <c r="CQ173" t="n">
        <v>7</v>
      </c>
      <c r="CR173" t="n">
        <v>3</v>
      </c>
      <c r="CS173">
        <f>IF(R173="Y",10,0)</f>
        <v/>
      </c>
      <c r="CT173" t="n">
        <v>-2</v>
      </c>
      <c r="CU173" t="inlineStr">
        <is>
          <t>unknown</t>
        </is>
      </c>
      <c r="CV173" t="inlineStr">
        <is>
          <t>BR3</t>
        </is>
      </c>
      <c r="CW173" t="inlineStr">
        <is>
          <t>BR3:45</t>
        </is>
      </c>
      <c r="CX173" t="inlineStr">
        <is>
          <t>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is>
      </c>
      <c r="CY173" t="inlineStr">
        <is>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is>
      </c>
      <c r="DA173" t="inlineStr">
        <is>
          <t>stage 1 only</t>
        </is>
      </c>
      <c r="DY173">
        <f>IF(ISNUMBER(MATCH(U173,{"queued","contacted","replied","call_booked","call_done","yes_in_principle","materials_sent"},0)),"Y","N")</f>
        <v/>
      </c>
      <c r="DZ173">
        <f>IF(COUNTIFS($AN$2:$AN$1000,AN173,$DY$2:$DY$1000,"Y")+COUNTIFS($AN$2:$AN$1000,AN173,$T$2:$T$1000,"Y")&gt;0,"Y","N")</f>
        <v/>
      </c>
      <c r="EA173">
        <f>IF(AND(U173="new",T173="N",AR173="Y",AQ173="",DZ173="N"),"Y","N")</f>
        <v/>
      </c>
      <c r="EB173">
        <f>IF(EA173&lt;&gt;"Y","N",IF(COUNTIFS($AN$2:$AN$1000,AN173,$EA$2:$EA$1000,"Y",$J$2:$J$1000,"&gt;"&amp;J173)+COUNTIFS($AN$2:$AN$1000,AN173,$EA$2:$EA$1000,"Y",$J$2:$J$1000,J173,$ED$2:$ED$1000,"&lt;"&amp;ED173)=0,"Y","N"))</f>
        <v/>
      </c>
      <c r="EC173">
        <f>IF(Y173="","N",IF(Y173&lt;=10,"Y","N"))</f>
        <v/>
      </c>
      <c r="ED173">
        <f>ROW()-1</f>
        <v/>
      </c>
    </row>
    <row r="174">
      <c r="A174" t="inlineStr">
        <is>
          <t>AB-135</t>
        </is>
      </c>
      <c r="B174" t="inlineStr">
        <is>
          <t>Boylan Bottling</t>
        </is>
      </c>
      <c r="C174" t="inlineStr">
        <is>
          <t>Chris</t>
        </is>
      </c>
      <c r="D174" t="inlineStr">
        <is>
          <t>Taylor</t>
        </is>
      </c>
      <c r="E174" t="inlineStr">
        <is>
          <t>CEO</t>
        </is>
      </c>
      <c r="H174" t="inlineStr">
        <is>
          <t>none</t>
        </is>
      </c>
      <c r="I174" t="inlineStr">
        <is>
          <t>linkedin</t>
        </is>
      </c>
      <c r="J174">
        <f>IF(AU174="pass",CM174+CN174+CO174+CP174+CQ174+CR174+CS174+CT174,0)</f>
        <v/>
      </c>
      <c r="K174" t="inlineStr">
        <is>
          <t>New York City brand, no graded store within ten blocks, online store only, no dated why-now in the last 12 months, revenue unknown, contact named; founder review: not-emerging.</t>
        </is>
      </c>
      <c r="M174" t="inlineStr">
        <is>
          <t>none found within ten blocks</t>
        </is>
      </c>
      <c r="N174" t="inlineStr">
        <is>
          <t>unverified</t>
        </is>
      </c>
      <c r="O174" t="inlineStr">
        <is>
          <t>Launched limited-edition Freedom Cola for the US 250th, regional launch through Big Geyser in the New York area (unverified, founder to confirm: BevNET page blocked)</t>
        </is>
      </c>
      <c r="P174" t="inlineStr">
        <is>
          <t>https://bevnet.com/pr/2026/06/09/boylan-bottling-launches-freedom-cola-a-limitededition-craft-soda-celebrating-250-years-of-american-independence</t>
        </is>
      </c>
      <c r="Q174" t="inlineStr">
        <is>
          <t>2026-06-09</t>
        </is>
      </c>
      <c r="R174" t="inlineStr">
        <is>
          <t>N</t>
        </is>
      </c>
      <c r="S174" t="inlineStr">
        <is>
          <t>unknown</t>
        </is>
      </c>
      <c r="T174" t="inlineStr">
        <is>
          <t>N</t>
        </is>
      </c>
      <c r="U174" t="inlineStr">
        <is>
          <t>new</t>
        </is>
      </c>
      <c r="V174" t="inlineStr">
        <is>
          <t>https://boylanbottling.com</t>
        </is>
      </c>
      <c r="W174" t="inlineStr">
        <is>
          <t>2026-10-23</t>
        </is>
      </c>
      <c r="X174" t="inlineStr">
        <is>
          <t>brand</t>
        </is>
      </c>
      <c r="Y174">
        <f>IF(EB174&lt;&gt;"Y","",COUNTIFS($EB$2:$EB$1000,"Y",$J$2:$J$1000,"&gt;"&amp;J174)+COUNTIFS($EB$2:$EB$1000,"Y",$J$2:$J$1000,J174,$ED$2:$ED$1000,"&lt;"&amp;ED174)+1)</f>
        <v/>
      </c>
      <c r="Z174" t="n">
        <v>173</v>
      </c>
      <c r="AA174" t="inlineStr">
        <is>
          <t>N</t>
        </is>
      </c>
      <c r="AB174" t="inlineStr">
        <is>
          <t>find Chris Taylor at Boylan Bottling on LinkedIn and paste the profile URL; founder review (not-emerging): read founder_review_reason first</t>
        </is>
      </c>
      <c r="AC174" t="inlineStr">
        <is>
          <t>founder</t>
        </is>
      </c>
      <c r="AD174" t="inlineStr">
        <is>
          <t>verified-page</t>
        </is>
      </c>
      <c r="AE174" t="inlineStr">
        <is>
          <t>unknown</t>
        </is>
      </c>
      <c r="AG174" t="inlineStr">
        <is>
          <t>2026-10-23</t>
        </is>
      </c>
      <c r="AH174" t="inlineStr">
        <is>
          <t>Boylan Cane Sugar Black Cherry soda, 12 oz glass bottle</t>
        </is>
      </c>
      <c r="AI174" t="inlineStr">
        <is>
          <t>sparkling-soda</t>
        </is>
      </c>
      <c r="AJ174" t="inlineStr">
        <is>
          <t>New York</t>
        </is>
      </c>
      <c r="AK174" t="inlineStr">
        <is>
          <t>https://boylanbottling.com</t>
        </is>
      </c>
      <c r="AL174" t="inlineStr">
        <is>
          <t>Y</t>
        </is>
      </c>
      <c r="AM174" t="inlineStr">
        <is>
          <t>Heritage brand (since 1891) with national distribution; likely above the emerging-brand profile. Manhattan HQ (22 Vanderbilt Ave) is a plus</t>
        </is>
      </c>
      <c r="AN174" t="inlineStr">
        <is>
          <t>AB-135</t>
        </is>
      </c>
      <c r="AO174" t="inlineStr">
        <is>
          <t>N</t>
        </is>
      </c>
      <c r="AR174">
        <f>IF(AND(AU174="pass",AO174&lt;&gt;"Y",C174&lt;&gt;""),"Y","N")</f>
        <v/>
      </c>
      <c r="AS174">
        <f>_xlfn.TEXTJOIN("; ",TRUE,IF(AU174&lt;&gt;"pass","gated out",""),IF(AO174="Y","on hold: "&amp;AP174,""),IF(C174="","no contact named on an opened page",""))</f>
        <v/>
      </c>
      <c r="AU174" t="inlineStr">
        <is>
          <t>pass</t>
        </is>
      </c>
      <c r="AW174" t="inlineStr">
        <is>
          <t>passes all hard gates</t>
        </is>
      </c>
      <c r="AX174" t="inlineStr">
        <is>
          <t>not-emerging</t>
        </is>
      </c>
      <c r="AY174" t="inlineStr">
        <is>
          <t>https://boylanbottling.com</t>
        </is>
      </c>
      <c r="AZ174" t="inlineStr">
        <is>
          <t>NY</t>
        </is>
      </c>
      <c r="BA174" t="inlineStr">
        <is>
          <t>nyc</t>
        </is>
      </c>
      <c r="BB174" t="inlineStr">
        <is>
          <t>private, established 1891</t>
        </is>
      </c>
      <c r="BD174" t="inlineStr">
        <is>
          <t>Y</t>
        </is>
      </c>
      <c r="BE174" t="inlineStr">
        <is>
          <t>Brand FAQ: Do your products need to be refrigerated? A: NO (boylanbottling.com/pages/faqs, opened 2026-10-24); best-by date printed on the bottle neck, shelf-life length not stated</t>
        </is>
      </c>
      <c r="BF174" t="inlineStr">
        <is>
          <t>Y</t>
        </is>
      </c>
      <c r="BG174" t="inlineStr">
        <is>
          <t>Y</t>
        </is>
      </c>
      <c r="BH174" t="inlineStr">
        <is>
          <t>unknown</t>
        </is>
      </c>
      <c r="BJ174" t="inlineStr">
        <is>
          <t>No public sales figure found</t>
        </is>
      </c>
      <c r="BK174" t="inlineStr">
        <is>
          <t>N</t>
        </is>
      </c>
      <c r="BL174" t="inlineStr">
        <is>
          <t>N</t>
        </is>
      </c>
      <c r="BO174" t="inlineStr">
        <is>
          <t>N</t>
        </is>
      </c>
      <c r="BP174" t="n">
        <v>0</v>
      </c>
      <c r="BS174" t="inlineStr">
        <is>
          <t>Big Geyser distribution in the New York area (2026 press release snippet, not opened)</t>
        </is>
      </c>
      <c r="BU174" t="inlineStr">
        <is>
          <t>unverified</t>
        </is>
      </c>
      <c r="BV174" t="n">
        <v>137</v>
      </c>
      <c r="BX174" t="inlineStr">
        <is>
          <t>Chris Taylor</t>
        </is>
      </c>
      <c r="CF174" t="inlineStr">
        <is>
          <t>none</t>
        </is>
      </c>
      <c r="CK174" t="inlineStr">
        <is>
          <t>none</t>
        </is>
      </c>
      <c r="CL174" t="n">
        <v>37</v>
      </c>
      <c r="CM174" t="n">
        <v>6</v>
      </c>
      <c r="CN174" t="n">
        <v>20</v>
      </c>
      <c r="CO174" t="n">
        <v>0</v>
      </c>
      <c r="CP174" t="n">
        <v>5</v>
      </c>
      <c r="CQ174" t="n">
        <v>10</v>
      </c>
      <c r="CR174" t="n">
        <v>6</v>
      </c>
      <c r="CS174">
        <f>IF(R174="Y",10,0)</f>
        <v/>
      </c>
      <c r="CT174" t="n">
        <v>-10</v>
      </c>
      <c r="CU174" t="inlineStr">
        <is>
          <t>https://www.instagram.com/boylanbottling</t>
        </is>
      </c>
      <c r="CV174" t="inlineStr">
        <is>
          <t>BR3</t>
        </is>
      </c>
      <c r="CW174" t="inlineStr">
        <is>
          <t>BR3:9</t>
        </is>
      </c>
      <c r="CX174" t="inlineStr">
        <is>
          <t>Site footer: 22 Vanderbilt Ave, 22nd Fl, New York, NY 10017. Product finder is a GoToAisle JS widget (not readable).</t>
        </is>
      </c>
      <c r="CY174" t="inlineStr">
        <is>
          <t xml:space="preserve">shelf_stable &lt;- https://boylanbottling.com/pages/faqs (2026-10-24, opened); shelf_stable_basis &lt;- https://boylanbottling.com/pages/faqs (2026-10-24, opened); </t>
        </is>
      </c>
      <c r="DA174" t="inlineStr">
        <is>
          <t>stage 1 only</t>
        </is>
      </c>
      <c r="DY174">
        <f>IF(ISNUMBER(MATCH(U174,{"queued","contacted","replied","call_booked","call_done","yes_in_principle","materials_sent"},0)),"Y","N")</f>
        <v/>
      </c>
      <c r="DZ174">
        <f>IF(COUNTIFS($AN$2:$AN$1000,AN174,$DY$2:$DY$1000,"Y")+COUNTIFS($AN$2:$AN$1000,AN174,$T$2:$T$1000,"Y")&gt;0,"Y","N")</f>
        <v/>
      </c>
      <c r="EA174">
        <f>IF(AND(U174="new",T174="N",AR174="Y",AQ174="",DZ174="N"),"Y","N")</f>
        <v/>
      </c>
      <c r="EB174">
        <f>IF(EA174&lt;&gt;"Y","N",IF(COUNTIFS($AN$2:$AN$1000,AN174,$EA$2:$EA$1000,"Y",$J$2:$J$1000,"&gt;"&amp;J174)+COUNTIFS($AN$2:$AN$1000,AN174,$EA$2:$EA$1000,"Y",$J$2:$J$1000,J174,$ED$2:$ED$1000,"&lt;"&amp;ED174)=0,"Y","N"))</f>
        <v/>
      </c>
      <c r="EC174">
        <f>IF(Y174="","N",IF(Y174&lt;=10,"Y","N"))</f>
        <v/>
      </c>
      <c r="ED174">
        <f>ROW()-1</f>
        <v/>
      </c>
    </row>
    <row r="175">
      <c r="A175" t="inlineStr">
        <is>
          <t>AB-265</t>
        </is>
      </c>
      <c r="B175" t="inlineStr">
        <is>
          <t>Yaté Yerba Mate</t>
        </is>
      </c>
      <c r="C175" t="inlineStr">
        <is>
          <t>Eric</t>
        </is>
      </c>
      <c r="D175" t="inlineStr">
        <is>
          <t>Hoang</t>
        </is>
      </c>
      <c r="E175" t="inlineStr">
        <is>
          <t>Co-founder</t>
        </is>
      </c>
      <c r="H175" t="inlineStr">
        <is>
          <t>none</t>
        </is>
      </c>
      <c r="I175" t="inlineStr">
        <is>
          <t>linkedin</t>
        </is>
      </c>
      <c r="J175">
        <f>IF(AU175="pass",CM175+CN175+CO175+CP175+CQ175+CR175+CS175+CT175,0)</f>
        <v/>
      </c>
      <c r="K175" t="inlineStr">
        <is>
          <t>New York City brand (HQ unverified), no graded store within ten blocks, online store only, no dated why-now in the last 12 months, revenue unknown, contact named; founder review: claim-borderline.</t>
        </is>
      </c>
      <c r="M175" t="inlineStr">
        <is>
          <t>none found within ten blocks</t>
        </is>
      </c>
      <c r="N175" t="inlineStr">
        <is>
          <t>unverified</t>
        </is>
      </c>
      <c r="O175" t="inlineStr">
        <is>
          <t>Homepage banner: 'All new Unsweetened Original' (undated; founder to confirm launch date)</t>
        </is>
      </c>
      <c r="P175" t="inlineStr">
        <is>
          <t>https://www.drinkyate.com/</t>
        </is>
      </c>
      <c r="R175" t="inlineStr">
        <is>
          <t>N</t>
        </is>
      </c>
      <c r="S175" t="inlineStr">
        <is>
          <t>Y</t>
        </is>
      </c>
      <c r="T175" t="inlineStr">
        <is>
          <t>N</t>
        </is>
      </c>
      <c r="U175" t="inlineStr">
        <is>
          <t>new</t>
        </is>
      </c>
      <c r="V175" t="inlineStr">
        <is>
          <t>https://www.drinkyate.com/</t>
        </is>
      </c>
      <c r="W175" t="inlineStr">
        <is>
          <t>2026-10-23</t>
        </is>
      </c>
      <c r="X175" t="inlineStr">
        <is>
          <t>brand</t>
        </is>
      </c>
      <c r="Y175">
        <f>IF(EB175&lt;&gt;"Y","",COUNTIFS($EB$2:$EB$1000,"Y",$J$2:$J$1000,"&gt;"&amp;J175)+COUNTIFS($EB$2:$EB$1000,"Y",$J$2:$J$1000,J175,$ED$2:$ED$1000,"&lt;"&amp;ED175)+1)</f>
        <v/>
      </c>
      <c r="Z175" t="n">
        <v>174</v>
      </c>
      <c r="AA175" t="inlineStr">
        <is>
          <t>N</t>
        </is>
      </c>
      <c r="AB175" t="inlineStr">
        <is>
          <t>find Eric Hoang at Yaté Yerba Mate on LinkedIn and paste the profile URL; founder review (claim-borderline): read founder_review_reason first</t>
        </is>
      </c>
      <c r="AC175" t="inlineStr">
        <is>
          <t>founder</t>
        </is>
      </c>
      <c r="AD175" t="inlineStr">
        <is>
          <t>verified-page</t>
        </is>
      </c>
      <c r="AE175" t="inlineStr">
        <is>
          <t>press, event or podcast page</t>
        </is>
      </c>
      <c r="AF175" t="inlineStr">
        <is>
          <t>https://firebellymarketing.com/podcast/eric-hoang/</t>
        </is>
      </c>
      <c r="AG175" t="inlineStr">
        <is>
          <t>2026-10-23</t>
        </is>
      </c>
      <c r="AH175" t="inlineStr">
        <is>
          <t>Sparkling yerba mate, 12 oz can (Original Unsweetened, Original Golden, Sub-lime Ginger)</t>
        </is>
      </c>
      <c r="AI175" t="inlineStr">
        <is>
          <t>sparkling-soda</t>
        </is>
      </c>
      <c r="AJ175" t="inlineStr">
        <is>
          <t>New York (2024 release datelined NEW YORK, NY); a BevNET review snippet says 'born and made in LA', unverified, founder to confirm</t>
        </is>
      </c>
      <c r="AK175" t="inlineStr">
        <is>
          <t>https://www.drinkyate.com</t>
        </is>
      </c>
      <c r="AL175" t="inlineStr">
        <is>
          <t>Y</t>
        </is>
      </c>
      <c r="AM175" t="inlineStr">
        <is>
          <t>Caffeinated yerba mate with 'unexpectedly healthy pick-me-up' wording (soft functional positioning); 60-day shelf life not stated</t>
        </is>
      </c>
      <c r="AN175" t="inlineStr">
        <is>
          <t>AB-265</t>
        </is>
      </c>
      <c r="AO175" t="inlineStr">
        <is>
          <t>N</t>
        </is>
      </c>
      <c r="AR175">
        <f>IF(AND(AU175="pass",AO175&lt;&gt;"Y",C175&lt;&gt;""),"Y","N")</f>
        <v/>
      </c>
      <c r="AS175">
        <f>_xlfn.TEXTJOIN("; ",TRUE,IF(AU175&lt;&gt;"pass","gated out",""),IF(AO175="Y","on hold: "&amp;AP175,""),IF(C175="","no contact named on an opened page",""))</f>
        <v/>
      </c>
      <c r="AU175" t="inlineStr">
        <is>
          <t>pass</t>
        </is>
      </c>
      <c r="AW175" t="inlineStr">
        <is>
          <t>passes all hard gates</t>
        </is>
      </c>
      <c r="AX175" t="inlineStr">
        <is>
          <t>claim-borderline</t>
        </is>
      </c>
      <c r="AY175" t="inlineStr">
        <is>
          <t>https://www.drinkyate.com</t>
        </is>
      </c>
      <c r="AZ175" t="inlineStr">
        <is>
          <t>NY</t>
        </is>
      </c>
      <c r="BA175" t="inlineStr">
        <is>
          <t>nyc (unverified)</t>
        </is>
      </c>
      <c r="BB175" t="inlineStr">
        <is>
          <t>unknown</t>
        </is>
      </c>
      <c r="BD175" t="inlineStr">
        <is>
          <t>unknown</t>
        </is>
      </c>
      <c r="BE175" t="inlineStr">
        <is>
          <t>Canned; storage not stated on homepage, founder to confirm</t>
        </is>
      </c>
      <c r="BF175" t="inlineStr">
        <is>
          <t>Y</t>
        </is>
      </c>
      <c r="BG175" t="inlineStr">
        <is>
          <t>Y</t>
        </is>
      </c>
      <c r="BH175" t="inlineStr">
        <is>
          <t>unknown</t>
        </is>
      </c>
      <c r="BJ175" t="inlineStr">
        <is>
          <t>unknown</t>
        </is>
      </c>
      <c r="BK175" t="inlineStr">
        <is>
          <t>N</t>
        </is>
      </c>
      <c r="BL175" t="inlineStr">
        <is>
          <t>N</t>
        </is>
      </c>
      <c r="BO175" t="inlineStr">
        <is>
          <t>N</t>
        </is>
      </c>
      <c r="BP175" t="n">
        <v>0</v>
      </c>
      <c r="BS175" t="inlineStr">
        <is>
          <t>NYC distribution via Gold Coast Distributors (2024 release); wholesale via Pod Foods, Faire and Airgoods; store locator page</t>
        </is>
      </c>
      <c r="BT175" t="inlineStr">
        <is>
          <t>https://startupcpg.com/startup-cpg-newswire-yate-yerba-mate-partners-with-gold-coast-distributors-to-expand-footprint-in-nyc/</t>
        </is>
      </c>
      <c r="BU175" t="inlineStr">
        <is>
          <t>none</t>
        </is>
      </c>
      <c r="BW175" t="inlineStr">
        <is>
          <t>https://startupcpg.com/startup-cpg-newswire-yate-yerba-mate-partners-with-gold-coast-distributors-to-expand-footprint-in-nyc/</t>
        </is>
      </c>
      <c r="BX175" t="inlineStr">
        <is>
          <t>Eric Hoang</t>
        </is>
      </c>
      <c r="CF175" t="inlineStr">
        <is>
          <t>none</t>
        </is>
      </c>
      <c r="CK175" t="inlineStr">
        <is>
          <t>none</t>
        </is>
      </c>
      <c r="CL175" t="n">
        <v>37</v>
      </c>
      <c r="CM175" t="n">
        <v>6</v>
      </c>
      <c r="CN175" t="n">
        <v>17</v>
      </c>
      <c r="CO175" t="n">
        <v>0</v>
      </c>
      <c r="CP175" t="n">
        <v>5</v>
      </c>
      <c r="CQ175" t="n">
        <v>7</v>
      </c>
      <c r="CR175" t="n">
        <v>6</v>
      </c>
      <c r="CS175">
        <f>IF(R175="Y",10,0)</f>
        <v/>
      </c>
      <c r="CT175" t="n">
        <v>-4</v>
      </c>
      <c r="CV175" t="inlineStr">
        <is>
          <t>BR4</t>
        </is>
      </c>
      <c r="CW175" t="inlineStr">
        <is>
          <t>BR4:60</t>
        </is>
      </c>
      <c r="CX175" t="inlineStr">
        <is>
          <t>Startup CPG release (2024-08-26) names Eric Hoang as press contact (role not stated). Not in WFM cluster catalogs on 2026-10-23. NYC bodega/deli distribution through Gold Coast is the likely buy path; confirm stores near the cluster.</t>
        </is>
      </c>
      <c r="CY175" t="inlineStr">
        <is>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is>
      </c>
      <c r="DA175" t="inlineStr">
        <is>
          <t>stage 1 only</t>
        </is>
      </c>
      <c r="DY175">
        <f>IF(ISNUMBER(MATCH(U175,{"queued","contacted","replied","call_booked","call_done","yes_in_principle","materials_sent"},0)),"Y","N")</f>
        <v/>
      </c>
      <c r="DZ175">
        <f>IF(COUNTIFS($AN$2:$AN$1000,AN175,$DY$2:$DY$1000,"Y")+COUNTIFS($AN$2:$AN$1000,AN175,$T$2:$T$1000,"Y")&gt;0,"Y","N")</f>
        <v/>
      </c>
      <c r="EA175">
        <f>IF(AND(U175="new",T175="N",AR175="Y",AQ175="",DZ175="N"),"Y","N")</f>
        <v/>
      </c>
      <c r="EB175">
        <f>IF(EA175&lt;&gt;"Y","N",IF(COUNTIFS($AN$2:$AN$1000,AN175,$EA$2:$EA$1000,"Y",$J$2:$J$1000,"&gt;"&amp;J175)+COUNTIFS($AN$2:$AN$1000,AN175,$EA$2:$EA$1000,"Y",$J$2:$J$1000,J175,$ED$2:$ED$1000,"&lt;"&amp;ED175)=0,"Y","N"))</f>
        <v/>
      </c>
      <c r="EC175">
        <f>IF(Y175="","N",IF(Y175&lt;=10,"Y","N"))</f>
        <v/>
      </c>
      <c r="ED175">
        <f>ROW()-1</f>
        <v/>
      </c>
    </row>
    <row r="176">
      <c r="A176" t="inlineStr">
        <is>
          <t>AB-211</t>
        </is>
      </c>
      <c r="B176" t="inlineStr">
        <is>
          <t>RISE Brewing Co.</t>
        </is>
      </c>
      <c r="C176" t="inlineStr">
        <is>
          <t>Grant</t>
        </is>
      </c>
      <c r="D176" t="inlineStr">
        <is>
          <t>Gyesky</t>
        </is>
      </c>
      <c r="E176" t="inlineStr">
        <is>
          <t>Co-founder and CEO</t>
        </is>
      </c>
      <c r="H176" t="inlineStr">
        <is>
          <t>none</t>
        </is>
      </c>
      <c r="I176" t="inlineStr">
        <is>
          <t>linkedin</t>
        </is>
      </c>
      <c r="J176">
        <f>IF(AU176="pass",CM176+CN176+CO176+CP176+CQ176+CR176+CS176+CT176,0)</f>
        <v/>
      </c>
      <c r="K176" t="inlineStr">
        <is>
          <t>Brand based outside the Northeast, store page shows Whole Foods Market NoMad inside the cluster, a new store listing 175 days ago, revenue unknown, contact named; founder review: owner, scale, claim-borderline.</t>
        </is>
      </c>
      <c r="M176" t="inlineStr">
        <is>
          <t>Whole Foods Market NoMad, 63 Madison Ave</t>
        </is>
      </c>
      <c r="N176" t="inlineStr">
        <is>
          <t>store_selector</t>
        </is>
      </c>
      <c r="O176" t="inlineStr">
        <is>
          <t>Relaunched its canned line in a new 11 oz format (Classic, Vanilla, Mocha, Salted Caramel Oatmilk Lattes and Black Cold Brew); homepage banner 'New RISE 11oz now available'</t>
        </is>
      </c>
      <c r="P176" t="inlineStr">
        <is>
          <t>https://risebrewingco.com/products.json?limit=250</t>
        </is>
      </c>
      <c r="Q176" t="inlineStr">
        <is>
          <t>2026-05-02</t>
        </is>
      </c>
      <c r="R176" t="inlineStr">
        <is>
          <t>N</t>
        </is>
      </c>
      <c r="S176" t="inlineStr">
        <is>
          <t>unknown</t>
        </is>
      </c>
      <c r="T176" t="inlineStr">
        <is>
          <t>N</t>
        </is>
      </c>
      <c r="U176" t="inlineStr">
        <is>
          <t>new</t>
        </is>
      </c>
      <c r="V176" t="inlineStr">
        <is>
          <t>https://risebrewingco.com/pages/about-us</t>
        </is>
      </c>
      <c r="W176" t="inlineStr">
        <is>
          <t>2026-10-23</t>
        </is>
      </c>
      <c r="X176" t="inlineStr">
        <is>
          <t>brand</t>
        </is>
      </c>
      <c r="Y176">
        <f>IF(EB176&lt;&gt;"Y","",COUNTIFS($EB$2:$EB$1000,"Y",$J$2:$J$1000,"&gt;"&amp;J176)+COUNTIFS($EB$2:$EB$1000,"Y",$J$2:$J$1000,J176,$ED$2:$ED$1000,"&lt;"&amp;ED176)+1)</f>
        <v/>
      </c>
      <c r="Z176" t="n">
        <v>175</v>
      </c>
      <c r="AA176" t="inlineStr">
        <is>
          <t>N</t>
        </is>
      </c>
      <c r="AB176" t="inlineStr">
        <is>
          <t>find Grant Gyesky at RISE Brewing Co. on LinkedIn and paste the profile URL; before using the retailer line, check Whole Foods Market NoMad still lists it: https://www.wholefoodsmarket.com/search?text=RISE%20Brewing%20Co. with your store set to NoMad (catalogs change daily); founder review (owner, scale, claim-borderline): read founder_review_reason first</t>
        </is>
      </c>
      <c r="AC176" t="inlineStr">
        <is>
          <t>founder</t>
        </is>
      </c>
      <c r="AD176" t="inlineStr">
        <is>
          <t>verified-page</t>
        </is>
      </c>
      <c r="AE176" t="inlineStr">
        <is>
          <t>press, event or podcast page</t>
        </is>
      </c>
      <c r="AF176" t="inlineStr">
        <is>
          <t>https://www.jpmorgan.com/commercial-banking/insights/rise-brewing-co-ascends-in-the-beverage-industry</t>
        </is>
      </c>
      <c r="AG176" t="inlineStr">
        <is>
          <t>2026-10-23</t>
        </is>
      </c>
      <c r="AH176" t="inlineStr">
        <is>
          <t>RISE 11 oz Classic Oatmilk Latte can (shelf-stable per brand); Original Black Nitro Cold Brew 11 fl oz</t>
        </is>
      </c>
      <c r="AI176" t="inlineStr">
        <is>
          <t>coffee-rtd</t>
        </is>
      </c>
      <c r="AJ176" t="inlineStr">
        <is>
          <t>Houston, TX (privacy policy: RISE Beverages LLC, 601 Arlington St, Houston TX 77007). Brand was founded in NYC.</t>
        </is>
      </c>
      <c r="AK176" t="inlineStr">
        <is>
          <t>https://risebrewingco.com</t>
        </is>
      </c>
      <c r="AL176" t="inlineStr">
        <is>
          <t>Y</t>
        </is>
      </c>
      <c r="AM176" t="inlineStr">
        <is>
          <t>20,000+ doors (2021) may put it above the $10M ceiling; brand already runs its own office coffee program (kegs, cans), so it may see Desk Drop as overlap</t>
        </is>
      </c>
      <c r="AN176" t="inlineStr">
        <is>
          <t>AB-211</t>
        </is>
      </c>
      <c r="AO176" t="inlineStr">
        <is>
          <t>N</t>
        </is>
      </c>
      <c r="AR176">
        <f>IF(AND(AU176="pass",AO176&lt;&gt;"Y",C176&lt;&gt;""),"Y","N")</f>
        <v/>
      </c>
      <c r="AS176">
        <f>_xlfn.TEXTJOIN("; ",TRUE,IF(AU176&lt;&gt;"pass","gated out",""),IF(AO176="Y","on hold: "&amp;AP176,""),IF(C176="","no contact named on an opened page",""))</f>
        <v/>
      </c>
      <c r="AU176" t="inlineStr">
        <is>
          <t>pass</t>
        </is>
      </c>
      <c r="AW176" t="inlineStr">
        <is>
          <t>passes all hard gates</t>
        </is>
      </c>
      <c r="AX176" t="inlineStr">
        <is>
          <t>owner;scale;claim-borderline</t>
        </is>
      </c>
      <c r="AY176" t="inlineStr">
        <is>
          <t>https://risebrewingco.com</t>
        </is>
      </c>
      <c r="AZ176" t="inlineStr">
        <is>
          <t>TX</t>
        </is>
      </c>
      <c r="BA176" t="inlineStr">
        <is>
          <t>elsewhere</t>
        </is>
      </c>
      <c r="BB176" t="inlineStr">
        <is>
          <t>acquired by UPTIME Energy (early 2025; unverified, founder to confirm)</t>
        </is>
      </c>
      <c r="BD176" t="inlineStr">
        <is>
          <t>Y</t>
        </is>
      </c>
      <c r="BE176" t="inlineStr">
        <is>
          <t>About page: Oat Milk Latte, Oat Milk Mocha and Original Black cans are 'shelf stable'; storage for other cans not stated</t>
        </is>
      </c>
      <c r="BF176" t="inlineStr">
        <is>
          <t>Y</t>
        </is>
      </c>
      <c r="BG176" t="inlineStr">
        <is>
          <t>Y</t>
        </is>
      </c>
      <c r="BH176" t="inlineStr">
        <is>
          <t>unknown</t>
        </is>
      </c>
      <c r="BJ176" t="inlineStr">
        <is>
          <t>About page says 'over 20,000 doors nationwide' in 2021 (store count, not used for band)</t>
        </is>
      </c>
      <c r="BK176" t="inlineStr">
        <is>
          <t>N</t>
        </is>
      </c>
      <c r="BL176" t="inlineStr">
        <is>
          <t>N</t>
        </is>
      </c>
      <c r="BN176" t="n">
        <v>0</v>
      </c>
      <c r="BO176" t="inlineStr">
        <is>
          <t>Y</t>
        </is>
      </c>
      <c r="BP176" t="n">
        <v>3</v>
      </c>
      <c r="BQ176" t="inlineStr">
        <is>
          <t>Whole Foods Market NoMad, 63 Madison Ave (store_selector, inside);Whole Foods Market Union Square, 4 Union Sq S (store_selector, inside);Whole Foods Market Chelsea, 250 7th Ave (store_selector, 3.0 blocks out)</t>
        </is>
      </c>
      <c r="BR176" t="inlineStr">
        <is>
          <t>Whole Foods Market Manhattan West (store_selector, 13.8 blocks out)</t>
        </is>
      </c>
      <c r="BS176" t="inlineStr">
        <is>
          <t>Whole Foods Market; Amazon (image filenames); 20,000+ doors (2021, brand about page)</t>
        </is>
      </c>
      <c r="BT176" t="inlineStr">
        <is>
          <t>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is>
      </c>
      <c r="BU176" t="inlineStr">
        <is>
          <t>listing</t>
        </is>
      </c>
      <c r="BV176" t="n">
        <v>175</v>
      </c>
      <c r="BX176" t="inlineStr">
        <is>
          <t>Grant Gyesky</t>
        </is>
      </c>
      <c r="CA176" t="inlineStr">
        <is>
          <t>Jarrett McGovern</t>
        </is>
      </c>
      <c r="CB176" t="inlineStr">
        <is>
          <t>Jarrett</t>
        </is>
      </c>
      <c r="CC176" t="inlineStr">
        <is>
          <t>McGovern</t>
        </is>
      </c>
      <c r="CD176" t="inlineStr">
        <is>
          <t>Co-founder and Chief Creative Officer</t>
        </is>
      </c>
      <c r="CE176" t="inlineStr">
        <is>
          <t>marketing</t>
        </is>
      </c>
      <c r="CF176" t="inlineStr">
        <is>
          <t>verified-page</t>
        </is>
      </c>
      <c r="CK176" t="inlineStr">
        <is>
          <t>none</t>
        </is>
      </c>
      <c r="CL176" t="n">
        <v>36</v>
      </c>
      <c r="CM176" t="n">
        <v>25</v>
      </c>
      <c r="CN176" t="n">
        <v>3</v>
      </c>
      <c r="CO176" t="n">
        <v>8</v>
      </c>
      <c r="CP176" t="n">
        <v>5</v>
      </c>
      <c r="CQ176" t="n">
        <v>10</v>
      </c>
      <c r="CR176" t="n">
        <v>10</v>
      </c>
      <c r="CS176">
        <f>IF(R176="Y",10,0)</f>
        <v/>
      </c>
      <c r="CT176" t="n">
        <v>-25</v>
      </c>
      <c r="CU176" t="inlineStr">
        <is>
          <t>https://www.instagram.com/risebrewingco/</t>
        </is>
      </c>
      <c r="CV176" t="inlineStr">
        <is>
          <t>BR4</t>
        </is>
      </c>
      <c r="CW176" t="inlineStr">
        <is>
          <t>BR4:6</t>
        </is>
      </c>
      <c r="CX176" t="inlineStr">
        <is>
          <t>Founded 2014; BevNET New Beverage Showdown winner 2017 (about page). Homepage banner 'New RISE 11oz now available' (undated). Office page https://risebrewingco.com/pages/offices pitches nitro kegs and cans to offices. Storemapper id 18418 found on locator page but returned no data.</t>
        </is>
      </c>
      <c r="CY176" t="inlineStr">
        <is>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is>
      </c>
      <c r="CZ176" t="inlineStr">
        <is>
          <t>https://www.jpmorgan.com/commercial-banking/insights/rise-brewing-co-ascends-in-the-beverage-industry</t>
        </is>
      </c>
      <c r="DA176" t="inlineStr">
        <is>
          <t>stage 1 only</t>
        </is>
      </c>
      <c r="DC176" t="inlineStr">
        <is>
          <t>press, event or podcast page</t>
        </is>
      </c>
      <c r="DY176">
        <f>IF(ISNUMBER(MATCH(U176,{"queued","contacted","replied","call_booked","call_done","yes_in_principle","materials_sent"},0)),"Y","N")</f>
        <v/>
      </c>
      <c r="DZ176">
        <f>IF(COUNTIFS($AN$2:$AN$1000,AN176,$DY$2:$DY$1000,"Y")+COUNTIFS($AN$2:$AN$1000,AN176,$T$2:$T$1000,"Y")&gt;0,"Y","N")</f>
        <v/>
      </c>
      <c r="EA176">
        <f>IF(AND(U176="new",T176="N",AR176="Y",AQ176="",DZ176="N"),"Y","N")</f>
        <v/>
      </c>
      <c r="EB176">
        <f>IF(EA176&lt;&gt;"Y","N",IF(COUNTIFS($AN$2:$AN$1000,AN176,$EA$2:$EA$1000,"Y",$J$2:$J$1000,"&gt;"&amp;J176)+COUNTIFS($AN$2:$AN$1000,AN176,$EA$2:$EA$1000,"Y",$J$2:$J$1000,J176,$ED$2:$ED$1000,"&lt;"&amp;ED176)=0,"Y","N"))</f>
        <v/>
      </c>
      <c r="EC176">
        <f>IF(Y176="","N",IF(Y176&lt;=10,"Y","N"))</f>
        <v/>
      </c>
      <c r="ED176">
        <f>ROW()-1</f>
        <v/>
      </c>
    </row>
    <row r="177">
      <c r="A177" t="inlineStr">
        <is>
          <t>AB-079</t>
        </is>
      </c>
      <c r="B177" t="inlineStr">
        <is>
          <t>Emmy's Organics</t>
        </is>
      </c>
      <c r="C177" t="inlineStr">
        <is>
          <t>Samantha</t>
        </is>
      </c>
      <c r="D177" t="inlineStr">
        <is>
          <t>Abrams</t>
        </is>
      </c>
      <c r="E177" t="inlineStr">
        <is>
          <t>Co-founder</t>
        </is>
      </c>
      <c r="H177" t="inlineStr">
        <is>
          <t>none</t>
        </is>
      </c>
      <c r="I177" t="inlineStr">
        <is>
          <t>linkedin</t>
        </is>
      </c>
      <c r="J177">
        <f>IF(AU177="pass",CM177+CN177+CO177+CP177+CQ177+CR177+CS177+CT177,0)</f>
        <v/>
      </c>
      <c r="K177" t="inlineStr">
        <is>
          <t>New York State brand, store page shows Whole Foods Market NoMad inside the cluster, a new store listing 216 days ago, revenue unknown, contact named; founder review: owner.</t>
        </is>
      </c>
      <c r="M177" t="inlineStr">
        <is>
          <t>Whole Foods Market NoMad, 63 Madison Ave</t>
        </is>
      </c>
      <c r="N177" t="inlineStr">
        <is>
          <t>store_selector</t>
        </is>
      </c>
      <c r="O177" t="inlineStr">
        <is>
          <t>Launched Oatmeal No-Bakes line (Mar 2026) and refreshed Coconut Cookies listings (May 2026) on brand store</t>
        </is>
      </c>
      <c r="P177" t="inlineStr">
        <is>
          <t>https://emmysorganics.com/</t>
        </is>
      </c>
      <c r="Q177" t="inlineStr">
        <is>
          <t>2026-03-22</t>
        </is>
      </c>
      <c r="R177" t="inlineStr">
        <is>
          <t>N</t>
        </is>
      </c>
      <c r="S177" t="inlineStr">
        <is>
          <t>unknown</t>
        </is>
      </c>
      <c r="T177" t="inlineStr">
        <is>
          <t>N</t>
        </is>
      </c>
      <c r="U177" t="inlineStr">
        <is>
          <t>new</t>
        </is>
      </c>
      <c r="V177" t="inlineStr">
        <is>
          <t>https://emmysorganics.com/pages/about-us</t>
        </is>
      </c>
      <c r="W177" t="inlineStr">
        <is>
          <t>2026-10-23</t>
        </is>
      </c>
      <c r="X177" t="inlineStr">
        <is>
          <t>brand</t>
        </is>
      </c>
      <c r="Y177">
        <f>IF(EB177&lt;&gt;"Y","",COUNTIFS($EB$2:$EB$1000,"Y",$J$2:$J$1000,"&gt;"&amp;J177)+COUNTIFS($EB$2:$EB$1000,"Y",$J$2:$J$1000,J177,$ED$2:$ED$1000,"&lt;"&amp;ED177)+1)</f>
        <v/>
      </c>
      <c r="Z177" t="n">
        <v>176</v>
      </c>
      <c r="AA177" t="inlineStr">
        <is>
          <t>N</t>
        </is>
      </c>
      <c r="AB177" t="inlineStr">
        <is>
          <t>find Samantha Abrams at Emmy's Organics on LinkedIn and paste the profile URL; before using the retailer line, check Whole Foods Market NoMad still lists it: https://www.wholefoodsmarket.com/search?text=Emmy%27s%20Organics with your store set to NoMad (catalogs change daily); founder review (owner): read founder_review_reason first</t>
        </is>
      </c>
      <c r="AC177" t="inlineStr">
        <is>
          <t>founder and marketing lead</t>
        </is>
      </c>
      <c r="AD177" t="inlineStr">
        <is>
          <t>verified-page</t>
        </is>
      </c>
      <c r="AE177" t="inlineStr">
        <is>
          <t>press, event or podcast page</t>
        </is>
      </c>
      <c r="AF177" t="inlineStr">
        <is>
          <t>https://litupwithlo.buzzsprout.com/1492621/episodes/8214168-samantha-abrams-co-founder-of-emmy-s-organics-emmysorganics-triumphs-challenges-of-founding-a-successful-company-built-on-real-ingredients-with-her-husband</t>
        </is>
      </c>
      <c r="AG177" t="inlineStr">
        <is>
          <t>2026-10-23</t>
        </is>
      </c>
      <c r="AH177" t="inlineStr">
        <is>
          <t>Organic Dark Cacao Coconut Cookies 6 oz; Grab&amp;Go single packs</t>
        </is>
      </c>
      <c r="AI177" t="inlineStr">
        <is>
          <t>cookies-baked</t>
        </is>
      </c>
      <c r="AJ177" t="inlineStr">
        <is>
          <t>Ithaca</t>
        </is>
      </c>
      <c r="AK177" t="inlineStr">
        <is>
          <t>https://emmysorganics.com</t>
        </is>
      </c>
      <c r="AL177" t="inlineStr">
        <is>
          <t>Y</t>
        </is>
      </c>
      <c r="AM177" t="inlineStr">
        <is>
          <t>Possible Grupo Bimbo ownership since July 2021 (search snippet; unverified, founder to confirm); 60-day shelf life not stated</t>
        </is>
      </c>
      <c r="AN177" t="inlineStr">
        <is>
          <t>AB-079</t>
        </is>
      </c>
      <c r="AO177" t="inlineStr">
        <is>
          <t>N</t>
        </is>
      </c>
      <c r="AR177">
        <f>IF(AND(AU177="pass",AO177&lt;&gt;"Y",C177&lt;&gt;""),"Y","N")</f>
        <v/>
      </c>
      <c r="AS177">
        <f>_xlfn.TEXTJOIN("; ",TRUE,IF(AU177&lt;&gt;"pass","gated out",""),IF(AO177="Y","on hold: "&amp;AP177,""),IF(C177="","no contact named on an opened page",""))</f>
        <v/>
      </c>
      <c r="AU177" t="inlineStr">
        <is>
          <t>pass</t>
        </is>
      </c>
      <c r="AW177" t="inlineStr">
        <is>
          <t>passes all hard gates</t>
        </is>
      </c>
      <c r="AX177" t="inlineStr">
        <is>
          <t>owner</t>
        </is>
      </c>
      <c r="AY177" t="inlineStr">
        <is>
          <t>https://emmysorganics.com</t>
        </is>
      </c>
      <c r="AZ177" t="inlineStr">
        <is>
          <t>NY</t>
        </is>
      </c>
      <c r="BA177" t="inlineStr">
        <is>
          <t>nys</t>
        </is>
      </c>
      <c r="BB177" t="inlineStr">
        <is>
          <t>unknown</t>
        </is>
      </c>
      <c r="BD177" t="inlineStr">
        <is>
          <t>likely</t>
        </is>
      </c>
      <c r="BE177" t="inlineStr">
        <is>
          <t>Packaged coconut cookies sold ambient at Whole Foods; shelf-life figure not published on pages opened</t>
        </is>
      </c>
      <c r="BF177" t="inlineStr">
        <is>
          <t>Y</t>
        </is>
      </c>
      <c r="BG177" t="inlineStr">
        <is>
          <t>Y</t>
        </is>
      </c>
      <c r="BH177" t="inlineStr">
        <is>
          <t>unknown</t>
        </is>
      </c>
      <c r="BJ177" t="inlineStr">
        <is>
          <t>unknown</t>
        </is>
      </c>
      <c r="BK177" t="inlineStr">
        <is>
          <t>N</t>
        </is>
      </c>
      <c r="BL177" t="inlineStr">
        <is>
          <t>N</t>
        </is>
      </c>
      <c r="BN177" t="n">
        <v>0</v>
      </c>
      <c r="BO177" t="inlineStr">
        <is>
          <t>Y</t>
        </is>
      </c>
      <c r="BP177" t="n">
        <v>3</v>
      </c>
      <c r="BQ177" t="inlineStr">
        <is>
          <t>Whole Foods Market NoMad, 63 Madison Ave (store_selector, inside);Whole Foods Market Union Square, 4 Union Sq S (store_selector, inside);Whole Foods Market Chelsea, 250 7th Ave (store_selector, 3.0 blocks out)</t>
        </is>
      </c>
      <c r="BS177" t="inlineStr">
        <is>
          <t>Whole Foods</t>
        </is>
      </c>
      <c r="BT177" t="inlineStr">
        <is>
          <t>https://www.wholefoodsmarket.com/api/search?text=emmys%20cookies&amp;store=10162&amp;limit=60&amp;offset=0; https://www.wholefoodsmarket.com/api/search?text=emmys%20cookies&amp;store=10773&amp;limit=60&amp;offset=0; https://www.wholefoodsmarket.com/api/search?text=emmys%20cookies&amp;store=10131&amp;limit=60&amp;offset=0</t>
        </is>
      </c>
      <c r="BU177" t="inlineStr">
        <is>
          <t>listing</t>
        </is>
      </c>
      <c r="BV177" t="n">
        <v>216</v>
      </c>
      <c r="BX177" t="inlineStr">
        <is>
          <t>Samantha Abrams</t>
        </is>
      </c>
      <c r="CA177" t="inlineStr">
        <is>
          <t>Ian Gaffney</t>
        </is>
      </c>
      <c r="CB177" t="inlineStr">
        <is>
          <t>Ian</t>
        </is>
      </c>
      <c r="CC177" t="inlineStr">
        <is>
          <t>Gaffney</t>
        </is>
      </c>
      <c r="CD177" t="inlineStr">
        <is>
          <t>Co-founder</t>
        </is>
      </c>
      <c r="CE177" t="inlineStr">
        <is>
          <t>co-founder</t>
        </is>
      </c>
      <c r="CF177" t="inlineStr">
        <is>
          <t>verified-page</t>
        </is>
      </c>
      <c r="CK177" t="inlineStr">
        <is>
          <t>none</t>
        </is>
      </c>
      <c r="CL177" t="n">
        <v>36</v>
      </c>
      <c r="CM177" t="n">
        <v>25</v>
      </c>
      <c r="CN177" t="n">
        <v>13</v>
      </c>
      <c r="CO177" t="n">
        <v>4</v>
      </c>
      <c r="CP177" t="n">
        <v>5</v>
      </c>
      <c r="CQ177" t="n">
        <v>8</v>
      </c>
      <c r="CR177" t="n">
        <v>6</v>
      </c>
      <c r="CS177">
        <f>IF(R177="Y",10,0)</f>
        <v/>
      </c>
      <c r="CT177" t="n">
        <v>-25</v>
      </c>
      <c r="CU177" t="inlineStr">
        <is>
          <t>https://www.instagram.com/emmysorganics/</t>
        </is>
      </c>
      <c r="CV177" t="inlineStr">
        <is>
          <t>BR2</t>
        </is>
      </c>
      <c r="CW177" t="inlineStr">
        <is>
          <t>BR2:16</t>
        </is>
      </c>
      <c r="CX177" t="inlineStr">
        <is>
          <t>Brand about page: 'Made With love in Ithaca, NY'. WFM cluster stores carry 6 oz bags; single-serve Grab&amp;Go packs are on the brand store. Why-now dates from Shopify publish dates.</t>
        </is>
      </c>
      <c r="CY177" t="inlineStr">
        <is>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t>
        </is>
      </c>
      <c r="CZ177" t="inlineStr">
        <is>
          <t>https://litupwithlo.buzzsprout.com/1492621/episodes/8214168-samantha-abrams-co-founder-of-emmy-s-organics-emmysorganics-triumphs-challenges-of-founding-a-successful-company-built-on-real-ingredients-with-her-husband</t>
        </is>
      </c>
      <c r="DA177" t="inlineStr">
        <is>
          <t>stage 1 only</t>
        </is>
      </c>
      <c r="DC177" t="inlineStr">
        <is>
          <t>press, event or podcast page</t>
        </is>
      </c>
      <c r="DY177">
        <f>IF(ISNUMBER(MATCH(U177,{"queued","contacted","replied","call_booked","call_done","yes_in_principle","materials_sent"},0)),"Y","N")</f>
        <v/>
      </c>
      <c r="DZ177">
        <f>IF(COUNTIFS($AN$2:$AN$1000,AN177,$DY$2:$DY$1000,"Y")+COUNTIFS($AN$2:$AN$1000,AN177,$T$2:$T$1000,"Y")&gt;0,"Y","N")</f>
        <v/>
      </c>
      <c r="EA177">
        <f>IF(AND(U177="new",T177="N",AR177="Y",AQ177="",DZ177="N"),"Y","N")</f>
        <v/>
      </c>
      <c r="EB177">
        <f>IF(EA177&lt;&gt;"Y","N",IF(COUNTIFS($AN$2:$AN$1000,AN177,$EA$2:$EA$1000,"Y",$J$2:$J$1000,"&gt;"&amp;J177)+COUNTIFS($AN$2:$AN$1000,AN177,$EA$2:$EA$1000,"Y",$J$2:$J$1000,J177,$ED$2:$ED$1000,"&lt;"&amp;ED177)=0,"Y","N"))</f>
        <v/>
      </c>
      <c r="EC177">
        <f>IF(Y177="","N",IF(Y177&lt;=10,"Y","N"))</f>
        <v/>
      </c>
      <c r="ED177">
        <f>ROW()-1</f>
        <v/>
      </c>
    </row>
    <row r="178">
      <c r="A178" t="inlineStr">
        <is>
          <t>AB-085</t>
        </is>
      </c>
      <c r="B178" t="inlineStr">
        <is>
          <t>Crispy Green</t>
        </is>
      </c>
      <c r="H178" t="inlineStr">
        <is>
          <t>none</t>
        </is>
      </c>
      <c r="J178">
        <f>IF(AU178="pass",CM178+CN178+CO178+CP178+CQ178+CR178+CS178+CT178,0)</f>
        <v/>
      </c>
      <c r="K178" t="inlineStr">
        <is>
          <t>Northeast brand, store page shows Whole Foods Market NoMad inside the cluster, no dated why-now in the last 12 months, revenue unknown, no contact named; founder review: scale, dormant, claim-borderline.</t>
        </is>
      </c>
      <c r="M178" t="inlineStr">
        <is>
          <t>Whole Foods Market NoMad, 63 Madison Ave</t>
        </is>
      </c>
      <c r="N178" t="inlineStr">
        <is>
          <t>store_selector</t>
        </is>
      </c>
      <c r="R178" t="inlineStr">
        <is>
          <t>N</t>
        </is>
      </c>
      <c r="S178" t="inlineStr">
        <is>
          <t>unknown</t>
        </is>
      </c>
      <c r="T178" t="inlineStr">
        <is>
          <t>N</t>
        </is>
      </c>
      <c r="U178" t="inlineStr">
        <is>
          <t>new</t>
        </is>
      </c>
      <c r="V178" t="inlineStr">
        <is>
          <t>https://crispygreen.com/pages/our-story</t>
        </is>
      </c>
      <c r="W178" t="inlineStr">
        <is>
          <t>2026-10-23</t>
        </is>
      </c>
      <c r="X178" t="inlineStr">
        <is>
          <t>brand</t>
        </is>
      </c>
      <c r="Y178">
        <f>IF(EB178&lt;&gt;"Y","",COUNTIFS($EB$2:$EB$1000,"Y",$J$2:$J$1000,"&gt;"&amp;J178)+COUNTIFS($EB$2:$EB$1000,"Y",$J$2:$J$1000,J178,$ED$2:$ED$1000,"&lt;"&amp;ED178)+1)</f>
        <v/>
      </c>
      <c r="Z178" t="n">
        <v>177</v>
      </c>
      <c r="AA178" t="inlineStr">
        <is>
          <t>N</t>
        </is>
      </c>
      <c r="AB178" t="inlineStr">
        <is>
          <t>no person named on an opened page: not ready; before using the retailer line, check Whole Foods Market NoMad still lists it: https://www.wholefoodsmarket.com/search?text=Crispy%20Green with your store set to NoMad (catalogs change daily); founder review (scale, dormant, claim-borderline): read founder_review_reason first</t>
        </is>
      </c>
      <c r="AD178" t="inlineStr">
        <is>
          <t>none</t>
        </is>
      </c>
      <c r="AH178" t="inlineStr">
        <is>
          <t>Freeze-Dried Strawberry Crispy Fruit, single-serve bag</t>
        </is>
      </c>
      <c r="AI178" t="inlineStr">
        <is>
          <t>fruit-snacks</t>
        </is>
      </c>
      <c r="AJ178" t="inlineStr">
        <is>
          <t>Fairfield</t>
        </is>
      </c>
      <c r="AK178" t="inlineStr">
        <is>
          <t>https://crispygreen.com</t>
        </is>
      </c>
      <c r="AL178" t="inlineStr">
        <is>
          <t>Y</t>
        </is>
      </c>
      <c r="AM178" t="inlineStr">
        <is>
          <t>Claims to be the #1 freeze-dried fruit brand (may be above size band); kids/lunchbox positioning; no new SKU since 2024</t>
        </is>
      </c>
      <c r="AN178" t="inlineStr">
        <is>
          <t>AB-085</t>
        </is>
      </c>
      <c r="AO178" t="inlineStr">
        <is>
          <t>N</t>
        </is>
      </c>
      <c r="AR178">
        <f>IF(AND(AU178="pass",AO178&lt;&gt;"Y",C178&lt;&gt;""),"Y","N")</f>
        <v/>
      </c>
      <c r="AS178">
        <f>_xlfn.TEXTJOIN("; ",TRUE,IF(AU178&lt;&gt;"pass","gated out",""),IF(AO178="Y","on hold: "&amp;AP178,""),IF(C178="","no contact named on an opened page",""))</f>
        <v/>
      </c>
      <c r="AU178" t="inlineStr">
        <is>
          <t>pass</t>
        </is>
      </c>
      <c r="AW178" t="inlineStr">
        <is>
          <t>passes all hard gates</t>
        </is>
      </c>
      <c r="AX178" t="inlineStr">
        <is>
          <t>scale;dormant;claim-borderline</t>
        </is>
      </c>
      <c r="AY178" t="inlineStr">
        <is>
          <t>https://crispygreen.com</t>
        </is>
      </c>
      <c r="AZ178" t="inlineStr">
        <is>
          <t>NJ</t>
        </is>
      </c>
      <c r="BA178" t="inlineStr">
        <is>
          <t>northeast</t>
        </is>
      </c>
      <c r="BB178" t="inlineStr">
        <is>
          <t>unknown</t>
        </is>
      </c>
      <c r="BD178" t="inlineStr">
        <is>
          <t>Y</t>
        </is>
      </c>
      <c r="BE178" t="inlineStr">
        <is>
          <t>Brand FAQ: 'What is Crispy Fruit's shelf-life? Three years.' Home page: 'long-lasting, shelf-stable products'.</t>
        </is>
      </c>
      <c r="BF178" t="inlineStr">
        <is>
          <t>Y</t>
        </is>
      </c>
      <c r="BG178" t="inlineStr">
        <is>
          <t>Y</t>
        </is>
      </c>
      <c r="BH178" t="inlineStr">
        <is>
          <t>unknown</t>
        </is>
      </c>
      <c r="BJ178" t="inlineStr">
        <is>
          <t>unknown</t>
        </is>
      </c>
      <c r="BK178" t="inlineStr">
        <is>
          <t>N</t>
        </is>
      </c>
      <c r="BL178" t="inlineStr">
        <is>
          <t>N</t>
        </is>
      </c>
      <c r="BN178" t="n">
        <v>0</v>
      </c>
      <c r="BO178" t="inlineStr">
        <is>
          <t>Y</t>
        </is>
      </c>
      <c r="BP178" t="n">
        <v>3</v>
      </c>
      <c r="BQ178" t="inlineStr">
        <is>
          <t>Whole Foods Market NoMad, 63 Madison Ave (store_selector, inside);Whole Foods Market Union Square, 4 Union Sq S (store_selector, inside);Whole Foods Market Chelsea, 250 7th Ave (store_selector, 3.0 blocks out)</t>
        </is>
      </c>
      <c r="BS178" t="inlineStr">
        <is>
          <t>Whole Foods; Amazon; brand claims '#1 freeze-dried fruit brand in the country'</t>
        </is>
      </c>
      <c r="BT178" t="inlineStr">
        <is>
          <t>https://www.wholefoodsmarket.com/api/search?text=crispy%20green&amp;store=10162&amp;limit=60&amp;offset=0; https://www.wholefoodsmarket.com/api/search?text=crispy%20green&amp;store=10773&amp;limit=60&amp;offset=0; https://www.wholefoodsmarket.com/api/search?text=crispy%20green&amp;store=10131&amp;limit=60&amp;offset=0</t>
        </is>
      </c>
      <c r="BU178" t="inlineStr">
        <is>
          <t>none</t>
        </is>
      </c>
      <c r="CF178" t="inlineStr">
        <is>
          <t>none</t>
        </is>
      </c>
      <c r="CK178" t="inlineStr">
        <is>
          <t>none</t>
        </is>
      </c>
      <c r="CL178" t="n">
        <v>36</v>
      </c>
      <c r="CM178" t="n">
        <v>25</v>
      </c>
      <c r="CN178" t="n">
        <v>8</v>
      </c>
      <c r="CO178" t="n">
        <v>0</v>
      </c>
      <c r="CP178" t="n">
        <v>5</v>
      </c>
      <c r="CQ178" t="n">
        <v>10</v>
      </c>
      <c r="CR178" t="n">
        <v>0</v>
      </c>
      <c r="CS178">
        <f>IF(R178="Y",10,0)</f>
        <v/>
      </c>
      <c r="CT178" t="n">
        <v>-12</v>
      </c>
      <c r="CU178" t="inlineStr">
        <is>
          <t>https://www.instagram.com/crispygreensnacks/</t>
        </is>
      </c>
      <c r="CV178" t="inlineStr">
        <is>
          <t>BR2</t>
        </is>
      </c>
      <c r="CW178" t="inlineStr">
        <is>
          <t>BR2:22</t>
        </is>
      </c>
      <c r="CX178" t="inlineStr">
        <is>
          <t>Founded 2004 per brand Our Story. Locator is Destini (not machine-read). 100% fruit, no added sugar.</t>
        </is>
      </c>
      <c r="CY178" t="inlineStr">
        <is>
          <t xml:space="preserve">hq_city &lt;- https://crispygreen.com/policies/contact-information (2026-10-24, opened); shelf_stable_basis &lt;- https://crispygreen.com/pages/faqs (2026-10-24, opened); </t>
        </is>
      </c>
      <c r="DA178" t="inlineStr">
        <is>
          <t>stage 1 only</t>
        </is>
      </c>
      <c r="DY178">
        <f>IF(ISNUMBER(MATCH(U178,{"queued","contacted","replied","call_booked","call_done","yes_in_principle","materials_sent"},0)),"Y","N")</f>
        <v/>
      </c>
      <c r="DZ178">
        <f>IF(COUNTIFS($AN$2:$AN$1000,AN178,$DY$2:$DY$1000,"Y")+COUNTIFS($AN$2:$AN$1000,AN178,$T$2:$T$1000,"Y")&gt;0,"Y","N")</f>
        <v/>
      </c>
      <c r="EA178">
        <f>IF(AND(U178="new",T178="N",AR178="Y",AQ178="",DZ178="N"),"Y","N")</f>
        <v/>
      </c>
      <c r="EB178">
        <f>IF(EA178&lt;&gt;"Y","N",IF(COUNTIFS($AN$2:$AN$1000,AN178,$EA$2:$EA$1000,"Y",$J$2:$J$1000,"&gt;"&amp;J178)+COUNTIFS($AN$2:$AN$1000,AN178,$EA$2:$EA$1000,"Y",$J$2:$J$1000,J178,$ED$2:$ED$1000,"&lt;"&amp;ED178)=0,"Y","N"))</f>
        <v/>
      </c>
      <c r="EC178">
        <f>IF(Y178="","N",IF(Y178&lt;=10,"Y","N"))</f>
        <v/>
      </c>
      <c r="ED178">
        <f>ROW()-1</f>
        <v/>
      </c>
    </row>
    <row r="179">
      <c r="A179" t="inlineStr">
        <is>
          <t>AB-052</t>
        </is>
      </c>
      <c r="B179" t="inlineStr">
        <is>
          <t>Inka Crops</t>
        </is>
      </c>
      <c r="H179" t="inlineStr">
        <is>
          <t>none</t>
        </is>
      </c>
      <c r="J179">
        <f>IF(AU179="pass",CM179+CN179+CO179+CP179+CQ179+CR179+CS179+CT179,0)</f>
        <v/>
      </c>
      <c r="K179" t="inlineStr">
        <is>
          <t>Brand based outside the Northeast (HQ unverified), store page shows Whole Foods Market Union Square inside the cluster, no dated why-now in the last 12 months, revenue unknown, no contact named; founder review: other.</t>
        </is>
      </c>
      <c r="M179" t="inlineStr">
        <is>
          <t>Whole Foods Market Union Square, 4 Union Sq S</t>
        </is>
      </c>
      <c r="N179" t="inlineStr">
        <is>
          <t>store_selector</t>
        </is>
      </c>
      <c r="R179" t="inlineStr">
        <is>
          <t>N</t>
        </is>
      </c>
      <c r="S179" t="inlineStr">
        <is>
          <t>unknown</t>
        </is>
      </c>
      <c r="T179" t="inlineStr">
        <is>
          <t>N</t>
        </is>
      </c>
      <c r="U179" t="inlineStr">
        <is>
          <t>new</t>
        </is>
      </c>
      <c r="V179" t="inlineStr">
        <is>
          <t>https://www.wholefoodsmarket.com/search?text=inka%20plantain</t>
        </is>
      </c>
      <c r="W179" t="inlineStr">
        <is>
          <t>2026-10-23</t>
        </is>
      </c>
      <c r="X179" t="inlineStr">
        <is>
          <t>brand</t>
        </is>
      </c>
      <c r="Y179">
        <f>IF(EB179&lt;&gt;"Y","",COUNTIFS($EB$2:$EB$1000,"Y",$J$2:$J$1000,"&gt;"&amp;J179)+COUNTIFS($EB$2:$EB$1000,"Y",$J$2:$J$1000,J179,$ED$2:$ED$1000,"&lt;"&amp;ED179)+1)</f>
        <v/>
      </c>
      <c r="Z179" t="n">
        <v>178</v>
      </c>
      <c r="AA179" t="inlineStr">
        <is>
          <t>N</t>
        </is>
      </c>
      <c r="AB179" t="inlineStr">
        <is>
          <t>no person named on an opened page: not ready; before using the retailer line, check Whole Foods Market Union Square still lists it: https://www.wholefoodsmarket.com/search?text=Inka%20Crops with your store set to Union Square (catalogs change daily); founder review (other): read founder_review_reason first</t>
        </is>
      </c>
      <c r="AD179" t="inlineStr">
        <is>
          <t>none</t>
        </is>
      </c>
      <c r="AH179" t="inlineStr">
        <is>
          <t>Inka Plantain Chips, Sea Salt, 4 oz</t>
        </is>
      </c>
      <c r="AI179" t="inlineStr">
        <is>
          <t>chips-crisps</t>
        </is>
      </c>
      <c r="AJ179" t="inlineStr">
        <is>
          <t>Lima, Peru (search snippet; US importer Inka Foods Inc in Citrus Heights CA per Panjiva trade-record snippets; unverified, founder to confirm)</t>
        </is>
      </c>
      <c r="AL179" t="inlineStr">
        <is>
          <t>Y</t>
        </is>
      </c>
      <c r="AM179" t="inlineStr">
        <is>
          <t>Brand site returned no readable content; owner, HQ and US entity unconfirmed; no online store: buy path is the store only</t>
        </is>
      </c>
      <c r="AN179" t="inlineStr">
        <is>
          <t>AB-052</t>
        </is>
      </c>
      <c r="AO179" t="inlineStr">
        <is>
          <t>N</t>
        </is>
      </c>
      <c r="AR179">
        <f>IF(AND(AU179="pass",AO179&lt;&gt;"Y",C179&lt;&gt;""),"Y","N")</f>
        <v/>
      </c>
      <c r="AS179">
        <f>_xlfn.TEXTJOIN("; ",TRUE,IF(AU179&lt;&gt;"pass","gated out",""),IF(AO179="Y","on hold: "&amp;AP179,""),IF(C179="","no contact named on an opened page",""))</f>
        <v/>
      </c>
      <c r="AU179" t="inlineStr">
        <is>
          <t>pass</t>
        </is>
      </c>
      <c r="AW179" t="inlineStr">
        <is>
          <t>passes all hard gates</t>
        </is>
      </c>
      <c r="AX179" t="inlineStr">
        <is>
          <t>other</t>
        </is>
      </c>
      <c r="AY179" t="inlineStr">
        <is>
          <t>https://inkacrops.com</t>
        </is>
      </c>
      <c r="AZ179" t="inlineStr">
        <is>
          <t>Peru (country)</t>
        </is>
      </c>
      <c r="BA179" t="inlineStr">
        <is>
          <t>elsewhere (unverified)</t>
        </is>
      </c>
      <c r="BB179" t="inlineStr">
        <is>
          <t>unknown</t>
        </is>
      </c>
      <c r="BD179" t="inlineStr">
        <is>
          <t>Y</t>
        </is>
      </c>
      <c r="BE179" t="inlineStr">
        <is>
          <t>Bagged plantain chips, ambient</t>
        </is>
      </c>
      <c r="BF179" t="inlineStr">
        <is>
          <t>N</t>
        </is>
      </c>
      <c r="BG179" t="inlineStr">
        <is>
          <t>unknown</t>
        </is>
      </c>
      <c r="BH179" t="inlineStr">
        <is>
          <t>unknown</t>
        </is>
      </c>
      <c r="BJ179" t="inlineStr">
        <is>
          <t>unknown</t>
        </is>
      </c>
      <c r="BK179" t="inlineStr">
        <is>
          <t>N</t>
        </is>
      </c>
      <c r="BL179" t="inlineStr">
        <is>
          <t>N</t>
        </is>
      </c>
      <c r="BN179" t="n">
        <v>0</v>
      </c>
      <c r="BO179" t="inlineStr">
        <is>
          <t>Y</t>
        </is>
      </c>
      <c r="BP179" t="n">
        <v>2</v>
      </c>
      <c r="BQ179" t="inlineStr">
        <is>
          <t>Whole Foods Market Union Square, 4 Union Sq S (store_selector, inside);Whole Foods Market Chelsea, 250 7th Ave (store_selector, 3.0 blocks out)</t>
        </is>
      </c>
      <c r="BS179" t="inlineStr">
        <is>
          <t>Whole Foods Market</t>
        </is>
      </c>
      <c r="BT179" t="inlineStr">
        <is>
          <t>https://www.wholefoodsmarket.com/search?text=inka%20plantain (Union Square and Chelsea contexts IN_STOCK 2026-10-23; not shown at NoMad)</t>
        </is>
      </c>
      <c r="BU179" t="inlineStr">
        <is>
          <t>none</t>
        </is>
      </c>
      <c r="CF179" t="inlineStr">
        <is>
          <t>none</t>
        </is>
      </c>
      <c r="CK179" t="inlineStr">
        <is>
          <t>none</t>
        </is>
      </c>
      <c r="CL179" t="n">
        <v>36</v>
      </c>
      <c r="CM179" t="n">
        <v>25</v>
      </c>
      <c r="CN179" t="n">
        <v>3</v>
      </c>
      <c r="CO179" t="n">
        <v>0</v>
      </c>
      <c r="CP179" t="n">
        <v>5</v>
      </c>
      <c r="CQ179" t="n">
        <v>5</v>
      </c>
      <c r="CR179" t="n">
        <v>0</v>
      </c>
      <c r="CS179">
        <f>IF(R179="Y",10,0)</f>
        <v/>
      </c>
      <c r="CT179" t="n">
        <v>-2</v>
      </c>
      <c r="CU179" t="inlineStr">
        <is>
          <t>unknown</t>
        </is>
      </c>
      <c r="CV179" t="inlineStr">
        <is>
          <t>BR1</t>
        </is>
      </c>
      <c r="CW179" t="inlineStr">
        <is>
          <t>BR1:53</t>
        </is>
      </c>
      <c r="CX179" t="inlineStr">
        <is>
          <t>inkacrops.com/en responded (HTTP 200) with no readable text.</t>
        </is>
      </c>
      <c r="CY179" t="inlineStr">
        <is>
          <t xml:space="preserve">hq_city &lt;- https://www.peru-retail.com/inka-crops-snack-peruano-retailers-walmart-y-amazon/ (2026-10-24, snippet-unverified); hq_state &lt;- https://www.peru-retail.com/inka-crops-snack-peruano-retailers-walmart-y-amazon/ (2026-10-24, opened); </t>
        </is>
      </c>
      <c r="DA179" t="inlineStr">
        <is>
          <t>stage 1 only</t>
        </is>
      </c>
      <c r="DY179">
        <f>IF(ISNUMBER(MATCH(U179,{"queued","contacted","replied","call_booked","call_done","yes_in_principle","materials_sent"},0)),"Y","N")</f>
        <v/>
      </c>
      <c r="DZ179">
        <f>IF(COUNTIFS($AN$2:$AN$1000,AN179,$DY$2:$DY$1000,"Y")+COUNTIFS($AN$2:$AN$1000,AN179,$T$2:$T$1000,"Y")&gt;0,"Y","N")</f>
        <v/>
      </c>
      <c r="EA179">
        <f>IF(AND(U179="new",T179="N",AR179="Y",AQ179="",DZ179="N"),"Y","N")</f>
        <v/>
      </c>
      <c r="EB179">
        <f>IF(EA179&lt;&gt;"Y","N",IF(COUNTIFS($AN$2:$AN$1000,AN179,$EA$2:$EA$1000,"Y",$J$2:$J$1000,"&gt;"&amp;J179)+COUNTIFS($AN$2:$AN$1000,AN179,$EA$2:$EA$1000,"Y",$J$2:$J$1000,J179,$ED$2:$ED$1000,"&lt;"&amp;ED179)=0,"Y","N"))</f>
        <v/>
      </c>
      <c r="EC179">
        <f>IF(Y179="","N",IF(Y179&lt;=10,"Y","N"))</f>
        <v/>
      </c>
      <c r="ED179">
        <f>ROW()-1</f>
        <v/>
      </c>
    </row>
    <row r="180">
      <c r="A180" t="inlineStr">
        <is>
          <t>AB-028</t>
        </is>
      </c>
      <c r="B180" t="inlineStr">
        <is>
          <t>Saffron Road (crunchy chickpeas)</t>
        </is>
      </c>
      <c r="C180" t="inlineStr">
        <is>
          <t>Adnan</t>
        </is>
      </c>
      <c r="D180" t="inlineStr">
        <is>
          <t>Durrani</t>
        </is>
      </c>
      <c r="E180" t="inlineStr">
        <is>
          <t>Founder and CEO</t>
        </is>
      </c>
      <c r="H180" t="inlineStr">
        <is>
          <t>none</t>
        </is>
      </c>
      <c r="I180" t="inlineStr">
        <is>
          <t>linkedin</t>
        </is>
      </c>
      <c r="J180">
        <f>IF(AU180="pass",CM180+CN180+CO180+CP180+CQ180+CR180+CS180+CT180,0)</f>
        <v/>
      </c>
      <c r="K180" t="inlineStr">
        <is>
          <t>Northeast brand, store page shows Whole Foods Market NoMad inside the cluster, no dated why-now in the last 12 months, revenue unknown, contact named; founder review: scale.</t>
        </is>
      </c>
      <c r="M180" t="inlineStr">
        <is>
          <t>Whole Foods Market NoMad, 63 Madison Ave</t>
        </is>
      </c>
      <c r="N180" t="inlineStr">
        <is>
          <t>store_selector</t>
        </is>
      </c>
      <c r="R180" t="inlineStr">
        <is>
          <t>N</t>
        </is>
      </c>
      <c r="S180" t="inlineStr">
        <is>
          <t>unknown</t>
        </is>
      </c>
      <c r="T180" t="inlineStr">
        <is>
          <t>N</t>
        </is>
      </c>
      <c r="U180" t="inlineStr">
        <is>
          <t>new</t>
        </is>
      </c>
      <c r="V180" t="inlineStr">
        <is>
          <t>https://www.saffronroad.com/pages/about-us</t>
        </is>
      </c>
      <c r="W180" t="inlineStr">
        <is>
          <t>2026-10-23</t>
        </is>
      </c>
      <c r="X180" t="inlineStr">
        <is>
          <t>brand</t>
        </is>
      </c>
      <c r="Y180">
        <f>IF(EB180&lt;&gt;"Y","",COUNTIFS($EB$2:$EB$1000,"Y",$J$2:$J$1000,"&gt;"&amp;J180)+COUNTIFS($EB$2:$EB$1000,"Y",$J$2:$J$1000,J180,$ED$2:$ED$1000,"&lt;"&amp;ED180)+1)</f>
        <v/>
      </c>
      <c r="Z180" t="n">
        <v>179</v>
      </c>
      <c r="AA180" t="inlineStr">
        <is>
          <t>N</t>
        </is>
      </c>
      <c r="AB180" t="inlineStr">
        <is>
          <t>find Adnan Durrani at Saffron Road (crunchy chickpeas) on LinkedIn and paste the profile URL; before using the retailer line, check Whole Foods Market NoMad still lists it: https://www.wholefoodsmarket.com/search?text=Saffron%20Road with your store set to NoMad (catalogs change daily); founder review (scale): read founder_review_reason first</t>
        </is>
      </c>
      <c r="AC180" t="inlineStr">
        <is>
          <t>founder</t>
        </is>
      </c>
      <c r="AD180" t="inlineStr">
        <is>
          <t>verified-page</t>
        </is>
      </c>
      <c r="AE180" t="inlineStr">
        <is>
          <t>employer's own site</t>
        </is>
      </c>
      <c r="AF180" t="inlineStr">
        <is>
          <t>https://www.saffronroad.com/pages/about-us</t>
        </is>
      </c>
      <c r="AG180" t="inlineStr">
        <is>
          <t>2026-10-23</t>
        </is>
      </c>
      <c r="AH180" t="inlineStr">
        <is>
          <t>Saffron Road Bombay Spice Crunchy Chickpea Snack, 6 oz</t>
        </is>
      </c>
      <c r="AI180" t="inlineStr">
        <is>
          <t>other-snack</t>
        </is>
      </c>
      <c r="AJ180" t="inlineStr">
        <is>
          <t>Stamford</t>
        </is>
      </c>
      <c r="AL180" t="inlineStr">
        <is>
          <t>Y</t>
        </is>
      </c>
      <c r="AM180" t="inlineStr">
        <is>
          <t>Snack line of a national frozen-entree brand (American Halal Company); likely above the $10M band; product pages show $0.00 so no direct online store; no online store: buy path is the store only</t>
        </is>
      </c>
      <c r="AN180" t="inlineStr">
        <is>
          <t>AB-028</t>
        </is>
      </c>
      <c r="AO180" t="inlineStr">
        <is>
          <t>N</t>
        </is>
      </c>
      <c r="AR180">
        <f>IF(AND(AU180="pass",AO180&lt;&gt;"Y",C180&lt;&gt;""),"Y","N")</f>
        <v/>
      </c>
      <c r="AS180">
        <f>_xlfn.TEXTJOIN("; ",TRUE,IF(AU180&lt;&gt;"pass","gated out",""),IF(AO180="Y","on hold: "&amp;AP180,""),IF(C180="","no contact named on an opened page",""))</f>
        <v/>
      </c>
      <c r="AU180" t="inlineStr">
        <is>
          <t>pass</t>
        </is>
      </c>
      <c r="AW180" t="inlineStr">
        <is>
          <t>passes all hard gates</t>
        </is>
      </c>
      <c r="AX180" t="inlineStr">
        <is>
          <t>scale</t>
        </is>
      </c>
      <c r="AY180" t="inlineStr">
        <is>
          <t>https://www.saffronroad.com</t>
        </is>
      </c>
      <c r="AZ180" t="inlineStr">
        <is>
          <t>CT</t>
        </is>
      </c>
      <c r="BA180" t="inlineStr">
        <is>
          <t>northeast</t>
        </is>
      </c>
      <c r="BB180" t="inlineStr">
        <is>
          <t>unknown</t>
        </is>
      </c>
      <c r="BD180" t="inlineStr">
        <is>
          <t>Y</t>
        </is>
      </c>
      <c r="BE180" t="inlineStr">
        <is>
          <t>Roasted chickpea snacks in sealed bags, ambient</t>
        </is>
      </c>
      <c r="BF180" t="inlineStr">
        <is>
          <t>N</t>
        </is>
      </c>
      <c r="BG180" t="inlineStr">
        <is>
          <t>N</t>
        </is>
      </c>
      <c r="BH180" t="inlineStr">
        <is>
          <t>unknown</t>
        </is>
      </c>
      <c r="BJ180" t="inlineStr">
        <is>
          <t>unknown</t>
        </is>
      </c>
      <c r="BK180" t="inlineStr">
        <is>
          <t>N</t>
        </is>
      </c>
      <c r="BL180" t="inlineStr">
        <is>
          <t>N</t>
        </is>
      </c>
      <c r="BN180" t="n">
        <v>0</v>
      </c>
      <c r="BO180" t="inlineStr">
        <is>
          <t>Y</t>
        </is>
      </c>
      <c r="BP180" t="n">
        <v>2</v>
      </c>
      <c r="BQ180" t="inlineStr">
        <is>
          <t>Whole Foods Market NoMad, 63 Madison Ave (store_selector, inside);Whole Foods Market Union Square, 4 Union Sq S (store_selector, inside)</t>
        </is>
      </c>
      <c r="BS180" t="inlineStr">
        <is>
          <t>Whole Foods Market; Target; Sprouts; Safeway (customer reviews on homepage)</t>
        </is>
      </c>
      <c r="BT180" t="inlineStr">
        <is>
          <t>https://www.wholefoodsmarket.com/search?text=saffron%20road%20chickpea (store context Union Square and NoMad: Sea Salt, Bombay Spice, Korean BBQ chickpeas IN_STOCK 2026-10-23)</t>
        </is>
      </c>
      <c r="BU180" t="inlineStr">
        <is>
          <t>none</t>
        </is>
      </c>
      <c r="BX180" t="inlineStr">
        <is>
          <t>Adnan Durrani</t>
        </is>
      </c>
      <c r="CF180" t="inlineStr">
        <is>
          <t>none</t>
        </is>
      </c>
      <c r="CK180" t="inlineStr">
        <is>
          <t>none</t>
        </is>
      </c>
      <c r="CL180" t="n">
        <v>36</v>
      </c>
      <c r="CM180" t="n">
        <v>25</v>
      </c>
      <c r="CN180" t="n">
        <v>8</v>
      </c>
      <c r="CO180" t="n">
        <v>0</v>
      </c>
      <c r="CP180" t="n">
        <v>5</v>
      </c>
      <c r="CQ180" t="n">
        <v>4</v>
      </c>
      <c r="CR180" t="n">
        <v>6</v>
      </c>
      <c r="CS180">
        <f>IF(R180="Y",10,0)</f>
        <v/>
      </c>
      <c r="CT180" t="n">
        <v>-12</v>
      </c>
      <c r="CU180" t="inlineStr">
        <is>
          <t>unknown</t>
        </is>
      </c>
      <c r="CV180" t="inlineStr">
        <is>
          <t>BR1</t>
        </is>
      </c>
      <c r="CW180" t="inlineStr">
        <is>
          <t>BR1:29</t>
        </is>
      </c>
      <c r="CX180" t="inlineStr">
        <is>
          <t>Parent American Halal Company, 1111 Summer St, Stamford CT (contact page). Debuted 2010 in Whole Foods as a frozen entree brand. why_now relates to entrees, not snacks.</t>
        </is>
      </c>
      <c r="DA180" t="inlineStr">
        <is>
          <t>stage 1 only</t>
        </is>
      </c>
      <c r="DY180">
        <f>IF(ISNUMBER(MATCH(U180,{"queued","contacted","replied","call_booked","call_done","yes_in_principle","materials_sent"},0)),"Y","N")</f>
        <v/>
      </c>
      <c r="DZ180">
        <f>IF(COUNTIFS($AN$2:$AN$1000,AN180,$DY$2:$DY$1000,"Y")+COUNTIFS($AN$2:$AN$1000,AN180,$T$2:$T$1000,"Y")&gt;0,"Y","N")</f>
        <v/>
      </c>
      <c r="EA180">
        <f>IF(AND(U180="new",T180="N",AR180="Y",AQ180="",DZ180="N"),"Y","N")</f>
        <v/>
      </c>
      <c r="EB180">
        <f>IF(EA180&lt;&gt;"Y","N",IF(COUNTIFS($AN$2:$AN$1000,AN180,$EA$2:$EA$1000,"Y",$J$2:$J$1000,"&gt;"&amp;J180)+COUNTIFS($AN$2:$AN$1000,AN180,$EA$2:$EA$1000,"Y",$J$2:$J$1000,J180,$ED$2:$ED$1000,"&lt;"&amp;ED180)=0,"Y","N"))</f>
        <v/>
      </c>
      <c r="EC180">
        <f>IF(Y180="","N",IF(Y180&lt;=10,"Y","N"))</f>
        <v/>
      </c>
      <c r="ED180">
        <f>ROW()-1</f>
        <v/>
      </c>
    </row>
    <row r="181">
      <c r="A181" t="inlineStr">
        <is>
          <t>AB-008</t>
        </is>
      </c>
      <c r="B181" t="inlineStr">
        <is>
          <t>Little Latke</t>
        </is>
      </c>
      <c r="C181" t="inlineStr">
        <is>
          <t>Taylor</t>
        </is>
      </c>
      <c r="D181" t="inlineStr">
        <is>
          <t>Blue</t>
        </is>
      </c>
      <c r="E181" t="inlineStr">
        <is>
          <t>Founder and CEO</t>
        </is>
      </c>
      <c r="H181" t="inlineStr">
        <is>
          <t>none</t>
        </is>
      </c>
      <c r="I181" t="inlineStr">
        <is>
          <t>linkedin</t>
        </is>
      </c>
      <c r="J181">
        <f>IF(AU181="pass",CM181+CN181+CO181+CP181+CQ181+CR181+CS181+CT181,0)</f>
        <v/>
      </c>
      <c r="K181" t="inlineStr">
        <is>
          <t>Brand based outside the Northeast, no graded store within ten blocks, online store only, a new store listing 95 days ago, revenue unknown, contact named.</t>
        </is>
      </c>
      <c r="M181" t="inlineStr">
        <is>
          <t>none found within ten blocks</t>
        </is>
      </c>
      <c r="N181" t="inlineStr">
        <is>
          <t>unverified</t>
        </is>
      </c>
      <c r="O181" t="inlineStr">
        <is>
          <t>Featured in Startup CPG 'Chipsplosion' roundup; new Variety Pack on brand store (2026-04-29)</t>
        </is>
      </c>
      <c r="P181" t="inlineStr">
        <is>
          <t>https://startupcpg.com/14-chip-brands-taking-your-tastebuds-on-a-flavor-tour/</t>
        </is>
      </c>
      <c r="Q181" t="inlineStr">
        <is>
          <t>2026-07-21</t>
        </is>
      </c>
      <c r="R181" t="inlineStr">
        <is>
          <t>N</t>
        </is>
      </c>
      <c r="S181" t="inlineStr">
        <is>
          <t>Y</t>
        </is>
      </c>
      <c r="T181" t="inlineStr">
        <is>
          <t>N</t>
        </is>
      </c>
      <c r="U181" t="inlineStr">
        <is>
          <t>new</t>
        </is>
      </c>
      <c r="V181" t="inlineStr">
        <is>
          <t>https://www.littlelatke.com/pages/story</t>
        </is>
      </c>
      <c r="W181" t="inlineStr">
        <is>
          <t>2026-10-23</t>
        </is>
      </c>
      <c r="X181" t="inlineStr">
        <is>
          <t>brand</t>
        </is>
      </c>
      <c r="Y181">
        <f>IF(EB181&lt;&gt;"Y","",COUNTIFS($EB$2:$EB$1000,"Y",$J$2:$J$1000,"&gt;"&amp;J181)+COUNTIFS($EB$2:$EB$1000,"Y",$J$2:$J$1000,J181,$ED$2:$ED$1000,"&lt;"&amp;ED181)+1)</f>
        <v/>
      </c>
      <c r="Z181" t="n">
        <v>180</v>
      </c>
      <c r="AA181" t="inlineStr">
        <is>
          <t>N</t>
        </is>
      </c>
      <c r="AB181" t="inlineStr">
        <is>
          <t>find Taylor Blue at Little Latke on LinkedIn and paste the profile URL</t>
        </is>
      </c>
      <c r="AC181" t="inlineStr">
        <is>
          <t>founder</t>
        </is>
      </c>
      <c r="AD181" t="inlineStr">
        <is>
          <t>verified-page</t>
        </is>
      </c>
      <c r="AE181" t="inlineStr">
        <is>
          <t>employer's own site</t>
        </is>
      </c>
      <c r="AF181" t="inlineStr">
        <is>
          <t>https://www.littlelatke.com/pages/story</t>
        </is>
      </c>
      <c r="AG181" t="inlineStr">
        <is>
          <t>2026-10-23</t>
        </is>
      </c>
      <c r="AH181" t="inlineStr">
        <is>
          <t>Little Latke potato crisps, The Original / Garlic Parm / Spicy Honey Dijon</t>
        </is>
      </c>
      <c r="AI181" t="inlineStr">
        <is>
          <t>chips-crisps</t>
        </is>
      </c>
      <c r="AJ181" t="inlineStr">
        <is>
          <t>Chicago</t>
        </is>
      </c>
      <c r="AK181" t="inlineStr">
        <is>
          <t>https://www.littlelatke.com</t>
        </is>
      </c>
      <c r="AL181" t="inlineStr">
        <is>
          <t>N</t>
        </is>
      </c>
      <c r="AN181" t="inlineStr">
        <is>
          <t>AB-008</t>
        </is>
      </c>
      <c r="AO181" t="inlineStr">
        <is>
          <t>N</t>
        </is>
      </c>
      <c r="AR181">
        <f>IF(AND(AU181="pass",AO181&lt;&gt;"Y",C181&lt;&gt;""),"Y","N")</f>
        <v/>
      </c>
      <c r="AS181">
        <f>_xlfn.TEXTJOIN("; ",TRUE,IF(AU181&lt;&gt;"pass","gated out",""),IF(AO181="Y","on hold: "&amp;AP181,""),IF(C181="","no contact named on an opened page",""))</f>
        <v/>
      </c>
      <c r="AU181" t="inlineStr">
        <is>
          <t>pass</t>
        </is>
      </c>
      <c r="AW181" t="inlineStr">
        <is>
          <t>passes all hard gates</t>
        </is>
      </c>
      <c r="AY181" t="inlineStr">
        <is>
          <t>https://www.littlelatke.com</t>
        </is>
      </c>
      <c r="AZ181" t="inlineStr">
        <is>
          <t>IL</t>
        </is>
      </c>
      <c r="BA181" t="inlineStr">
        <is>
          <t>elsewhere</t>
        </is>
      </c>
      <c r="BB181" t="inlineStr">
        <is>
          <t>unknown</t>
        </is>
      </c>
      <c r="BD181" t="inlineStr">
        <is>
          <t>Y</t>
        </is>
      </c>
      <c r="BE181" t="inlineStr">
        <is>
          <t>Brand FAQ: 'What's the shelf life? About 10-12 months.' Store in a cool, dry place.</t>
        </is>
      </c>
      <c r="BF181" t="inlineStr">
        <is>
          <t>unknown</t>
        </is>
      </c>
      <c r="BG181" t="inlineStr">
        <is>
          <t>Y</t>
        </is>
      </c>
      <c r="BH181" t="inlineStr">
        <is>
          <t>unknown</t>
        </is>
      </c>
      <c r="BJ181" t="inlineStr">
        <is>
          <t>unknown</t>
        </is>
      </c>
      <c r="BK181" t="inlineStr">
        <is>
          <t>N</t>
        </is>
      </c>
      <c r="BL181" t="inlineStr">
        <is>
          <t>N</t>
        </is>
      </c>
      <c r="BO181" t="inlineStr">
        <is>
          <t>N</t>
        </is>
      </c>
      <c r="BP181" t="n">
        <v>0</v>
      </c>
      <c r="BR181" t="inlineStr">
        <is>
          <t>PopUp Grocer (brand_claim, unplaced)</t>
        </is>
      </c>
      <c r="BS181" t="inlineStr">
        <is>
          <t>PopUp Grocer; Foxtrot Market; Meadow Lane; ~50 specialty grocers; onboarding with UNFI; 2026 targets Central Market, Fresh Market, Target (Startup CPG, 2026-07-21)</t>
        </is>
      </c>
      <c r="BT181" t="inlineStr">
        <is>
          <t>https://popupgrocer.com/pages/directory (availability 'NYC Flagship', 2026-10-23); https://startupcpg.com/14-chip-brands-taking-your-tastebuds-on-a-flavor-tour/</t>
        </is>
      </c>
      <c r="BU181" t="inlineStr">
        <is>
          <t>listing</t>
        </is>
      </c>
      <c r="BV181" t="n">
        <v>95</v>
      </c>
      <c r="BW181" t="inlineStr">
        <is>
          <t>https://startupcpg.com/14-chip-brands-taking-your-tastebuds-on-a-flavor-tour/</t>
        </is>
      </c>
      <c r="BX181" t="inlineStr">
        <is>
          <t>Taylor Blue</t>
        </is>
      </c>
      <c r="CF181" t="inlineStr">
        <is>
          <t>none</t>
        </is>
      </c>
      <c r="CK181" t="inlineStr">
        <is>
          <t>none</t>
        </is>
      </c>
      <c r="CL181" t="n">
        <v>36</v>
      </c>
      <c r="CM181" t="n">
        <v>6</v>
      </c>
      <c r="CN181" t="n">
        <v>3</v>
      </c>
      <c r="CO181" t="n">
        <v>8</v>
      </c>
      <c r="CP181" t="n">
        <v>5</v>
      </c>
      <c r="CQ181" t="n">
        <v>8</v>
      </c>
      <c r="CR181" t="n">
        <v>6</v>
      </c>
      <c r="CS181">
        <f>IF(R181="Y",10,0)</f>
        <v/>
      </c>
      <c r="CT181" t="n">
        <v>0</v>
      </c>
      <c r="CU181" t="inlineStr">
        <is>
          <t>https://instagram.com/little.latke</t>
        </is>
      </c>
      <c r="CV181" t="inlineStr">
        <is>
          <t>BR1</t>
        </is>
      </c>
      <c r="CW181" t="inlineStr">
        <is>
          <t>BR1:9</t>
        </is>
      </c>
      <c r="CX181" t="inlineStr">
        <is>
          <t>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is>
      </c>
      <c r="CY181" t="inlineStr">
        <is>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is>
      </c>
      <c r="DA181" t="inlineStr">
        <is>
          <t>stage 1 only</t>
        </is>
      </c>
      <c r="DY181">
        <f>IF(ISNUMBER(MATCH(U181,{"queued","contacted","replied","call_booked","call_done","yes_in_principle","materials_sent"},0)),"Y","N")</f>
        <v/>
      </c>
      <c r="DZ181">
        <f>IF(COUNTIFS($AN$2:$AN$1000,AN181,$DY$2:$DY$1000,"Y")+COUNTIFS($AN$2:$AN$1000,AN181,$T$2:$T$1000,"Y")&gt;0,"Y","N")</f>
        <v/>
      </c>
      <c r="EA181">
        <f>IF(AND(U181="new",T181="N",AR181="Y",AQ181="",DZ181="N"),"Y","N")</f>
        <v/>
      </c>
      <c r="EB181">
        <f>IF(EA181&lt;&gt;"Y","N",IF(COUNTIFS($AN$2:$AN$1000,AN181,$EA$2:$EA$1000,"Y",$J$2:$J$1000,"&gt;"&amp;J181)+COUNTIFS($AN$2:$AN$1000,AN181,$EA$2:$EA$1000,"Y",$J$2:$J$1000,J181,$ED$2:$ED$1000,"&lt;"&amp;ED181)=0,"Y","N"))</f>
        <v/>
      </c>
      <c r="EC181">
        <f>IF(Y181="","N",IF(Y181&lt;=10,"Y","N"))</f>
        <v/>
      </c>
      <c r="ED181">
        <f>ROW()-1</f>
        <v/>
      </c>
    </row>
    <row r="182">
      <c r="A182" t="inlineStr">
        <is>
          <t>AB-147</t>
        </is>
      </c>
      <c r="B182" t="inlineStr">
        <is>
          <t>Mingle Mocktails</t>
        </is>
      </c>
      <c r="C182" t="inlineStr">
        <is>
          <t>Laura</t>
        </is>
      </c>
      <c r="D182" t="inlineStr">
        <is>
          <t>Taylor</t>
        </is>
      </c>
      <c r="E182" t="inlineStr">
        <is>
          <t>Founder and Chief Mingle Officer</t>
        </is>
      </c>
      <c r="H182" t="inlineStr">
        <is>
          <t>none</t>
        </is>
      </c>
      <c r="I182" t="inlineStr">
        <is>
          <t>linkedin</t>
        </is>
      </c>
      <c r="J182">
        <f>IF(AU182="pass",CM182+CN182+CO182+CP182+CQ182+CR182+CS182+CT182,0)</f>
        <v/>
      </c>
      <c r="K182" t="inlineStr">
        <is>
          <t>Northeast brand, no graded store within ten blocks, online store only, a new store listing 28 days ago, revenue unknown, contact named; founder review: claim-borderline.</t>
        </is>
      </c>
      <c r="M182" t="inlineStr">
        <is>
          <t>none found within ten blocks</t>
        </is>
      </c>
      <c r="N182" t="inlineStr">
        <is>
          <t>unverified</t>
        </is>
      </c>
      <c r="O182" t="inlineStr">
        <is>
          <t>Espresso Martini Mocktail can listed on store</t>
        </is>
      </c>
      <c r="P182" t="inlineStr">
        <is>
          <t>https://www.minglemocktails.com/pages/espresso-martini</t>
        </is>
      </c>
      <c r="Q182" t="inlineStr">
        <is>
          <t>2026-09-26</t>
        </is>
      </c>
      <c r="R182" t="inlineStr">
        <is>
          <t>N</t>
        </is>
      </c>
      <c r="S182" t="inlineStr">
        <is>
          <t>unknown</t>
        </is>
      </c>
      <c r="T182" t="inlineStr">
        <is>
          <t>N</t>
        </is>
      </c>
      <c r="U182" t="inlineStr">
        <is>
          <t>new</t>
        </is>
      </c>
      <c r="V182" t="inlineStr">
        <is>
          <t>https://www.minglemocktails.com/pages/about-mm</t>
        </is>
      </c>
      <c r="W182" t="inlineStr">
        <is>
          <t>2026-10-23</t>
        </is>
      </c>
      <c r="X182" t="inlineStr">
        <is>
          <t>brand</t>
        </is>
      </c>
      <c r="Y182">
        <f>IF(EB182&lt;&gt;"Y","",COUNTIFS($EB$2:$EB$1000,"Y",$J$2:$J$1000,"&gt;"&amp;J182)+COUNTIFS($EB$2:$EB$1000,"Y",$J$2:$J$1000,J182,$ED$2:$ED$1000,"&lt;"&amp;ED182)+1)</f>
        <v/>
      </c>
      <c r="Z182" t="n">
        <v>181</v>
      </c>
      <c r="AA182" t="inlineStr">
        <is>
          <t>N</t>
        </is>
      </c>
      <c r="AB182" t="inlineStr">
        <is>
          <t>find Laura Taylor at Mingle Mocktails on LinkedIn and paste the profile URL; founder review (claim-borderline): read founder_review_reason first</t>
        </is>
      </c>
      <c r="AC182" t="inlineStr">
        <is>
          <t>founder</t>
        </is>
      </c>
      <c r="AD182" t="inlineStr">
        <is>
          <t>verified-page</t>
        </is>
      </c>
      <c r="AE182" t="inlineStr">
        <is>
          <t>press, event or podcast page</t>
        </is>
      </c>
      <c r="AF182" t="inlineStr">
        <is>
          <t>https://channel.io/blog/articles/77035651</t>
        </is>
      </c>
      <c r="AG182" t="inlineStr">
        <is>
          <t>2026-10-23</t>
        </is>
      </c>
      <c r="AH182" t="inlineStr">
        <is>
          <t>Mingle Espresso Martini Mocktail can (85 mg caffeine); Cucumber Melon Mojito</t>
        </is>
      </c>
      <c r="AI182" t="inlineStr">
        <is>
          <t>other-drink</t>
        </is>
      </c>
      <c r="AJ182" t="inlineStr">
        <is>
          <t>Wayne</t>
        </is>
      </c>
      <c r="AK182" t="inlineStr">
        <is>
          <t>https://www.minglemocktails.com</t>
        </is>
      </c>
      <c r="AL182" t="inlineStr">
        <is>
          <t>Y</t>
        </is>
      </c>
      <c r="AM182" t="inlineStr">
        <is>
          <t>Core mocktails are fine, but the 'Mingle Mood' line uses adaptogens 'to help you feel relaxed' (structure or function wording); only the non-functional SKUs could be placed; 60-day shelf life not stated</t>
        </is>
      </c>
      <c r="AN182" t="inlineStr">
        <is>
          <t>AB-147</t>
        </is>
      </c>
      <c r="AO182" t="inlineStr">
        <is>
          <t>N</t>
        </is>
      </c>
      <c r="AR182">
        <f>IF(AND(AU182="pass",AO182&lt;&gt;"Y",C182&lt;&gt;""),"Y","N")</f>
        <v/>
      </c>
      <c r="AS182">
        <f>_xlfn.TEXTJOIN("; ",TRUE,IF(AU182&lt;&gt;"pass","gated out",""),IF(AO182="Y","on hold: "&amp;AP182,""),IF(C182="","no contact named on an opened page",""))</f>
        <v/>
      </c>
      <c r="AU182" t="inlineStr">
        <is>
          <t>pass</t>
        </is>
      </c>
      <c r="AW182" t="inlineStr">
        <is>
          <t>passes all hard gates</t>
        </is>
      </c>
      <c r="AX182" t="inlineStr">
        <is>
          <t>claim-borderline</t>
        </is>
      </c>
      <c r="AY182" t="inlineStr">
        <is>
          <t>https://www.minglemocktails.com</t>
        </is>
      </c>
      <c r="AZ182" t="inlineStr">
        <is>
          <t>PA</t>
        </is>
      </c>
      <c r="BA182" t="inlineStr">
        <is>
          <t>northeast</t>
        </is>
      </c>
      <c r="BB182" t="inlineStr">
        <is>
          <t>unknown</t>
        </is>
      </c>
      <c r="BD182" t="inlineStr">
        <is>
          <t>unknown</t>
        </is>
      </c>
      <c r="BE182" t="inlineStr">
        <is>
          <t>No storage statement read</t>
        </is>
      </c>
      <c r="BF182" t="inlineStr">
        <is>
          <t>Y</t>
        </is>
      </c>
      <c r="BG182" t="inlineStr">
        <is>
          <t>Y</t>
        </is>
      </c>
      <c r="BH182" t="inlineStr">
        <is>
          <t>unknown</t>
        </is>
      </c>
      <c r="BJ182" t="inlineStr">
        <is>
          <t>No public sales figure found</t>
        </is>
      </c>
      <c r="BK182" t="inlineStr">
        <is>
          <t>Y</t>
        </is>
      </c>
      <c r="BL182" t="inlineStr">
        <is>
          <t>N</t>
        </is>
      </c>
      <c r="BO182" t="inlineStr">
        <is>
          <t>N</t>
        </is>
      </c>
      <c r="BP182" t="n">
        <v>0</v>
      </c>
      <c r="BS182" t="inlineStr">
        <is>
          <t>unknown (GoToAisle locator not readable)</t>
        </is>
      </c>
      <c r="BU182" t="inlineStr">
        <is>
          <t>listing</t>
        </is>
      </c>
      <c r="BV182" t="n">
        <v>28</v>
      </c>
      <c r="BX182" t="inlineStr">
        <is>
          <t>Laura Taylor</t>
        </is>
      </c>
      <c r="CF182" t="inlineStr">
        <is>
          <t>none</t>
        </is>
      </c>
      <c r="CK182" t="inlineStr">
        <is>
          <t>none</t>
        </is>
      </c>
      <c r="CL182" t="n">
        <v>36</v>
      </c>
      <c r="CM182" t="n">
        <v>6</v>
      </c>
      <c r="CN182" t="n">
        <v>8</v>
      </c>
      <c r="CO182" t="n">
        <v>8</v>
      </c>
      <c r="CP182" t="n">
        <v>5</v>
      </c>
      <c r="CQ182" t="n">
        <v>7</v>
      </c>
      <c r="CR182" t="n">
        <v>6</v>
      </c>
      <c r="CS182">
        <f>IF(R182="Y",10,0)</f>
        <v/>
      </c>
      <c r="CT182" t="n">
        <v>-4</v>
      </c>
      <c r="CU182" t="inlineStr">
        <is>
          <t>https://www.instagram.com/minglemocktails</t>
        </is>
      </c>
      <c r="CV182" t="inlineStr">
        <is>
          <t>BR3</t>
        </is>
      </c>
      <c r="CW182" t="inlineStr">
        <is>
          <t>BR3:21</t>
        </is>
      </c>
      <c r="CX182" t="inlineStr">
        <is>
          <t>HQ not confirmed (no address found). Date is Shopify publish date of the Espresso Martini product.</t>
        </is>
      </c>
      <c r="CY182" t="inlineStr">
        <is>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t>
        </is>
      </c>
      <c r="DA182" t="inlineStr">
        <is>
          <t>stage 1 only</t>
        </is>
      </c>
      <c r="DY182">
        <f>IF(ISNUMBER(MATCH(U182,{"queued","contacted","replied","call_booked","call_done","yes_in_principle","materials_sent"},0)),"Y","N")</f>
        <v/>
      </c>
      <c r="DZ182">
        <f>IF(COUNTIFS($AN$2:$AN$1000,AN182,$DY$2:$DY$1000,"Y")+COUNTIFS($AN$2:$AN$1000,AN182,$T$2:$T$1000,"Y")&gt;0,"Y","N")</f>
        <v/>
      </c>
      <c r="EA182">
        <f>IF(AND(U182="new",T182="N",AR182="Y",AQ182="",DZ182="N"),"Y","N")</f>
        <v/>
      </c>
      <c r="EB182">
        <f>IF(EA182&lt;&gt;"Y","N",IF(COUNTIFS($AN$2:$AN$1000,AN182,$EA$2:$EA$1000,"Y",$J$2:$J$1000,"&gt;"&amp;J182)+COUNTIFS($AN$2:$AN$1000,AN182,$EA$2:$EA$1000,"Y",$J$2:$J$1000,J182,$ED$2:$ED$1000,"&lt;"&amp;ED182)=0,"Y","N"))</f>
        <v/>
      </c>
      <c r="EC182">
        <f>IF(Y182="","N",IF(Y182&lt;=10,"Y","N"))</f>
        <v/>
      </c>
      <c r="ED182">
        <f>ROW()-1</f>
        <v/>
      </c>
    </row>
    <row r="183">
      <c r="A183" t="inlineStr">
        <is>
          <t>AB-288</t>
        </is>
      </c>
      <c r="B183" t="inlineStr">
        <is>
          <t>True North Granola</t>
        </is>
      </c>
      <c r="C183" t="inlineStr">
        <is>
          <t>Parwaz</t>
        </is>
      </c>
      <c r="D183" t="inlineStr">
        <is>
          <t>unknown</t>
        </is>
      </c>
      <c r="E183" t="inlineStr">
        <is>
          <t>Owner</t>
        </is>
      </c>
      <c r="H183" t="inlineStr">
        <is>
          <t>none</t>
        </is>
      </c>
      <c r="I183" t="inlineStr">
        <is>
          <t>linkedin</t>
        </is>
      </c>
      <c r="J183">
        <f>IF(AU183="pass",CM183+CN183+CO183+CP183+CQ183+CR183+CS183+CT183,0)</f>
        <v/>
      </c>
      <c r="K183" t="inlineStr">
        <is>
          <t>Northeast brand, no graded store within ten blocks, online store only, a new store listing 95 days ago, revenue unknown, contact named (first name only); founder review: claim-borderline.</t>
        </is>
      </c>
      <c r="M183" t="inlineStr">
        <is>
          <t>none found within ten blocks</t>
        </is>
      </c>
      <c r="N183" t="inlineStr">
        <is>
          <t>unverified</t>
        </is>
      </c>
      <c r="O183" t="inlineStr">
        <is>
          <t>Exhibited at the 2026 Summer Fancy Food Show with a new product flagged; added Almond Crunch in 1 oz single-serve bags</t>
        </is>
      </c>
      <c r="P183" t="inlineStr">
        <is>
          <t>https://truenorthgranola.com/products.json</t>
        </is>
      </c>
      <c r="Q183" t="inlineStr">
        <is>
          <t>2026-07-21</t>
        </is>
      </c>
      <c r="R183" t="inlineStr">
        <is>
          <t>N</t>
        </is>
      </c>
      <c r="S183" t="inlineStr">
        <is>
          <t>unknown</t>
        </is>
      </c>
      <c r="T183" t="inlineStr">
        <is>
          <t>N</t>
        </is>
      </c>
      <c r="U183" t="inlineStr">
        <is>
          <t>new</t>
        </is>
      </c>
      <c r="V183" t="inlineStr">
        <is>
          <t>https://events.specialtyfood.com/event/2026-summer-fancy-food-show/exhibitor/RXhoaWJpdG9yXzI0NDA5MDA=</t>
        </is>
      </c>
      <c r="W183" t="inlineStr">
        <is>
          <t>2026-10-24</t>
        </is>
      </c>
      <c r="X183" t="inlineStr">
        <is>
          <t>brand</t>
        </is>
      </c>
      <c r="Y183">
        <f>IF(EB183&lt;&gt;"Y","",COUNTIFS($EB$2:$EB$1000,"Y",$J$2:$J$1000,"&gt;"&amp;J183)+COUNTIFS($EB$2:$EB$1000,"Y",$J$2:$J$1000,J183,$ED$2:$ED$1000,"&lt;"&amp;ED183)+1)</f>
        <v/>
      </c>
      <c r="Z183" t="n">
        <v>182</v>
      </c>
      <c r="AA183" t="inlineStr">
        <is>
          <t>N</t>
        </is>
      </c>
      <c r="AB183" t="inlineStr">
        <is>
          <t>find Parwaz at True North Granola on LinkedIn and paste the profile URL; surname not public: take it from LinkedIn; founder review (claim-borderline): read founder_review_reason first</t>
        </is>
      </c>
      <c r="AC183" t="inlineStr">
        <is>
          <t>founder</t>
        </is>
      </c>
      <c r="AD183" t="inlineStr">
        <is>
          <t>first-name-only</t>
        </is>
      </c>
      <c r="AE183" t="inlineStr">
        <is>
          <t>employer's own site</t>
        </is>
      </c>
      <c r="AF183" t="inlineStr">
        <is>
          <t>https://truenorthgranola.com/pages/about-us</t>
        </is>
      </c>
      <c r="AG183" t="inlineStr">
        <is>
          <t>2026-10-24</t>
        </is>
      </c>
      <c r="AH183" t="inlineStr">
        <is>
          <t>Almond Crunch granola, 1 oz single-serving bag; Discovery Pack of 2 oz snack bags</t>
        </is>
      </c>
      <c r="AI183" t="inlineStr">
        <is>
          <t>other-snack</t>
        </is>
      </c>
      <c r="AJ183" t="inlineStr">
        <is>
          <t>unknown (Vermont kitchen)</t>
        </is>
      </c>
      <c r="AK183" t="inlineStr">
        <is>
          <t>https://truenorthgranola.com</t>
        </is>
      </c>
      <c r="AL183" t="inlineStr">
        <is>
          <t>Y</t>
        </is>
      </c>
      <c r="AM183" t="inlineStr">
        <is>
          <t>New owners since summer 2025; homepage meta says 'happens to be healthy' (soft wording). No NYC retailer found</t>
        </is>
      </c>
      <c r="AN183" t="inlineStr">
        <is>
          <t>AB-288</t>
        </is>
      </c>
      <c r="AO183" t="inlineStr">
        <is>
          <t>N</t>
        </is>
      </c>
      <c r="AR183">
        <f>IF(AND(AU183="pass",AO183&lt;&gt;"Y",C183&lt;&gt;""),"Y","N")</f>
        <v/>
      </c>
      <c r="AS183">
        <f>_xlfn.TEXTJOIN("; ",TRUE,IF(AU183&lt;&gt;"pass","gated out",""),IF(AO183="Y","on hold: "&amp;AP183,""),IF(C183="","no contact named on an opened page",""))</f>
        <v/>
      </c>
      <c r="AU183" t="inlineStr">
        <is>
          <t>pass</t>
        </is>
      </c>
      <c r="AW183" t="inlineStr">
        <is>
          <t>passes all hard gates</t>
        </is>
      </c>
      <c r="AX183" t="inlineStr">
        <is>
          <t>claim-borderline</t>
        </is>
      </c>
      <c r="AY183" t="inlineStr">
        <is>
          <t>https://truenorthgranola.com</t>
        </is>
      </c>
      <c r="AZ183" t="inlineStr">
        <is>
          <t>VT</t>
        </is>
      </c>
      <c r="BA183" t="inlineStr">
        <is>
          <t>northeast</t>
        </is>
      </c>
      <c r="BB183" t="inlineStr">
        <is>
          <t>unknown</t>
        </is>
      </c>
      <c r="BD183" t="inlineStr">
        <is>
          <t>Y</t>
        </is>
      </c>
      <c r="BE183" t="inlineStr">
        <is>
          <t>Packaged granola in sealed 1 oz, 2 oz and 8 oz bags; shelf life not stated</t>
        </is>
      </c>
      <c r="BF183" t="inlineStr">
        <is>
          <t>Y</t>
        </is>
      </c>
      <c r="BG183" t="inlineStr">
        <is>
          <t>Y</t>
        </is>
      </c>
      <c r="BH183" t="inlineStr">
        <is>
          <t>unknown</t>
        </is>
      </c>
      <c r="BJ183" t="inlineStr">
        <is>
          <t>No sourced sales figure found</t>
        </is>
      </c>
      <c r="BK183" t="inlineStr">
        <is>
          <t>N</t>
        </is>
      </c>
      <c r="BL183" t="inlineStr">
        <is>
          <t>N</t>
        </is>
      </c>
      <c r="BO183" t="inlineStr">
        <is>
          <t>N</t>
        </is>
      </c>
      <c r="BP183" t="n">
        <v>0</v>
      </c>
      <c r="BS183" t="inlineStr">
        <is>
          <t>unknown</t>
        </is>
      </c>
      <c r="BU183" t="inlineStr">
        <is>
          <t>listing</t>
        </is>
      </c>
      <c r="BV183" t="n">
        <v>95</v>
      </c>
      <c r="BX183" t="inlineStr">
        <is>
          <t>Parwaz</t>
        </is>
      </c>
      <c r="BY183" t="inlineStr">
        <is>
          <t>surnames not given</t>
        </is>
      </c>
      <c r="CA183" t="inlineStr">
        <is>
          <t>Ankur</t>
        </is>
      </c>
      <c r="CB183" t="inlineStr">
        <is>
          <t>Ankur</t>
        </is>
      </c>
      <c r="CC183" t="inlineStr">
        <is>
          <t>unknown</t>
        </is>
      </c>
      <c r="CD183" t="inlineStr">
        <is>
          <t>Owner</t>
        </is>
      </c>
      <c r="CE183" t="inlineStr">
        <is>
          <t>co-founder</t>
        </is>
      </c>
      <c r="CF183" t="inlineStr">
        <is>
          <t>first-name-only</t>
        </is>
      </c>
      <c r="CG183" t="inlineStr">
        <is>
          <t>surnames not given</t>
        </is>
      </c>
      <c r="CK183" t="inlineStr">
        <is>
          <t>none</t>
        </is>
      </c>
      <c r="CL183" t="n">
        <v>36</v>
      </c>
      <c r="CM183" t="n">
        <v>6</v>
      </c>
      <c r="CN183" t="n">
        <v>8</v>
      </c>
      <c r="CO183" t="n">
        <v>8</v>
      </c>
      <c r="CP183" t="n">
        <v>5</v>
      </c>
      <c r="CQ183" t="n">
        <v>10</v>
      </c>
      <c r="CR183" t="n">
        <v>3</v>
      </c>
      <c r="CS183">
        <f>IF(R183="Y",10,0)</f>
        <v/>
      </c>
      <c r="CT183" t="n">
        <v>-4</v>
      </c>
      <c r="CU183" t="inlineStr">
        <is>
          <t>https://www.instagram.com/truenorthgranola/</t>
        </is>
      </c>
      <c r="CV183" t="inlineStr">
        <is>
          <t>BR5</t>
        </is>
      </c>
      <c r="CW183" t="inlineStr">
        <is>
          <t>BR5:24</t>
        </is>
      </c>
      <c r="CX183" t="inlineStr">
        <is>
          <t>SFFS 2026: 'Since 2006, True North Granola has been crafting extraordinary granola by hand in Vermont'. Startup CPG search hit (2025 Shelfie winners) is older than 12 months and was not confirmed to name the brand, so startup_cpg_member stays unknown.</t>
        </is>
      </c>
      <c r="CZ183" t="inlineStr">
        <is>
          <t>https://truenorthgranola.com/pages/about-us</t>
        </is>
      </c>
      <c r="DA183" t="inlineStr">
        <is>
          <t>stage 1 only</t>
        </is>
      </c>
      <c r="DC183" t="inlineStr">
        <is>
          <t>employer's own site</t>
        </is>
      </c>
      <c r="DY183">
        <f>IF(ISNUMBER(MATCH(U183,{"queued","contacted","replied","call_booked","call_done","yes_in_principle","materials_sent"},0)),"Y","N")</f>
        <v/>
      </c>
      <c r="DZ183">
        <f>IF(COUNTIFS($AN$2:$AN$1000,AN183,$DY$2:$DY$1000,"Y")+COUNTIFS($AN$2:$AN$1000,AN183,$T$2:$T$1000,"Y")&gt;0,"Y","N")</f>
        <v/>
      </c>
      <c r="EA183">
        <f>IF(AND(U183="new",T183="N",AR183="Y",AQ183="",DZ183="N"),"Y","N")</f>
        <v/>
      </c>
      <c r="EB183">
        <f>IF(EA183&lt;&gt;"Y","N",IF(COUNTIFS($AN$2:$AN$1000,AN183,$EA$2:$EA$1000,"Y",$J$2:$J$1000,"&gt;"&amp;J183)+COUNTIFS($AN$2:$AN$1000,AN183,$EA$2:$EA$1000,"Y",$J$2:$J$1000,J183,$ED$2:$ED$1000,"&lt;"&amp;ED183)=0,"Y","N"))</f>
        <v/>
      </c>
      <c r="EC183">
        <f>IF(Y183="","N",IF(Y183&lt;=10,"Y","N"))</f>
        <v/>
      </c>
      <c r="ED183">
        <f>ROW()-1</f>
        <v/>
      </c>
    </row>
    <row r="184">
      <c r="A184" t="inlineStr">
        <is>
          <t>AB-012</t>
        </is>
      </c>
      <c r="B184" t="inlineStr">
        <is>
          <t>Vaca Chips</t>
        </is>
      </c>
      <c r="C184" t="inlineStr">
        <is>
          <t>Brian</t>
        </is>
      </c>
      <c r="D184" t="inlineStr">
        <is>
          <t>Gibb</t>
        </is>
      </c>
      <c r="E184" t="inlineStr">
        <is>
          <t>Founder &amp; CEO</t>
        </is>
      </c>
      <c r="H184" t="inlineStr">
        <is>
          <t>none</t>
        </is>
      </c>
      <c r="I184" t="inlineStr">
        <is>
          <t>linkedin</t>
        </is>
      </c>
      <c r="J184">
        <f>IF(AU184="pass",CM184+CN184+CO184+CP184+CQ184+CR184+CS184+CT184,0)</f>
        <v/>
      </c>
      <c r="K184" t="inlineStr">
        <is>
          <t>Brand based outside the Northeast, no graded store within ten blocks, online store only, a new store listing 22 days ago, revenue unknown, contact named.</t>
        </is>
      </c>
      <c r="M184" t="inlineStr">
        <is>
          <t>none found within ten blocks</t>
        </is>
      </c>
      <c r="N184" t="inlineStr">
        <is>
          <t>unverified</t>
        </is>
      </c>
      <c r="O184" t="inlineStr">
        <is>
          <t>New 18-pack variety offer on brand store</t>
        </is>
      </c>
      <c r="P184" t="inlineStr">
        <is>
          <t>https://www.vacachips.com/products/vaca-18-pack-variety</t>
        </is>
      </c>
      <c r="Q184" t="inlineStr">
        <is>
          <t>2026-10-02</t>
        </is>
      </c>
      <c r="R184" t="inlineStr">
        <is>
          <t>N</t>
        </is>
      </c>
      <c r="S184" t="inlineStr">
        <is>
          <t>unknown</t>
        </is>
      </c>
      <c r="T184" t="inlineStr">
        <is>
          <t>N</t>
        </is>
      </c>
      <c r="U184" t="inlineStr">
        <is>
          <t>new</t>
        </is>
      </c>
      <c r="V184" t="inlineStr">
        <is>
          <t>https://vacachips.com/pages/about-us</t>
        </is>
      </c>
      <c r="W184" t="inlineStr">
        <is>
          <t>2026-10-23</t>
        </is>
      </c>
      <c r="X184" t="inlineStr">
        <is>
          <t>brand</t>
        </is>
      </c>
      <c r="Y184">
        <f>IF(EB184&lt;&gt;"Y","",COUNTIFS($EB$2:$EB$1000,"Y",$J$2:$J$1000,"&gt;"&amp;J184)+COUNTIFS($EB$2:$EB$1000,"Y",$J$2:$J$1000,J184,$ED$2:$ED$1000,"&lt;"&amp;ED184)+1)</f>
        <v/>
      </c>
      <c r="Z184" t="n">
        <v>183</v>
      </c>
      <c r="AA184" t="inlineStr">
        <is>
          <t>N</t>
        </is>
      </c>
      <c r="AB184" t="inlineStr">
        <is>
          <t>find Brian Gibb at Vaca Chips on LinkedIn and paste the profile URL</t>
        </is>
      </c>
      <c r="AC184" t="inlineStr">
        <is>
          <t>founder</t>
        </is>
      </c>
      <c r="AD184" t="inlineStr">
        <is>
          <t>verified-page</t>
        </is>
      </c>
      <c r="AE184" t="inlineStr">
        <is>
          <t>employer's own site</t>
        </is>
      </c>
      <c r="AF184" t="inlineStr">
        <is>
          <t>https://vacachips.com/pages/about-us</t>
        </is>
      </c>
      <c r="AG184" t="inlineStr">
        <is>
          <t>2026-10-23</t>
        </is>
      </c>
      <c r="AH184" t="inlineStr">
        <is>
          <t>Vaca Chips beef-tallow-fried tortilla chips (sampler and 12-pack bundles)</t>
        </is>
      </c>
      <c r="AI184" t="inlineStr">
        <is>
          <t>chips-crisps</t>
        </is>
      </c>
      <c r="AJ184" t="inlineStr">
        <is>
          <t>Huntington Beach</t>
        </is>
      </c>
      <c r="AK184" t="inlineStr">
        <is>
          <t>https://www.vacachips.com</t>
        </is>
      </c>
      <c r="AL184" t="inlineStr">
        <is>
          <t>N</t>
        </is>
      </c>
      <c r="AN184" t="inlineStr">
        <is>
          <t>AB-012</t>
        </is>
      </c>
      <c r="AO184" t="inlineStr">
        <is>
          <t>N</t>
        </is>
      </c>
      <c r="AR184">
        <f>IF(AND(AU184="pass",AO184&lt;&gt;"Y",C184&lt;&gt;""),"Y","N")</f>
        <v/>
      </c>
      <c r="AS184">
        <f>_xlfn.TEXTJOIN("; ",TRUE,IF(AU184&lt;&gt;"pass","gated out",""),IF(AO184="Y","on hold: "&amp;AP184,""),IF(C184="","no contact named on an opened page",""))</f>
        <v/>
      </c>
      <c r="AU184" t="inlineStr">
        <is>
          <t>pass</t>
        </is>
      </c>
      <c r="AW184" t="inlineStr">
        <is>
          <t>passes all hard gates</t>
        </is>
      </c>
      <c r="AY184" t="inlineStr">
        <is>
          <t>https://www.vacachips.com</t>
        </is>
      </c>
      <c r="AZ184" t="inlineStr">
        <is>
          <t>CA</t>
        </is>
      </c>
      <c r="BA184" t="inlineStr">
        <is>
          <t>elsewhere</t>
        </is>
      </c>
      <c r="BB184" t="inlineStr">
        <is>
          <t>unknown</t>
        </is>
      </c>
      <c r="BD184" t="inlineStr">
        <is>
          <t>Y</t>
        </is>
      </c>
      <c r="BE184" t="inlineStr">
        <is>
          <t>Bagged fried tortilla chips sold ambient</t>
        </is>
      </c>
      <c r="BF184" t="inlineStr">
        <is>
          <t>unknown</t>
        </is>
      </c>
      <c r="BG184" t="inlineStr">
        <is>
          <t>Y</t>
        </is>
      </c>
      <c r="BH184" t="inlineStr">
        <is>
          <t>unknown</t>
        </is>
      </c>
      <c r="BJ184" t="inlineStr">
        <is>
          <t>unknown</t>
        </is>
      </c>
      <c r="BK184" t="inlineStr">
        <is>
          <t>N</t>
        </is>
      </c>
      <c r="BL184" t="inlineStr">
        <is>
          <t>N</t>
        </is>
      </c>
      <c r="BO184" t="inlineStr">
        <is>
          <t>N</t>
        </is>
      </c>
      <c r="BP184" t="n">
        <v>0</v>
      </c>
      <c r="BR184" t="inlineStr">
        <is>
          <t>PopUp Grocer (brand_claim, unplaced)</t>
        </is>
      </c>
      <c r="BS184" t="inlineStr">
        <is>
          <t>PopUp Grocer (NYC); brand store locator</t>
        </is>
      </c>
      <c r="BT184" t="inlineStr">
        <is>
          <t>https://popupgrocer.com/pages/directory (availability 'NYC Flagship', 2026-10-23); https://popupgrocer.com/products/vaca-chips</t>
        </is>
      </c>
      <c r="BU184" t="inlineStr">
        <is>
          <t>listing</t>
        </is>
      </c>
      <c r="BV184" t="n">
        <v>22</v>
      </c>
      <c r="BX184" t="inlineStr">
        <is>
          <t>Brian Gibb</t>
        </is>
      </c>
      <c r="CF184" t="inlineStr">
        <is>
          <t>none</t>
        </is>
      </c>
      <c r="CK184" t="inlineStr">
        <is>
          <t>none</t>
        </is>
      </c>
      <c r="CL184" t="n">
        <v>36</v>
      </c>
      <c r="CM184" t="n">
        <v>6</v>
      </c>
      <c r="CN184" t="n">
        <v>3</v>
      </c>
      <c r="CO184" t="n">
        <v>8</v>
      </c>
      <c r="CP184" t="n">
        <v>5</v>
      </c>
      <c r="CQ184" t="n">
        <v>8</v>
      </c>
      <c r="CR184" t="n">
        <v>6</v>
      </c>
      <c r="CS184">
        <f>IF(R184="Y",10,0)</f>
        <v/>
      </c>
      <c r="CT184" t="n">
        <v>0</v>
      </c>
      <c r="CU184" t="inlineStr">
        <is>
          <t>https://instagram.com/vacachips</t>
        </is>
      </c>
      <c r="CV184" t="inlineStr">
        <is>
          <t>BR1</t>
        </is>
      </c>
      <c r="CW184" t="inlineStr">
        <is>
          <t>BR1:13</t>
        </is>
      </c>
      <c r="CX184" t="inlineStr">
        <is>
          <t>LinkedIn snippet: Joshua Haddox, Cofounder and COO at Vaca Chips (https://www.linkedin.com/in/joshua-haddox-mba-48b17b54/). No marketing lead found. Homepage (opened) lists new placements at Bristol Farms, Lazy Acres and Gelson's (California, undated).</t>
        </is>
      </c>
      <c r="CY184" t="inlineStr">
        <is>
          <t xml:space="preserve">notes &lt;- https://www.linkedin.com/in/joshua-haddox-mba-48b17b54/ (2026-10-24, snippet-unverified); </t>
        </is>
      </c>
      <c r="DA184" t="inlineStr">
        <is>
          <t>stage 1 only</t>
        </is>
      </c>
      <c r="DY184">
        <f>IF(ISNUMBER(MATCH(U184,{"queued","contacted","replied","call_booked","call_done","yes_in_principle","materials_sent"},0)),"Y","N")</f>
        <v/>
      </c>
      <c r="DZ184">
        <f>IF(COUNTIFS($AN$2:$AN$1000,AN184,$DY$2:$DY$1000,"Y")+COUNTIFS($AN$2:$AN$1000,AN184,$T$2:$T$1000,"Y")&gt;0,"Y","N")</f>
        <v/>
      </c>
      <c r="EA184">
        <f>IF(AND(U184="new",T184="N",AR184="Y",AQ184="",DZ184="N"),"Y","N")</f>
        <v/>
      </c>
      <c r="EB184">
        <f>IF(EA184&lt;&gt;"Y","N",IF(COUNTIFS($AN$2:$AN$1000,AN184,$EA$2:$EA$1000,"Y",$J$2:$J$1000,"&gt;"&amp;J184)+COUNTIFS($AN$2:$AN$1000,AN184,$EA$2:$EA$1000,"Y",$J$2:$J$1000,J184,$ED$2:$ED$1000,"&lt;"&amp;ED184)=0,"Y","N"))</f>
        <v/>
      </c>
      <c r="EC184">
        <f>IF(Y184="","N",IF(Y184&lt;=10,"Y","N"))</f>
        <v/>
      </c>
      <c r="ED184">
        <f>ROW()-1</f>
        <v/>
      </c>
    </row>
    <row r="185">
      <c r="A185" t="inlineStr">
        <is>
          <t>AB-306</t>
        </is>
      </c>
      <c r="B185" t="inlineStr">
        <is>
          <t>Oso Cacao</t>
        </is>
      </c>
      <c r="H185" t="inlineStr">
        <is>
          <t>none</t>
        </is>
      </c>
      <c r="J185">
        <f>IF(AU185="pass",CM185+CN185+CO185+CP185+CQ185+CR185+CS185+CT185,0)</f>
        <v/>
      </c>
      <c r="K185" t="inlineStr">
        <is>
          <t>New York City brand, no graded store within ten blocks, online store only, no dated why-now in the last 12 months, revenue unknown, no contact named; founder review: alcohol-adjacent.</t>
        </is>
      </c>
      <c r="M185" t="inlineStr">
        <is>
          <t>none found within ten blocks</t>
        </is>
      </c>
      <c r="N185" t="inlineStr">
        <is>
          <t>unverified</t>
        </is>
      </c>
      <c r="R185" t="inlineStr">
        <is>
          <t>N</t>
        </is>
      </c>
      <c r="S185" t="inlineStr">
        <is>
          <t>unknown</t>
        </is>
      </c>
      <c r="T185" t="inlineStr">
        <is>
          <t>N</t>
        </is>
      </c>
      <c r="U185" t="inlineStr">
        <is>
          <t>new</t>
        </is>
      </c>
      <c r="V185" t="inlineStr">
        <is>
          <t>https://madeinqueens.org/products</t>
        </is>
      </c>
      <c r="W185" t="inlineStr">
        <is>
          <t>2026-10-24</t>
        </is>
      </c>
      <c r="X185" t="inlineStr">
        <is>
          <t>brand</t>
        </is>
      </c>
      <c r="Y185">
        <f>IF(EB185&lt;&gt;"Y","",COUNTIFS($EB$2:$EB$1000,"Y",$J$2:$J$1000,"&gt;"&amp;J185)+COUNTIFS($EB$2:$EB$1000,"Y",$J$2:$J$1000,J185,$ED$2:$ED$1000,"&lt;"&amp;ED185)+1)</f>
        <v/>
      </c>
      <c r="Z185" t="n">
        <v>184</v>
      </c>
      <c r="AA185" t="inlineStr">
        <is>
          <t>N</t>
        </is>
      </c>
      <c r="AB185" t="inlineStr">
        <is>
          <t>no person named on an opened page: not ready; founder review (alcohol-adjacent): read founder_review_reason first</t>
        </is>
      </c>
      <c r="AD185" t="inlineStr">
        <is>
          <t>none</t>
        </is>
      </c>
      <c r="AH185" t="inlineStr">
        <is>
          <t>Oso Cacao mango with chili-lime bean-to-bar chocolate ($12 bar)</t>
        </is>
      </c>
      <c r="AI185" t="inlineStr">
        <is>
          <t>chocolate-candy</t>
        </is>
      </c>
      <c r="AJ185" t="inlineStr">
        <is>
          <t>Queens (Made in Queens maker; Entrepreneur Space client)</t>
        </is>
      </c>
      <c r="AK185" t="inlineStr">
        <is>
          <t>https://www.osocacao.com/shop</t>
        </is>
      </c>
      <c r="AL185" t="inlineStr">
        <is>
          <t>Y</t>
        </is>
      </c>
      <c r="AM185" t="inlineStr">
        <is>
          <t>One SKU is a bourbon whiskey bar (check alcohol content; use another flavor). $12 bars are pricey for 50 units per office. No Manhattan stockist found</t>
        </is>
      </c>
      <c r="AN185" t="inlineStr">
        <is>
          <t>AB-306</t>
        </is>
      </c>
      <c r="AO185" t="inlineStr">
        <is>
          <t>N</t>
        </is>
      </c>
      <c r="AR185">
        <f>IF(AND(AU185="pass",AO185&lt;&gt;"Y",C185&lt;&gt;""),"Y","N")</f>
        <v/>
      </c>
      <c r="AS185">
        <f>_xlfn.TEXTJOIN("; ",TRUE,IF(AU185&lt;&gt;"pass","gated out",""),IF(AO185="Y","on hold: "&amp;AP185,""),IF(C185="","no contact named on an opened page",""))</f>
        <v/>
      </c>
      <c r="AU185" t="inlineStr">
        <is>
          <t>pass</t>
        </is>
      </c>
      <c r="AW185" t="inlineStr">
        <is>
          <t>passes all hard gates</t>
        </is>
      </c>
      <c r="AX185" t="inlineStr">
        <is>
          <t>alcohol-adjacent</t>
        </is>
      </c>
      <c r="AY185" t="inlineStr">
        <is>
          <t>https://www.osocacao.com</t>
        </is>
      </c>
      <c r="AZ185" t="inlineStr">
        <is>
          <t>NY</t>
        </is>
      </c>
      <c r="BA185" t="inlineStr">
        <is>
          <t>nyc</t>
        </is>
      </c>
      <c r="BB185" t="inlineStr">
        <is>
          <t>unknown</t>
        </is>
      </c>
      <c r="BD185" t="inlineStr">
        <is>
          <t>Y</t>
        </is>
      </c>
      <c r="BE185" t="inlineStr">
        <is>
          <t>Wrapped plant-based chocolate bars; ships Tuesdays and Thursdays only to protect quality</t>
        </is>
      </c>
      <c r="BF185" t="inlineStr">
        <is>
          <t>Y</t>
        </is>
      </c>
      <c r="BG185" t="inlineStr">
        <is>
          <t>Y</t>
        </is>
      </c>
      <c r="BH185" t="inlineStr">
        <is>
          <t>unknown</t>
        </is>
      </c>
      <c r="BJ185" t="inlineStr">
        <is>
          <t>No sourced sales figure found</t>
        </is>
      </c>
      <c r="BK185" t="inlineStr">
        <is>
          <t>N</t>
        </is>
      </c>
      <c r="BL185" t="inlineStr">
        <is>
          <t>N</t>
        </is>
      </c>
      <c r="BO185" t="inlineStr">
        <is>
          <t>N</t>
        </is>
      </c>
      <c r="BP185" t="n">
        <v>0</v>
      </c>
      <c r="BS185" t="inlineStr">
        <is>
          <t>Standalone Cheese; Wild Roots Provisions; Cocoa and Cream LA; Posh Deli (Wantagh); Abeja Coffee; The Green Salmon; JFK airport terminals (FAQ)</t>
        </is>
      </c>
      <c r="BT185" t="inlineStr">
        <is>
          <t>https://www.osocacao.com/faq</t>
        </is>
      </c>
      <c r="BU185" t="inlineStr">
        <is>
          <t>none</t>
        </is>
      </c>
      <c r="CF185" t="inlineStr">
        <is>
          <t>none</t>
        </is>
      </c>
      <c r="CK185" t="inlineStr">
        <is>
          <t>none</t>
        </is>
      </c>
      <c r="CL185" t="n">
        <v>36</v>
      </c>
      <c r="CM185" t="n">
        <v>6</v>
      </c>
      <c r="CN185" t="n">
        <v>20</v>
      </c>
      <c r="CO185" t="n">
        <v>0</v>
      </c>
      <c r="CP185" t="n">
        <v>5</v>
      </c>
      <c r="CQ185" t="n">
        <v>10</v>
      </c>
      <c r="CR185" t="n">
        <v>0</v>
      </c>
      <c r="CS185">
        <f>IF(R185="Y",10,0)</f>
        <v/>
      </c>
      <c r="CT185" t="n">
        <v>-5</v>
      </c>
      <c r="CU185" t="inlineStr">
        <is>
          <t>https://www.instagram.com/oso_cacao/</t>
        </is>
      </c>
      <c r="CV185" t="inlineStr">
        <is>
          <t>BR5</t>
        </is>
      </c>
      <c r="CW185" t="inlineStr">
        <is>
          <t>BR5:42</t>
        </is>
      </c>
      <c r="CX185" t="inlineStr">
        <is>
          <t>Made in Queens directory: 'authentic bean-to-bar chocolate that is proudly Mexican-inspired and NYC-made... focusing exclusively on small farms in Mexico'; M/WBE. Also an Entrepreneur Space current client. The directory lists a personal contact email and phone, which were not recorded.</t>
        </is>
      </c>
      <c r="DA185" t="inlineStr">
        <is>
          <t>stage 1 only</t>
        </is>
      </c>
      <c r="DY185">
        <f>IF(ISNUMBER(MATCH(U185,{"queued","contacted","replied","call_booked","call_done","yes_in_principle","materials_sent"},0)),"Y","N")</f>
        <v/>
      </c>
      <c r="DZ185">
        <f>IF(COUNTIFS($AN$2:$AN$1000,AN185,$DY$2:$DY$1000,"Y")+COUNTIFS($AN$2:$AN$1000,AN185,$T$2:$T$1000,"Y")&gt;0,"Y","N")</f>
        <v/>
      </c>
      <c r="EA185">
        <f>IF(AND(U185="new",T185="N",AR185="Y",AQ185="",DZ185="N"),"Y","N")</f>
        <v/>
      </c>
      <c r="EB185">
        <f>IF(EA185&lt;&gt;"Y","N",IF(COUNTIFS($AN$2:$AN$1000,AN185,$EA$2:$EA$1000,"Y",$J$2:$J$1000,"&gt;"&amp;J185)+COUNTIFS($AN$2:$AN$1000,AN185,$EA$2:$EA$1000,"Y",$J$2:$J$1000,J185,$ED$2:$ED$1000,"&lt;"&amp;ED185)=0,"Y","N"))</f>
        <v/>
      </c>
      <c r="EC185">
        <f>IF(Y185="","N",IF(Y185&lt;=10,"Y","N"))</f>
        <v/>
      </c>
      <c r="ED185">
        <f>ROW()-1</f>
        <v/>
      </c>
    </row>
    <row r="186">
      <c r="A186" t="inlineStr">
        <is>
          <t>AB-247</t>
        </is>
      </c>
      <c r="B186" t="inlineStr">
        <is>
          <t>Graza</t>
        </is>
      </c>
      <c r="C186" t="inlineStr">
        <is>
          <t>Andrew</t>
        </is>
      </c>
      <c r="D186" t="inlineStr">
        <is>
          <t>Benin</t>
        </is>
      </c>
      <c r="E186" t="inlineStr">
        <is>
          <t>Co-founder and CEO</t>
        </is>
      </c>
      <c r="H186" t="inlineStr">
        <is>
          <t>none</t>
        </is>
      </c>
      <c r="I186" t="inlineStr">
        <is>
          <t>linkedin</t>
        </is>
      </c>
      <c r="J186">
        <f>IF(AU186="pass",CM186+CN186+CO186+CP186+CQ186+CR186+CS186+CT186,0)</f>
        <v/>
      </c>
      <c r="K186" t="inlineStr">
        <is>
          <t>New York City brand (HQ unverified), store page shows Whole Foods Market NoMad inside the cluster, a new store listing 164 days ago, revenue over $10M, contact named; founder review: scale-reported, scale, not-emerging.</t>
        </is>
      </c>
      <c r="M186" t="inlineStr">
        <is>
          <t>Whole Foods Market NoMad, 63 Madison Ave</t>
        </is>
      </c>
      <c r="N186" t="inlineStr">
        <is>
          <t>store_selector</t>
        </is>
      </c>
      <c r="O186" t="inlineStr">
        <is>
          <t>Launched E.V.O.O. potato chips: brand-shop listings published 2026-05-13; homepage 'New E.V.O.O. Potato Chips'; WFM Union Square tags them 'Latest &amp; Greatest'</t>
        </is>
      </c>
      <c r="P186" t="inlineStr">
        <is>
          <t>https://www.graza.co/products.json?limit=250</t>
        </is>
      </c>
      <c r="Q186" t="inlineStr">
        <is>
          <t>2026-05-13</t>
        </is>
      </c>
      <c r="R186" t="inlineStr">
        <is>
          <t>N</t>
        </is>
      </c>
      <c r="S186" t="inlineStr">
        <is>
          <t>unknown</t>
        </is>
      </c>
      <c r="T186" t="inlineStr">
        <is>
          <t>N</t>
        </is>
      </c>
      <c r="U186" t="inlineStr">
        <is>
          <t>new</t>
        </is>
      </c>
      <c r="V186" t="inlineStr">
        <is>
          <t>https://www.graza.co/</t>
        </is>
      </c>
      <c r="W186" t="inlineStr">
        <is>
          <t>2026-10-23</t>
        </is>
      </c>
      <c r="X186" t="inlineStr">
        <is>
          <t>brand</t>
        </is>
      </c>
      <c r="Y186">
        <f>IF(EB186&lt;&gt;"Y","",COUNTIFS($EB$2:$EB$1000,"Y",$J$2:$J$1000,"&gt;"&amp;J186)+COUNTIFS($EB$2:$EB$1000,"Y",$J$2:$J$1000,J186,$ED$2:$ED$1000,"&lt;"&amp;ED186)+1)</f>
        <v/>
      </c>
      <c r="Z186" t="n">
        <v>185</v>
      </c>
      <c r="AA186" t="inlineStr">
        <is>
          <t>N</t>
        </is>
      </c>
      <c r="AB186" t="inlineStr">
        <is>
          <t>find Andrew Benin at Graza on LinkedIn and paste the profile URL; before using the retailer line, check Whole Foods Market NoMad still lists it: https://www.wholefoodsmarket.com/search?text=Graza with your store set to NoMad (catalogs change daily); founder review (scale-reported, scale, not-emerging): read founder_review_reason first</t>
        </is>
      </c>
      <c r="AC186" t="inlineStr">
        <is>
          <t>founder</t>
        </is>
      </c>
      <c r="AD186" t="inlineStr">
        <is>
          <t>verified-page</t>
        </is>
      </c>
      <c r="AE186" t="inlineStr">
        <is>
          <t>press, event or podcast page</t>
        </is>
      </c>
      <c r="AF186" t="inlineStr">
        <is>
          <t>https://nbcchicago.com/news/business/money-report/31-year-old-built-a-company-that-could-bring-in-48-million-this-year-all-due-to-olive-oil/3457955</t>
        </is>
      </c>
      <c r="AG186" t="inlineStr">
        <is>
          <t>2026-10-23</t>
        </is>
      </c>
      <c r="AH186" t="inlineStr">
        <is>
          <t>Graza E.V.O.O. Sea Salt Potato Chips, 5.5 oz bag (also Zesty Caesar, Salt &amp; Vinegar, Hot n' Sweet)</t>
        </is>
      </c>
      <c r="AI186" t="inlineStr">
        <is>
          <t>chips-crisps</t>
        </is>
      </c>
      <c r="AJ186" t="inlineStr">
        <is>
          <t>Brooklyn (185 Wythe Avenue per a business-directory search snippet; unverified, founder to confirm)</t>
        </is>
      </c>
      <c r="AK186" t="inlineStr">
        <is>
          <t>https://www.graza.co</t>
        </is>
      </c>
      <c r="AL186" t="inlineStr">
        <is>
          <t>Y</t>
        </is>
      </c>
      <c r="AM186" t="inlineStr">
        <is>
          <t>Established olive-oil brand (22-24 SKUs per cluster WFM) likely above the $10M ceiling; chips are a 2026 line extension, which is the why-now</t>
        </is>
      </c>
      <c r="AN186" t="inlineStr">
        <is>
          <t>AB-247</t>
        </is>
      </c>
      <c r="AO186" t="inlineStr">
        <is>
          <t>N</t>
        </is>
      </c>
      <c r="AR186">
        <f>IF(AND(AU186="pass",AO186&lt;&gt;"Y",C186&lt;&gt;""),"Y","N")</f>
        <v/>
      </c>
      <c r="AS186">
        <f>_xlfn.TEXTJOIN("; ",TRUE,IF(AU186&lt;&gt;"pass","gated out",""),IF(AO186="Y","on hold: "&amp;AP186,""),IF(C186="","no contact named on an opened page",""))</f>
        <v/>
      </c>
      <c r="AU186" t="inlineStr">
        <is>
          <t>pass</t>
        </is>
      </c>
      <c r="AW186" t="inlineStr">
        <is>
          <t>passes all hard gates</t>
        </is>
      </c>
      <c r="AX186" t="inlineStr">
        <is>
          <t>scale-reported;scale;not-emerging</t>
        </is>
      </c>
      <c r="AY186" t="inlineStr">
        <is>
          <t>https://www.graza.co</t>
        </is>
      </c>
      <c r="AZ186" t="inlineStr">
        <is>
          <t>unknown</t>
        </is>
      </c>
      <c r="BA186" t="inlineStr">
        <is>
          <t>nyc (unverified)</t>
        </is>
      </c>
      <c r="BB186" t="inlineStr">
        <is>
          <t>unknown</t>
        </is>
      </c>
      <c r="BD186" t="inlineStr">
        <is>
          <t>Y</t>
        </is>
      </c>
      <c r="BE186" t="inlineStr">
        <is>
          <t>Bagged kettle-style chips sold ambient; no shelf-life figure published, founder to confirm</t>
        </is>
      </c>
      <c r="BF186" t="inlineStr">
        <is>
          <t>Y</t>
        </is>
      </c>
      <c r="BG186" t="inlineStr">
        <is>
          <t>Y</t>
        </is>
      </c>
      <c r="BH186" t="inlineStr">
        <is>
          <t>over-10m</t>
        </is>
      </c>
      <c r="BI186" t="inlineStr">
        <is>
          <t>reported</t>
        </is>
      </c>
      <c r="BJ186" t="inlineStr">
        <is>
          <t>Company projection of $48M+ gross sales for 2024 (CNBC, 2024-06-07)</t>
        </is>
      </c>
      <c r="BK186" t="inlineStr">
        <is>
          <t>N</t>
        </is>
      </c>
      <c r="BL186" t="inlineStr">
        <is>
          <t>N</t>
        </is>
      </c>
      <c r="BN186" t="n">
        <v>0</v>
      </c>
      <c r="BO186" t="inlineStr">
        <is>
          <t>Y</t>
        </is>
      </c>
      <c r="BP186" t="n">
        <v>3</v>
      </c>
      <c r="BQ186" t="inlineStr">
        <is>
          <t>Whole Foods Market NoMad, 63 Madison Ave (store_selector, inside);Whole Foods Market Union Square, 4 Union Sq S (store_selector, inside);Whole Foods Market Chelsea, 250 7th Ave (store_selector, 3.0 blocks out)</t>
        </is>
      </c>
      <c r="BR186" t="inlineStr">
        <is>
          <t>Whole Foods Market Manhattan West (store_selector, 13.8 blocks out)</t>
        </is>
      </c>
      <c r="BS186" t="inlineStr">
        <is>
          <t>Whole Foods Market (chips at all four cluster stores; 'Find Chips' locator on homepage)</t>
        </is>
      </c>
      <c r="BT186" t="inlineStr">
        <is>
          <t>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is>
      </c>
      <c r="BU186" t="inlineStr">
        <is>
          <t>listing</t>
        </is>
      </c>
      <c r="BV186" t="n">
        <v>164</v>
      </c>
      <c r="BX186" t="inlineStr">
        <is>
          <t>Andrew Benin</t>
        </is>
      </c>
      <c r="CA186" t="inlineStr">
        <is>
          <t>Amanda Everest</t>
        </is>
      </c>
      <c r="CE186" t="inlineStr">
        <is>
          <t>marketing</t>
        </is>
      </c>
      <c r="CF186" t="inlineStr">
        <is>
          <t>unverified</t>
        </is>
      </c>
      <c r="CG186" t="inlineStr">
        <is>
          <t>unverified, founder to confirm</t>
        </is>
      </c>
      <c r="CK186" t="inlineStr">
        <is>
          <t>none</t>
        </is>
      </c>
      <c r="CL186" t="n">
        <v>35</v>
      </c>
      <c r="CM186" t="n">
        <v>25</v>
      </c>
      <c r="CN186" t="n">
        <v>17</v>
      </c>
      <c r="CO186" t="n">
        <v>8</v>
      </c>
      <c r="CP186" t="n">
        <v>0</v>
      </c>
      <c r="CQ186" t="n">
        <v>10</v>
      </c>
      <c r="CR186" t="n">
        <v>10</v>
      </c>
      <c r="CS186">
        <f>IF(R186="Y",10,0)</f>
        <v/>
      </c>
      <c r="CT186" t="n">
        <v>-35</v>
      </c>
      <c r="CV186" t="inlineStr">
        <is>
          <t>BR4</t>
        </is>
      </c>
      <c r="CW186" t="inlineStr">
        <is>
          <t>BR4:42</t>
        </is>
      </c>
      <c r="CX186" t="inlineStr">
        <is>
          <t>Chip launch date taken from Shopify product published_at on graza.co (brand's own store data). WFM 'new' filter (featured=new) at Union Square lists all four chip SKUs, 2026-10-23.</t>
        </is>
      </c>
      <c r="CY186" t="inlineStr">
        <is>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is>
      </c>
      <c r="DA186" t="inlineStr">
        <is>
          <t>stage 1 only</t>
        </is>
      </c>
      <c r="DC186" t="inlineStr">
        <is>
          <t>unknown</t>
        </is>
      </c>
      <c r="DY186">
        <f>IF(ISNUMBER(MATCH(U186,{"queued","contacted","replied","call_booked","call_done","yes_in_principle","materials_sent"},0)),"Y","N")</f>
        <v/>
      </c>
      <c r="DZ186">
        <f>IF(COUNTIFS($AN$2:$AN$1000,AN186,$DY$2:$DY$1000,"Y")+COUNTIFS($AN$2:$AN$1000,AN186,$T$2:$T$1000,"Y")&gt;0,"Y","N")</f>
        <v/>
      </c>
      <c r="EA186">
        <f>IF(AND(U186="new",T186="N",AR186="Y",AQ186="",DZ186="N"),"Y","N")</f>
        <v/>
      </c>
      <c r="EB186">
        <f>IF(EA186&lt;&gt;"Y","N",IF(COUNTIFS($AN$2:$AN$1000,AN186,$EA$2:$EA$1000,"Y",$J$2:$J$1000,"&gt;"&amp;J186)+COUNTIFS($AN$2:$AN$1000,AN186,$EA$2:$EA$1000,"Y",$J$2:$J$1000,J186,$ED$2:$ED$1000,"&lt;"&amp;ED186)=0,"Y","N"))</f>
        <v/>
      </c>
      <c r="EC186">
        <f>IF(Y186="","N",IF(Y186&lt;=10,"Y","N"))</f>
        <v/>
      </c>
      <c r="ED186">
        <f>ROW()-1</f>
        <v/>
      </c>
    </row>
    <row r="187">
      <c r="A187" t="inlineStr">
        <is>
          <t>AB-192</t>
        </is>
      </c>
      <c r="B187" t="inlineStr">
        <is>
          <t>Sunbear</t>
        </is>
      </c>
      <c r="C187" t="inlineStr">
        <is>
          <t>Danielle</t>
        </is>
      </c>
      <c r="D187" t="inlineStr">
        <is>
          <t>Krueger</t>
        </is>
      </c>
      <c r="E187" t="inlineStr">
        <is>
          <t>Founder</t>
        </is>
      </c>
      <c r="H187" t="inlineStr">
        <is>
          <t>none</t>
        </is>
      </c>
      <c r="I187" t="inlineStr">
        <is>
          <t>linkedin</t>
        </is>
      </c>
      <c r="J187">
        <f>IF(AU187="pass",CM187+CN187+CO187+CP187+CQ187+CR187+CS187+CT187,0)</f>
        <v/>
      </c>
      <c r="K187" t="inlineStr">
        <is>
          <t>HQ unknown, brand locator shows Tompkins Square Bagels inside the cluster, no dated why-now in the last 12 months, revenue unknown, contact named; founder review: claim-borderline.</t>
        </is>
      </c>
      <c r="M187" t="inlineStr">
        <is>
          <t>Tompkins Square Bagels, 23 E 17th St</t>
        </is>
      </c>
      <c r="N187" t="inlineStr">
        <is>
          <t>brand_claim</t>
        </is>
      </c>
      <c r="R187" t="inlineStr">
        <is>
          <t>N</t>
        </is>
      </c>
      <c r="S187" t="inlineStr">
        <is>
          <t>unknown</t>
        </is>
      </c>
      <c r="T187" t="inlineStr">
        <is>
          <t>N</t>
        </is>
      </c>
      <c r="U187" t="inlineStr">
        <is>
          <t>new</t>
        </is>
      </c>
      <c r="V187" t="inlineStr">
        <is>
          <t>https://drinksunbear.com/pages/store-locator</t>
        </is>
      </c>
      <c r="W187" t="inlineStr">
        <is>
          <t>2026-10-23</t>
        </is>
      </c>
      <c r="X187" t="inlineStr">
        <is>
          <t>brand</t>
        </is>
      </c>
      <c r="Y187">
        <f>IF(EB187&lt;&gt;"Y","",COUNTIFS($EB$2:$EB$1000,"Y",$J$2:$J$1000,"&gt;"&amp;J187)+COUNTIFS($EB$2:$EB$1000,"Y",$J$2:$J$1000,J187,$ED$2:$ED$1000,"&lt;"&amp;ED187)+1)</f>
        <v/>
      </c>
      <c r="Z187" t="n">
        <v>186</v>
      </c>
      <c r="AA187" t="inlineStr">
        <is>
          <t>N</t>
        </is>
      </c>
      <c r="AB187" t="inlineStr">
        <is>
          <t>find Danielle Krueger at Sunbear on LinkedIn and paste the profile URL; the retailer line rests on the brand's own store locator: say 'your store locator lists ...'; founder review (claim-borderline): read founder_review_reason first</t>
        </is>
      </c>
      <c r="AC187" t="inlineStr">
        <is>
          <t>founder</t>
        </is>
      </c>
      <c r="AD187" t="inlineStr">
        <is>
          <t>verified-page</t>
        </is>
      </c>
      <c r="AE187" t="inlineStr">
        <is>
          <t>press, event or podcast page</t>
        </is>
      </c>
      <c r="AF187" t="inlineStr">
        <is>
          <t>https://ice.edu/blog/danielle-krueger-sunbear</t>
        </is>
      </c>
      <c r="AG187" t="inlineStr">
        <is>
          <t>2026-10-23</t>
        </is>
      </c>
      <c r="AH187" t="inlineStr">
        <is>
          <t>Sunbear Sparkling Hydration (organic coconut water and fruit juice), Watermelon, can</t>
        </is>
      </c>
      <c r="AI187" t="inlineStr">
        <is>
          <t>tea-juice</t>
        </is>
      </c>
      <c r="AJ187" t="inlineStr">
        <is>
          <t>unknown</t>
        </is>
      </c>
      <c r="AK187" t="inlineStr">
        <is>
          <t>https://drinksunbear.com</t>
        </is>
      </c>
      <c r="AL187" t="inlineStr">
        <is>
          <t>Y</t>
        </is>
      </c>
      <c r="AM187" t="inlineStr">
        <is>
          <t>'Hydration' and natural electrolytes positioning (nutrient-content; check label); newest store listings are 2024, so no fresh launch signal; founder and HQ not found; 60-day shelf life not stated</t>
        </is>
      </c>
      <c r="AN187" t="inlineStr">
        <is>
          <t>AB-192</t>
        </is>
      </c>
      <c r="AO187" t="inlineStr">
        <is>
          <t>N</t>
        </is>
      </c>
      <c r="AR187">
        <f>IF(AND(AU187="pass",AO187&lt;&gt;"Y",C187&lt;&gt;""),"Y","N")</f>
        <v/>
      </c>
      <c r="AS187">
        <f>_xlfn.TEXTJOIN("; ",TRUE,IF(AU187&lt;&gt;"pass","gated out",""),IF(AO187="Y","on hold: "&amp;AP187,""),IF(C187="","no contact named on an opened page",""))</f>
        <v/>
      </c>
      <c r="AU187" t="inlineStr">
        <is>
          <t>pass</t>
        </is>
      </c>
      <c r="AW187" t="inlineStr">
        <is>
          <t>passes all hard gates</t>
        </is>
      </c>
      <c r="AX187" t="inlineStr">
        <is>
          <t>claim-borderline</t>
        </is>
      </c>
      <c r="AY187" t="inlineStr">
        <is>
          <t>https://drinksunbear.com</t>
        </is>
      </c>
      <c r="AZ187" t="inlineStr">
        <is>
          <t>unknown</t>
        </is>
      </c>
      <c r="BA187" t="inlineStr">
        <is>
          <t>unknown</t>
        </is>
      </c>
      <c r="BB187" t="inlineStr">
        <is>
          <t>unknown</t>
        </is>
      </c>
      <c r="BD187" t="inlineStr">
        <is>
          <t>unknown</t>
        </is>
      </c>
      <c r="BE187" t="inlineStr">
        <is>
          <t>No storage statement found</t>
        </is>
      </c>
      <c r="BF187" t="inlineStr">
        <is>
          <t>Y</t>
        </is>
      </c>
      <c r="BG187" t="inlineStr">
        <is>
          <t>Y</t>
        </is>
      </c>
      <c r="BH187" t="inlineStr">
        <is>
          <t>unknown</t>
        </is>
      </c>
      <c r="BJ187" t="inlineStr">
        <is>
          <t>No public sales figure found</t>
        </is>
      </c>
      <c r="BK187" t="inlineStr">
        <is>
          <t>N</t>
        </is>
      </c>
      <c r="BL187" t="inlineStr">
        <is>
          <t>N</t>
        </is>
      </c>
      <c r="BN187" t="n">
        <v>0</v>
      </c>
      <c r="BO187" t="inlineStr">
        <is>
          <t>Y</t>
        </is>
      </c>
      <c r="BP187" t="n">
        <v>5</v>
      </c>
      <c r="BQ187" t="inlineStr">
        <is>
          <t>Tompkins Square Bagels, 23 E 17th St (brand_claim, inside);Lincoln Market, 501 6th Ave (brand_claim, 1.2 blocks out);West Side Market, 77 7th Ave (brand_claim, 2.0 blocks out);Tompkins Square Bagels, 184 2nd Ave (brand_claim, 4.5 blocks out);The Station Cafe, 623 2nd Ave (brand_claim, 9.2 blocks out)</t>
        </is>
      </c>
      <c r="BS187" t="inlineStr">
        <is>
          <t>Tompkins Square Bagels; Lincoln Market; West Side Market; Ermina's Market; cafes (brand Stockist locator: 53 points, 10 near the cluster); Pop Up Grocer (past brand)</t>
        </is>
      </c>
      <c r="BT187" t="inlineStr">
        <is>
          <t>https://drinksunbear.com/pages/store-locator; https://stockist.co/api/v1/map_g3y52nz3/locations/search?latitude=40.7400&amp;longitude=-73.9900&amp;distance=3</t>
        </is>
      </c>
      <c r="BU187" t="inlineStr">
        <is>
          <t>none</t>
        </is>
      </c>
      <c r="BX187" t="inlineStr">
        <is>
          <t>Danielle Krueger</t>
        </is>
      </c>
      <c r="CF187" t="inlineStr">
        <is>
          <t>none</t>
        </is>
      </c>
      <c r="CK187" t="inlineStr">
        <is>
          <t>none</t>
        </is>
      </c>
      <c r="CL187" t="n">
        <v>35</v>
      </c>
      <c r="CM187" t="n">
        <v>17</v>
      </c>
      <c r="CN187" t="n">
        <v>4</v>
      </c>
      <c r="CO187" t="n">
        <v>0</v>
      </c>
      <c r="CP187" t="n">
        <v>5</v>
      </c>
      <c r="CQ187" t="n">
        <v>7</v>
      </c>
      <c r="CR187" t="n">
        <v>6</v>
      </c>
      <c r="CS187">
        <f>IF(R187="Y",10,0)</f>
        <v/>
      </c>
      <c r="CT187" t="n">
        <v>-4</v>
      </c>
      <c r="CU187" t="inlineStr">
        <is>
          <t>unknown</t>
        </is>
      </c>
      <c r="CV187" t="inlineStr">
        <is>
          <t>BR3</t>
        </is>
      </c>
      <c r="CW187" t="inlineStr">
        <is>
          <t>BR3:66</t>
        </is>
      </c>
      <c r="CX187" t="inlineStr">
        <is>
          <t>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is>
      </c>
      <c r="CY187" t="inlineStr">
        <is>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is>
      </c>
      <c r="DA187" t="inlineStr">
        <is>
          <t>stage 1 only</t>
        </is>
      </c>
      <c r="DY187">
        <f>IF(ISNUMBER(MATCH(U187,{"queued","contacted","replied","call_booked","call_done","yes_in_principle","materials_sent"},0)),"Y","N")</f>
        <v/>
      </c>
      <c r="DZ187">
        <f>IF(COUNTIFS($AN$2:$AN$1000,AN187,$DY$2:$DY$1000,"Y")+COUNTIFS($AN$2:$AN$1000,AN187,$T$2:$T$1000,"Y")&gt;0,"Y","N")</f>
        <v/>
      </c>
      <c r="EA187">
        <f>IF(AND(U187="new",T187="N",AR187="Y",AQ187="",DZ187="N"),"Y","N")</f>
        <v/>
      </c>
      <c r="EB187">
        <f>IF(EA187&lt;&gt;"Y","N",IF(COUNTIFS($AN$2:$AN$1000,AN187,$EA$2:$EA$1000,"Y",$J$2:$J$1000,"&gt;"&amp;J187)+COUNTIFS($AN$2:$AN$1000,AN187,$EA$2:$EA$1000,"Y",$J$2:$J$1000,J187,$ED$2:$ED$1000,"&lt;"&amp;ED187)=0,"Y","N"))</f>
        <v/>
      </c>
      <c r="EC187">
        <f>IF(Y187="","N",IF(Y187&lt;=10,"Y","N"))</f>
        <v/>
      </c>
      <c r="ED187">
        <f>ROW()-1</f>
        <v/>
      </c>
    </row>
    <row r="188">
      <c r="A188" t="inlineStr">
        <is>
          <t>AB-189</t>
        </is>
      </c>
      <c r="B188" t="inlineStr">
        <is>
          <t>Fruitbelt</t>
        </is>
      </c>
      <c r="C188" t="inlineStr">
        <is>
          <t>Michele</t>
        </is>
      </c>
      <c r="D188" t="inlineStr">
        <is>
          <t>Gazzolo</t>
        </is>
      </c>
      <c r="E188" t="inlineStr">
        <is>
          <t>Co-founder</t>
        </is>
      </c>
      <c r="H188" t="inlineStr">
        <is>
          <t>none</t>
        </is>
      </c>
      <c r="I188" t="inlineStr">
        <is>
          <t>linkedin</t>
        </is>
      </c>
      <c r="J188">
        <f>IF(AU188="pass",CM188+CN188+CO188+CP188+CQ188+CR188+CS188+CT188,0)</f>
        <v/>
      </c>
      <c r="K188" t="inlineStr">
        <is>
          <t>Brand based outside the Northeast, no graded store within ten blocks, online store only, a new store listing 12 days ago, revenue unknown, contact named; founder review: other.</t>
        </is>
      </c>
      <c r="M188" t="inlineStr">
        <is>
          <t>none found within ten blocks</t>
        </is>
      </c>
      <c r="N188" t="inlineStr">
        <is>
          <t>unverified</t>
        </is>
      </c>
      <c r="O188" t="inlineStr">
        <is>
          <t>New Cherry Rhubarb Tonic listed on store</t>
        </is>
      </c>
      <c r="P188" t="inlineStr">
        <is>
          <t>https://fruitbelt.com/products.json</t>
        </is>
      </c>
      <c r="Q188" t="inlineStr">
        <is>
          <t>2026-10-12</t>
        </is>
      </c>
      <c r="R188" t="inlineStr">
        <is>
          <t>N</t>
        </is>
      </c>
      <c r="S188" t="inlineStr">
        <is>
          <t>unknown</t>
        </is>
      </c>
      <c r="T188" t="inlineStr">
        <is>
          <t>N</t>
        </is>
      </c>
      <c r="U188" t="inlineStr">
        <is>
          <t>new</t>
        </is>
      </c>
      <c r="V188" t="inlineStr">
        <is>
          <t>https://fruitbelt.com/pages/story-the-roots-of-fruitbelt</t>
        </is>
      </c>
      <c r="W188" t="inlineStr">
        <is>
          <t>2026-10-23</t>
        </is>
      </c>
      <c r="X188" t="inlineStr">
        <is>
          <t>brand</t>
        </is>
      </c>
      <c r="Y188">
        <f>IF(EB188&lt;&gt;"Y","",COUNTIFS($EB$2:$EB$1000,"Y",$J$2:$J$1000,"&gt;"&amp;J188)+COUNTIFS($EB$2:$EB$1000,"Y",$J$2:$J$1000,J188,$ED$2:$ED$1000,"&lt;"&amp;ED188)+1)</f>
        <v/>
      </c>
      <c r="Z188" t="n">
        <v>187</v>
      </c>
      <c r="AA188" t="inlineStr">
        <is>
          <t>N</t>
        </is>
      </c>
      <c r="AB188" t="inlineStr">
        <is>
          <t>find Michele Gazzolo at Fruitbelt on LinkedIn and paste the profile URL; founder review (other): read founder_review_reason first</t>
        </is>
      </c>
      <c r="AC188" t="inlineStr">
        <is>
          <t>founder</t>
        </is>
      </c>
      <c r="AD188" t="inlineStr">
        <is>
          <t>verified-page</t>
        </is>
      </c>
      <c r="AE188" t="inlineStr">
        <is>
          <t>press, event or podcast page</t>
        </is>
      </c>
      <c r="AF188" t="inlineStr">
        <is>
          <t>https://preparedfoods.com/articles/122793-fruitbelt-sparkling-tonic-names-new-vice-president</t>
        </is>
      </c>
      <c r="AG188" t="inlineStr">
        <is>
          <t>2026-10-23</t>
        </is>
      </c>
      <c r="AH188" t="inlineStr">
        <is>
          <t>Fruitbelt Cherry Rhubarb sparkling tonic (fruit juice, honey, bitters), non-alcoholic</t>
        </is>
      </c>
      <c r="AI188" t="inlineStr">
        <is>
          <t>sparkling-soda</t>
        </is>
      </c>
      <c r="AJ188" t="inlineStr">
        <is>
          <t>Pullman</t>
        </is>
      </c>
      <c r="AK188" t="inlineStr">
        <is>
          <t>https://fruitbelt.com</t>
        </is>
      </c>
      <c r="AL188" t="inlineStr">
        <is>
          <t>Y</t>
        </is>
      </c>
      <c r="AM188" t="inlineStr">
        <is>
          <t>Michigan brand with two NYC points, both outside the cluster; bitters-based tonic (confirm 0.0% and pack format: $48-58 suggests multi-packs); 60-day shelf life not stated</t>
        </is>
      </c>
      <c r="AN188" t="inlineStr">
        <is>
          <t>AB-189</t>
        </is>
      </c>
      <c r="AO188" t="inlineStr">
        <is>
          <t>N</t>
        </is>
      </c>
      <c r="AR188">
        <f>IF(AND(AU188="pass",AO188&lt;&gt;"Y",C188&lt;&gt;""),"Y","N")</f>
        <v/>
      </c>
      <c r="AS188">
        <f>_xlfn.TEXTJOIN("; ",TRUE,IF(AU188&lt;&gt;"pass","gated out",""),IF(AO188="Y","on hold: "&amp;AP188,""),IF(C188="","no contact named on an opened page",""))</f>
        <v/>
      </c>
      <c r="AU188" t="inlineStr">
        <is>
          <t>pass</t>
        </is>
      </c>
      <c r="AW188" t="inlineStr">
        <is>
          <t>passes all hard gates</t>
        </is>
      </c>
      <c r="AX188" t="inlineStr">
        <is>
          <t>other</t>
        </is>
      </c>
      <c r="AY188" t="inlineStr">
        <is>
          <t>https://fruitbelt.com</t>
        </is>
      </c>
      <c r="AZ188" t="inlineStr">
        <is>
          <t>MI</t>
        </is>
      </c>
      <c r="BA188" t="inlineStr">
        <is>
          <t>elsewhere</t>
        </is>
      </c>
      <c r="BB188" t="inlineStr">
        <is>
          <t>unknown</t>
        </is>
      </c>
      <c r="BD188" t="inlineStr">
        <is>
          <t>unknown</t>
        </is>
      </c>
      <c r="BE188" t="inlineStr">
        <is>
          <t>No storage statement read</t>
        </is>
      </c>
      <c r="BF188" t="inlineStr">
        <is>
          <t>unknown</t>
        </is>
      </c>
      <c r="BG188" t="inlineStr">
        <is>
          <t>Y</t>
        </is>
      </c>
      <c r="BH188" t="inlineStr">
        <is>
          <t>unknown</t>
        </is>
      </c>
      <c r="BJ188" t="inlineStr">
        <is>
          <t>No public sales figure found</t>
        </is>
      </c>
      <c r="BK188" t="inlineStr">
        <is>
          <t>N</t>
        </is>
      </c>
      <c r="BL188" t="inlineStr">
        <is>
          <t>N</t>
        </is>
      </c>
      <c r="BO188" t="inlineStr">
        <is>
          <t>N</t>
        </is>
      </c>
      <c r="BP188" t="n">
        <v>0</v>
      </c>
      <c r="BR188" t="inlineStr">
        <is>
          <t>Dimes Market (brand_claim, 33.6 blocks out)</t>
        </is>
      </c>
      <c r="BS188" t="inlineStr">
        <is>
          <t>Dimes Market, 143 Division St; Soho Jones, Brooklyn (brand Stockist locator); Pop Up Grocer (past brand)</t>
        </is>
      </c>
      <c r="BT188" t="inlineStr">
        <is>
          <t>https://stockist.co/api/v1/map_v3jz28e3/locations/search?latitude=40.74&amp;longitude=-73.99&amp;distance=50</t>
        </is>
      </c>
      <c r="BU188" t="inlineStr">
        <is>
          <t>listing</t>
        </is>
      </c>
      <c r="BV188" t="n">
        <v>12</v>
      </c>
      <c r="BX188" t="inlineStr">
        <is>
          <t>Michele Gazzolo</t>
        </is>
      </c>
      <c r="CA188" t="inlineStr">
        <is>
          <t>Carol Mueller</t>
        </is>
      </c>
      <c r="CB188" t="inlineStr">
        <is>
          <t>Carol</t>
        </is>
      </c>
      <c r="CC188" t="inlineStr">
        <is>
          <t>Mueller</t>
        </is>
      </c>
      <c r="CD188" t="inlineStr">
        <is>
          <t>Vice President of Sales and Marketing</t>
        </is>
      </c>
      <c r="CE188" t="inlineStr">
        <is>
          <t>marketing</t>
        </is>
      </c>
      <c r="CF188" t="inlineStr">
        <is>
          <t>verified-page</t>
        </is>
      </c>
      <c r="CK188" t="inlineStr">
        <is>
          <t>none</t>
        </is>
      </c>
      <c r="CL188" t="n">
        <v>35</v>
      </c>
      <c r="CM188" t="n">
        <v>6</v>
      </c>
      <c r="CN188" t="n">
        <v>3</v>
      </c>
      <c r="CO188" t="n">
        <v>8</v>
      </c>
      <c r="CP188" t="n">
        <v>5</v>
      </c>
      <c r="CQ188" t="n">
        <v>5</v>
      </c>
      <c r="CR188" t="n">
        <v>10</v>
      </c>
      <c r="CS188">
        <f>IF(R188="Y",10,0)</f>
        <v/>
      </c>
      <c r="CT188" t="n">
        <v>-2</v>
      </c>
      <c r="CU188" t="inlineStr">
        <is>
          <t>https://instagram.com/fruitbelt</t>
        </is>
      </c>
      <c r="CV188" t="inlineStr">
        <is>
          <t>BR3</t>
        </is>
      </c>
      <c r="CW188" t="inlineStr">
        <is>
          <t>BR3:63</t>
        </is>
      </c>
      <c r="CX188" t="inlineStr">
        <is>
          <t>Story: imagined in 2012 to capture 'the character of Michigan's Fruit belt' (basis for hq_state MI; city not stated).</t>
        </is>
      </c>
      <c r="CY188" t="inlineStr">
        <is>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is>
      </c>
      <c r="CZ188" t="inlineStr">
        <is>
          <t>https://preparedfoods.com/articles/122793-fruitbelt-sparkling-tonic-names-new-vice-president</t>
        </is>
      </c>
      <c r="DA188" t="inlineStr">
        <is>
          <t>stage 1 only</t>
        </is>
      </c>
      <c r="DC188" t="inlineStr">
        <is>
          <t>press, event or podcast page</t>
        </is>
      </c>
      <c r="DY188">
        <f>IF(ISNUMBER(MATCH(U188,{"queued","contacted","replied","call_booked","call_done","yes_in_principle","materials_sent"},0)),"Y","N")</f>
        <v/>
      </c>
      <c r="DZ188">
        <f>IF(COUNTIFS($AN$2:$AN$1000,AN188,$DY$2:$DY$1000,"Y")+COUNTIFS($AN$2:$AN$1000,AN188,$T$2:$T$1000,"Y")&gt;0,"Y","N")</f>
        <v/>
      </c>
      <c r="EA188">
        <f>IF(AND(U188="new",T188="N",AR188="Y",AQ188="",DZ188="N"),"Y","N")</f>
        <v/>
      </c>
      <c r="EB188">
        <f>IF(EA188&lt;&gt;"Y","N",IF(COUNTIFS($AN$2:$AN$1000,AN188,$EA$2:$EA$1000,"Y",$J$2:$J$1000,"&gt;"&amp;J188)+COUNTIFS($AN$2:$AN$1000,AN188,$EA$2:$EA$1000,"Y",$J$2:$J$1000,J188,$ED$2:$ED$1000,"&lt;"&amp;ED188)=0,"Y","N"))</f>
        <v/>
      </c>
      <c r="EC188">
        <f>IF(Y188="","N",IF(Y188&lt;=10,"Y","N"))</f>
        <v/>
      </c>
      <c r="ED188">
        <f>ROW()-1</f>
        <v/>
      </c>
    </row>
    <row r="189">
      <c r="A189" t="inlineStr">
        <is>
          <t>AB-019</t>
        </is>
      </c>
      <c r="B189" t="inlineStr">
        <is>
          <t>Joon Pistachios</t>
        </is>
      </c>
      <c r="C189" t="inlineStr">
        <is>
          <t>Cody</t>
        </is>
      </c>
      <c r="D189" t="inlineStr">
        <is>
          <t>Allen</t>
        </is>
      </c>
      <c r="E189" t="inlineStr">
        <is>
          <t>Co-founder</t>
        </is>
      </c>
      <c r="H189" t="inlineStr">
        <is>
          <t>none</t>
        </is>
      </c>
      <c r="I189" t="inlineStr">
        <is>
          <t>linkedin</t>
        </is>
      </c>
      <c r="J189">
        <f>IF(AU189="pass",CM189+CN189+CO189+CP189+CQ189+CR189+CS189+CT189,0)</f>
        <v/>
      </c>
      <c r="K189" t="inlineStr">
        <is>
          <t>Brand based outside the Northeast, no graded store within ten blocks, online store only, news 340 days ago, revenue unknown, contact named; founder review: shelf life not stated.</t>
        </is>
      </c>
      <c r="M189" t="inlineStr">
        <is>
          <t>none found within ten blocks</t>
        </is>
      </c>
      <c r="N189" t="inlineStr">
        <is>
          <t>unverified</t>
        </is>
      </c>
      <c r="O189" t="inlineStr">
        <is>
          <t>Founders featured on Foodbevy's Startup To Scale podcast: '1500+ Doors in 6 Months', growth to 1,000+ doors within months</t>
        </is>
      </c>
      <c r="P189" t="inlineStr">
        <is>
          <t>https://podcast.foodbevy.com/1832151/episodes/18203095-246-1500-doors-on-6-months-joon-pistachio-s-tremendous-growth</t>
        </is>
      </c>
      <c r="Q189" t="inlineStr">
        <is>
          <t>2025-11-18</t>
        </is>
      </c>
      <c r="R189" t="inlineStr">
        <is>
          <t>N</t>
        </is>
      </c>
      <c r="S189" t="inlineStr">
        <is>
          <t>unknown</t>
        </is>
      </c>
      <c r="T189" t="inlineStr">
        <is>
          <t>N</t>
        </is>
      </c>
      <c r="U189" t="inlineStr">
        <is>
          <t>new</t>
        </is>
      </c>
      <c r="V189" t="inlineStr">
        <is>
          <t>https://www.eatjoonfoods.com/pages/about</t>
        </is>
      </c>
      <c r="W189" t="inlineStr">
        <is>
          <t>2026-10-23</t>
        </is>
      </c>
      <c r="X189" t="inlineStr">
        <is>
          <t>brand</t>
        </is>
      </c>
      <c r="Y189">
        <f>IF(EB189&lt;&gt;"Y","",COUNTIFS($EB$2:$EB$1000,"Y",$J$2:$J$1000,"&gt;"&amp;J189)+COUNTIFS($EB$2:$EB$1000,"Y",$J$2:$J$1000,J189,$ED$2:$ED$1000,"&lt;"&amp;ED189)+1)</f>
        <v/>
      </c>
      <c r="Z189" t="n">
        <v>188</v>
      </c>
      <c r="AA189" t="inlineStr">
        <is>
          <t>N</t>
        </is>
      </c>
      <c r="AB189" t="inlineStr">
        <is>
          <t>find Cody Allen at Joon Pistachios on LinkedIn and paste the profile URL; founder review (shelf life or online store): read founder_review_reason first</t>
        </is>
      </c>
      <c r="AC189" t="inlineStr">
        <is>
          <t>founder</t>
        </is>
      </c>
      <c r="AD189" t="inlineStr">
        <is>
          <t>verified-page</t>
        </is>
      </c>
      <c r="AE189" t="inlineStr">
        <is>
          <t>press, event or podcast page</t>
        </is>
      </c>
      <c r="AF189" t="inlineStr">
        <is>
          <t>https://podcast.foodbevy.com/1832151/episodes/18203095-246-1500-doors-on-6-months-joon-pistachio-s-tremendous-growth</t>
        </is>
      </c>
      <c r="AG189" t="inlineStr">
        <is>
          <t>2026-10-23</t>
        </is>
      </c>
      <c r="AH189" t="inlineStr">
        <is>
          <t>Joon Dill Pickle Pistachios, 4.5 oz bag</t>
        </is>
      </c>
      <c r="AI189" t="inlineStr">
        <is>
          <t>nuts-seeds-trail</t>
        </is>
      </c>
      <c r="AJ189" t="inlineStr">
        <is>
          <t>Los Angeles</t>
        </is>
      </c>
      <c r="AK189" t="inlineStr">
        <is>
          <t>https://www.eatjoonfoods.com</t>
        </is>
      </c>
      <c r="AL189" t="inlineStr">
        <is>
          <t>Y</t>
        </is>
      </c>
      <c r="AM189" t="inlineStr">
        <is>
          <t>national retail distribution in the why-now ('1,000+ doors'): check the revenue band at intake</t>
        </is>
      </c>
      <c r="AN189" t="inlineStr">
        <is>
          <t>AB-019</t>
        </is>
      </c>
      <c r="AO189" t="inlineStr">
        <is>
          <t>N</t>
        </is>
      </c>
      <c r="AR189">
        <f>IF(AND(AU189="pass",AO189&lt;&gt;"Y",C189&lt;&gt;""),"Y","N")</f>
        <v/>
      </c>
      <c r="AS189">
        <f>_xlfn.TEXTJOIN("; ",TRUE,IF(AU189&lt;&gt;"pass","gated out",""),IF(AO189="Y","on hold: "&amp;AP189,""),IF(C189="","no contact named on an opened page",""))</f>
        <v/>
      </c>
      <c r="AU189" t="inlineStr">
        <is>
          <t>pass</t>
        </is>
      </c>
      <c r="AW189" t="inlineStr">
        <is>
          <t>passes all hard gates</t>
        </is>
      </c>
      <c r="AY189" t="inlineStr">
        <is>
          <t>https://www.eatjoonfoods.com</t>
        </is>
      </c>
      <c r="AZ189" t="inlineStr">
        <is>
          <t>CA</t>
        </is>
      </c>
      <c r="BA189" t="inlineStr">
        <is>
          <t>elsewhere</t>
        </is>
      </c>
      <c r="BB189" t="inlineStr">
        <is>
          <t>unknown</t>
        </is>
      </c>
      <c r="BD189" t="inlineStr">
        <is>
          <t>Y</t>
        </is>
      </c>
      <c r="BE189" t="inlineStr">
        <is>
          <t>Roasted flavored pistachios in sealed bags, ambient</t>
        </is>
      </c>
      <c r="BF189" t="inlineStr">
        <is>
          <t>N</t>
        </is>
      </c>
      <c r="BG189" t="inlineStr">
        <is>
          <t>Y</t>
        </is>
      </c>
      <c r="BH189" t="inlineStr">
        <is>
          <t>unknown</t>
        </is>
      </c>
      <c r="BJ189" t="inlineStr">
        <is>
          <t>unknown</t>
        </is>
      </c>
      <c r="BK189" t="inlineStr">
        <is>
          <t>N</t>
        </is>
      </c>
      <c r="BL189" t="inlineStr">
        <is>
          <t>N</t>
        </is>
      </c>
      <c r="BO189" t="inlineStr">
        <is>
          <t>N</t>
        </is>
      </c>
      <c r="BP189" t="n">
        <v>0</v>
      </c>
      <c r="BR189" t="inlineStr">
        <is>
          <t>PopUp Grocer (brand_claim, unplaced)</t>
        </is>
      </c>
      <c r="BS189" t="inlineStr">
        <is>
          <t>PopUp Grocer (NYC)</t>
        </is>
      </c>
      <c r="BT189" t="inlineStr">
        <is>
          <t>https://popupgrocer.com/pages/directory (availability 'NYC Flagship', 2026-10-23); https://popupgrocer.com/products/joon</t>
        </is>
      </c>
      <c r="BU189" t="inlineStr">
        <is>
          <t>press</t>
        </is>
      </c>
      <c r="BV189" t="n">
        <v>340</v>
      </c>
      <c r="BX189" t="inlineStr">
        <is>
          <t>Cody Allen</t>
        </is>
      </c>
      <c r="BY189" t="inlineStr">
        <is>
          <t>Alex</t>
        </is>
      </c>
      <c r="CA189" t="inlineStr">
        <is>
          <t>Alexandre  Bennet</t>
        </is>
      </c>
      <c r="CB189" t="inlineStr">
        <is>
          <t>Alexandre</t>
        </is>
      </c>
      <c r="CC189" t="inlineStr">
        <is>
          <t>Bennet</t>
        </is>
      </c>
      <c r="CD189" t="inlineStr">
        <is>
          <t>Co-founder</t>
        </is>
      </c>
      <c r="CE189" t="inlineStr">
        <is>
          <t>co-founder</t>
        </is>
      </c>
      <c r="CF189" t="inlineStr">
        <is>
          <t>verified-page</t>
        </is>
      </c>
      <c r="CG189" t="inlineStr">
        <is>
          <t>Alex</t>
        </is>
      </c>
      <c r="CK189" t="inlineStr">
        <is>
          <t>none</t>
        </is>
      </c>
      <c r="CL189" t="n">
        <v>35</v>
      </c>
      <c r="CM189" t="n">
        <v>6</v>
      </c>
      <c r="CN189" t="n">
        <v>3</v>
      </c>
      <c r="CO189" t="n">
        <v>8</v>
      </c>
      <c r="CP189" t="n">
        <v>5</v>
      </c>
      <c r="CQ189" t="n">
        <v>7</v>
      </c>
      <c r="CR189" t="n">
        <v>6</v>
      </c>
      <c r="CS189">
        <f>IF(R189="Y",10,0)</f>
        <v/>
      </c>
      <c r="CT189" t="n">
        <v>0</v>
      </c>
      <c r="CU189" t="inlineStr">
        <is>
          <t>https://instagram.com/eatjoonfoods</t>
        </is>
      </c>
      <c r="CV189" t="inlineStr">
        <is>
          <t>BR1</t>
        </is>
      </c>
      <c r="CW189" t="inlineStr">
        <is>
          <t>BR1:20</t>
        </is>
      </c>
      <c r="CX189" t="inlineStr">
        <is>
          <t>Entity JOON TREATS LLC, Los Angeles (terms of service). Co-founder Cody's family runs Allen Brothers Wholesale Distribution in Philadelphia (about page).</t>
        </is>
      </c>
      <c r="CY189" t="inlineStr">
        <is>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is>
      </c>
      <c r="CZ189" t="inlineStr">
        <is>
          <t>https://podcast.foodbevy.com/1832151/episodes/18203095-246-1500-doors-on-6-months-joon-pistachio-s-tremendous-growth</t>
        </is>
      </c>
      <c r="DA189" t="inlineStr">
        <is>
          <t>stage 1 only</t>
        </is>
      </c>
      <c r="DC189" t="inlineStr">
        <is>
          <t>press, event or podcast page</t>
        </is>
      </c>
      <c r="DY189">
        <f>IF(ISNUMBER(MATCH(U189,{"queued","contacted","replied","call_booked","call_done","yes_in_principle","materials_sent"},0)),"Y","N")</f>
        <v/>
      </c>
      <c r="DZ189">
        <f>IF(COUNTIFS($AN$2:$AN$1000,AN189,$DY$2:$DY$1000,"Y")+COUNTIFS($AN$2:$AN$1000,AN189,$T$2:$T$1000,"Y")&gt;0,"Y","N")</f>
        <v/>
      </c>
      <c r="EA189">
        <f>IF(AND(U189="new",T189="N",AR189="Y",AQ189="",DZ189="N"),"Y","N")</f>
        <v/>
      </c>
      <c r="EB189">
        <f>IF(EA189&lt;&gt;"Y","N",IF(COUNTIFS($AN$2:$AN$1000,AN189,$EA$2:$EA$1000,"Y",$J$2:$J$1000,"&gt;"&amp;J189)+COUNTIFS($AN$2:$AN$1000,AN189,$EA$2:$EA$1000,"Y",$J$2:$J$1000,J189,$ED$2:$ED$1000,"&lt;"&amp;ED189)=0,"Y","N"))</f>
        <v/>
      </c>
      <c r="EC189">
        <f>IF(Y189="","N",IF(Y189&lt;=10,"Y","N"))</f>
        <v/>
      </c>
      <c r="ED189">
        <f>ROW()-1</f>
        <v/>
      </c>
    </row>
    <row r="190">
      <c r="A190" t="inlineStr">
        <is>
          <t>AB-298</t>
        </is>
      </c>
      <c r="B190" t="inlineStr">
        <is>
          <t>The Maple Brothers</t>
        </is>
      </c>
      <c r="H190" t="inlineStr">
        <is>
          <t>none</t>
        </is>
      </c>
      <c r="J190">
        <f>IF(AU190="pass",CM190+CN190+CO190+CP190+CQ190+CR190+CS190+CT190,0)</f>
        <v/>
      </c>
      <c r="K190" t="inlineStr">
        <is>
          <t>Northeast brand, no graded store within ten blocks, online store only, a new store listing 160 days ago, revenue unknown, no contact named; founder review: other.</t>
        </is>
      </c>
      <c r="M190" t="inlineStr">
        <is>
          <t>none found within ten blocks</t>
        </is>
      </c>
      <c r="N190" t="inlineStr">
        <is>
          <t>unverified</t>
        </is>
      </c>
      <c r="O190" t="inlineStr">
        <is>
          <t>Added three oat bar flavors to its US online store and exhibited in the Startup CPG pavilion at SFFS 2026</t>
        </is>
      </c>
      <c r="P190" t="inlineStr">
        <is>
          <t>https://themaplebrothers.com/products.json</t>
        </is>
      </c>
      <c r="Q190" t="inlineStr">
        <is>
          <t>2026-05-17</t>
        </is>
      </c>
      <c r="R190" t="inlineStr">
        <is>
          <t>N</t>
        </is>
      </c>
      <c r="S190" t="inlineStr">
        <is>
          <t>Y</t>
        </is>
      </c>
      <c r="T190" t="inlineStr">
        <is>
          <t>N</t>
        </is>
      </c>
      <c r="U190" t="inlineStr">
        <is>
          <t>new</t>
        </is>
      </c>
      <c r="V190" t="inlineStr">
        <is>
          <t>https://events.specialtyfood.com/event/2026-summer-fancy-food-show/exhibitor/RXhoaWJpdG9yXzI0NTA2ODU=</t>
        </is>
      </c>
      <c r="W190" t="inlineStr">
        <is>
          <t>2026-10-24</t>
        </is>
      </c>
      <c r="X190" t="inlineStr">
        <is>
          <t>brand</t>
        </is>
      </c>
      <c r="Y190">
        <f>IF(EB190&lt;&gt;"Y","",COUNTIFS($EB$2:$EB$1000,"Y",$J$2:$J$1000,"&gt;"&amp;J190)+COUNTIFS($EB$2:$EB$1000,"Y",$J$2:$J$1000,J190,$ED$2:$ED$1000,"&lt;"&amp;ED190)+1)</f>
        <v/>
      </c>
      <c r="Z190" t="n">
        <v>189</v>
      </c>
      <c r="AA190" t="inlineStr">
        <is>
          <t>N</t>
        </is>
      </c>
      <c r="AB190" t="inlineStr">
        <is>
          <t>no person named on an opened page: not ready; founder review (other): read founder_review_reason first</t>
        </is>
      </c>
      <c r="AD190" t="inlineStr">
        <is>
          <t>none</t>
        </is>
      </c>
      <c r="AH190" t="inlineStr">
        <is>
          <t>Chocolate Chip &amp; Maple Oat Bars (organic, maple-sweetened)</t>
        </is>
      </c>
      <c r="AI190" t="inlineStr">
        <is>
          <t>bars</t>
        </is>
      </c>
      <c r="AJ190" t="inlineStr">
        <is>
          <t>unknown</t>
        </is>
      </c>
      <c r="AK190" t="inlineStr">
        <is>
          <t>https://themaplebrothers.com</t>
        </is>
      </c>
      <c r="AL190" t="inlineStr">
        <is>
          <t>Y</t>
        </is>
      </c>
      <c r="AM190" t="inlineStr">
        <is>
          <t>Positioned as a kids' snack and described as 'a beloved European brand' re-entering the US, so the US entity's size and NY plans are unclear. Founders unnamed</t>
        </is>
      </c>
      <c r="AN190" t="inlineStr">
        <is>
          <t>AB-298</t>
        </is>
      </c>
      <c r="AO190" t="inlineStr">
        <is>
          <t>N</t>
        </is>
      </c>
      <c r="AR190">
        <f>IF(AND(AU190="pass",AO190&lt;&gt;"Y",C190&lt;&gt;""),"Y","N")</f>
        <v/>
      </c>
      <c r="AS190">
        <f>_xlfn.TEXTJOIN("; ",TRUE,IF(AU190&lt;&gt;"pass","gated out",""),IF(AO190="Y","on hold: "&amp;AP190,""),IF(C190="","no contact named on an opened page",""))</f>
        <v/>
      </c>
      <c r="AU190" t="inlineStr">
        <is>
          <t>pass</t>
        </is>
      </c>
      <c r="AW190" t="inlineStr">
        <is>
          <t>passes all hard gates</t>
        </is>
      </c>
      <c r="AX190" t="inlineStr">
        <is>
          <t>other</t>
        </is>
      </c>
      <c r="AY190" t="inlineStr">
        <is>
          <t>https://themaplebrothers.com</t>
        </is>
      </c>
      <c r="AZ190" t="inlineStr">
        <is>
          <t>VT</t>
        </is>
      </c>
      <c r="BA190" t="inlineStr">
        <is>
          <t>northeast</t>
        </is>
      </c>
      <c r="BB190" t="inlineStr">
        <is>
          <t>unknown</t>
        </is>
      </c>
      <c r="BD190" t="inlineStr">
        <is>
          <t>Y</t>
        </is>
      </c>
      <c r="BE190" t="inlineStr">
        <is>
          <t>Wrapped organic oat bars sold ambient online; shelf life not stated</t>
        </is>
      </c>
      <c r="BF190" t="inlineStr">
        <is>
          <t>Y</t>
        </is>
      </c>
      <c r="BG190" t="inlineStr">
        <is>
          <t>Y</t>
        </is>
      </c>
      <c r="BH190" t="inlineStr">
        <is>
          <t>unknown</t>
        </is>
      </c>
      <c r="BJ190" t="inlineStr">
        <is>
          <t>No sourced sales figure found</t>
        </is>
      </c>
      <c r="BK190" t="inlineStr">
        <is>
          <t>N</t>
        </is>
      </c>
      <c r="BL190" t="inlineStr">
        <is>
          <t>N</t>
        </is>
      </c>
      <c r="BO190" t="inlineStr">
        <is>
          <t>N</t>
        </is>
      </c>
      <c r="BP190" t="n">
        <v>0</v>
      </c>
      <c r="BS190" t="inlineStr">
        <is>
          <t>unknown</t>
        </is>
      </c>
      <c r="BU190" t="inlineStr">
        <is>
          <t>listing</t>
        </is>
      </c>
      <c r="BV190" t="n">
        <v>160</v>
      </c>
      <c r="BW190" t="inlineStr">
        <is>
          <t>https://startupcpg.com/startup-cpg-pavilion-at-summer-fancy-food-2026/</t>
        </is>
      </c>
      <c r="CF190" t="inlineStr">
        <is>
          <t>none</t>
        </is>
      </c>
      <c r="CK190" t="inlineStr">
        <is>
          <t>none</t>
        </is>
      </c>
      <c r="CL190" t="n">
        <v>35</v>
      </c>
      <c r="CM190" t="n">
        <v>6</v>
      </c>
      <c r="CN190" t="n">
        <v>8</v>
      </c>
      <c r="CO190" t="n">
        <v>8</v>
      </c>
      <c r="CP190" t="n">
        <v>5</v>
      </c>
      <c r="CQ190" t="n">
        <v>10</v>
      </c>
      <c r="CR190" t="n">
        <v>0</v>
      </c>
      <c r="CS190">
        <f>IF(R190="Y",10,0)</f>
        <v/>
      </c>
      <c r="CT190" t="n">
        <v>-2</v>
      </c>
      <c r="CU190" t="inlineStr">
        <is>
          <t>https://www.instagram.com/themaplebrothers</t>
        </is>
      </c>
      <c r="CV190" t="inlineStr">
        <is>
          <t>BR5</t>
        </is>
      </c>
      <c r="CW190" t="inlineStr">
        <is>
          <t>BR5:34</t>
        </is>
      </c>
      <c r="CX190" t="inlineStr">
        <is>
          <t>SFFS 2026 exhibitor (State: Vermont; Pavilion: Start Up CPG). Startup CPG pavilion text: 'Grade A maple syrup sweetened organic oat bars. They are vegan, gluten-free, USDA organic'.</t>
        </is>
      </c>
      <c r="DA190" t="inlineStr">
        <is>
          <t>stage 1 only</t>
        </is>
      </c>
      <c r="DY190">
        <f>IF(ISNUMBER(MATCH(U190,{"queued","contacted","replied","call_booked","call_done","yes_in_principle","materials_sent"},0)),"Y","N")</f>
        <v/>
      </c>
      <c r="DZ190">
        <f>IF(COUNTIFS($AN$2:$AN$1000,AN190,$DY$2:$DY$1000,"Y")+COUNTIFS($AN$2:$AN$1000,AN190,$T$2:$T$1000,"Y")&gt;0,"Y","N")</f>
        <v/>
      </c>
      <c r="EA190">
        <f>IF(AND(U190="new",T190="N",AR190="Y",AQ190="",DZ190="N"),"Y","N")</f>
        <v/>
      </c>
      <c r="EB190">
        <f>IF(EA190&lt;&gt;"Y","N",IF(COUNTIFS($AN$2:$AN$1000,AN190,$EA$2:$EA$1000,"Y",$J$2:$J$1000,"&gt;"&amp;J190)+COUNTIFS($AN$2:$AN$1000,AN190,$EA$2:$EA$1000,"Y",$J$2:$J$1000,J190,$ED$2:$ED$1000,"&lt;"&amp;ED190)=0,"Y","N"))</f>
        <v/>
      </c>
      <c r="EC190">
        <f>IF(Y190="","N",IF(Y190&lt;=10,"Y","N"))</f>
        <v/>
      </c>
      <c r="ED190">
        <f>ROW()-1</f>
        <v/>
      </c>
    </row>
    <row r="191">
      <c r="A191" t="inlineStr">
        <is>
          <t>AB-133</t>
        </is>
      </c>
      <c r="B191" t="inlineStr">
        <is>
          <t>Halmi</t>
        </is>
      </c>
      <c r="C191" t="inlineStr">
        <is>
          <t>Hannah</t>
        </is>
      </c>
      <c r="D191" t="inlineStr">
        <is>
          <t>Bae</t>
        </is>
      </c>
      <c r="E191" t="inlineStr">
        <is>
          <t>Founder</t>
        </is>
      </c>
      <c r="H191" t="inlineStr">
        <is>
          <t>none</t>
        </is>
      </c>
      <c r="I191" t="inlineStr">
        <is>
          <t>linkedin</t>
        </is>
      </c>
      <c r="J191">
        <f>IF(AU191="pass",CM191+CN191+CO191+CP191+CQ191+CR191+CS191+CT191,0)</f>
        <v/>
      </c>
      <c r="K191" t="inlineStr">
        <is>
          <t>New York City brand, no graded store within ten blocks, online store only, no dated why-now in the last 12 months, revenue unknown, contact named; founder review: dormant, claim-borderline.</t>
        </is>
      </c>
      <c r="M191" t="inlineStr">
        <is>
          <t>none found within ten blocks</t>
        </is>
      </c>
      <c r="N191" t="inlineStr">
        <is>
          <t>unverified</t>
        </is>
      </c>
      <c r="R191" t="inlineStr">
        <is>
          <t>N</t>
        </is>
      </c>
      <c r="S191" t="inlineStr">
        <is>
          <t>unknown</t>
        </is>
      </c>
      <c r="T191" t="inlineStr">
        <is>
          <t>N</t>
        </is>
      </c>
      <c r="U191" t="inlineStr">
        <is>
          <t>new</t>
        </is>
      </c>
      <c r="V191" t="inlineStr">
        <is>
          <t>https://drinkhalmi.com/pages/faqs</t>
        </is>
      </c>
      <c r="W191" t="inlineStr">
        <is>
          <t>2026-10-23</t>
        </is>
      </c>
      <c r="X191" t="inlineStr">
        <is>
          <t>brand</t>
        </is>
      </c>
      <c r="Y191">
        <f>IF(EB191&lt;&gt;"Y","",COUNTIFS($EB$2:$EB$1000,"Y",$J$2:$J$1000,"&gt;"&amp;J191)+COUNTIFS($EB$2:$EB$1000,"Y",$J$2:$J$1000,J191,$ED$2:$ED$1000,"&lt;"&amp;ED191)+1)</f>
        <v/>
      </c>
      <c r="Z191" t="n">
        <v>190</v>
      </c>
      <c r="AA191" t="inlineStr">
        <is>
          <t>N</t>
        </is>
      </c>
      <c r="AB191" t="inlineStr">
        <is>
          <t>find Hannah Bae at Halmi on LinkedIn and paste the profile URL; founder review (dormant, claim-borderline): read founder_review_reason first</t>
        </is>
      </c>
      <c r="AC191" t="inlineStr">
        <is>
          <t>founder</t>
        </is>
      </c>
      <c r="AD191" t="inlineStr">
        <is>
          <t>verified-page</t>
        </is>
      </c>
      <c r="AE191" t="inlineStr">
        <is>
          <t>employer's own site</t>
        </is>
      </c>
      <c r="AF191" t="inlineStr">
        <is>
          <t>https://drinkhalmi.com/pages/our-story</t>
        </is>
      </c>
      <c r="AG191" t="inlineStr">
        <is>
          <t>2026-10-23</t>
        </is>
      </c>
      <c r="AH191" t="inlineStr">
        <is>
          <t>Halmi Cinnamon, Ginger, Jujube, Persimmon sparkling drink (SuJeongGwa-inspired), can</t>
        </is>
      </c>
      <c r="AI191" t="inlineStr">
        <is>
          <t>sparkling-soda</t>
        </is>
      </c>
      <c r="AJ191" t="inlineStr">
        <is>
          <t>Ridgewood (Queens, New York City)</t>
        </is>
      </c>
      <c r="AK191" t="inlineStr">
        <is>
          <t>https://drinkhalmi.com</t>
        </is>
      </c>
      <c r="AL191" t="inlineStr">
        <is>
          <t>Y</t>
        </is>
      </c>
      <c r="AM191" t="inlineStr">
        <is>
          <t>Only drink SKU shows 'Sold out' on own store (2026-10-23) and newest store listing is 2023, so the brand may be dormant. FAQ says ingredients are 'known for their digestive and health properties' (soft wellness wording; check label and marketing)</t>
        </is>
      </c>
      <c r="AN191" t="inlineStr">
        <is>
          <t>AB-133</t>
        </is>
      </c>
      <c r="AO191" t="inlineStr">
        <is>
          <t>N</t>
        </is>
      </c>
      <c r="AR191">
        <f>IF(AND(AU191="pass",AO191&lt;&gt;"Y",C191&lt;&gt;""),"Y","N")</f>
        <v/>
      </c>
      <c r="AS191">
        <f>_xlfn.TEXTJOIN("; ",TRUE,IF(AU191&lt;&gt;"pass","gated out",""),IF(AO191="Y","on hold: "&amp;AP191,""),IF(C191="","no contact named on an opened page",""))</f>
        <v/>
      </c>
      <c r="AU191" t="inlineStr">
        <is>
          <t>pass</t>
        </is>
      </c>
      <c r="AW191" t="inlineStr">
        <is>
          <t>passes all hard gates</t>
        </is>
      </c>
      <c r="AX191" t="inlineStr">
        <is>
          <t>dormant;claim-borderline</t>
        </is>
      </c>
      <c r="AY191" t="inlineStr">
        <is>
          <t>https://drinkhalmi.com</t>
        </is>
      </c>
      <c r="AZ191" t="inlineStr">
        <is>
          <t>NY</t>
        </is>
      </c>
      <c r="BA191" t="inlineStr">
        <is>
          <t>nyc</t>
        </is>
      </c>
      <c r="BB191" t="inlineStr">
        <is>
          <t>unknown</t>
        </is>
      </c>
      <c r="BD191" t="inlineStr">
        <is>
          <t>Y</t>
        </is>
      </c>
      <c r="BE191" t="inlineStr">
        <is>
          <t>Brand FAQ: 'pasteurized and will be shelf-stable for 1 year in moderate conditions' (drinkhalmi.com/pages/faqs, opened 2026-10-23)</t>
        </is>
      </c>
      <c r="BF191" t="inlineStr">
        <is>
          <t>Y</t>
        </is>
      </c>
      <c r="BG191" t="inlineStr">
        <is>
          <t>Y</t>
        </is>
      </c>
      <c r="BH191" t="inlineStr">
        <is>
          <t>unknown</t>
        </is>
      </c>
      <c r="BJ191" t="inlineStr">
        <is>
          <t>No public sales figure found</t>
        </is>
      </c>
      <c r="BK191" t="inlineStr">
        <is>
          <t>Y</t>
        </is>
      </c>
      <c r="BL191" t="inlineStr">
        <is>
          <t>N</t>
        </is>
      </c>
      <c r="BO191" t="inlineStr">
        <is>
          <t>N</t>
        </is>
      </c>
      <c r="BP191" t="n">
        <v>0</v>
      </c>
      <c r="BS191" t="inlineStr">
        <is>
          <t>unknown</t>
        </is>
      </c>
      <c r="BU191" t="inlineStr">
        <is>
          <t>none</t>
        </is>
      </c>
      <c r="BX191" t="inlineStr">
        <is>
          <t>Hannah Bae</t>
        </is>
      </c>
      <c r="CF191" t="inlineStr">
        <is>
          <t>none</t>
        </is>
      </c>
      <c r="CK191" t="inlineStr">
        <is>
          <t>none</t>
        </is>
      </c>
      <c r="CL191" t="n">
        <v>35</v>
      </c>
      <c r="CM191" t="n">
        <v>6</v>
      </c>
      <c r="CN191" t="n">
        <v>20</v>
      </c>
      <c r="CO191" t="n">
        <v>0</v>
      </c>
      <c r="CP191" t="n">
        <v>5</v>
      </c>
      <c r="CQ191" t="n">
        <v>10</v>
      </c>
      <c r="CR191" t="n">
        <v>6</v>
      </c>
      <c r="CS191">
        <f>IF(R191="Y",10,0)</f>
        <v/>
      </c>
      <c r="CT191" t="n">
        <v>-12</v>
      </c>
      <c r="CU191" t="inlineStr">
        <is>
          <t>https://www.instagram.com/drinkhalmi</t>
        </is>
      </c>
      <c r="CV191" t="inlineStr">
        <is>
          <t>BR3</t>
        </is>
      </c>
      <c r="CW191" t="inlineStr">
        <is>
          <t>BR3:7</t>
        </is>
      </c>
      <c r="CX191" t="inlineStr">
        <is>
          <t>Korean-American founded; CB Insights snippet (not opened) lists New York, so HQ left unknown (unverified, founder to confirm). Our-story page cites ABC7 New York coverage. Low priority: confirm the brand is still producing before outreach.</t>
        </is>
      </c>
      <c r="CY191" t="inlineStr">
        <is>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t>
        </is>
      </c>
      <c r="DA191" t="inlineStr">
        <is>
          <t>stage 1 only</t>
        </is>
      </c>
      <c r="DY191">
        <f>IF(ISNUMBER(MATCH(U191,{"queued","contacted","replied","call_booked","call_done","yes_in_principle","materials_sent"},0)),"Y","N")</f>
        <v/>
      </c>
      <c r="DZ191">
        <f>IF(COUNTIFS($AN$2:$AN$1000,AN191,$DY$2:$DY$1000,"Y")+COUNTIFS($AN$2:$AN$1000,AN191,$T$2:$T$1000,"Y")&gt;0,"Y","N")</f>
        <v/>
      </c>
      <c r="EA191">
        <f>IF(AND(U191="new",T191="N",AR191="Y",AQ191="",DZ191="N"),"Y","N")</f>
        <v/>
      </c>
      <c r="EB191">
        <f>IF(EA191&lt;&gt;"Y","N",IF(COUNTIFS($AN$2:$AN$1000,AN191,$EA$2:$EA$1000,"Y",$J$2:$J$1000,"&gt;"&amp;J191)+COUNTIFS($AN$2:$AN$1000,AN191,$EA$2:$EA$1000,"Y",$J$2:$J$1000,J191,$ED$2:$ED$1000,"&lt;"&amp;ED191)=0,"Y","N"))</f>
        <v/>
      </c>
      <c r="EC191">
        <f>IF(Y191="","N",IF(Y191&lt;=10,"Y","N"))</f>
        <v/>
      </c>
      <c r="ED191">
        <f>ROW()-1</f>
        <v/>
      </c>
    </row>
    <row r="192">
      <c r="A192" t="inlineStr">
        <is>
          <t>AB-033</t>
        </is>
      </c>
      <c r="B192" t="inlineStr">
        <is>
          <t>34 Degrees</t>
        </is>
      </c>
      <c r="C192" t="inlineStr">
        <is>
          <t>Craig</t>
        </is>
      </c>
      <c r="D192" t="inlineStr">
        <is>
          <t>Lieberman</t>
        </is>
      </c>
      <c r="E192" t="inlineStr">
        <is>
          <t>Founder</t>
        </is>
      </c>
      <c r="H192" t="inlineStr">
        <is>
          <t>none</t>
        </is>
      </c>
      <c r="I192" t="inlineStr">
        <is>
          <t>linkedin</t>
        </is>
      </c>
      <c r="J192">
        <f>IF(AU192="pass",CM192+CN192+CO192+CP192+CQ192+CR192+CS192+CT192,0)</f>
        <v/>
      </c>
      <c r="K192" t="inlineStr">
        <is>
          <t>Brand based outside the Northeast, store page shows Whole Foods Market NoMad inside the cluster, no dated why-now in the last 12 months, revenue unknown, contact named; founder review: scale, format.</t>
        </is>
      </c>
      <c r="M192" t="inlineStr">
        <is>
          <t>Whole Foods Market NoMad, 63 Madison Ave</t>
        </is>
      </c>
      <c r="N192" t="inlineStr">
        <is>
          <t>store_selector</t>
        </is>
      </c>
      <c r="R192" t="inlineStr">
        <is>
          <t>N</t>
        </is>
      </c>
      <c r="S192" t="inlineStr">
        <is>
          <t>unknown</t>
        </is>
      </c>
      <c r="T192" t="inlineStr">
        <is>
          <t>N</t>
        </is>
      </c>
      <c r="U192" t="inlineStr">
        <is>
          <t>new</t>
        </is>
      </c>
      <c r="V192" t="inlineStr">
        <is>
          <t>https://34-degrees.com/pages/our-story</t>
        </is>
      </c>
      <c r="W192" t="inlineStr">
        <is>
          <t>2026-10-23</t>
        </is>
      </c>
      <c r="X192" t="inlineStr">
        <is>
          <t>brand</t>
        </is>
      </c>
      <c r="Y192">
        <f>IF(EB192&lt;&gt;"Y","",COUNTIFS($EB$2:$EB$1000,"Y",$J$2:$J$1000,"&gt;"&amp;J192)+COUNTIFS($EB$2:$EB$1000,"Y",$J$2:$J$1000,J192,$ED$2:$ED$1000,"&lt;"&amp;ED192)+1)</f>
        <v/>
      </c>
      <c r="Z192" t="n">
        <v>191</v>
      </c>
      <c r="AA192" t="inlineStr">
        <is>
          <t>N</t>
        </is>
      </c>
      <c r="AB192" t="inlineStr">
        <is>
          <t>find Craig Lieberman at 34 Degrees on LinkedIn and paste the profile URL; before using the retailer line, check Whole Foods Market NoMad still lists it: https://www.wholefoodsmarket.com/search?text=34%20Degrees with your store set to NoMad (catalogs change daily); founder review (scale, format): read founder_review_reason first</t>
        </is>
      </c>
      <c r="AC192" t="inlineStr">
        <is>
          <t>founder</t>
        </is>
      </c>
      <c r="AD192" t="inlineStr">
        <is>
          <t>verified-page</t>
        </is>
      </c>
      <c r="AE192" t="inlineStr">
        <is>
          <t>employer's own site</t>
        </is>
      </c>
      <c r="AF192" t="inlineStr">
        <is>
          <t>https://34-degrees.com/pages/our-story</t>
        </is>
      </c>
      <c r="AG192" t="inlineStr">
        <is>
          <t>2026-10-23</t>
        </is>
      </c>
      <c r="AH192" t="inlineStr">
        <is>
          <t>34 Degrees Original Crisps, 4.5 oz; Rosemary Garlic Mates</t>
        </is>
      </c>
      <c r="AI192" t="inlineStr">
        <is>
          <t>crackers-pretzels</t>
        </is>
      </c>
      <c r="AJ192" t="inlineStr">
        <is>
          <t>Denver</t>
        </is>
      </c>
      <c r="AK192" t="inlineStr">
        <is>
          <t>https://34-degrees.com</t>
        </is>
      </c>
      <c r="AL192" t="inlineStr">
        <is>
          <t>Y</t>
        </is>
      </c>
      <c r="AM192" t="inlineStr">
        <is>
          <t>Wide national distribution (US and Canada) suggests revenue above the band; deli-cracker format is shared-size, not single-serve</t>
        </is>
      </c>
      <c r="AN192" t="inlineStr">
        <is>
          <t>AB-033</t>
        </is>
      </c>
      <c r="AO192" t="inlineStr">
        <is>
          <t>N</t>
        </is>
      </c>
      <c r="AR192">
        <f>IF(AND(AU192="pass",AO192&lt;&gt;"Y",C192&lt;&gt;""),"Y","N")</f>
        <v/>
      </c>
      <c r="AS192">
        <f>_xlfn.TEXTJOIN("; ",TRUE,IF(AU192&lt;&gt;"pass","gated out",""),IF(AO192="Y","on hold: "&amp;AP192,""),IF(C192="","no contact named on an opened page",""))</f>
        <v/>
      </c>
      <c r="AU192" t="inlineStr">
        <is>
          <t>pass</t>
        </is>
      </c>
      <c r="AW192" t="inlineStr">
        <is>
          <t>passes all hard gates</t>
        </is>
      </c>
      <c r="AX192" t="inlineStr">
        <is>
          <t>scale;format</t>
        </is>
      </c>
      <c r="AY192" t="inlineStr">
        <is>
          <t>https://34-degrees.com</t>
        </is>
      </c>
      <c r="AZ192" t="inlineStr">
        <is>
          <t>CO</t>
        </is>
      </c>
      <c r="BA192" t="inlineStr">
        <is>
          <t>elsewhere</t>
        </is>
      </c>
      <c r="BB192" t="inlineStr">
        <is>
          <t>unknown</t>
        </is>
      </c>
      <c r="BD192" t="inlineStr">
        <is>
          <t>Y</t>
        </is>
      </c>
      <c r="BE192" t="inlineStr">
        <is>
          <t>Thin baked crisps sold ambient in deli departments</t>
        </is>
      </c>
      <c r="BF192" t="inlineStr">
        <is>
          <t>N</t>
        </is>
      </c>
      <c r="BG192" t="inlineStr">
        <is>
          <t>Y</t>
        </is>
      </c>
      <c r="BH192" t="inlineStr">
        <is>
          <t>unknown</t>
        </is>
      </c>
      <c r="BJ192" t="inlineStr">
        <is>
          <t>unknown</t>
        </is>
      </c>
      <c r="BK192" t="inlineStr">
        <is>
          <t>N</t>
        </is>
      </c>
      <c r="BL192" t="inlineStr">
        <is>
          <t>N</t>
        </is>
      </c>
      <c r="BN192" t="n">
        <v>0</v>
      </c>
      <c r="BO192" t="inlineStr">
        <is>
          <t>Y</t>
        </is>
      </c>
      <c r="BP192" t="n">
        <v>3</v>
      </c>
      <c r="BQ192" t="inlineStr">
        <is>
          <t>Whole Foods Market NoMad, 63 Madison Ave (store_selector, inside);Whole Foods Market Union Square, 4 Union Sq S (store_selector, inside);Whole Foods Market Chelsea, 250 7th Ave (store_selector, 3.0 blocks out)</t>
        </is>
      </c>
      <c r="BS192" t="inlineStr">
        <is>
          <t>Whole Foods Market; Kroger; Walmart; Publix; Sprouts; Meijer; Wegmans; Safeway; Albertsons; King Soopers</t>
        </is>
      </c>
      <c r="BT192" t="inlineStr">
        <is>
          <t>https://www.wholefoodsmarket.com/search?text=34%20degrees%20crisps (6 items IN_STOCK in each cluster store context, 2026-10-23)</t>
        </is>
      </c>
      <c r="BU192" t="inlineStr">
        <is>
          <t>none</t>
        </is>
      </c>
      <c r="BX192" t="inlineStr">
        <is>
          <t>Craig Lieberman</t>
        </is>
      </c>
      <c r="CF192" t="inlineStr">
        <is>
          <t>none</t>
        </is>
      </c>
      <c r="CK192" t="inlineStr">
        <is>
          <t>none</t>
        </is>
      </c>
      <c r="CL192" t="n">
        <v>34</v>
      </c>
      <c r="CM192" t="n">
        <v>25</v>
      </c>
      <c r="CN192" t="n">
        <v>3</v>
      </c>
      <c r="CO192" t="n">
        <v>0</v>
      </c>
      <c r="CP192" t="n">
        <v>5</v>
      </c>
      <c r="CQ192" t="n">
        <v>7</v>
      </c>
      <c r="CR192" t="n">
        <v>6</v>
      </c>
      <c r="CS192">
        <f>IF(R192="Y",10,0)</f>
        <v/>
      </c>
      <c r="CT192" t="n">
        <v>-12</v>
      </c>
      <c r="CU192" t="inlineStr">
        <is>
          <t>unknown</t>
        </is>
      </c>
      <c r="CV192" t="inlineStr">
        <is>
          <t>BR1</t>
        </is>
      </c>
      <c r="CW192" t="inlineStr">
        <is>
          <t>BR1:34</t>
        </is>
      </c>
      <c r="CX192" t="inlineStr">
        <is>
          <t>34 Degrees, LLC, 2825 Larimer St, Denver CO (terms of service). Our story page mentions three new Snaps snacking flavors (Sea Salt, Everything, Umami), undated. Founder name added in the 2026-10-23 spot check.</t>
        </is>
      </c>
      <c r="DA192" t="inlineStr">
        <is>
          <t>stage 1 only</t>
        </is>
      </c>
      <c r="DY192">
        <f>IF(ISNUMBER(MATCH(U192,{"queued","contacted","replied","call_booked","call_done","yes_in_principle","materials_sent"},0)),"Y","N")</f>
        <v/>
      </c>
      <c r="DZ192">
        <f>IF(COUNTIFS($AN$2:$AN$1000,AN192,$DY$2:$DY$1000,"Y")+COUNTIFS($AN$2:$AN$1000,AN192,$T$2:$T$1000,"Y")&gt;0,"Y","N")</f>
        <v/>
      </c>
      <c r="EA192">
        <f>IF(AND(U192="new",T192="N",AR192="Y",AQ192="",DZ192="N"),"Y","N")</f>
        <v/>
      </c>
      <c r="EB192">
        <f>IF(EA192&lt;&gt;"Y","N",IF(COUNTIFS($AN$2:$AN$1000,AN192,$EA$2:$EA$1000,"Y",$J$2:$J$1000,"&gt;"&amp;J192)+COUNTIFS($AN$2:$AN$1000,AN192,$EA$2:$EA$1000,"Y",$J$2:$J$1000,J192,$ED$2:$ED$1000,"&lt;"&amp;ED192)=0,"Y","N"))</f>
        <v/>
      </c>
      <c r="EC192">
        <f>IF(Y192="","N",IF(Y192&lt;=10,"Y","N"))</f>
        <v/>
      </c>
      <c r="ED192">
        <f>ROW()-1</f>
        <v/>
      </c>
    </row>
    <row r="193">
      <c r="A193" t="inlineStr">
        <is>
          <t>AB-248</t>
        </is>
      </c>
      <c r="B193" t="inlineStr">
        <is>
          <t>Tate's Bake Shop</t>
        </is>
      </c>
      <c r="C193" t="inlineStr">
        <is>
          <t>Kathleen</t>
        </is>
      </c>
      <c r="D193" t="inlineStr">
        <is>
          <t>King</t>
        </is>
      </c>
      <c r="E193" t="inlineStr">
        <is>
          <t>Founder</t>
        </is>
      </c>
      <c r="H193" t="inlineStr">
        <is>
          <t>none</t>
        </is>
      </c>
      <c r="I193" t="inlineStr">
        <is>
          <t>linkedin</t>
        </is>
      </c>
      <c r="J193">
        <f>IF(AU193="pass",CM193+CN193+CO193+CP193+CQ193+CR193+CS193+CT193,0)</f>
        <v/>
      </c>
      <c r="K193" t="inlineStr">
        <is>
          <t>New York State brand, store page shows Whole Foods Market NoMad inside the cluster, no dated why-now in the last 12 months, revenue unknown, contact named; founder review: owner, scale.</t>
        </is>
      </c>
      <c r="M193" t="inlineStr">
        <is>
          <t>Whole Foods Market NoMad, 63 Madison Ave</t>
        </is>
      </c>
      <c r="N193" t="inlineStr">
        <is>
          <t>store_selector</t>
        </is>
      </c>
      <c r="R193" t="inlineStr">
        <is>
          <t>N</t>
        </is>
      </c>
      <c r="S193" t="inlineStr">
        <is>
          <t>unknown</t>
        </is>
      </c>
      <c r="T193" t="inlineStr">
        <is>
          <t>N</t>
        </is>
      </c>
      <c r="U193" t="inlineStr">
        <is>
          <t>new</t>
        </is>
      </c>
      <c r="V193" t="inlineStr">
        <is>
          <t>https://www.tatesbakeshop.com/</t>
        </is>
      </c>
      <c r="W193" t="inlineStr">
        <is>
          <t>2026-10-23</t>
        </is>
      </c>
      <c r="X193" t="inlineStr">
        <is>
          <t>brand</t>
        </is>
      </c>
      <c r="Y193">
        <f>IF(EB193&lt;&gt;"Y","",COUNTIFS($EB$2:$EB$1000,"Y",$J$2:$J$1000,"&gt;"&amp;J193)+COUNTIFS($EB$2:$EB$1000,"Y",$J$2:$J$1000,J193,$ED$2:$ED$1000,"&lt;"&amp;ED193)+1)</f>
        <v/>
      </c>
      <c r="Z193" t="n">
        <v>192</v>
      </c>
      <c r="AA193" t="inlineStr">
        <is>
          <t>N</t>
        </is>
      </c>
      <c r="AB193" t="inlineStr">
        <is>
          <t>find Kathleen King at Tate's Bake Shop on LinkedIn and paste the profile URL; before using the retailer line, check Whole Foods Market NoMad still lists it: https://www.wholefoodsmarket.com/search?text=Tate%27s%20Bake%20Shop with your store set to NoMad (catalogs change daily); founder review (owner, scale): read founder_review_reason first</t>
        </is>
      </c>
      <c r="AC193" t="inlineStr">
        <is>
          <t>founder</t>
        </is>
      </c>
      <c r="AD193" t="inlineStr">
        <is>
          <t>verified-page</t>
        </is>
      </c>
      <c r="AE193" t="inlineStr">
        <is>
          <t>press, event or podcast page</t>
        </is>
      </c>
      <c r="AF193" t="inlineStr">
        <is>
          <t>https://cspdailynews.com/snacks-candy/mondelez-acquires-tates-bake-shop</t>
        </is>
      </c>
      <c r="AG193" t="inlineStr">
        <is>
          <t>2026-10-23</t>
        </is>
      </c>
      <c r="AH193" t="inlineStr">
        <is>
          <t>Tiny Tate's Cookies multipack (single-serve bags); Lemon Cookies 7 oz</t>
        </is>
      </c>
      <c r="AI193" t="inlineStr">
        <is>
          <t>cookies-baked</t>
        </is>
      </c>
      <c r="AJ193" t="inlineStr">
        <is>
          <t>Southampton, Long Island (homepage: 'Southampton Born')</t>
        </is>
      </c>
      <c r="AK193" t="inlineStr">
        <is>
          <t>https://www.tatesbakeshop.com</t>
        </is>
      </c>
      <c r="AL193" t="inlineStr">
        <is>
          <t>Y</t>
        </is>
      </c>
      <c r="AM193" t="inlineStr">
        <is>
          <t>National brand (8-9 SKUs per cluster WFM, nationwide distribution) almost certainly above the $10M ceiling; corporate ownership to confirm</t>
        </is>
      </c>
      <c r="AN193" t="inlineStr">
        <is>
          <t>AB-248</t>
        </is>
      </c>
      <c r="AO193" t="inlineStr">
        <is>
          <t>N</t>
        </is>
      </c>
      <c r="AR193">
        <f>IF(AND(AU193="pass",AO193&lt;&gt;"Y",C193&lt;&gt;""),"Y","N")</f>
        <v/>
      </c>
      <c r="AS193">
        <f>_xlfn.TEXTJOIN("; ",TRUE,IF(AU193&lt;&gt;"pass","gated out",""),IF(AO193="Y","on hold: "&amp;AP193,""),IF(C193="","no contact named on an opened page",""))</f>
        <v/>
      </c>
      <c r="AU193" t="inlineStr">
        <is>
          <t>pass</t>
        </is>
      </c>
      <c r="AW193" t="inlineStr">
        <is>
          <t>passes all hard gates</t>
        </is>
      </c>
      <c r="AX193" t="inlineStr">
        <is>
          <t>owner;scale</t>
        </is>
      </c>
      <c r="AY193" t="inlineStr">
        <is>
          <t>https://www.tatesbakeshop.com</t>
        </is>
      </c>
      <c r="AZ193" t="inlineStr">
        <is>
          <t>NY</t>
        </is>
      </c>
      <c r="BA193" t="inlineStr">
        <is>
          <t>nys</t>
        </is>
      </c>
      <c r="BB193" t="inlineStr">
        <is>
          <t>acquired by Mondelez International (deal announced 2018-05-08, about $500M)</t>
        </is>
      </c>
      <c r="BD193" t="inlineStr">
        <is>
          <t>Y</t>
        </is>
      </c>
      <c r="BE193" t="inlineStr">
        <is>
          <t>Brand FAQ: 'Packaged items have a shelf life of up to three months'; no additives or preservatives; check the best-by date</t>
        </is>
      </c>
      <c r="BF193" t="inlineStr">
        <is>
          <t>Y</t>
        </is>
      </c>
      <c r="BG193" t="inlineStr">
        <is>
          <t>Y</t>
        </is>
      </c>
      <c r="BH193" t="inlineStr">
        <is>
          <t>unknown</t>
        </is>
      </c>
      <c r="BJ193" t="inlineStr">
        <is>
          <t>Acquisition price about $500M (2018); no sales figure, so revenue_band stays unknown, but the brand is far above the ceiling</t>
        </is>
      </c>
      <c r="BK193" t="inlineStr">
        <is>
          <t>N</t>
        </is>
      </c>
      <c r="BL193" t="inlineStr">
        <is>
          <t>N</t>
        </is>
      </c>
      <c r="BN193" t="n">
        <v>0</v>
      </c>
      <c r="BO193" t="inlineStr">
        <is>
          <t>Y</t>
        </is>
      </c>
      <c r="BP193" t="n">
        <v>3</v>
      </c>
      <c r="BQ193" t="inlineStr">
        <is>
          <t>Whole Foods Market NoMad, 63 Madison Ave (store_selector, inside);Whole Foods Market Union Square, 4 Union Sq S (store_selector, inside);Whole Foods Market Chelsea, 250 7th Ave (store_selector, 3.0 blocks out)</t>
        </is>
      </c>
      <c r="BR193" t="inlineStr">
        <is>
          <t>Whole Foods Market Manhattan West (store_selector, 13.8 blocks out)</t>
        </is>
      </c>
      <c r="BS193" t="inlineStr">
        <is>
          <t>Whole Foods Market; national grocery</t>
        </is>
      </c>
      <c r="BT193" t="inlineStr">
        <is>
          <t>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is>
      </c>
      <c r="BU193" t="inlineStr">
        <is>
          <t>none</t>
        </is>
      </c>
      <c r="BX193" t="inlineStr">
        <is>
          <t>Kathleen King</t>
        </is>
      </c>
      <c r="CF193" t="inlineStr">
        <is>
          <t>none</t>
        </is>
      </c>
      <c r="CK193" t="inlineStr">
        <is>
          <t>none</t>
        </is>
      </c>
      <c r="CL193" t="n">
        <v>34</v>
      </c>
      <c r="CM193" t="n">
        <v>25</v>
      </c>
      <c r="CN193" t="n">
        <v>13</v>
      </c>
      <c r="CO193" t="n">
        <v>0</v>
      </c>
      <c r="CP193" t="n">
        <v>5</v>
      </c>
      <c r="CQ193" t="n">
        <v>10</v>
      </c>
      <c r="CR193" t="n">
        <v>6</v>
      </c>
      <c r="CS193">
        <f>IF(R193="Y",10,0)</f>
        <v/>
      </c>
      <c r="CT193" t="n">
        <v>-25</v>
      </c>
      <c r="CV193" t="inlineStr">
        <is>
          <t>BR4</t>
        </is>
      </c>
      <c r="CW193" t="inlineStr">
        <is>
          <t>BR4:43</t>
        </is>
      </c>
      <c r="CX193" t="inlineStr">
        <is>
          <t>Recorded so the size gate is visible; New York State origin.</t>
        </is>
      </c>
      <c r="CY193" t="inlineStr">
        <is>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is>
      </c>
      <c r="DA193" t="inlineStr">
        <is>
          <t>stage 1 only</t>
        </is>
      </c>
      <c r="DY193">
        <f>IF(ISNUMBER(MATCH(U193,{"queued","contacted","replied","call_booked","call_done","yes_in_principle","materials_sent"},0)),"Y","N")</f>
        <v/>
      </c>
      <c r="DZ193">
        <f>IF(COUNTIFS($AN$2:$AN$1000,AN193,$DY$2:$DY$1000,"Y")+COUNTIFS($AN$2:$AN$1000,AN193,$T$2:$T$1000,"Y")&gt;0,"Y","N")</f>
        <v/>
      </c>
      <c r="EA193">
        <f>IF(AND(U193="new",T193="N",AR193="Y",AQ193="",DZ193="N"),"Y","N")</f>
        <v/>
      </c>
      <c r="EB193">
        <f>IF(EA193&lt;&gt;"Y","N",IF(COUNTIFS($AN$2:$AN$1000,AN193,$EA$2:$EA$1000,"Y",$J$2:$J$1000,"&gt;"&amp;J193)+COUNTIFS($AN$2:$AN$1000,AN193,$EA$2:$EA$1000,"Y",$J$2:$J$1000,J193,$ED$2:$ED$1000,"&lt;"&amp;ED193)=0,"Y","N"))</f>
        <v/>
      </c>
      <c r="EC193">
        <f>IF(Y193="","N",IF(Y193&lt;=10,"Y","N"))</f>
        <v/>
      </c>
      <c r="ED193">
        <f>ROW()-1</f>
        <v/>
      </c>
    </row>
    <row r="194">
      <c r="A194" t="inlineStr">
        <is>
          <t>AB-020</t>
        </is>
      </c>
      <c r="B194" t="inlineStr">
        <is>
          <t>(P)RiND</t>
        </is>
      </c>
      <c r="C194" t="inlineStr">
        <is>
          <t>Matteo</t>
        </is>
      </c>
      <c r="D194" t="inlineStr">
        <is>
          <t>Caloia</t>
        </is>
      </c>
      <c r="E194" t="inlineStr">
        <is>
          <t>Co-founder</t>
        </is>
      </c>
      <c r="H194" t="inlineStr">
        <is>
          <t>none</t>
        </is>
      </c>
      <c r="I194" t="inlineStr">
        <is>
          <t>linkedin</t>
        </is>
      </c>
      <c r="J194">
        <f>IF(AU194="pass",CM194+CN194+CO194+CP194+CQ194+CR194+CS194+CT194,0)</f>
        <v/>
      </c>
      <c r="K194" t="inlineStr">
        <is>
          <t>Brand based outside the Northeast, no graded store within ten blocks, online store only, a new store listing 180 days ago, revenue unknown, contact named; founder review: claim-borderline.</t>
        </is>
      </c>
      <c r="M194" t="inlineStr">
        <is>
          <t>none found within ten blocks</t>
        </is>
      </c>
      <c r="N194" t="inlineStr">
        <is>
          <t>unverified</t>
        </is>
      </c>
      <c r="O194" t="inlineStr">
        <is>
          <t>Launched office bundles (Burgeoning Office, Medium Office, Wall Street) and a 'For Offices' page</t>
        </is>
      </c>
      <c r="P194" t="inlineStr">
        <is>
          <t>https://www.eatprind.com/products/medium-office-bundle</t>
        </is>
      </c>
      <c r="Q194" t="inlineStr">
        <is>
          <t>2026-04-27</t>
        </is>
      </c>
      <c r="R194" t="inlineStr">
        <is>
          <t>N</t>
        </is>
      </c>
      <c r="S194" t="inlineStr">
        <is>
          <t>unknown</t>
        </is>
      </c>
      <c r="T194" t="inlineStr">
        <is>
          <t>N</t>
        </is>
      </c>
      <c r="U194" t="inlineStr">
        <is>
          <t>new</t>
        </is>
      </c>
      <c r="V194" t="inlineStr">
        <is>
          <t>https://eatprind.com/pages/about</t>
        </is>
      </c>
      <c r="W194" t="inlineStr">
        <is>
          <t>2026-10-23</t>
        </is>
      </c>
      <c r="X194" t="inlineStr">
        <is>
          <t>brand</t>
        </is>
      </c>
      <c r="Y194">
        <f>IF(EB194&lt;&gt;"Y","",COUNTIFS($EB$2:$EB$1000,"Y",$J$2:$J$1000,"&gt;"&amp;J194)+COUNTIFS($EB$2:$EB$1000,"Y",$J$2:$J$1000,J194,$ED$2:$ED$1000,"&lt;"&amp;ED194)+1)</f>
        <v/>
      </c>
      <c r="Z194" t="n">
        <v>193</v>
      </c>
      <c r="AA194" t="inlineStr">
        <is>
          <t>N</t>
        </is>
      </c>
      <c r="AB194" t="inlineStr">
        <is>
          <t>find Matteo Caloia at (P)RiND on LinkedIn and paste the profile URL; founder review (claim-borderline): read founder_review_reason first</t>
        </is>
      </c>
      <c r="AC194" t="inlineStr">
        <is>
          <t>founder</t>
        </is>
      </c>
      <c r="AD194" t="inlineStr">
        <is>
          <t>verified-page</t>
        </is>
      </c>
      <c r="AE194" t="inlineStr">
        <is>
          <t>employer's own site</t>
        </is>
      </c>
      <c r="AF194" t="inlineStr">
        <is>
          <t>https://eatprind.com/pages/about</t>
        </is>
      </c>
      <c r="AG194" t="inlineStr">
        <is>
          <t>2026-10-23</t>
        </is>
      </c>
      <c r="AH194" t="inlineStr">
        <is>
          <t>(P)RiND Parmesan Pops, single pack (6 Pack Variety - Single Pack)</t>
        </is>
      </c>
      <c r="AI194" t="inlineStr">
        <is>
          <t>crackers-pretzels</t>
        </is>
      </c>
      <c r="AJ194" t="inlineStr">
        <is>
          <t>Chicago</t>
        </is>
      </c>
      <c r="AK194" t="inlineStr">
        <is>
          <t>https://www.eatprind.com</t>
        </is>
      </c>
      <c r="AL194" t="inlineStr">
        <is>
          <t>Y</t>
        </is>
      </c>
      <c r="AM194" t="inlineStr">
        <is>
          <t>Positioned 'High Protein Parmesan Pops' (nutrient-content claim) and 'functional'; cheese-based, confirm shelf life of 60+ days</t>
        </is>
      </c>
      <c r="AN194" t="inlineStr">
        <is>
          <t>AB-020</t>
        </is>
      </c>
      <c r="AO194" t="inlineStr">
        <is>
          <t>N</t>
        </is>
      </c>
      <c r="AR194">
        <f>IF(AND(AU194="pass",AO194&lt;&gt;"Y",C194&lt;&gt;""),"Y","N")</f>
        <v/>
      </c>
      <c r="AS194">
        <f>_xlfn.TEXTJOIN("; ",TRUE,IF(AU194&lt;&gt;"pass","gated out",""),IF(AO194="Y","on hold: "&amp;AP194,""),IF(C194="","no contact named on an opened page",""))</f>
        <v/>
      </c>
      <c r="AU194" t="inlineStr">
        <is>
          <t>pass</t>
        </is>
      </c>
      <c r="AW194" t="inlineStr">
        <is>
          <t>passes all hard gates</t>
        </is>
      </c>
      <c r="AX194" t="inlineStr">
        <is>
          <t>claim-borderline</t>
        </is>
      </c>
      <c r="AY194" t="inlineStr">
        <is>
          <t>https://www.eatprind.com</t>
        </is>
      </c>
      <c r="AZ194" t="inlineStr">
        <is>
          <t>IL</t>
        </is>
      </c>
      <c r="BA194" t="inlineStr">
        <is>
          <t>elsewhere</t>
        </is>
      </c>
      <c r="BB194" t="inlineStr">
        <is>
          <t>unknown</t>
        </is>
      </c>
      <c r="BD194" t="inlineStr">
        <is>
          <t>Y</t>
        </is>
      </c>
      <c r="BE194" t="inlineStr">
        <is>
          <t>Oven-baked aged-cheese-rind crisps sold ambient online and at PopUp Grocer</t>
        </is>
      </c>
      <c r="BF194" t="inlineStr">
        <is>
          <t>Y</t>
        </is>
      </c>
      <c r="BG194" t="inlineStr">
        <is>
          <t>Y</t>
        </is>
      </c>
      <c r="BH194" t="inlineStr">
        <is>
          <t>unknown</t>
        </is>
      </c>
      <c r="BJ194" t="inlineStr">
        <is>
          <t>unknown</t>
        </is>
      </c>
      <c r="BK194" t="inlineStr">
        <is>
          <t>N</t>
        </is>
      </c>
      <c r="BL194" t="inlineStr">
        <is>
          <t>N</t>
        </is>
      </c>
      <c r="BO194" t="inlineStr">
        <is>
          <t>N</t>
        </is>
      </c>
      <c r="BP194" t="n">
        <v>0</v>
      </c>
      <c r="BR194" t="inlineStr">
        <is>
          <t>PopUp Grocer (brand_claim, unplaced)</t>
        </is>
      </c>
      <c r="BS194" t="inlineStr">
        <is>
          <t>PopUp Grocer (NYC); Faire wholesale; brand store locator</t>
        </is>
      </c>
      <c r="BT194" t="inlineStr">
        <is>
          <t>https://popupgrocer.com/pages/directory (availability 'NYC Flagship', 2026-10-23); https://popupgrocer.com/products/prind</t>
        </is>
      </c>
      <c r="BU194" t="inlineStr">
        <is>
          <t>listing</t>
        </is>
      </c>
      <c r="BV194" t="n">
        <v>180</v>
      </c>
      <c r="BX194" t="inlineStr">
        <is>
          <t>Matteo Caloia</t>
        </is>
      </c>
      <c r="BY194" t="inlineStr">
        <is>
          <t>surname not on site</t>
        </is>
      </c>
      <c r="CA194" t="inlineStr">
        <is>
          <t>Kai</t>
        </is>
      </c>
      <c r="CB194" t="inlineStr">
        <is>
          <t>Kai</t>
        </is>
      </c>
      <c r="CC194" t="inlineStr">
        <is>
          <t>unknown</t>
        </is>
      </c>
      <c r="CD194" t="inlineStr">
        <is>
          <t>Co-founder</t>
        </is>
      </c>
      <c r="CE194" t="inlineStr">
        <is>
          <t>co-founder</t>
        </is>
      </c>
      <c r="CF194" t="inlineStr">
        <is>
          <t>first-name-only</t>
        </is>
      </c>
      <c r="CG194" t="inlineStr">
        <is>
          <t>surname not on site</t>
        </is>
      </c>
      <c r="CK194" t="inlineStr">
        <is>
          <t>none</t>
        </is>
      </c>
      <c r="CL194" t="n">
        <v>34</v>
      </c>
      <c r="CM194" t="n">
        <v>6</v>
      </c>
      <c r="CN194" t="n">
        <v>3</v>
      </c>
      <c r="CO194" t="n">
        <v>8</v>
      </c>
      <c r="CP194" t="n">
        <v>5</v>
      </c>
      <c r="CQ194" t="n">
        <v>10</v>
      </c>
      <c r="CR194" t="n">
        <v>6</v>
      </c>
      <c r="CS194">
        <f>IF(R194="Y",10,0)</f>
        <v/>
      </c>
      <c r="CT194" t="n">
        <v>-4</v>
      </c>
      <c r="CU194" t="inlineStr">
        <is>
          <t>https://instagram.com/eatprind</t>
        </is>
      </c>
      <c r="CV194" t="inlineStr">
        <is>
          <t>BR1</t>
        </is>
      </c>
      <c r="CW194" t="inlineStr">
        <is>
          <t>BR1:21</t>
        </is>
      </c>
      <c r="CX194" t="inlineStr">
        <is>
          <t>Already selling to offices, a strong fit for the pitch. Monthly mystery flavor drops (2026-07). Business city from privacy policy.</t>
        </is>
      </c>
      <c r="CZ194" t="inlineStr">
        <is>
          <t>https://eatprind.com/pages/about</t>
        </is>
      </c>
      <c r="DA194" t="inlineStr">
        <is>
          <t>stage 1 only</t>
        </is>
      </c>
      <c r="DC194" t="inlineStr">
        <is>
          <t>employer's own site</t>
        </is>
      </c>
      <c r="DY194">
        <f>IF(ISNUMBER(MATCH(U194,{"queued","contacted","replied","call_booked","call_done","yes_in_principle","materials_sent"},0)),"Y","N")</f>
        <v/>
      </c>
      <c r="DZ194">
        <f>IF(COUNTIFS($AN$2:$AN$1000,AN194,$DY$2:$DY$1000,"Y")+COUNTIFS($AN$2:$AN$1000,AN194,$T$2:$T$1000,"Y")&gt;0,"Y","N")</f>
        <v/>
      </c>
      <c r="EA194">
        <f>IF(AND(U194="new",T194="N",AR194="Y",AQ194="",DZ194="N"),"Y","N")</f>
        <v/>
      </c>
      <c r="EB194">
        <f>IF(EA194&lt;&gt;"Y","N",IF(COUNTIFS($AN$2:$AN$1000,AN194,$EA$2:$EA$1000,"Y",$J$2:$J$1000,"&gt;"&amp;J194)+COUNTIFS($AN$2:$AN$1000,AN194,$EA$2:$EA$1000,"Y",$J$2:$J$1000,J194,$ED$2:$ED$1000,"&lt;"&amp;ED194)=0,"Y","N"))</f>
        <v/>
      </c>
      <c r="EC194">
        <f>IF(Y194="","N",IF(Y194&lt;=10,"Y","N"))</f>
        <v/>
      </c>
      <c r="ED194">
        <f>ROW()-1</f>
        <v/>
      </c>
    </row>
    <row r="195">
      <c r="A195" t="inlineStr">
        <is>
          <t>AB-061</t>
        </is>
      </c>
      <c r="B195" t="inlineStr">
        <is>
          <t>Belle's Gourmet Popcorn</t>
        </is>
      </c>
      <c r="C195" t="inlineStr">
        <is>
          <t>Belle</t>
        </is>
      </c>
      <c r="D195" t="inlineStr">
        <is>
          <t>Sharon</t>
        </is>
      </c>
      <c r="E195" t="inlineStr">
        <is>
          <t>Co-founder</t>
        </is>
      </c>
      <c r="H195" t="inlineStr">
        <is>
          <t>none</t>
        </is>
      </c>
      <c r="I195" t="inlineStr">
        <is>
          <t>linkedin</t>
        </is>
      </c>
      <c r="J195">
        <f>IF(AU195="pass",CM195+CN195+CO195+CP195+CQ195+CR195+CS195+CT195,0)</f>
        <v/>
      </c>
      <c r="K195" t="inlineStr">
        <is>
          <t>Brand based outside the Northeast, no graded store within ten blocks, online store only, a new store listing 177 days ago, revenue unknown, contact named; founder review: other.</t>
        </is>
      </c>
      <c r="M195" t="inlineStr">
        <is>
          <t>none found within ten blocks</t>
        </is>
      </c>
      <c r="N195" t="inlineStr">
        <is>
          <t>unverified</t>
        </is>
      </c>
      <c r="O195" t="inlineStr">
        <is>
          <t>Launched in 1,000+ Walmart stores; new seasonal flavors (Pumpkin Spice Latte, White Chocolatey Peppermint) on brand store 2026-10-19</t>
        </is>
      </c>
      <c r="P195" t="inlineStr">
        <is>
          <t>https://startupcpg.com/startup-cpg-newswire-belles-gourmet-popcorn-launches-in-more-than-1000-walmart-stores-nationwide/</t>
        </is>
      </c>
      <c r="Q195" t="inlineStr">
        <is>
          <t>2026-04-30</t>
        </is>
      </c>
      <c r="R195" t="inlineStr">
        <is>
          <t>N</t>
        </is>
      </c>
      <c r="S195" t="inlineStr">
        <is>
          <t>Y</t>
        </is>
      </c>
      <c r="T195" t="inlineStr">
        <is>
          <t>N</t>
        </is>
      </c>
      <c r="U195" t="inlineStr">
        <is>
          <t>new</t>
        </is>
      </c>
      <c r="V195" t="inlineStr">
        <is>
          <t>https://startupcpg.com/startup-cpg-newswire-belles-gourmet-popcorn-launches-in-more-than-1000-walmart-stores-nationwide/</t>
        </is>
      </c>
      <c r="W195" t="inlineStr">
        <is>
          <t>2026-10-23</t>
        </is>
      </c>
      <c r="X195" t="inlineStr">
        <is>
          <t>brand</t>
        </is>
      </c>
      <c r="Y195">
        <f>IF(EB195&lt;&gt;"Y","",COUNTIFS($EB$2:$EB$1000,"Y",$J$2:$J$1000,"&gt;"&amp;J195)+COUNTIFS($EB$2:$EB$1000,"Y",$J$2:$J$1000,J195,$ED$2:$ED$1000,"&lt;"&amp;ED195)+1)</f>
        <v/>
      </c>
      <c r="Z195" t="n">
        <v>194</v>
      </c>
      <c r="AA195" t="inlineStr">
        <is>
          <t>N</t>
        </is>
      </c>
      <c r="AB195" t="inlineStr">
        <is>
          <t>find Belle Sharon at Belle's Gourmet Popcorn on LinkedIn and paste the profile URL; founder review (other): read founder_review_reason first</t>
        </is>
      </c>
      <c r="AC195" t="inlineStr">
        <is>
          <t>founder</t>
        </is>
      </c>
      <c r="AD195" t="inlineStr">
        <is>
          <t>verified-page</t>
        </is>
      </c>
      <c r="AE195" t="inlineStr">
        <is>
          <t>press, event or podcast page</t>
        </is>
      </c>
      <c r="AF195" t="inlineStr">
        <is>
          <t>https://startupcpg.com/startup-cpg-newswire-belles-gourmet-popcorn-launches-in-more-than-1000-walmart-stores-nationwide/</t>
        </is>
      </c>
      <c r="AG195" t="inlineStr">
        <is>
          <t>2026-10-23</t>
        </is>
      </c>
      <c r="AH195" t="inlineStr">
        <is>
          <t>Belle's Avocado Kettle Corn ($4.99 bag)</t>
        </is>
      </c>
      <c r="AI195" t="inlineStr">
        <is>
          <t>popcorn-puffs</t>
        </is>
      </c>
      <c r="AJ195" t="inlineStr">
        <is>
          <t>Farmers Branch</t>
        </is>
      </c>
      <c r="AK195" t="inlineStr">
        <is>
          <t>https://bellespopcorn.com</t>
        </is>
      </c>
      <c r="AL195" t="inlineStr">
        <is>
          <t>Y</t>
        </is>
      </c>
      <c r="AM195" t="inlineStr">
        <is>
          <t>Several SKUs are sweet (Lemon Meringue, Peanut Butter Crunch, Dubai-Style Chocolate); savory fit is Avocado Kettle Corn only; peanut allergen in one SKU; national retail distribution in the why-now ('Walmart'): check the revenue band at intake</t>
        </is>
      </c>
      <c r="AN195" t="inlineStr">
        <is>
          <t>AB-061</t>
        </is>
      </c>
      <c r="AO195" t="inlineStr">
        <is>
          <t>N</t>
        </is>
      </c>
      <c r="AR195">
        <f>IF(AND(AU195="pass",AO195&lt;&gt;"Y",C195&lt;&gt;""),"Y","N")</f>
        <v/>
      </c>
      <c r="AS195">
        <f>_xlfn.TEXTJOIN("; ",TRUE,IF(AU195&lt;&gt;"pass","gated out",""),IF(AO195="Y","on hold: "&amp;AP195,""),IF(C195="","no contact named on an opened page",""))</f>
        <v/>
      </c>
      <c r="AU195" t="inlineStr">
        <is>
          <t>pass</t>
        </is>
      </c>
      <c r="AW195" t="inlineStr">
        <is>
          <t>passes all hard gates</t>
        </is>
      </c>
      <c r="AX195" t="inlineStr">
        <is>
          <t>other</t>
        </is>
      </c>
      <c r="AY195" t="inlineStr">
        <is>
          <t>https://bellespopcorn.com</t>
        </is>
      </c>
      <c r="AZ195" t="inlineStr">
        <is>
          <t>TX</t>
        </is>
      </c>
      <c r="BA195" t="inlineStr">
        <is>
          <t>elsewhere</t>
        </is>
      </c>
      <c r="BB195" t="inlineStr">
        <is>
          <t>family-owned</t>
        </is>
      </c>
      <c r="BD195" t="inlineStr">
        <is>
          <t>Y</t>
        </is>
      </c>
      <c r="BE195" t="inlineStr">
        <is>
          <t>Bagged popcorn, ambient</t>
        </is>
      </c>
      <c r="BF195" t="inlineStr">
        <is>
          <t>unknown</t>
        </is>
      </c>
      <c r="BG195" t="inlineStr">
        <is>
          <t>Y</t>
        </is>
      </c>
      <c r="BH195" t="inlineStr">
        <is>
          <t>unknown</t>
        </is>
      </c>
      <c r="BJ195" t="inlineStr">
        <is>
          <t>unknown</t>
        </is>
      </c>
      <c r="BK195" t="inlineStr">
        <is>
          <t>N</t>
        </is>
      </c>
      <c r="BL195" t="inlineStr">
        <is>
          <t>N</t>
        </is>
      </c>
      <c r="BO195" t="inlineStr">
        <is>
          <t>N</t>
        </is>
      </c>
      <c r="BP195" t="n">
        <v>0</v>
      </c>
      <c r="BS195" t="inlineStr">
        <is>
          <t>Walmart (1,000+ stores, April 2026)</t>
        </is>
      </c>
      <c r="BT195" t="inlineStr">
        <is>
          <t>https://startupcpg.com/startup-cpg-newswire-belles-gourmet-popcorn-launches-in-more-than-1000-walmart-stores-nationwide/; https://www.wholefoodsmarket.com/search?text=belle%27s%20gourmet%20popcorn (no WFM results, 2026-10-23)</t>
        </is>
      </c>
      <c r="BU195" t="inlineStr">
        <is>
          <t>listing</t>
        </is>
      </c>
      <c r="BV195" t="n">
        <v>177</v>
      </c>
      <c r="BW195" t="inlineStr">
        <is>
          <t>https://startupcpg.com/startup-cpg-newswire-belles-gourmet-popcorn-launches-in-more-than-1000-walmart-stores-nationwide/</t>
        </is>
      </c>
      <c r="BX195" t="inlineStr">
        <is>
          <t>Belle Sharon</t>
        </is>
      </c>
      <c r="CA195" t="inlineStr">
        <is>
          <t>Dror Sharon</t>
        </is>
      </c>
      <c r="CB195" t="inlineStr">
        <is>
          <t>Dror</t>
        </is>
      </c>
      <c r="CC195" t="inlineStr">
        <is>
          <t>Sharon</t>
        </is>
      </c>
      <c r="CD195" t="inlineStr">
        <is>
          <t>Co-founder</t>
        </is>
      </c>
      <c r="CE195" t="inlineStr">
        <is>
          <t>co-founder</t>
        </is>
      </c>
      <c r="CF195" t="inlineStr">
        <is>
          <t>verified-page</t>
        </is>
      </c>
      <c r="CK195" t="inlineStr">
        <is>
          <t>none</t>
        </is>
      </c>
      <c r="CL195" t="n">
        <v>34</v>
      </c>
      <c r="CM195" t="n">
        <v>6</v>
      </c>
      <c r="CN195" t="n">
        <v>3</v>
      </c>
      <c r="CO195" t="n">
        <v>8</v>
      </c>
      <c r="CP195" t="n">
        <v>5</v>
      </c>
      <c r="CQ195" t="n">
        <v>8</v>
      </c>
      <c r="CR195" t="n">
        <v>6</v>
      </c>
      <c r="CS195">
        <f>IF(R195="Y",10,0)</f>
        <v/>
      </c>
      <c r="CT195" t="n">
        <v>-2</v>
      </c>
      <c r="CU195" t="inlineStr">
        <is>
          <t>unknown</t>
        </is>
      </c>
      <c r="CV195" t="inlineStr">
        <is>
          <t>BR1</t>
        </is>
      </c>
      <c r="CW195" t="inlineStr">
        <is>
          <t>BR1:62</t>
        </is>
      </c>
      <c r="CX195" t="inlineStr">
        <is>
          <t>Release datelined FARMERS BRANCH, TX (April 2026).</t>
        </is>
      </c>
      <c r="CZ195" t="inlineStr">
        <is>
          <t>https://startupcpg.com/startup-cpg-newswire-belles-gourmet-popcorn-launches-in-more-than-1000-walmart-stores-nationwide/</t>
        </is>
      </c>
      <c r="DA195" t="inlineStr">
        <is>
          <t>stage 1 only</t>
        </is>
      </c>
      <c r="DC195" t="inlineStr">
        <is>
          <t>press, event or podcast page</t>
        </is>
      </c>
      <c r="DY195">
        <f>IF(ISNUMBER(MATCH(U195,{"queued","contacted","replied","call_booked","call_done","yes_in_principle","materials_sent"},0)),"Y","N")</f>
        <v/>
      </c>
      <c r="DZ195">
        <f>IF(COUNTIFS($AN$2:$AN$1000,AN195,$DY$2:$DY$1000,"Y")+COUNTIFS($AN$2:$AN$1000,AN195,$T$2:$T$1000,"Y")&gt;0,"Y","N")</f>
        <v/>
      </c>
      <c r="EA195">
        <f>IF(AND(U195="new",T195="N",AR195="Y",AQ195="",DZ195="N"),"Y","N")</f>
        <v/>
      </c>
      <c r="EB195">
        <f>IF(EA195&lt;&gt;"Y","N",IF(COUNTIFS($AN$2:$AN$1000,AN195,$EA$2:$EA$1000,"Y",$J$2:$J$1000,"&gt;"&amp;J195)+COUNTIFS($AN$2:$AN$1000,AN195,$EA$2:$EA$1000,"Y",$J$2:$J$1000,J195,$ED$2:$ED$1000,"&lt;"&amp;ED195)=0,"Y","N"))</f>
        <v/>
      </c>
      <c r="EC195">
        <f>IF(Y195="","N",IF(Y195&lt;=10,"Y","N"))</f>
        <v/>
      </c>
      <c r="ED195">
        <f>ROW()-1</f>
        <v/>
      </c>
    </row>
    <row r="196">
      <c r="A196" t="inlineStr">
        <is>
          <t>AB-213</t>
        </is>
      </c>
      <c r="B196" t="inlineStr">
        <is>
          <t>Brooklyn Biltong</t>
        </is>
      </c>
      <c r="C196" t="inlineStr">
        <is>
          <t>Ben</t>
        </is>
      </c>
      <c r="D196" t="inlineStr">
        <is>
          <t>van den Heever</t>
        </is>
      </c>
      <c r="E196" t="inlineStr">
        <is>
          <t>Founder</t>
        </is>
      </c>
      <c r="H196" t="inlineStr">
        <is>
          <t>none</t>
        </is>
      </c>
      <c r="I196" t="inlineStr">
        <is>
          <t>linkedin</t>
        </is>
      </c>
      <c r="J196">
        <f>IF(AU196="pass",CM196+CN196+CO196+CP196+CQ196+CR196+CS196+CT196,0)</f>
        <v/>
      </c>
      <c r="K196" t="inlineStr">
        <is>
          <t>Brand based outside the Northeast (HQ unverified), no graded store within ten blocks, online store only, a new store listing 72 days ago, revenue unknown, contact named; founder review: claim-borderline.</t>
        </is>
      </c>
      <c r="M196" t="inlineStr">
        <is>
          <t>none found within ten blocks</t>
        </is>
      </c>
      <c r="N196" t="inlineStr">
        <is>
          <t>unverified</t>
        </is>
      </c>
      <c r="O196" t="inlineStr">
        <is>
          <t>Added single-serve 0.8 oz bags in 2026 (Classic Skinny Sticks and Garlic and Pepper &amp; Coriander Tender Steak Slices published 2026-06-30, Classic 2026-07-28, Chili Peri Peri 2026-08-13), offered as a free bag plus shipping</t>
        </is>
      </c>
      <c r="P196" t="inlineStr">
        <is>
          <t>https://www.brooklynbiltong.com/products.json?limit=250</t>
        </is>
      </c>
      <c r="Q196" t="inlineStr">
        <is>
          <t>2026-08-13</t>
        </is>
      </c>
      <c r="R196" t="inlineStr">
        <is>
          <t>N</t>
        </is>
      </c>
      <c r="S196" t="inlineStr">
        <is>
          <t>unknown</t>
        </is>
      </c>
      <c r="T196" t="inlineStr">
        <is>
          <t>N</t>
        </is>
      </c>
      <c r="U196" t="inlineStr">
        <is>
          <t>new</t>
        </is>
      </c>
      <c r="V196" t="inlineStr">
        <is>
          <t>https://www.brooklynbiltong.com/pages/storage-instructions</t>
        </is>
      </c>
      <c r="W196" t="inlineStr">
        <is>
          <t>2026-10-23</t>
        </is>
      </c>
      <c r="X196" t="inlineStr">
        <is>
          <t>brand</t>
        </is>
      </c>
      <c r="Y196">
        <f>IF(EB196&lt;&gt;"Y","",COUNTIFS($EB$2:$EB$1000,"Y",$J$2:$J$1000,"&gt;"&amp;J196)+COUNTIFS($EB$2:$EB$1000,"Y",$J$2:$J$1000,J196,$ED$2:$ED$1000,"&lt;"&amp;ED196)+1)</f>
        <v/>
      </c>
      <c r="Z196" t="n">
        <v>195</v>
      </c>
      <c r="AA196" t="inlineStr">
        <is>
          <t>N</t>
        </is>
      </c>
      <c r="AB196" t="inlineStr">
        <is>
          <t>find Ben van den Heever at Brooklyn Biltong on LinkedIn and paste the profile URL; founder review (claim-borderline): read founder_review_reason first</t>
        </is>
      </c>
      <c r="AC196" t="inlineStr">
        <is>
          <t>founder</t>
        </is>
      </c>
      <c r="AD196" t="inlineStr">
        <is>
          <t>verified-page</t>
        </is>
      </c>
      <c r="AE196" t="inlineStr">
        <is>
          <t>employer's own site</t>
        </is>
      </c>
      <c r="AF196" t="inlineStr">
        <is>
          <t>https://www.brooklynbiltong.com/pages/about-us-history</t>
        </is>
      </c>
      <c r="AG196" t="inlineStr">
        <is>
          <t>2026-10-23</t>
        </is>
      </c>
      <c r="AH196" t="inlineStr">
        <is>
          <t>Classic Tender Steak Slices 0.8 oz single-serve bag (also 3.2 oz bag; Skinny Sticks 0.8 oz and 3.5 oz)</t>
        </is>
      </c>
      <c r="AI196" t="inlineStr">
        <is>
          <t>meat-snacks</t>
        </is>
      </c>
      <c r="AJ196" t="inlineStr">
        <is>
          <t>Goldsboro, NC (privacy-policy mailing address: 1002 Sunburst Drive, Goldsboro, North Carolina 27534). A CB Insights snippet lists 314 Prospect Ave, Brooklyn (unverified). Founder to confirm where the team sits.</t>
        </is>
      </c>
      <c r="AK196" t="inlineStr">
        <is>
          <t>https://www.brooklynbiltong.com</t>
        </is>
      </c>
      <c r="AL196" t="inlineStr">
        <is>
          <t>Y</t>
        </is>
      </c>
      <c r="AM196" t="inlineStr">
        <is>
          <t>Protein and keto positioning ('50 grams of protein', 'Keto certified', 'HEALTHY MEAT SNACKS'); HQ not confirmed as NYC</t>
        </is>
      </c>
      <c r="AN196" t="inlineStr">
        <is>
          <t>AB-213</t>
        </is>
      </c>
      <c r="AO196" t="inlineStr">
        <is>
          <t>N</t>
        </is>
      </c>
      <c r="AR196">
        <f>IF(AND(AU196="pass",AO196&lt;&gt;"Y",C196&lt;&gt;""),"Y","N")</f>
        <v/>
      </c>
      <c r="AS196">
        <f>_xlfn.TEXTJOIN("; ",TRUE,IF(AU196&lt;&gt;"pass","gated out",""),IF(AO196="Y","on hold: "&amp;AP196,""),IF(C196="","no contact named on an opened page",""))</f>
        <v/>
      </c>
      <c r="AU196" t="inlineStr">
        <is>
          <t>pass</t>
        </is>
      </c>
      <c r="AW196" t="inlineStr">
        <is>
          <t>passes all hard gates</t>
        </is>
      </c>
      <c r="AX196" t="inlineStr">
        <is>
          <t>claim-borderline</t>
        </is>
      </c>
      <c r="AY196" t="inlineStr">
        <is>
          <t>https://www.brooklynbiltong.com</t>
        </is>
      </c>
      <c r="AZ196" t="inlineStr">
        <is>
          <t>NC (privacy-policy address; founder to confirm)</t>
        </is>
      </c>
      <c r="BA196" t="inlineStr">
        <is>
          <t>elsewhere (unverified)</t>
        </is>
      </c>
      <c r="BB196" t="inlineStr">
        <is>
          <t>unknown</t>
        </is>
      </c>
      <c r="BD196" t="inlineStr">
        <is>
          <t>Y</t>
        </is>
      </c>
      <c r="BE196" t="inlineStr">
        <is>
          <t>Storage page: 'An unopened bag of biltong can last up to 12 months stored in a cool, dry place'</t>
        </is>
      </c>
      <c r="BF196" t="inlineStr">
        <is>
          <t>Y</t>
        </is>
      </c>
      <c r="BG196" t="inlineStr">
        <is>
          <t>Y</t>
        </is>
      </c>
      <c r="BH196" t="inlineStr">
        <is>
          <t>unknown</t>
        </is>
      </c>
      <c r="BJ196" t="inlineStr">
        <is>
          <t>unknown</t>
        </is>
      </c>
      <c r="BK196" t="inlineStr">
        <is>
          <t>N</t>
        </is>
      </c>
      <c r="BL196" t="inlineStr">
        <is>
          <t>N</t>
        </is>
      </c>
      <c r="BO196" t="inlineStr">
        <is>
          <t>N</t>
        </is>
      </c>
      <c r="BP196" t="n">
        <v>0</v>
      </c>
      <c r="BS196" t="inlineStr">
        <is>
          <t>Store locator (not machine-readable); wholesale via Faire</t>
        </is>
      </c>
      <c r="BT196" t="inlineStr">
        <is>
          <t>https://www.brooklynbiltong.com/pages/store-locator</t>
        </is>
      </c>
      <c r="BU196" t="inlineStr">
        <is>
          <t>listing</t>
        </is>
      </c>
      <c r="BV196" t="n">
        <v>72</v>
      </c>
      <c r="BX196" t="inlineStr">
        <is>
          <t>Ben van den Heever</t>
        </is>
      </c>
      <c r="CF196" t="inlineStr">
        <is>
          <t>none</t>
        </is>
      </c>
      <c r="CK196" t="inlineStr">
        <is>
          <t>none</t>
        </is>
      </c>
      <c r="CL196" t="n">
        <v>34</v>
      </c>
      <c r="CM196" t="n">
        <v>6</v>
      </c>
      <c r="CN196" t="n">
        <v>3</v>
      </c>
      <c r="CO196" t="n">
        <v>8</v>
      </c>
      <c r="CP196" t="n">
        <v>5</v>
      </c>
      <c r="CQ196" t="n">
        <v>10</v>
      </c>
      <c r="CR196" t="n">
        <v>6</v>
      </c>
      <c r="CS196">
        <f>IF(R196="Y",10,0)</f>
        <v/>
      </c>
      <c r="CT196" t="n">
        <v>-4</v>
      </c>
      <c r="CU196" t="inlineStr">
        <is>
          <t>https://www.instagram.com/brooklynbiltong</t>
        </is>
      </c>
      <c r="CV196" t="inlineStr">
        <is>
          <t>BR4</t>
        </is>
      </c>
      <c r="CW196" t="inlineStr">
        <is>
          <t>BR4:8</t>
        </is>
      </c>
      <c r="CX196" t="inlineStr">
        <is>
          <t>Air-dried grass-fed beef, South African recipe from the founder's grandfather in Pretoria. Store locator uses a Roseperl widget whose store list loads from an API; no stores could be read. Not checked in WFM (no brand hit for 'brooklyn biltong' in cluster catalogs on 2026-10-23).</t>
        </is>
      </c>
      <c r="CY196" t="inlineStr">
        <is>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t>
        </is>
      </c>
      <c r="DA196" t="inlineStr">
        <is>
          <t>stage 1 only</t>
        </is>
      </c>
      <c r="DY196">
        <f>IF(ISNUMBER(MATCH(U196,{"queued","contacted","replied","call_booked","call_done","yes_in_principle","materials_sent"},0)),"Y","N")</f>
        <v/>
      </c>
      <c r="DZ196">
        <f>IF(COUNTIFS($AN$2:$AN$1000,AN196,$DY$2:$DY$1000,"Y")+COUNTIFS($AN$2:$AN$1000,AN196,$T$2:$T$1000,"Y")&gt;0,"Y","N")</f>
        <v/>
      </c>
      <c r="EA196">
        <f>IF(AND(U196="new",T196="N",AR196="Y",AQ196="",DZ196="N"),"Y","N")</f>
        <v/>
      </c>
      <c r="EB196">
        <f>IF(EA196&lt;&gt;"Y","N",IF(COUNTIFS($AN$2:$AN$1000,AN196,$EA$2:$EA$1000,"Y",$J$2:$J$1000,"&gt;"&amp;J196)+COUNTIFS($AN$2:$AN$1000,AN196,$EA$2:$EA$1000,"Y",$J$2:$J$1000,J196,$ED$2:$ED$1000,"&lt;"&amp;ED196)=0,"Y","N"))</f>
        <v/>
      </c>
      <c r="EC196">
        <f>IF(Y196="","N",IF(Y196&lt;=10,"Y","N"))</f>
        <v/>
      </c>
      <c r="ED196">
        <f>ROW()-1</f>
        <v/>
      </c>
    </row>
    <row r="197">
      <c r="A197" t="inlineStr">
        <is>
          <t>AB-251</t>
        </is>
      </c>
      <c r="B197" t="inlineStr">
        <is>
          <t>DEFI Snacks</t>
        </is>
      </c>
      <c r="C197" t="inlineStr">
        <is>
          <t>Tatyana</t>
        </is>
      </c>
      <c r="D197" t="inlineStr">
        <is>
          <t>Jones</t>
        </is>
      </c>
      <c r="E197" t="inlineStr">
        <is>
          <t>Founder</t>
        </is>
      </c>
      <c r="H197" t="inlineStr">
        <is>
          <t>none</t>
        </is>
      </c>
      <c r="I197" t="inlineStr">
        <is>
          <t>linkedin</t>
        </is>
      </c>
      <c r="J197">
        <f>IF(AU197="pass",CM197+CN197+CO197+CP197+CQ197+CR197+CS197+CT197,0)</f>
        <v/>
      </c>
      <c r="K197" t="inlineStr">
        <is>
          <t>Northeast brand, no graded store within ten blocks, online store only, news 344 days ago, revenue unknown, contact named; founder review: claim-borderline.</t>
        </is>
      </c>
      <c r="M197" t="inlineStr">
        <is>
          <t>none found within ten blocks</t>
        </is>
      </c>
      <c r="N197" t="inlineStr">
        <is>
          <t>unverified</t>
        </is>
      </c>
      <c r="O197" t="inlineStr">
        <is>
          <t>Grand Prize winner, Enthuse Foundation 7th Women Founders Pitch Competition (NYC finale 2025-11-06); site banner now says 'Winner of the 2026 Mintel MOST INNOVATIVE PRODUCT award'</t>
        </is>
      </c>
      <c r="P197" t="inlineStr">
        <is>
          <t>https://startupcpg.com/startup-cpg-newswire-enthuse-foundation-names-defi-snacks-grand-prize-winner-and-bake-me-healthy-runner-up-in-7th-annual-women-founders-pitch-competition/</t>
        </is>
      </c>
      <c r="Q197" t="inlineStr">
        <is>
          <t>2025-11-14</t>
        </is>
      </c>
      <c r="R197" t="inlineStr">
        <is>
          <t>N</t>
        </is>
      </c>
      <c r="S197" t="inlineStr">
        <is>
          <t>Y</t>
        </is>
      </c>
      <c r="T197" t="inlineStr">
        <is>
          <t>N</t>
        </is>
      </c>
      <c r="U197" t="inlineStr">
        <is>
          <t>new</t>
        </is>
      </c>
      <c r="V197" t="inlineStr">
        <is>
          <t>https://startupcpg.com/startup-cpg-newswire-enthuse-foundation-names-defi-snacks-grand-prize-winner-and-bake-me-healthy-runner-up-in-7th-annual-women-founders-pitch-competition/</t>
        </is>
      </c>
      <c r="W197" t="inlineStr">
        <is>
          <t>2026-10-23</t>
        </is>
      </c>
      <c r="X197" t="inlineStr">
        <is>
          <t>brand</t>
        </is>
      </c>
      <c r="Y197">
        <f>IF(EB197&lt;&gt;"Y","",COUNTIFS($EB$2:$EB$1000,"Y",$J$2:$J$1000,"&gt;"&amp;J197)+COUNTIFS($EB$2:$EB$1000,"Y",$J$2:$J$1000,J197,$ED$2:$ED$1000,"&lt;"&amp;ED197)+1)</f>
        <v/>
      </c>
      <c r="Z197" t="n">
        <v>196</v>
      </c>
      <c r="AA197" t="inlineStr">
        <is>
          <t>N</t>
        </is>
      </c>
      <c r="AB197" t="inlineStr">
        <is>
          <t>find Tatyana Jones at DEFI Snacks on LinkedIn and paste the profile URL; founder review (claim-borderline): read founder_review_reason first</t>
        </is>
      </c>
      <c r="AC197" t="inlineStr">
        <is>
          <t>founder</t>
        </is>
      </c>
      <c r="AD197" t="inlineStr">
        <is>
          <t>verified-page</t>
        </is>
      </c>
      <c r="AE197" t="inlineStr">
        <is>
          <t>employer's own site</t>
        </is>
      </c>
      <c r="AF197" t="inlineStr">
        <is>
          <t>http://defi-snacks.com/pages/about</t>
        </is>
      </c>
      <c r="AG197" t="inlineStr">
        <is>
          <t>2026-10-23</t>
        </is>
      </c>
      <c r="AH197" t="inlineStr">
        <is>
          <t>High-protein chocolate bites (25g+ protein; sprouted buckwheat, casein and whey crisps)</t>
        </is>
      </c>
      <c r="AI197" t="inlineStr">
        <is>
          <t>chocolate-candy</t>
        </is>
      </c>
      <c r="AJ197" t="inlineStr">
        <is>
          <t>Chatham</t>
        </is>
      </c>
      <c r="AL197" t="inlineStr">
        <is>
          <t>Y</t>
        </is>
      </c>
      <c r="AM197" t="inlineStr">
        <is>
          <t>Protein positioning (25g+ protein); new brand; 60-day shelf life not stated</t>
        </is>
      </c>
      <c r="AN197" t="inlineStr">
        <is>
          <t>AB-251</t>
        </is>
      </c>
      <c r="AO197" t="inlineStr">
        <is>
          <t>N</t>
        </is>
      </c>
      <c r="AR197">
        <f>IF(AND(AU197="pass",AO197&lt;&gt;"Y",C197&lt;&gt;""),"Y","N")</f>
        <v/>
      </c>
      <c r="AS197">
        <f>_xlfn.TEXTJOIN("; ",TRUE,IF(AU197&lt;&gt;"pass","gated out",""),IF(AO197="Y","on hold: "&amp;AP197,""),IF(C197="","no contact named on an opened page",""))</f>
        <v/>
      </c>
      <c r="AU197" t="inlineStr">
        <is>
          <t>pass</t>
        </is>
      </c>
      <c r="AW197" t="inlineStr">
        <is>
          <t>passes all hard gates</t>
        </is>
      </c>
      <c r="AX197" t="inlineStr">
        <is>
          <t>claim-borderline</t>
        </is>
      </c>
      <c r="AY197" t="inlineStr">
        <is>
          <t>http://defi-snacks.com</t>
        </is>
      </c>
      <c r="AZ197" t="inlineStr">
        <is>
          <t>NJ</t>
        </is>
      </c>
      <c r="BA197" t="inlineStr">
        <is>
          <t>northeast</t>
        </is>
      </c>
      <c r="BB197" t="inlineStr">
        <is>
          <t>unknown</t>
        </is>
      </c>
      <c r="BD197" t="inlineStr">
        <is>
          <t>unknown</t>
        </is>
      </c>
      <c r="BE197" t="inlineStr">
        <is>
          <t>Not stated in release</t>
        </is>
      </c>
      <c r="BF197" t="inlineStr">
        <is>
          <t>unknown</t>
        </is>
      </c>
      <c r="BG197" t="inlineStr">
        <is>
          <t>Y</t>
        </is>
      </c>
      <c r="BH197" t="inlineStr">
        <is>
          <t>unknown</t>
        </is>
      </c>
      <c r="BJ197" t="inlineStr">
        <is>
          <t>unknown</t>
        </is>
      </c>
      <c r="BK197" t="inlineStr">
        <is>
          <t>N</t>
        </is>
      </c>
      <c r="BL197" t="inlineStr">
        <is>
          <t>N</t>
        </is>
      </c>
      <c r="BO197" t="inlineStr">
        <is>
          <t>N</t>
        </is>
      </c>
      <c r="BP197" t="n">
        <v>0</v>
      </c>
      <c r="BS197" t="inlineStr">
        <is>
          <t>unknown</t>
        </is>
      </c>
      <c r="BU197" t="inlineStr">
        <is>
          <t>press</t>
        </is>
      </c>
      <c r="BV197" t="n">
        <v>344</v>
      </c>
      <c r="BW197" t="inlineStr">
        <is>
          <t>https://startupcpg.com/startup-cpg-newswire-enthuse-foundation-names-defi-snacks-grand-prize-winner-and-bake-me-healthy-runner-up-in-7th-annual-women-founders-pitch-competition/</t>
        </is>
      </c>
      <c r="BX197" t="inlineStr">
        <is>
          <t>Tatyana Jones</t>
        </is>
      </c>
      <c r="CF197" t="inlineStr">
        <is>
          <t>none</t>
        </is>
      </c>
      <c r="CK197" t="inlineStr">
        <is>
          <t>none</t>
        </is>
      </c>
      <c r="CL197" t="n">
        <v>34</v>
      </c>
      <c r="CM197" t="n">
        <v>6</v>
      </c>
      <c r="CN197" t="n">
        <v>8</v>
      </c>
      <c r="CO197" t="n">
        <v>8</v>
      </c>
      <c r="CP197" t="n">
        <v>5</v>
      </c>
      <c r="CQ197" t="n">
        <v>5</v>
      </c>
      <c r="CR197" t="n">
        <v>6</v>
      </c>
      <c r="CS197">
        <f>IF(R197="Y",10,0)</f>
        <v/>
      </c>
      <c r="CT197" t="n">
        <v>-4</v>
      </c>
      <c r="CV197" t="inlineStr">
        <is>
          <t>BR4</t>
        </is>
      </c>
      <c r="CW197" t="inlineStr">
        <is>
          <t>BR4:46</t>
        </is>
      </c>
      <c r="CX197" t="inlineStr">
        <is>
          <t>Woman-led brand. Founder not named in the passages read. NYC pitch-event winner, so likely receptive to NYC trial.</t>
        </is>
      </c>
      <c r="CY197" t="inlineStr">
        <is>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is>
      </c>
      <c r="DA197" t="inlineStr">
        <is>
          <t>stage 1 only</t>
        </is>
      </c>
      <c r="DY197">
        <f>IF(ISNUMBER(MATCH(U197,{"queued","contacted","replied","call_booked","call_done","yes_in_principle","materials_sent"},0)),"Y","N")</f>
        <v/>
      </c>
      <c r="DZ197">
        <f>IF(COUNTIFS($AN$2:$AN$1000,AN197,$DY$2:$DY$1000,"Y")+COUNTIFS($AN$2:$AN$1000,AN197,$T$2:$T$1000,"Y")&gt;0,"Y","N")</f>
        <v/>
      </c>
      <c r="EA197">
        <f>IF(AND(U197="new",T197="N",AR197="Y",AQ197="",DZ197="N"),"Y","N")</f>
        <v/>
      </c>
      <c r="EB197">
        <f>IF(EA197&lt;&gt;"Y","N",IF(COUNTIFS($AN$2:$AN$1000,AN197,$EA$2:$EA$1000,"Y",$J$2:$J$1000,"&gt;"&amp;J197)+COUNTIFS($AN$2:$AN$1000,AN197,$EA$2:$EA$1000,"Y",$J$2:$J$1000,J197,$ED$2:$ED$1000,"&lt;"&amp;ED197)=0,"Y","N"))</f>
        <v/>
      </c>
      <c r="EC197">
        <f>IF(Y197="","N",IF(Y197&lt;=10,"Y","N"))</f>
        <v/>
      </c>
      <c r="ED197">
        <f>ROW()-1</f>
        <v/>
      </c>
    </row>
    <row r="198">
      <c r="A198" t="inlineStr">
        <is>
          <t>AB-134</t>
        </is>
      </c>
      <c r="B198" t="inlineStr">
        <is>
          <t>Manhattan Special</t>
        </is>
      </c>
      <c r="C198" t="inlineStr">
        <is>
          <t>Aurora</t>
        </is>
      </c>
      <c r="D198" t="inlineStr">
        <is>
          <t>Passaro</t>
        </is>
      </c>
      <c r="E198" t="inlineStr">
        <is>
          <t>Key people</t>
        </is>
      </c>
      <c r="H198" t="inlineStr">
        <is>
          <t>none</t>
        </is>
      </c>
      <c r="I198" t="inlineStr">
        <is>
          <t>linkedin</t>
        </is>
      </c>
      <c r="J198">
        <f>IF(AU198="pass",CM198+CN198+CO198+CP198+CQ198+CR198+CS198+CT198,0)</f>
        <v/>
      </c>
      <c r="K198" t="inlineStr">
        <is>
          <t>New York City brand, no graded store within ten blocks, online store only, no dated why-now in the last 12 months, revenue unknown, contact named; founder review: not-emerging, claim-borderline.</t>
        </is>
      </c>
      <c r="M198" t="inlineStr">
        <is>
          <t>none found within ten blocks</t>
        </is>
      </c>
      <c r="N198" t="inlineStr">
        <is>
          <t>unverified</t>
        </is>
      </c>
      <c r="R198" t="inlineStr">
        <is>
          <t>N</t>
        </is>
      </c>
      <c r="S198" t="inlineStr">
        <is>
          <t>unknown</t>
        </is>
      </c>
      <c r="T198" t="inlineStr">
        <is>
          <t>N</t>
        </is>
      </c>
      <c r="U198" t="inlineStr">
        <is>
          <t>new</t>
        </is>
      </c>
      <c r="V198" t="inlineStr">
        <is>
          <t>https://www.manhattanspecial.com/after-about/</t>
        </is>
      </c>
      <c r="W198" t="inlineStr">
        <is>
          <t>2026-10-23</t>
        </is>
      </c>
      <c r="X198" t="inlineStr">
        <is>
          <t>brand</t>
        </is>
      </c>
      <c r="Y198">
        <f>IF(EB198&lt;&gt;"Y","",COUNTIFS($EB$2:$EB$1000,"Y",$J$2:$J$1000,"&gt;"&amp;J198)+COUNTIFS($EB$2:$EB$1000,"Y",$J$2:$J$1000,J198,$ED$2:$ED$1000,"&lt;"&amp;ED198)+1)</f>
        <v/>
      </c>
      <c r="Z198" t="n">
        <v>197</v>
      </c>
      <c r="AA198" t="inlineStr">
        <is>
          <t>N</t>
        </is>
      </c>
      <c r="AB198" t="inlineStr">
        <is>
          <t>find Aurora Passaro at Manhattan Special on LinkedIn and paste the profile URL; founder review (not-emerging, claim-borderline): read founder_review_reason first</t>
        </is>
      </c>
      <c r="AC198" t="inlineStr">
        <is>
          <t>founder</t>
        </is>
      </c>
      <c r="AD198" t="inlineStr">
        <is>
          <t>verified-page</t>
        </is>
      </c>
      <c r="AE198" t="inlineStr">
        <is>
          <t>press, event or podcast page</t>
        </is>
      </c>
      <c r="AF198" t="inlineStr">
        <is>
          <t>https://en.wikipedia.org/wiki/Manhattan_Special</t>
        </is>
      </c>
      <c r="AG198" t="inlineStr">
        <is>
          <t>2026-10-23</t>
        </is>
      </c>
      <c r="AH198" t="inlineStr">
        <is>
          <t>Manhattan Special Pure Espresso Coffee Soda, 12 oz glass bottle</t>
        </is>
      </c>
      <c r="AI198" t="inlineStr">
        <is>
          <t>sparkling-soda</t>
        </is>
      </c>
      <c r="AJ198" t="inlineStr">
        <is>
          <t>Brooklyn</t>
        </is>
      </c>
      <c r="AK198" t="inlineStr">
        <is>
          <t>https://www.manhattanspecial.com/our-products/</t>
        </is>
      </c>
      <c r="AL198" t="inlineStr">
        <is>
          <t>Y</t>
        </is>
      </c>
      <c r="AM198" t="inlineStr">
        <is>
          <t>Heritage brand (since 1895), not an emerging brand, and contains caffeine; retailer locator is a request form, so no near-cluster store is listed. Fit is a judgment call; 60-day shelf life not stated</t>
        </is>
      </c>
      <c r="AN198" t="inlineStr">
        <is>
          <t>AB-134</t>
        </is>
      </c>
      <c r="AO198" t="inlineStr">
        <is>
          <t>N</t>
        </is>
      </c>
      <c r="AR198">
        <f>IF(AND(AU198="pass",AO198&lt;&gt;"Y",C198&lt;&gt;""),"Y","N")</f>
        <v/>
      </c>
      <c r="AS198">
        <f>_xlfn.TEXTJOIN("; ",TRUE,IF(AU198&lt;&gt;"pass","gated out",""),IF(AO198="Y","on hold: "&amp;AP198,""),IF(C198="","no contact named on an opened page",""))</f>
        <v/>
      </c>
      <c r="AU198" t="inlineStr">
        <is>
          <t>pass</t>
        </is>
      </c>
      <c r="AW198" t="inlineStr">
        <is>
          <t>passes all hard gates</t>
        </is>
      </c>
      <c r="AX198" t="inlineStr">
        <is>
          <t>not-emerging;claim-borderline</t>
        </is>
      </c>
      <c r="AY198" t="inlineStr">
        <is>
          <t>https://www.manhattanspecial.com</t>
        </is>
      </c>
      <c r="AZ198" t="inlineStr">
        <is>
          <t>NY</t>
        </is>
      </c>
      <c r="BA198" t="inlineStr">
        <is>
          <t>nyc</t>
        </is>
      </c>
      <c r="BB198" t="inlineStr">
        <is>
          <t>family-owned (since 1895)</t>
        </is>
      </c>
      <c r="BC198" t="inlineStr">
        <is>
          <t>https://www.manhattanspecial.com/after-about/</t>
        </is>
      </c>
      <c r="BD198" t="inlineStr">
        <is>
          <t>unknown</t>
        </is>
      </c>
      <c r="BE198" t="inlineStr">
        <is>
          <t>Bottled soda; no shelf-life statement found on brand site</t>
        </is>
      </c>
      <c r="BF198" t="inlineStr">
        <is>
          <t>Y</t>
        </is>
      </c>
      <c r="BG198" t="inlineStr">
        <is>
          <t>Y</t>
        </is>
      </c>
      <c r="BH198" t="inlineStr">
        <is>
          <t>unknown</t>
        </is>
      </c>
      <c r="BJ198" t="inlineStr">
        <is>
          <t>No public sales figure found</t>
        </is>
      </c>
      <c r="BK198" t="inlineStr">
        <is>
          <t>N</t>
        </is>
      </c>
      <c r="BL198" t="inlineStr">
        <is>
          <t>N</t>
        </is>
      </c>
      <c r="BO198" t="inlineStr">
        <is>
          <t>N</t>
        </is>
      </c>
      <c r="BP198" t="n">
        <v>0</v>
      </c>
      <c r="BS198" t="inlineStr">
        <is>
          <t>Walmart.com (diet decaf listing, from search results)</t>
        </is>
      </c>
      <c r="BU198" t="inlineStr">
        <is>
          <t>none</t>
        </is>
      </c>
      <c r="BX198" t="inlineStr">
        <is>
          <t>Aurora Passaro</t>
        </is>
      </c>
      <c r="BY198" t="inlineStr">
        <is>
          <t>key people per Wikipedia</t>
        </is>
      </c>
      <c r="CA198" t="inlineStr">
        <is>
          <t>Louis Passaro</t>
        </is>
      </c>
      <c r="CB198" t="inlineStr">
        <is>
          <t>Louis</t>
        </is>
      </c>
      <c r="CC198" t="inlineStr">
        <is>
          <t>Passaro</t>
        </is>
      </c>
      <c r="CD198" t="inlineStr">
        <is>
          <t>Key people</t>
        </is>
      </c>
      <c r="CE198" t="inlineStr">
        <is>
          <t>co-founder</t>
        </is>
      </c>
      <c r="CF198" t="inlineStr">
        <is>
          <t>verified-page</t>
        </is>
      </c>
      <c r="CG198" t="inlineStr">
        <is>
          <t>key people per Wikipedia</t>
        </is>
      </c>
      <c r="CK198" t="inlineStr">
        <is>
          <t>none</t>
        </is>
      </c>
      <c r="CL198" t="n">
        <v>34</v>
      </c>
      <c r="CM198" t="n">
        <v>6</v>
      </c>
      <c r="CN198" t="n">
        <v>20</v>
      </c>
      <c r="CO198" t="n">
        <v>0</v>
      </c>
      <c r="CP198" t="n">
        <v>5</v>
      </c>
      <c r="CQ198" t="n">
        <v>7</v>
      </c>
      <c r="CR198" t="n">
        <v>6</v>
      </c>
      <c r="CS198">
        <f>IF(R198="Y",10,0)</f>
        <v/>
      </c>
      <c r="CT198" t="n">
        <v>-10</v>
      </c>
      <c r="CU198" t="inlineStr">
        <is>
          <t>unknown</t>
        </is>
      </c>
      <c r="CV198" t="inlineStr">
        <is>
          <t>BR3</t>
        </is>
      </c>
      <c r="CW198" t="inlineStr">
        <is>
          <t>BR3:8</t>
        </is>
      </c>
      <c r="CX198" t="inlineStr">
        <is>
          <t>Products page: 12 oz espresso coffee sodas and all-natural sodas 'Order Online'; 32 oz not online. Brooklyn (Williamsburg) location is from a Wikipedia search snippet only, not on pages opened (unverified, founder to confirm). Family names in search snippets not recorded as contacts.</t>
        </is>
      </c>
      <c r="CY198" t="inlineStr">
        <is>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is>
      </c>
      <c r="CZ198" t="inlineStr">
        <is>
          <t>https://en.wikipedia.org/wiki/Manhattan_Special</t>
        </is>
      </c>
      <c r="DA198" t="inlineStr">
        <is>
          <t>stage 1 only</t>
        </is>
      </c>
      <c r="DC198" t="inlineStr">
        <is>
          <t>press, event or podcast page</t>
        </is>
      </c>
      <c r="DY198">
        <f>IF(ISNUMBER(MATCH(U198,{"queued","contacted","replied","call_booked","call_done","yes_in_principle","materials_sent"},0)),"Y","N")</f>
        <v/>
      </c>
      <c r="DZ198">
        <f>IF(COUNTIFS($AN$2:$AN$1000,AN198,$DY$2:$DY$1000,"Y")+COUNTIFS($AN$2:$AN$1000,AN198,$T$2:$T$1000,"Y")&gt;0,"Y","N")</f>
        <v/>
      </c>
      <c r="EA198">
        <f>IF(AND(U198="new",T198="N",AR198="Y",AQ198="",DZ198="N"),"Y","N")</f>
        <v/>
      </c>
      <c r="EB198">
        <f>IF(EA198&lt;&gt;"Y","N",IF(COUNTIFS($AN$2:$AN$1000,AN198,$EA$2:$EA$1000,"Y",$J$2:$J$1000,"&gt;"&amp;J198)+COUNTIFS($AN$2:$AN$1000,AN198,$EA$2:$EA$1000,"Y",$J$2:$J$1000,J198,$ED$2:$ED$1000,"&lt;"&amp;ED198)=0,"Y","N"))</f>
        <v/>
      </c>
      <c r="EC198">
        <f>IF(Y198="","N",IF(Y198&lt;=10,"Y","N"))</f>
        <v/>
      </c>
      <c r="ED198">
        <f>ROW()-1</f>
        <v/>
      </c>
    </row>
    <row r="199">
      <c r="A199" t="inlineStr">
        <is>
          <t>AB-024</t>
        </is>
      </c>
      <c r="B199" t="inlineStr">
        <is>
          <t>LesserEvil</t>
        </is>
      </c>
      <c r="C199" t="inlineStr">
        <is>
          <t>Charles</t>
        </is>
      </c>
      <c r="D199" t="inlineStr">
        <is>
          <t>Coristine</t>
        </is>
      </c>
      <c r="E199" t="inlineStr">
        <is>
          <t>President and CEO</t>
        </is>
      </c>
      <c r="F199" t="inlineStr">
        <is>
          <t>https://www.linkedin.com/in/charles-coristine-7b611b13/</t>
        </is>
      </c>
      <c r="H199" t="inlineStr">
        <is>
          <t>none</t>
        </is>
      </c>
      <c r="I199" t="inlineStr">
        <is>
          <t>linkedin</t>
        </is>
      </c>
      <c r="J199">
        <f>IF(AU199="pass",CM199+CN199+CO199+CP199+CQ199+CR199+CS199+CT199,0)</f>
        <v/>
      </c>
      <c r="K199" t="inlineStr">
        <is>
          <t>Northeast brand, store page shows Whole Foods Market NoMad inside the cluster, news 43 days ago, revenue over $10M, contact named plus a marketing lead; founder review: scale-reported, scale.</t>
        </is>
      </c>
      <c r="M199" t="inlineStr">
        <is>
          <t>Whole Foods Market NoMad, 63 Madison Ave</t>
        </is>
      </c>
      <c r="N199" t="inlineStr">
        <is>
          <t>store_selector</t>
        </is>
      </c>
      <c r="O199" t="inlineStr">
        <is>
          <t>Launched Cheezmos Puffs (Cowgirl Cheddar, Jalapeño Cheddar)</t>
        </is>
      </c>
      <c r="P199" t="inlineStr">
        <is>
          <t>https://www.snackandbakery.com/articles/116310-lesserevil-expands-cheezmos-line-with-two-puffed-snacks</t>
        </is>
      </c>
      <c r="Q199" t="inlineStr">
        <is>
          <t>2026-09-11</t>
        </is>
      </c>
      <c r="R199" t="inlineStr">
        <is>
          <t>N</t>
        </is>
      </c>
      <c r="S199" t="inlineStr">
        <is>
          <t>unknown</t>
        </is>
      </c>
      <c r="T199" t="inlineStr">
        <is>
          <t>N</t>
        </is>
      </c>
      <c r="U199" t="inlineStr">
        <is>
          <t>new</t>
        </is>
      </c>
      <c r="V199" t="inlineStr">
        <is>
          <t>https://www.lesserevil.com/pages/our-story</t>
        </is>
      </c>
      <c r="W199" t="inlineStr">
        <is>
          <t>2026-10-23</t>
        </is>
      </c>
      <c r="X199" t="inlineStr">
        <is>
          <t>brand</t>
        </is>
      </c>
      <c r="Y199">
        <f>IF(EB199&lt;&gt;"Y","",COUNTIFS($EB$2:$EB$1000,"Y",$J$2:$J$1000,"&gt;"&amp;J199)+COUNTIFS($EB$2:$EB$1000,"Y",$J$2:$J$1000,J199,$ED$2:$ED$1000,"&lt;"&amp;ED199)+1)</f>
        <v/>
      </c>
      <c r="Z199" t="n">
        <v>198</v>
      </c>
      <c r="AA199" t="inlineStr">
        <is>
          <t>N</t>
        </is>
      </c>
      <c r="AB199" t="inlineStr">
        <is>
          <t>the source is dated 2025: check Charles still holds the role; before using the retailer line, check Whole Foods Market NoMad still lists it: https://www.wholefoodsmarket.com/search?text=LesserEvil with your store set to NoMad (catalogs change daily); founder review (scale-reported, scale): read founder_review_reason first</t>
        </is>
      </c>
      <c r="AC199" t="inlineStr">
        <is>
          <t>CEO or owner (not shown as a founder)</t>
        </is>
      </c>
      <c r="AD199" t="inlineStr">
        <is>
          <t>verified-page</t>
        </is>
      </c>
      <c r="AE199" t="inlineStr">
        <is>
          <t>press, event or podcast page</t>
        </is>
      </c>
      <c r="AF199" t="inlineStr">
        <is>
          <t>https://www.snackandbakery.com/articles/114444-2025-snack-producer-of-the-year-lesserevil</t>
        </is>
      </c>
      <c r="AG199" t="inlineStr">
        <is>
          <t>2026-10-24</t>
        </is>
      </c>
      <c r="AH199" t="inlineStr">
        <is>
          <t>LesserEvil Organic Real Cheddar Space Balls 10-count snack packs; Cowboy Cheddar Cheezmos Snack Pack</t>
        </is>
      </c>
      <c r="AI199" t="inlineStr">
        <is>
          <t>popcorn-puffs</t>
        </is>
      </c>
      <c r="AJ199" t="inlineStr">
        <is>
          <t>Danbury</t>
        </is>
      </c>
      <c r="AK199" t="inlineStr">
        <is>
          <t>https://www.lesserevil.com</t>
        </is>
      </c>
      <c r="AL199" t="inlineStr">
        <is>
          <t>Y</t>
        </is>
      </c>
      <c r="AM199" t="inlineStr">
        <is>
          <t>Scale suggests revenue well above $10M (own factory, 17+ SKUs per NYC WFM store) though no sourced figure; $600 may be below their sampling threshold</t>
        </is>
      </c>
      <c r="AN199" t="inlineStr">
        <is>
          <t>grp-003-024</t>
        </is>
      </c>
      <c r="AO199" t="inlineStr">
        <is>
          <t>N</t>
        </is>
      </c>
      <c r="AR199">
        <f>IF(AND(AU199="pass",AO199&lt;&gt;"Y",C199&lt;&gt;""),"Y","N")</f>
        <v/>
      </c>
      <c r="AS199">
        <f>_xlfn.TEXTJOIN("; ",TRUE,IF(AU199&lt;&gt;"pass","gated out",""),IF(AO199="Y","on hold: "&amp;AP199,""),IF(C199="","no contact named on an opened page",""))</f>
        <v/>
      </c>
      <c r="AU199" t="inlineStr">
        <is>
          <t>pass</t>
        </is>
      </c>
      <c r="AW199" t="inlineStr">
        <is>
          <t>passes all hard gates</t>
        </is>
      </c>
      <c r="AX199" t="inlineStr">
        <is>
          <t>scale-reported;scale</t>
        </is>
      </c>
      <c r="AY199" t="inlineStr">
        <is>
          <t>https://www.lesserevil.com</t>
        </is>
      </c>
      <c r="AZ199" t="inlineStr">
        <is>
          <t>CT</t>
        </is>
      </c>
      <c r="BA199" t="inlineStr">
        <is>
          <t>northeast</t>
        </is>
      </c>
      <c r="BB199" t="inlineStr">
        <is>
          <t>unknown</t>
        </is>
      </c>
      <c r="BD199" t="inlineStr">
        <is>
          <t>Y</t>
        </is>
      </c>
      <c r="BE199" t="inlineStr">
        <is>
          <t>Bagged organic popcorn and puffs sold ambient; multi-count snack packs</t>
        </is>
      </c>
      <c r="BF199" t="inlineStr">
        <is>
          <t>Y</t>
        </is>
      </c>
      <c r="BG199" t="inlineStr">
        <is>
          <t>Y</t>
        </is>
      </c>
      <c r="BH199" t="inlineStr">
        <is>
          <t>over-10m</t>
        </is>
      </c>
      <c r="BI199" t="inlineStr">
        <is>
          <t>reported</t>
        </is>
      </c>
      <c r="BJ199" t="inlineStr">
        <is>
          <t>Snack and Bakery 2025 profile: sales $104M (2023), $169M (2024), $225M projected (2025)</t>
        </is>
      </c>
      <c r="BK199" t="inlineStr">
        <is>
          <t>N</t>
        </is>
      </c>
      <c r="BL199" t="inlineStr">
        <is>
          <t>N</t>
        </is>
      </c>
      <c r="BN199" t="n">
        <v>0</v>
      </c>
      <c r="BO199" t="inlineStr">
        <is>
          <t>Y</t>
        </is>
      </c>
      <c r="BP199" t="n">
        <v>3</v>
      </c>
      <c r="BQ199" t="inlineStr">
        <is>
          <t>Whole Foods Market NoMad, 63 Madison Ave (store_selector, inside);Whole Foods Market Union Square, 4 Union Sq S (store_selector, inside);Whole Foods Market Chelsea, 250 7th Ave (store_selector, 3.0 blocks out)</t>
        </is>
      </c>
      <c r="BS199" t="inlineStr">
        <is>
          <t>Whole Foods Market</t>
        </is>
      </c>
      <c r="BT199" t="inlineStr">
        <is>
          <t>https://www.wholefoodsmarket.com/search?text=lesserevil (17-18 items IN_STOCK in each of Union Square, NoMad, Chelsea contexts, 2026-10-23)</t>
        </is>
      </c>
      <c r="BU199" t="inlineStr">
        <is>
          <t>press</t>
        </is>
      </c>
      <c r="BV199" t="n">
        <v>43</v>
      </c>
      <c r="BX199" t="inlineStr">
        <is>
          <t>Charles Coristine</t>
        </is>
      </c>
      <c r="BY199" t="inlineStr">
        <is>
          <t>Snack and Bakery 2025 key personnel: "Charles Coristine, CEO"; he bought the company in 2011, so owner rather than original founder. LinkedIn URL linked from https://karagoldin.com/podcasts/charles-coristine/; LinkedIn not opened.</t>
        </is>
      </c>
      <c r="BZ199" t="inlineStr">
        <is>
          <t>listed on an opened page or in search results; LinkedIn itself not opened</t>
        </is>
      </c>
      <c r="CA199" t="inlineStr">
        <is>
          <t>Caitlin Mack</t>
        </is>
      </c>
      <c r="CB199" t="inlineStr">
        <is>
          <t>Caitlin</t>
        </is>
      </c>
      <c r="CC199" t="inlineStr">
        <is>
          <t>Mack</t>
        </is>
      </c>
      <c r="CD199" t="inlineStr">
        <is>
          <t>VP of Marketing</t>
        </is>
      </c>
      <c r="CE199" t="inlineStr">
        <is>
          <t>marketing lead</t>
        </is>
      </c>
      <c r="CF199" t="inlineStr">
        <is>
          <t>verified-page</t>
        </is>
      </c>
      <c r="CG199" t="inlineStr">
        <is>
          <t>Snack and Bakery 2025 key personnel; Modern Retail 2024-09 called her director of digital and brand marketing. A stage-1 LinkedIn snippet (about two months old) says a Caitlin Mack joined PRETZELIZED (rank 9) as VP of Marketing; she may have left. Confirm before contacting.</t>
        </is>
      </c>
      <c r="CK199" t="inlineStr">
        <is>
          <t>none</t>
        </is>
      </c>
      <c r="CL199" t="n">
        <v>33</v>
      </c>
      <c r="CM199" t="n">
        <v>25</v>
      </c>
      <c r="CN199" t="n">
        <v>8</v>
      </c>
      <c r="CO199" t="n">
        <v>15</v>
      </c>
      <c r="CP199" t="n">
        <v>0</v>
      </c>
      <c r="CQ199" t="n">
        <v>10</v>
      </c>
      <c r="CR199" t="n">
        <v>10</v>
      </c>
      <c r="CS199">
        <f>IF(R199="Y",10,0)</f>
        <v/>
      </c>
      <c r="CT199" t="n">
        <v>-35</v>
      </c>
      <c r="CU199" t="inlineStr">
        <is>
          <t>unknown</t>
        </is>
      </c>
      <c r="CV199" t="inlineStr">
        <is>
          <t>BR1</t>
        </is>
      </c>
      <c r="CW199" t="inlineStr">
        <is>
          <t>BR1:25</t>
        </is>
      </c>
      <c r="CX199" t="inlineStr">
        <is>
          <t>All products manufactured at Danbury CT headquarters (our story page). Revenue band left unknown on purpose: no sourced figure.</t>
        </is>
      </c>
      <c r="CY199" t="inlineStr">
        <is>
          <t xml:space="preserve">revenue_band &lt;- https://www.snackandbakery.com/articles/114444-2025-snack-producer-of-the-year-lesserevil (2026-10-24, stage 3 correction); revenue_basis &lt;- https://www.snackandbakery.com/articles/114444-2025-snack-producer-of-the-year-lesserevil (2026-10-24, stage 3 correction); </t>
        </is>
      </c>
      <c r="CZ199" t="inlineStr">
        <is>
          <t>https://www.snackandbakery.com/articles/114444-2025-snack-producer-of-the-year-lesserevil</t>
        </is>
      </c>
      <c r="DA199" t="inlineStr">
        <is>
          <t>stage 2</t>
        </is>
      </c>
      <c r="DB199" t="inlineStr">
        <is>
          <t>2025</t>
        </is>
      </c>
      <c r="DC199" t="inlineStr">
        <is>
          <t>press, event or podcast page</t>
        </is>
      </c>
      <c r="DD199" t="inlineStr">
        <is>
          <t>2025</t>
        </is>
      </c>
      <c r="DF199" t="inlineStr">
        <is>
          <t>person 'caitlin mack' shared with AB-003</t>
        </is>
      </c>
      <c r="DY199">
        <f>IF(ISNUMBER(MATCH(U199,{"queued","contacted","replied","call_booked","call_done","yes_in_principle","materials_sent"},0)),"Y","N")</f>
        <v/>
      </c>
      <c r="DZ199">
        <f>IF(COUNTIFS($AN$2:$AN$1000,AN199,$DY$2:$DY$1000,"Y")+COUNTIFS($AN$2:$AN$1000,AN199,$T$2:$T$1000,"Y")&gt;0,"Y","N")</f>
        <v/>
      </c>
      <c r="EA199">
        <f>IF(AND(U199="new",T199="N",AR199="Y",AQ199="",DZ199="N"),"Y","N")</f>
        <v/>
      </c>
      <c r="EB199">
        <f>IF(EA199&lt;&gt;"Y","N",IF(COUNTIFS($AN$2:$AN$1000,AN199,$EA$2:$EA$1000,"Y",$J$2:$J$1000,"&gt;"&amp;J199)+COUNTIFS($AN$2:$AN$1000,AN199,$EA$2:$EA$1000,"Y",$J$2:$J$1000,J199,$ED$2:$ED$1000,"&lt;"&amp;ED199)=0,"Y","N"))</f>
        <v/>
      </c>
      <c r="EC199">
        <f>IF(Y199="","N",IF(Y199&lt;=10,"Y","N"))</f>
        <v/>
      </c>
      <c r="ED199">
        <f>ROW()-1</f>
        <v/>
      </c>
    </row>
    <row r="200">
      <c r="A200" t="inlineStr">
        <is>
          <t>AB-297</t>
        </is>
      </c>
      <c r="B200" t="inlineStr">
        <is>
          <t>DM Snacks (Damn, Man Snacks)</t>
        </is>
      </c>
      <c r="C200" t="inlineStr">
        <is>
          <t>Frann</t>
        </is>
      </c>
      <c r="D200" t="inlineStr">
        <is>
          <t>unknown</t>
        </is>
      </c>
      <c r="E200" t="inlineStr">
        <is>
          <t>Founder</t>
        </is>
      </c>
      <c r="H200" t="inlineStr">
        <is>
          <t>none</t>
        </is>
      </c>
      <c r="I200" t="inlineStr">
        <is>
          <t>linkedin</t>
        </is>
      </c>
      <c r="J200">
        <f>IF(AU200="pass",CM200+CN200+CO200+CP200+CQ200+CR200+CS200+CT200,0)</f>
        <v/>
      </c>
      <c r="K200" t="inlineStr">
        <is>
          <t>Northeast brand, no graded store within ten blocks, online store only, a new store listing 60 days ago, revenue unknown, contact named (first name only); founder review: format, claim-borderline.</t>
        </is>
      </c>
      <c r="M200" t="inlineStr">
        <is>
          <t>none found within ten blocks</t>
        </is>
      </c>
      <c r="N200" t="inlineStr">
        <is>
          <t>unverified</t>
        </is>
      </c>
      <c r="O200" t="inlineStr">
        <is>
          <t>Launched a Happy Nuts collection and four 8 oz flavors (Thai Chili, Coconut Curry, Honey Sea Salt, Pineapple Habanero)</t>
        </is>
      </c>
      <c r="P200" t="inlineStr">
        <is>
          <t>https://www.dmsnacks.com/products.json</t>
        </is>
      </c>
      <c r="Q200" t="inlineStr">
        <is>
          <t>2026-08-25</t>
        </is>
      </c>
      <c r="R200" t="inlineStr">
        <is>
          <t>N</t>
        </is>
      </c>
      <c r="S200" t="inlineStr">
        <is>
          <t>unknown</t>
        </is>
      </c>
      <c r="T200" t="inlineStr">
        <is>
          <t>N</t>
        </is>
      </c>
      <c r="U200" t="inlineStr">
        <is>
          <t>new</t>
        </is>
      </c>
      <c r="V200" t="inlineStr">
        <is>
          <t>https://events.specialtyfood.com/event/2026-summer-fancy-food-show/exhibitor/RXhoaWJpdG9yXzI0NzYzNzc=</t>
        </is>
      </c>
      <c r="W200" t="inlineStr">
        <is>
          <t>2026-10-24</t>
        </is>
      </c>
      <c r="X200" t="inlineStr">
        <is>
          <t>brand</t>
        </is>
      </c>
      <c r="Y200">
        <f>IF(EB200&lt;&gt;"Y","",COUNTIFS($EB$2:$EB$1000,"Y",$J$2:$J$1000,"&gt;"&amp;J200)+COUNTIFS($EB$2:$EB$1000,"Y",$J$2:$J$1000,J200,$ED$2:$ED$1000,"&lt;"&amp;ED200)+1)</f>
        <v/>
      </c>
      <c r="Z200" t="n">
        <v>199</v>
      </c>
      <c r="AA200" t="inlineStr">
        <is>
          <t>N</t>
        </is>
      </c>
      <c r="AB200" t="inlineStr">
        <is>
          <t>find Frann at DM Snacks (Damn, Man Snacks) on LinkedIn and paste the profile URL; surname not public: take it from LinkedIn; founder review (format, claim-borderline): read founder_review_reason first</t>
        </is>
      </c>
      <c r="AC200" t="inlineStr">
        <is>
          <t>founder</t>
        </is>
      </c>
      <c r="AD200" t="inlineStr">
        <is>
          <t>first-name-only</t>
        </is>
      </c>
      <c r="AE200" t="inlineStr">
        <is>
          <t>press, event or podcast page</t>
        </is>
      </c>
      <c r="AF200" t="inlineStr">
        <is>
          <t>https://events.specialtyfood.com/event/2026-summer-fancy-food-show/exhibitor/RXhoaWJpdG9yXzI0NzYzNzc=</t>
        </is>
      </c>
      <c r="AG200" t="inlineStr">
        <is>
          <t>2026-10-24</t>
        </is>
      </c>
      <c r="AH200" t="inlineStr">
        <is>
          <t>DM Snacks Thai Chili Peanuts, 8 oz bag; Bourbon Pecans 5 oz</t>
        </is>
      </c>
      <c r="AI200" t="inlineStr">
        <is>
          <t>nuts-seeds-trail</t>
        </is>
      </c>
      <c r="AJ200" t="inlineStr">
        <is>
          <t>unknown</t>
        </is>
      </c>
      <c r="AK200" t="inlineStr">
        <is>
          <t>https://www.dmsnacks.com</t>
        </is>
      </c>
      <c r="AL200" t="inlineStr">
        <is>
          <t>Y</t>
        </is>
      </c>
      <c r="AM200" t="inlineStr">
        <is>
          <t>Gift-box company first; share-size bags only. Sister brand Sugar Plum Chocolates sells meat snacks too (check refrigeration if that line is offered)</t>
        </is>
      </c>
      <c r="AN200" t="inlineStr">
        <is>
          <t>AB-297</t>
        </is>
      </c>
      <c r="AO200" t="inlineStr">
        <is>
          <t>N</t>
        </is>
      </c>
      <c r="AR200">
        <f>IF(AND(AU200="pass",AO200&lt;&gt;"Y",C200&lt;&gt;""),"Y","N")</f>
        <v/>
      </c>
      <c r="AS200">
        <f>_xlfn.TEXTJOIN("; ",TRUE,IF(AU200&lt;&gt;"pass","gated out",""),IF(AO200="Y","on hold: "&amp;AP200,""),IF(C200="","no contact named on an opened page",""))</f>
        <v/>
      </c>
      <c r="AU200" t="inlineStr">
        <is>
          <t>pass</t>
        </is>
      </c>
      <c r="AW200" t="inlineStr">
        <is>
          <t>passes all hard gates</t>
        </is>
      </c>
      <c r="AX200" t="inlineStr">
        <is>
          <t>format;claim-borderline</t>
        </is>
      </c>
      <c r="AY200" t="inlineStr">
        <is>
          <t>https://www.dmsnacks.com</t>
        </is>
      </c>
      <c r="AZ200" t="inlineStr">
        <is>
          <t>PA</t>
        </is>
      </c>
      <c r="BA200" t="inlineStr">
        <is>
          <t>northeast</t>
        </is>
      </c>
      <c r="BB200" t="inlineStr">
        <is>
          <t>unknown</t>
        </is>
      </c>
      <c r="BD200" t="inlineStr">
        <is>
          <t>Y</t>
        </is>
      </c>
      <c r="BE200" t="inlineStr">
        <is>
          <t>Seasoned nuts in resealable 5 oz and 8 oz bags sold ambient online</t>
        </is>
      </c>
      <c r="BF200" t="inlineStr">
        <is>
          <t>N</t>
        </is>
      </c>
      <c r="BG200" t="inlineStr">
        <is>
          <t>Y</t>
        </is>
      </c>
      <c r="BH200" t="inlineStr">
        <is>
          <t>unknown</t>
        </is>
      </c>
      <c r="BJ200" t="inlineStr">
        <is>
          <t>No sourced sales figure found</t>
        </is>
      </c>
      <c r="BK200" t="inlineStr">
        <is>
          <t>N</t>
        </is>
      </c>
      <c r="BL200" t="inlineStr">
        <is>
          <t>N</t>
        </is>
      </c>
      <c r="BO200" t="inlineStr">
        <is>
          <t>N</t>
        </is>
      </c>
      <c r="BP200" t="n">
        <v>0</v>
      </c>
      <c r="BS200" t="inlineStr">
        <is>
          <t>unknown</t>
        </is>
      </c>
      <c r="BU200" t="inlineStr">
        <is>
          <t>listing</t>
        </is>
      </c>
      <c r="BV200" t="n">
        <v>60</v>
      </c>
      <c r="BX200" t="inlineStr">
        <is>
          <t>Frann</t>
        </is>
      </c>
      <c r="CA200" t="inlineStr">
        <is>
          <t>Neil Edley</t>
        </is>
      </c>
      <c r="CB200" t="inlineStr">
        <is>
          <t>Neil</t>
        </is>
      </c>
      <c r="CC200" t="inlineStr">
        <is>
          <t>Edley</t>
        </is>
      </c>
      <c r="CD200" t="inlineStr">
        <is>
          <t>Founder</t>
        </is>
      </c>
      <c r="CE200" t="inlineStr">
        <is>
          <t>co-founder</t>
        </is>
      </c>
      <c r="CF200" t="inlineStr">
        <is>
          <t>verified-page</t>
        </is>
      </c>
      <c r="CK200" t="inlineStr">
        <is>
          <t>none</t>
        </is>
      </c>
      <c r="CL200" t="n">
        <v>33</v>
      </c>
      <c r="CM200" t="n">
        <v>6</v>
      </c>
      <c r="CN200" t="n">
        <v>8</v>
      </c>
      <c r="CO200" t="n">
        <v>8</v>
      </c>
      <c r="CP200" t="n">
        <v>5</v>
      </c>
      <c r="CQ200" t="n">
        <v>7</v>
      </c>
      <c r="CR200" t="n">
        <v>3</v>
      </c>
      <c r="CS200">
        <f>IF(R200="Y",10,0)</f>
        <v/>
      </c>
      <c r="CT200" t="n">
        <v>-4</v>
      </c>
      <c r="CU200" t="inlineStr">
        <is>
          <t>https://www.instagram.com/damnmansnacks</t>
        </is>
      </c>
      <c r="CV200" t="inlineStr">
        <is>
          <t>BR5</t>
        </is>
      </c>
      <c r="CW200" t="inlineStr">
        <is>
          <t>BR5:33</t>
        </is>
      </c>
      <c r="CX200" t="inlineStr">
        <is>
          <t>SFFS 2026 (Sugar Plum Inc, State: Pennsylvania): 'Sugar Plum Chocolates and DM Snacks are family-owned Pennsylvania specialty food brands founded by Frann and Neil Edley'. Site: 'Woman-owned. Packed in PA.'</t>
        </is>
      </c>
      <c r="CZ200" t="inlineStr">
        <is>
          <t>https://events.specialtyfood.com/event/2026-summer-fancy-food-show/exhibitor/RXhoaWJpdG9yXzI0NzYzNzc=</t>
        </is>
      </c>
      <c r="DA200" t="inlineStr">
        <is>
          <t>stage 1 only</t>
        </is>
      </c>
      <c r="DC200" t="inlineStr">
        <is>
          <t>press, event or podcast page</t>
        </is>
      </c>
      <c r="DY200">
        <f>IF(ISNUMBER(MATCH(U200,{"queued","contacted","replied","call_booked","call_done","yes_in_principle","materials_sent"},0)),"Y","N")</f>
        <v/>
      </c>
      <c r="DZ200">
        <f>IF(COUNTIFS($AN$2:$AN$1000,AN200,$DY$2:$DY$1000,"Y")+COUNTIFS($AN$2:$AN$1000,AN200,$T$2:$T$1000,"Y")&gt;0,"Y","N")</f>
        <v/>
      </c>
      <c r="EA200">
        <f>IF(AND(U200="new",T200="N",AR200="Y",AQ200="",DZ200="N"),"Y","N")</f>
        <v/>
      </c>
      <c r="EB200">
        <f>IF(EA200&lt;&gt;"Y","N",IF(COUNTIFS($AN$2:$AN$1000,AN200,$EA$2:$EA$1000,"Y",$J$2:$J$1000,"&gt;"&amp;J200)+COUNTIFS($AN$2:$AN$1000,AN200,$EA$2:$EA$1000,"Y",$J$2:$J$1000,J200,$ED$2:$ED$1000,"&lt;"&amp;ED200)=0,"Y","N"))</f>
        <v/>
      </c>
      <c r="EC200">
        <f>IF(Y200="","N",IF(Y200&lt;=10,"Y","N"))</f>
        <v/>
      </c>
      <c r="ED200">
        <f>ROW()-1</f>
        <v/>
      </c>
    </row>
    <row r="201">
      <c r="A201" t="inlineStr">
        <is>
          <t>AB-289</t>
        </is>
      </c>
      <c r="B201" t="inlineStr">
        <is>
          <t>Josephine's Baking Co.</t>
        </is>
      </c>
      <c r="C201" t="inlineStr">
        <is>
          <t>Lydda</t>
        </is>
      </c>
      <c r="D201" t="inlineStr">
        <is>
          <t>unknown</t>
        </is>
      </c>
      <c r="E201" t="inlineStr">
        <is>
          <t>Founder</t>
        </is>
      </c>
      <c r="H201" t="inlineStr">
        <is>
          <t>none</t>
        </is>
      </c>
      <c r="I201" t="inlineStr">
        <is>
          <t>linkedin</t>
        </is>
      </c>
      <c r="J201">
        <f>IF(AU201="pass",CM201+CN201+CO201+CP201+CQ201+CR201+CS201+CT201,0)</f>
        <v/>
      </c>
      <c r="K201" t="inlineStr">
        <is>
          <t>Northeast brand, no graded store within ten blocks, online store only, a new store listing 32 days ago, revenue unknown, contact named (first name only); founder review: format, claim-borderline.</t>
        </is>
      </c>
      <c r="M201" t="inlineStr">
        <is>
          <t>none found within ten blocks</t>
        </is>
      </c>
      <c r="N201" t="inlineStr">
        <is>
          <t>unverified</t>
        </is>
      </c>
      <c r="O201" t="inlineStr">
        <is>
          <t>Launched Vanilla and Coconut Crispy Cookies and a Nut-Free Favorites bundle</t>
        </is>
      </c>
      <c r="P201" t="inlineStr">
        <is>
          <t>https://josephinesbakingco.com/products.json</t>
        </is>
      </c>
      <c r="Q201" t="inlineStr">
        <is>
          <t>2026-09-22</t>
        </is>
      </c>
      <c r="R201" t="inlineStr">
        <is>
          <t>N</t>
        </is>
      </c>
      <c r="S201" t="inlineStr">
        <is>
          <t>unknown</t>
        </is>
      </c>
      <c r="T201" t="inlineStr">
        <is>
          <t>N</t>
        </is>
      </c>
      <c r="U201" t="inlineStr">
        <is>
          <t>new</t>
        </is>
      </c>
      <c r="V201" t="inlineStr">
        <is>
          <t>https://events.specialtyfood.com/event/2026-summer-fancy-food-show/exhibitor/RXhoaWJpdG9yXzI0NTA3ODc=</t>
        </is>
      </c>
      <c r="W201" t="inlineStr">
        <is>
          <t>2026-10-24</t>
        </is>
      </c>
      <c r="X201" t="inlineStr">
        <is>
          <t>brand</t>
        </is>
      </c>
      <c r="Y201">
        <f>IF(EB201&lt;&gt;"Y","",COUNTIFS($EB$2:$EB$1000,"Y",$J$2:$J$1000,"&gt;"&amp;J201)+COUNTIFS($EB$2:$EB$1000,"Y",$J$2:$J$1000,J201,$ED$2:$ED$1000,"&lt;"&amp;ED201)+1)</f>
        <v/>
      </c>
      <c r="Z201" t="n">
        <v>200</v>
      </c>
      <c r="AA201" t="inlineStr">
        <is>
          <t>N</t>
        </is>
      </c>
      <c r="AB201" t="inlineStr">
        <is>
          <t>find Lydda at Josephine's Baking Co. on LinkedIn and paste the profile URL; surname not public: take it from LinkedIn; founder review (format, claim-borderline): read founder_review_reason first</t>
        </is>
      </c>
      <c r="AC201" t="inlineStr">
        <is>
          <t>founder</t>
        </is>
      </c>
      <c r="AD201" t="inlineStr">
        <is>
          <t>first-name-only</t>
        </is>
      </c>
      <c r="AE201" t="inlineStr">
        <is>
          <t>employer's own site</t>
        </is>
      </c>
      <c r="AF201" t="inlineStr">
        <is>
          <t>https://josephinesbakingco.com/pages/about-us</t>
        </is>
      </c>
      <c r="AG201" t="inlineStr">
        <is>
          <t>2026-10-24</t>
        </is>
      </c>
      <c r="AH201" t="inlineStr">
        <is>
          <t>Vanilla Crispy Cookies, gluten-free, 5 oz stand-up pouch</t>
        </is>
      </c>
      <c r="AI201" t="inlineStr">
        <is>
          <t>cookies-baked</t>
        </is>
      </c>
      <c r="AJ201" t="inlineStr">
        <is>
          <t>unknown (made in Massachusetts and Vermont)</t>
        </is>
      </c>
      <c r="AK201" t="inlineStr">
        <is>
          <t>https://josephinesbakingco.com</t>
        </is>
      </c>
      <c r="AL201" t="inlineStr">
        <is>
          <t>Y</t>
        </is>
      </c>
      <c r="AM201" t="inlineStr">
        <is>
          <t>Only 5 oz share pouches seen, no single-serve. Meta description calls the cookies 'a healthy and tasty snack' (soft wording)</t>
        </is>
      </c>
      <c r="AN201" t="inlineStr">
        <is>
          <t>AB-289</t>
        </is>
      </c>
      <c r="AO201" t="inlineStr">
        <is>
          <t>N</t>
        </is>
      </c>
      <c r="AR201">
        <f>IF(AND(AU201="pass",AO201&lt;&gt;"Y",C201&lt;&gt;""),"Y","N")</f>
        <v/>
      </c>
      <c r="AS201">
        <f>_xlfn.TEXTJOIN("; ",TRUE,IF(AU201&lt;&gt;"pass","gated out",""),IF(AO201="Y","on hold: "&amp;AP201,""),IF(C201="","no contact named on an opened page",""))</f>
        <v/>
      </c>
      <c r="AU201" t="inlineStr">
        <is>
          <t>pass</t>
        </is>
      </c>
      <c r="AW201" t="inlineStr">
        <is>
          <t>passes all hard gates</t>
        </is>
      </c>
      <c r="AX201" t="inlineStr">
        <is>
          <t>format;claim-borderline</t>
        </is>
      </c>
      <c r="AY201" t="inlineStr">
        <is>
          <t>https://josephinesbakingco.com</t>
        </is>
      </c>
      <c r="AZ201" t="inlineStr">
        <is>
          <t>MA</t>
        </is>
      </c>
      <c r="BA201" t="inlineStr">
        <is>
          <t>northeast</t>
        </is>
      </c>
      <c r="BB201" t="inlineStr">
        <is>
          <t>unknown</t>
        </is>
      </c>
      <c r="BD201" t="inlineStr">
        <is>
          <t>Y</t>
        </is>
      </c>
      <c r="BE201" t="inlineStr">
        <is>
          <t>Crispy gluten-free cookies in resealable 5 oz pouches shipped nationwide; shelf life not stated</t>
        </is>
      </c>
      <c r="BF201" t="inlineStr">
        <is>
          <t>N</t>
        </is>
      </c>
      <c r="BG201" t="inlineStr">
        <is>
          <t>Y</t>
        </is>
      </c>
      <c r="BH201" t="inlineStr">
        <is>
          <t>unknown</t>
        </is>
      </c>
      <c r="BJ201" t="inlineStr">
        <is>
          <t>No sourced sales figure found</t>
        </is>
      </c>
      <c r="BK201" t="inlineStr">
        <is>
          <t>N</t>
        </is>
      </c>
      <c r="BL201" t="inlineStr">
        <is>
          <t>N</t>
        </is>
      </c>
      <c r="BO201" t="inlineStr">
        <is>
          <t>N</t>
        </is>
      </c>
      <c r="BP201" t="n">
        <v>0</v>
      </c>
      <c r="BS201" t="inlineStr">
        <is>
          <t>unknown</t>
        </is>
      </c>
      <c r="BU201" t="inlineStr">
        <is>
          <t>listing</t>
        </is>
      </c>
      <c r="BV201" t="n">
        <v>32</v>
      </c>
      <c r="BX201" t="inlineStr">
        <is>
          <t>Lydda</t>
        </is>
      </c>
      <c r="BY201" t="inlineStr">
        <is>
          <t>'Mimi'; surname not given</t>
        </is>
      </c>
      <c r="CF201" t="inlineStr">
        <is>
          <t>none</t>
        </is>
      </c>
      <c r="CK201" t="inlineStr">
        <is>
          <t>none</t>
        </is>
      </c>
      <c r="CL201" t="n">
        <v>33</v>
      </c>
      <c r="CM201" t="n">
        <v>6</v>
      </c>
      <c r="CN201" t="n">
        <v>8</v>
      </c>
      <c r="CO201" t="n">
        <v>8</v>
      </c>
      <c r="CP201" t="n">
        <v>5</v>
      </c>
      <c r="CQ201" t="n">
        <v>7</v>
      </c>
      <c r="CR201" t="n">
        <v>3</v>
      </c>
      <c r="CS201">
        <f>IF(R201="Y",10,0)</f>
        <v/>
      </c>
      <c r="CT201" t="n">
        <v>-4</v>
      </c>
      <c r="CU201" t="inlineStr">
        <is>
          <t>https://www.instagram.com/josephinesbakingco/</t>
        </is>
      </c>
      <c r="CV201" t="inlineStr">
        <is>
          <t>BR5</t>
        </is>
      </c>
      <c r="CW201" t="inlineStr">
        <is>
          <t>BR5:25</t>
        </is>
      </c>
      <c r="CX201" t="inlineStr">
        <is>
          <t>SFFS 2026 (State: Massachusetts): 'women-owned, Latina-owned mother-daughter brand crafting premium gluten-free cookies'. Homepage: 'Our cookies are proudly made in Massachusetts &amp; Vermont'.</t>
        </is>
      </c>
      <c r="DA201" t="inlineStr">
        <is>
          <t>stage 1 only</t>
        </is>
      </c>
      <c r="DY201">
        <f>IF(ISNUMBER(MATCH(U201,{"queued","contacted","replied","call_booked","call_done","yes_in_principle","materials_sent"},0)),"Y","N")</f>
        <v/>
      </c>
      <c r="DZ201">
        <f>IF(COUNTIFS($AN$2:$AN$1000,AN201,$DY$2:$DY$1000,"Y")+COUNTIFS($AN$2:$AN$1000,AN201,$T$2:$T$1000,"Y")&gt;0,"Y","N")</f>
        <v/>
      </c>
      <c r="EA201">
        <f>IF(AND(U201="new",T201="N",AR201="Y",AQ201="",DZ201="N"),"Y","N")</f>
        <v/>
      </c>
      <c r="EB201">
        <f>IF(EA201&lt;&gt;"Y","N",IF(COUNTIFS($AN$2:$AN$1000,AN201,$EA$2:$EA$1000,"Y",$J$2:$J$1000,"&gt;"&amp;J201)+COUNTIFS($AN$2:$AN$1000,AN201,$EA$2:$EA$1000,"Y",$J$2:$J$1000,J201,$ED$2:$ED$1000,"&lt;"&amp;ED201)=0,"Y","N"))</f>
        <v/>
      </c>
      <c r="EC201">
        <f>IF(Y201="","N",IF(Y201&lt;=10,"Y","N"))</f>
        <v/>
      </c>
      <c r="ED201">
        <f>ROW()-1</f>
        <v/>
      </c>
    </row>
    <row r="202">
      <c r="A202" t="inlineStr">
        <is>
          <t>AB-202</t>
        </is>
      </c>
      <c r="B202" t="inlineStr">
        <is>
          <t>Spirited Zero Proof</t>
        </is>
      </c>
      <c r="C202" t="inlineStr">
        <is>
          <t>Laurie</t>
        </is>
      </c>
      <c r="D202" t="inlineStr">
        <is>
          <t>Lloyd</t>
        </is>
      </c>
      <c r="E202" t="inlineStr">
        <is>
          <t>Founder</t>
        </is>
      </c>
      <c r="H202" t="inlineStr">
        <is>
          <t>none</t>
        </is>
      </c>
      <c r="I202" t="inlineStr">
        <is>
          <t>linkedin</t>
        </is>
      </c>
      <c r="J202">
        <f>IF(AU202="pass",CM202+CN202+CO202+CP202+CQ202+CR202+CS202+CT202,0)</f>
        <v/>
      </c>
      <c r="K202" t="inlineStr">
        <is>
          <t>Brand based outside the Northeast, no graded store within ten blocks, online store only, a new store listing 25 days ago, revenue unknown, contact named; founder review: other.</t>
        </is>
      </c>
      <c r="M202" t="inlineStr">
        <is>
          <t>none found within ten blocks</t>
        </is>
      </c>
      <c r="N202" t="inlineStr">
        <is>
          <t>unverified</t>
        </is>
      </c>
      <c r="O202" t="inlineStr">
        <is>
          <t>Added to Pop Up Grocer NYC Flagship directory; Original and Lemon Spritz listed 2026-06-03</t>
        </is>
      </c>
      <c r="P202" t="inlineStr">
        <is>
          <t>https://popupgrocer.com/products/spirited-zero-proof</t>
        </is>
      </c>
      <c r="Q202" t="inlineStr">
        <is>
          <t>2026-09-29</t>
        </is>
      </c>
      <c r="R202" t="inlineStr">
        <is>
          <t>N</t>
        </is>
      </c>
      <c r="S202" t="inlineStr">
        <is>
          <t>unknown</t>
        </is>
      </c>
      <c r="T202" t="inlineStr">
        <is>
          <t>N</t>
        </is>
      </c>
      <c r="U202" t="inlineStr">
        <is>
          <t>new</t>
        </is>
      </c>
      <c r="V202" t="inlineStr">
        <is>
          <t>https://spiritedzeroproof.com/pages/our-story</t>
        </is>
      </c>
      <c r="W202" t="inlineStr">
        <is>
          <t>2026-10-23</t>
        </is>
      </c>
      <c r="X202" t="inlineStr">
        <is>
          <t>brand</t>
        </is>
      </c>
      <c r="Y202">
        <f>IF(EB202&lt;&gt;"Y","",COUNTIFS($EB$2:$EB$1000,"Y",$J$2:$J$1000,"&gt;"&amp;J202)+COUNTIFS($EB$2:$EB$1000,"Y",$J$2:$J$1000,J202,$ED$2:$ED$1000,"&lt;"&amp;ED202)+1)</f>
        <v/>
      </c>
      <c r="Z202" t="n">
        <v>201</v>
      </c>
      <c r="AA202" t="inlineStr">
        <is>
          <t>N</t>
        </is>
      </c>
      <c r="AB202" t="inlineStr">
        <is>
          <t>find Laurie Lloyd at Spirited Zero Proof on LinkedIn and paste the profile URL; founder review (other): read founder_review_reason first</t>
        </is>
      </c>
      <c r="AC202" t="inlineStr">
        <is>
          <t>founder</t>
        </is>
      </c>
      <c r="AD202" t="inlineStr">
        <is>
          <t>verified-page</t>
        </is>
      </c>
      <c r="AE202" t="inlineStr">
        <is>
          <t>employer's own site</t>
        </is>
      </c>
      <c r="AF202" t="inlineStr">
        <is>
          <t>https://spiritedzeroproof.com/pages/our-story</t>
        </is>
      </c>
      <c r="AG202" t="inlineStr">
        <is>
          <t>2026-10-23</t>
        </is>
      </c>
      <c r="AH202" t="inlineStr">
        <is>
          <t>Spirited Original Spritz zero-proof RTD cocktail, can (under 30 calories)</t>
        </is>
      </c>
      <c r="AI202" t="inlineStr">
        <is>
          <t>other-drink</t>
        </is>
      </c>
      <c r="AJ202" t="inlineStr">
        <is>
          <t>Miami Beach</t>
        </is>
      </c>
      <c r="AK202" t="inlineStr">
        <is>
          <t>https://spiritedzeroproof.com</t>
        </is>
      </c>
      <c r="AL202" t="inlineStr">
        <is>
          <t>Y</t>
        </is>
      </c>
      <c r="AM202" t="inlineStr">
        <is>
          <t>Cocktail-style positioning in an office pantry; Miami founder, so NYC push would be new; shelf stability not stated; 60-day shelf life not stated</t>
        </is>
      </c>
      <c r="AN202" t="inlineStr">
        <is>
          <t>AB-202</t>
        </is>
      </c>
      <c r="AO202" t="inlineStr">
        <is>
          <t>N</t>
        </is>
      </c>
      <c r="AR202">
        <f>IF(AND(AU202="pass",AO202&lt;&gt;"Y",C202&lt;&gt;""),"Y","N")</f>
        <v/>
      </c>
      <c r="AS202">
        <f>_xlfn.TEXTJOIN("; ",TRUE,IF(AU202&lt;&gt;"pass","gated out",""),IF(AO202="Y","on hold: "&amp;AP202,""),IF(C202="","no contact named on an opened page",""))</f>
        <v/>
      </c>
      <c r="AU202" t="inlineStr">
        <is>
          <t>pass</t>
        </is>
      </c>
      <c r="AW202" t="inlineStr">
        <is>
          <t>passes all hard gates</t>
        </is>
      </c>
      <c r="AX202" t="inlineStr">
        <is>
          <t>other</t>
        </is>
      </c>
      <c r="AY202" t="inlineStr">
        <is>
          <t>https://spiritedzeroproof.com</t>
        </is>
      </c>
      <c r="AZ202" t="inlineStr">
        <is>
          <t>FL</t>
        </is>
      </c>
      <c r="BA202" t="inlineStr">
        <is>
          <t>elsewhere</t>
        </is>
      </c>
      <c r="BB202" t="inlineStr">
        <is>
          <t>unknown</t>
        </is>
      </c>
      <c r="BD202" t="inlineStr">
        <is>
          <t>unknown</t>
        </is>
      </c>
      <c r="BE202" t="inlineStr">
        <is>
          <t>No storage statement found</t>
        </is>
      </c>
      <c r="BF202" t="inlineStr">
        <is>
          <t>Y</t>
        </is>
      </c>
      <c r="BG202" t="inlineStr">
        <is>
          <t>Y</t>
        </is>
      </c>
      <c r="BH202" t="inlineStr">
        <is>
          <t>unknown</t>
        </is>
      </c>
      <c r="BJ202" t="inlineStr">
        <is>
          <t>No public sales figure found</t>
        </is>
      </c>
      <c r="BK202" t="inlineStr">
        <is>
          <t>N</t>
        </is>
      </c>
      <c r="BL202" t="inlineStr">
        <is>
          <t>N</t>
        </is>
      </c>
      <c r="BO202" t="inlineStr">
        <is>
          <t>N</t>
        </is>
      </c>
      <c r="BP202" t="n">
        <v>0</v>
      </c>
      <c r="BR202" t="inlineStr">
        <is>
          <t>Pop Up Grocer (brand_claim, unplaced)</t>
        </is>
      </c>
      <c r="BS202" t="inlineStr">
        <is>
          <t>Pop Up Grocer NYC Flagship, 205 Bleecker St (retailer directory); find-a-store page not readable</t>
        </is>
      </c>
      <c r="BT202" t="inlineStr">
        <is>
          <t>https://popupgrocer.com/products/spirited-zero-proof</t>
        </is>
      </c>
      <c r="BU202" t="inlineStr">
        <is>
          <t>listing</t>
        </is>
      </c>
      <c r="BV202" t="n">
        <v>25</v>
      </c>
      <c r="BX202" t="inlineStr">
        <is>
          <t>Laurie Lloyd</t>
        </is>
      </c>
      <c r="CF202" t="inlineStr">
        <is>
          <t>none</t>
        </is>
      </c>
      <c r="CK202" t="inlineStr">
        <is>
          <t>none</t>
        </is>
      </c>
      <c r="CL202" t="n">
        <v>33</v>
      </c>
      <c r="CM202" t="n">
        <v>6</v>
      </c>
      <c r="CN202" t="n">
        <v>3</v>
      </c>
      <c r="CO202" t="n">
        <v>8</v>
      </c>
      <c r="CP202" t="n">
        <v>5</v>
      </c>
      <c r="CQ202" t="n">
        <v>7</v>
      </c>
      <c r="CR202" t="n">
        <v>6</v>
      </c>
      <c r="CS202">
        <f>IF(R202="Y",10,0)</f>
        <v/>
      </c>
      <c r="CT202" t="n">
        <v>-2</v>
      </c>
      <c r="CU202" t="inlineStr">
        <is>
          <t>unknown</t>
        </is>
      </c>
      <c r="CV202" t="inlineStr">
        <is>
          <t>BR3</t>
        </is>
      </c>
      <c r="CW202" t="inlineStr">
        <is>
          <t>BR3:76</t>
        </is>
      </c>
      <c r="CX202" t="inlineStr">
        <is>
          <t>FAQ: 100% alcohol free, no THC, mushrooms or adaptogens (clean on claims). Founder described as 'a Miami-based entrepreneur' (basis for hq).</t>
        </is>
      </c>
      <c r="CY202" t="inlineStr">
        <is>
          <t xml:space="preserve">hq_city &lt;- https://spiritedzeroproof.com/policies/privacy-policy (2026-10-24, opened); </t>
        </is>
      </c>
      <c r="DA202" t="inlineStr">
        <is>
          <t>stage 1 only</t>
        </is>
      </c>
      <c r="DY202">
        <f>IF(ISNUMBER(MATCH(U202,{"queued","contacted","replied","call_booked","call_done","yes_in_principle","materials_sent"},0)),"Y","N")</f>
        <v/>
      </c>
      <c r="DZ202">
        <f>IF(COUNTIFS($AN$2:$AN$1000,AN202,$DY$2:$DY$1000,"Y")+COUNTIFS($AN$2:$AN$1000,AN202,$T$2:$T$1000,"Y")&gt;0,"Y","N")</f>
        <v/>
      </c>
      <c r="EA202">
        <f>IF(AND(U202="new",T202="N",AR202="Y",AQ202="",DZ202="N"),"Y","N")</f>
        <v/>
      </c>
      <c r="EB202">
        <f>IF(EA202&lt;&gt;"Y","N",IF(COUNTIFS($AN$2:$AN$1000,AN202,$EA$2:$EA$1000,"Y",$J$2:$J$1000,"&gt;"&amp;J202)+COUNTIFS($AN$2:$AN$1000,AN202,$EA$2:$EA$1000,"Y",$J$2:$J$1000,J202,$ED$2:$ED$1000,"&lt;"&amp;ED202)=0,"Y","N"))</f>
        <v/>
      </c>
      <c r="EC202">
        <f>IF(Y202="","N",IF(Y202&lt;=10,"Y","N"))</f>
        <v/>
      </c>
      <c r="ED202">
        <f>ROW()-1</f>
        <v/>
      </c>
    </row>
    <row r="203">
      <c r="A203" t="inlineStr">
        <is>
          <t>AB-188</t>
        </is>
      </c>
      <c r="B203" t="inlineStr">
        <is>
          <t>Loom</t>
        </is>
      </c>
      <c r="C203" t="inlineStr">
        <is>
          <t>Bill</t>
        </is>
      </c>
      <c r="D203" t="inlineStr">
        <is>
          <t>Butrymowicz</t>
        </is>
      </c>
      <c r="E203" t="inlineStr">
        <is>
          <t>Founder</t>
        </is>
      </c>
      <c r="H203" t="inlineStr">
        <is>
          <t>none</t>
        </is>
      </c>
      <c r="I203" t="inlineStr">
        <is>
          <t>linkedin</t>
        </is>
      </c>
      <c r="J203">
        <f>IF(AU203="pass",CM203+CN203+CO203+CP203+CQ203+CR203+CS203+CT203,0)</f>
        <v/>
      </c>
      <c r="K203" t="inlineStr">
        <is>
          <t>Northeast brand, no graded store within ten blocks, online store only, a new store listing 223 days ago, revenue unknown, contact named; founder review: claim-borderline.</t>
        </is>
      </c>
      <c r="M203" t="inlineStr">
        <is>
          <t>none found within ten blocks</t>
        </is>
      </c>
      <c r="N203" t="inlineStr">
        <is>
          <t>unverified</t>
        </is>
      </c>
      <c r="O203" t="inlineStr">
        <is>
          <t>Original Variety 12 Pack listed on store</t>
        </is>
      </c>
      <c r="P203" t="inlineStr">
        <is>
          <t>https://www.drinkloom.com/products.json</t>
        </is>
      </c>
      <c r="Q203" t="inlineStr">
        <is>
          <t>2026-03-15</t>
        </is>
      </c>
      <c r="R203" t="inlineStr">
        <is>
          <t>N</t>
        </is>
      </c>
      <c r="S203" t="inlineStr">
        <is>
          <t>unknown</t>
        </is>
      </c>
      <c r="T203" t="inlineStr">
        <is>
          <t>N</t>
        </is>
      </c>
      <c r="U203" t="inlineStr">
        <is>
          <t>new</t>
        </is>
      </c>
      <c r="V203" t="inlineStr">
        <is>
          <t>https://www.drinkloom.com/pages/about</t>
        </is>
      </c>
      <c r="W203" t="inlineStr">
        <is>
          <t>2026-10-23</t>
        </is>
      </c>
      <c r="X203" t="inlineStr">
        <is>
          <t>brand</t>
        </is>
      </c>
      <c r="Y203">
        <f>IF(EB203&lt;&gt;"Y","",COUNTIFS($EB$2:$EB$1000,"Y",$J$2:$J$1000,"&gt;"&amp;J203)+COUNTIFS($EB$2:$EB$1000,"Y",$J$2:$J$1000,J203,$ED$2:$ED$1000,"&lt;"&amp;ED203)+1)</f>
        <v/>
      </c>
      <c r="Z203" t="n">
        <v>202</v>
      </c>
      <c r="AA203" t="inlineStr">
        <is>
          <t>N</t>
        </is>
      </c>
      <c r="AB203" t="inlineStr">
        <is>
          <t>find Bill Butrymowicz at Loom on LinkedIn and paste the profile URL; founder review (claim-borderline): read founder_review_reason first</t>
        </is>
      </c>
      <c r="AC203" t="inlineStr">
        <is>
          <t>founder</t>
        </is>
      </c>
      <c r="AD203" t="inlineStr">
        <is>
          <t>verified-page</t>
        </is>
      </c>
      <c r="AE203" t="inlineStr">
        <is>
          <t>employer's own site</t>
        </is>
      </c>
      <c r="AF203" t="inlineStr">
        <is>
          <t>https://www.drinkloom.com/pages/about</t>
        </is>
      </c>
      <c r="AG203" t="inlineStr">
        <is>
          <t>2026-10-23</t>
        </is>
      </c>
      <c r="AH203" t="inlineStr">
        <is>
          <t>Loom low-sugar juice drink, bottle (Dark Cherry, Midnight Mango)</t>
        </is>
      </c>
      <c r="AI203" t="inlineStr">
        <is>
          <t>tea-juice</t>
        </is>
      </c>
      <c r="AJ203" t="inlineStr">
        <is>
          <t>Lakewood</t>
        </is>
      </c>
      <c r="AK203" t="inlineStr">
        <is>
          <t>https://www.drinkloom.com</t>
        </is>
      </c>
      <c r="AL203" t="inlineStr">
        <is>
          <t>Y</t>
        </is>
      </c>
      <c r="AM203" t="inlineStr">
        <is>
          <t>HQ and current NYC retail not confirmed; 'no added sugar' nutrient-content claim; 60-day shelf life not stated</t>
        </is>
      </c>
      <c r="AN203" t="inlineStr">
        <is>
          <t>AB-188</t>
        </is>
      </c>
      <c r="AO203" t="inlineStr">
        <is>
          <t>N</t>
        </is>
      </c>
      <c r="AR203">
        <f>IF(AND(AU203="pass",AO203&lt;&gt;"Y",C203&lt;&gt;""),"Y","N")</f>
        <v/>
      </c>
      <c r="AS203">
        <f>_xlfn.TEXTJOIN("; ",TRUE,IF(AU203&lt;&gt;"pass","gated out",""),IF(AO203="Y","on hold: "&amp;AP203,""),IF(C203="","no contact named on an opened page",""))</f>
        <v/>
      </c>
      <c r="AU203" t="inlineStr">
        <is>
          <t>pass</t>
        </is>
      </c>
      <c r="AW203" t="inlineStr">
        <is>
          <t>passes all hard gates</t>
        </is>
      </c>
      <c r="AX203" t="inlineStr">
        <is>
          <t>claim-borderline</t>
        </is>
      </c>
      <c r="AY203" t="inlineStr">
        <is>
          <t>https://www.drinkloom.com</t>
        </is>
      </c>
      <c r="AZ203" t="inlineStr">
        <is>
          <t>NJ</t>
        </is>
      </c>
      <c r="BA203" t="inlineStr">
        <is>
          <t>northeast</t>
        </is>
      </c>
      <c r="BB203" t="inlineStr">
        <is>
          <t>unknown</t>
        </is>
      </c>
      <c r="BD203" t="inlineStr">
        <is>
          <t>unknown</t>
        </is>
      </c>
      <c r="BE203" t="inlineStr">
        <is>
          <t>About page: 'Each bottle is aseptically filled' (aseptic filling usually means ambient storage, but no explicit statement)</t>
        </is>
      </c>
      <c r="BF203" t="inlineStr">
        <is>
          <t>Y</t>
        </is>
      </c>
      <c r="BG203" t="inlineStr">
        <is>
          <t>Y</t>
        </is>
      </c>
      <c r="BH203" t="inlineStr">
        <is>
          <t>unknown</t>
        </is>
      </c>
      <c r="BJ203" t="inlineStr">
        <is>
          <t>No public sales figure found</t>
        </is>
      </c>
      <c r="BK203" t="inlineStr">
        <is>
          <t>N</t>
        </is>
      </c>
      <c r="BL203" t="inlineStr">
        <is>
          <t>N</t>
        </is>
      </c>
      <c r="BO203" t="inlineStr">
        <is>
          <t>N</t>
        </is>
      </c>
      <c r="BP203" t="n">
        <v>0</v>
      </c>
      <c r="BS203" t="inlineStr">
        <is>
          <t>Pop Up Grocer (past brand, directory); Stockist widget present but no locations returned</t>
        </is>
      </c>
      <c r="BT203" t="inlineStr">
        <is>
          <t>https://popupgrocer.com/products/loom</t>
        </is>
      </c>
      <c r="BU203" t="inlineStr">
        <is>
          <t>listing</t>
        </is>
      </c>
      <c r="BV203" t="n">
        <v>223</v>
      </c>
      <c r="BX203" t="inlineStr">
        <is>
          <t>Bill Butrymowicz</t>
        </is>
      </c>
      <c r="CF203" t="inlineStr">
        <is>
          <t>none</t>
        </is>
      </c>
      <c r="CK203" t="inlineStr">
        <is>
          <t>none</t>
        </is>
      </c>
      <c r="CL203" t="n">
        <v>32</v>
      </c>
      <c r="CM203" t="n">
        <v>6</v>
      </c>
      <c r="CN203" t="n">
        <v>8</v>
      </c>
      <c r="CO203" t="n">
        <v>4</v>
      </c>
      <c r="CP203" t="n">
        <v>5</v>
      </c>
      <c r="CQ203" t="n">
        <v>7</v>
      </c>
      <c r="CR203" t="n">
        <v>6</v>
      </c>
      <c r="CS203">
        <f>IF(R203="Y",10,0)</f>
        <v/>
      </c>
      <c r="CT203" t="n">
        <v>-4</v>
      </c>
      <c r="CU203" t="inlineStr">
        <is>
          <t>https://instagram.com/drinkloom</t>
        </is>
      </c>
      <c r="CV203" t="inlineStr">
        <is>
          <t>BR3</t>
        </is>
      </c>
      <c r="CW203" t="inlineStr">
        <is>
          <t>BR3:62</t>
        </is>
      </c>
      <c r="CX203" t="inlineStr">
        <is>
          <t>Founder grew up in his father's beverage distribution business (about page). Date is Shopify publish date.</t>
        </is>
      </c>
      <c r="CY203" t="inlineStr">
        <is>
          <t xml:space="preserve">hq_city &lt;- https://www.drinkloom.com/policies/terms-of-service (2026-10-24, opened); hq_state &lt;- https://www.drinkloom.com/policies/terms-of-service (2026-10-24, opened); </t>
        </is>
      </c>
      <c r="DA203" t="inlineStr">
        <is>
          <t>stage 1 only</t>
        </is>
      </c>
      <c r="DY203">
        <f>IF(ISNUMBER(MATCH(U203,{"queued","contacted","replied","call_booked","call_done","yes_in_principle","materials_sent"},0)),"Y","N")</f>
        <v/>
      </c>
      <c r="DZ203">
        <f>IF(COUNTIFS($AN$2:$AN$1000,AN203,$DY$2:$DY$1000,"Y")+COUNTIFS($AN$2:$AN$1000,AN203,$T$2:$T$1000,"Y")&gt;0,"Y","N")</f>
        <v/>
      </c>
      <c r="EA203">
        <f>IF(AND(U203="new",T203="N",AR203="Y",AQ203="",DZ203="N"),"Y","N")</f>
        <v/>
      </c>
      <c r="EB203">
        <f>IF(EA203&lt;&gt;"Y","N",IF(COUNTIFS($AN$2:$AN$1000,AN203,$EA$2:$EA$1000,"Y",$J$2:$J$1000,"&gt;"&amp;J203)+COUNTIFS($AN$2:$AN$1000,AN203,$EA$2:$EA$1000,"Y",$J$2:$J$1000,J203,$ED$2:$ED$1000,"&lt;"&amp;ED203)=0,"Y","N"))</f>
        <v/>
      </c>
      <c r="EC203">
        <f>IF(Y203="","N",IF(Y203&lt;=10,"Y","N"))</f>
        <v/>
      </c>
      <c r="ED203">
        <f>ROW()-1</f>
        <v/>
      </c>
    </row>
    <row r="204">
      <c r="A204" t="inlineStr">
        <is>
          <t>AB-029</t>
        </is>
      </c>
      <c r="B204" t="inlineStr">
        <is>
          <t>Vermont Smoke &amp; Cure</t>
        </is>
      </c>
      <c r="H204" t="inlineStr">
        <is>
          <t>none</t>
        </is>
      </c>
      <c r="J204">
        <f>IF(AU204="pass",CM204+CN204+CO204+CP204+CQ204+CR204+CS204+CT204,0)</f>
        <v/>
      </c>
      <c r="K204" t="inlineStr">
        <is>
          <t>Northeast brand, store page shows Whole Foods Market NoMad inside the cluster, a new store listing 159 days ago, revenue unknown, no contact named; founder review: owner.</t>
        </is>
      </c>
      <c r="M204" t="inlineStr">
        <is>
          <t>Whole Foods Market NoMad, 63 Madison Ave</t>
        </is>
      </c>
      <c r="N204" t="inlineStr">
        <is>
          <t>store_selector</t>
        </is>
      </c>
      <c r="O204" t="inlineStr">
        <is>
          <t>Launched Kraft A.1. and Lea &amp; Perrins inspired smoked beef sticks (1 oz, 6-count)</t>
        </is>
      </c>
      <c r="P204" t="inlineStr">
        <is>
          <t>https://store.vermontsmokeandcure.com/products/kraft-a-1-inspired-smoked-premium-beef-stick-1oz-6ct</t>
        </is>
      </c>
      <c r="Q204" t="inlineStr">
        <is>
          <t>2026-05-18</t>
        </is>
      </c>
      <c r="R204" t="inlineStr">
        <is>
          <t>N</t>
        </is>
      </c>
      <c r="S204" t="inlineStr">
        <is>
          <t>unknown</t>
        </is>
      </c>
      <c r="T204" t="inlineStr">
        <is>
          <t>N</t>
        </is>
      </c>
      <c r="U204" t="inlineStr">
        <is>
          <t>new</t>
        </is>
      </c>
      <c r="V204" t="inlineStr">
        <is>
          <t>https://store.vermontsmokeandcure.com</t>
        </is>
      </c>
      <c r="W204" t="inlineStr">
        <is>
          <t>2026-10-23</t>
        </is>
      </c>
      <c r="X204" t="inlineStr">
        <is>
          <t>brand</t>
        </is>
      </c>
      <c r="Y204">
        <f>IF(EB204&lt;&gt;"Y","",COUNTIFS($EB$2:$EB$1000,"Y",$J$2:$J$1000,"&gt;"&amp;J204)+COUNTIFS($EB$2:$EB$1000,"Y",$J$2:$J$1000,J204,$ED$2:$ED$1000,"&lt;"&amp;ED204)+1)</f>
        <v/>
      </c>
      <c r="Z204" t="n">
        <v>203</v>
      </c>
      <c r="AA204" t="inlineStr">
        <is>
          <t>N</t>
        </is>
      </c>
      <c r="AB204" t="inlineStr">
        <is>
          <t>no person named on an opened page: not ready; before using the retailer line, check Whole Foods Market NoMad still lists it: https://www.wholefoodsmarket.com/search?text=Vermont%20Smoke%20%26%20Cure with your store set to NoMad (catalogs change daily); founder review (owner): read founder_review_reason first</t>
        </is>
      </c>
      <c r="AD204" t="inlineStr">
        <is>
          <t>none</t>
        </is>
      </c>
      <c r="AH204" t="inlineStr">
        <is>
          <t>Vermont Smoke &amp; Cure BBQ Beef Stick, 1 oz</t>
        </is>
      </c>
      <c r="AI204" t="inlineStr">
        <is>
          <t>meat-snacks</t>
        </is>
      </c>
      <c r="AJ204" t="inlineStr">
        <is>
          <t>Hinesburg</t>
        </is>
      </c>
      <c r="AK204" t="inlineStr">
        <is>
          <t>https://store.vermontsmokeandcure.com</t>
        </is>
      </c>
      <c r="AL204" t="inlineStr">
        <is>
          <t>Y</t>
        </is>
      </c>
      <c r="AM204" t="inlineStr">
        <is>
          <t>Owned by Johnsonville LLC since Sept 2020 (big-brand parent), plus licensed Kraft A.1. and Lea &amp; Perrins sticks</t>
        </is>
      </c>
      <c r="AN204" t="inlineStr">
        <is>
          <t>AB-029</t>
        </is>
      </c>
      <c r="AO204" t="inlineStr">
        <is>
          <t>N</t>
        </is>
      </c>
      <c r="AR204">
        <f>IF(AND(AU204="pass",AO204&lt;&gt;"Y",C204&lt;&gt;""),"Y","N")</f>
        <v/>
      </c>
      <c r="AS204">
        <f>_xlfn.TEXTJOIN("; ",TRUE,IF(AU204&lt;&gt;"pass","gated out",""),IF(AO204="Y","on hold: "&amp;AP204,""),IF(C204="","no contact named on an opened page",""))</f>
        <v/>
      </c>
      <c r="AU204" t="inlineStr">
        <is>
          <t>pass</t>
        </is>
      </c>
      <c r="AW204" t="inlineStr">
        <is>
          <t>passes all hard gates</t>
        </is>
      </c>
      <c r="AX204" t="inlineStr">
        <is>
          <t>owner</t>
        </is>
      </c>
      <c r="AY204" t="inlineStr">
        <is>
          <t>https://www.vermontsmokeandcure.com</t>
        </is>
      </c>
      <c r="AZ204" t="inlineStr">
        <is>
          <t>VT</t>
        </is>
      </c>
      <c r="BA204" t="inlineStr">
        <is>
          <t>northeast</t>
        </is>
      </c>
      <c r="BB204" t="inlineStr">
        <is>
          <t>unknown</t>
        </is>
      </c>
      <c r="BD204" t="inlineStr">
        <is>
          <t>Y</t>
        </is>
      </c>
      <c r="BE204" t="inlineStr">
        <is>
          <t>Individually wrapped 1 oz smoked meat sticks sold ambient (WFM single-stick listings)</t>
        </is>
      </c>
      <c r="BF204" t="inlineStr">
        <is>
          <t>Y</t>
        </is>
      </c>
      <c r="BG204" t="inlineStr">
        <is>
          <t>Y</t>
        </is>
      </c>
      <c r="BH204" t="inlineStr">
        <is>
          <t>unknown</t>
        </is>
      </c>
      <c r="BJ204" t="inlineStr">
        <is>
          <t>unknown</t>
        </is>
      </c>
      <c r="BK204" t="inlineStr">
        <is>
          <t>N</t>
        </is>
      </c>
      <c r="BL204" t="inlineStr">
        <is>
          <t>N</t>
        </is>
      </c>
      <c r="BN204" t="n">
        <v>0</v>
      </c>
      <c r="BO204" t="inlineStr">
        <is>
          <t>Y</t>
        </is>
      </c>
      <c r="BP204" t="n">
        <v>3</v>
      </c>
      <c r="BQ204" t="inlineStr">
        <is>
          <t>Whole Foods Market NoMad, 63 Madison Ave (store_selector, inside);Whole Foods Market Union Square, 4 Union Sq S (store_selector, inside);Whole Foods Market Chelsea, 250 7th Ave (store_selector, 3.0 blocks out)</t>
        </is>
      </c>
      <c r="BS204" t="inlineStr">
        <is>
          <t>Whole Foods Market; brand store locator</t>
        </is>
      </c>
      <c r="BT204" t="inlineStr">
        <is>
          <t>https://www.wholefoodsmarket.com/search?text=vermont%20smoke%20cure (Union Square, NoMad, Chelsea contexts: Original, Uncured Pepperoni Turkey and BBQ Beef 1 oz sticks IN_STOCK 2026-10-23)</t>
        </is>
      </c>
      <c r="BU204" t="inlineStr">
        <is>
          <t>listing</t>
        </is>
      </c>
      <c r="BV204" t="n">
        <v>159</v>
      </c>
      <c r="CF204" t="inlineStr">
        <is>
          <t>none</t>
        </is>
      </c>
      <c r="CK204" t="inlineStr">
        <is>
          <t>none</t>
        </is>
      </c>
      <c r="CL204" t="n">
        <v>31</v>
      </c>
      <c r="CM204" t="n">
        <v>25</v>
      </c>
      <c r="CN204" t="n">
        <v>8</v>
      </c>
      <c r="CO204" t="n">
        <v>8</v>
      </c>
      <c r="CP204" t="n">
        <v>5</v>
      </c>
      <c r="CQ204" t="n">
        <v>10</v>
      </c>
      <c r="CR204" t="n">
        <v>0</v>
      </c>
      <c r="CS204">
        <f>IF(R204="Y",10,0)</f>
        <v/>
      </c>
      <c r="CT204" t="n">
        <v>-25</v>
      </c>
      <c r="CU204" t="inlineStr">
        <is>
          <t>unknown</t>
        </is>
      </c>
      <c r="CV204" t="inlineStr">
        <is>
          <t>BR1</t>
        </is>
      </c>
      <c r="CW204" t="inlineStr">
        <is>
          <t>BR1:30</t>
        </is>
      </c>
      <c r="CX204" t="inlineStr">
        <is>
          <t>Single 1 oz sticks are ideal pantry units. 'Our Story' URL 404s; leadership not found on site. why_now date is Shopify published_at.</t>
        </is>
      </c>
      <c r="CY204" t="inlineStr">
        <is>
          <t xml:space="preserve">hq_city &lt;- https://www.provisioneronline.com/articles/109952-johnsonville-acquires-vermont-smoke-cure (2026-10-24, opened); founder_review_reason &lt;- https://www.provisioneronline.com/articles/109952-johnsonville-acquires-vermont-smoke-cure (2026-10-24, opened); </t>
        </is>
      </c>
      <c r="DA204" t="inlineStr">
        <is>
          <t>stage 1 only</t>
        </is>
      </c>
      <c r="DY204">
        <f>IF(ISNUMBER(MATCH(U204,{"queued","contacted","replied","call_booked","call_done","yes_in_principle","materials_sent"},0)),"Y","N")</f>
        <v/>
      </c>
      <c r="DZ204">
        <f>IF(COUNTIFS($AN$2:$AN$1000,AN204,$DY$2:$DY$1000,"Y")+COUNTIFS($AN$2:$AN$1000,AN204,$T$2:$T$1000,"Y")&gt;0,"Y","N")</f>
        <v/>
      </c>
      <c r="EA204">
        <f>IF(AND(U204="new",T204="N",AR204="Y",AQ204="",DZ204="N"),"Y","N")</f>
        <v/>
      </c>
      <c r="EB204">
        <f>IF(EA204&lt;&gt;"Y","N",IF(COUNTIFS($AN$2:$AN$1000,AN204,$EA$2:$EA$1000,"Y",$J$2:$J$1000,"&gt;"&amp;J204)+COUNTIFS($AN$2:$AN$1000,AN204,$EA$2:$EA$1000,"Y",$J$2:$J$1000,J204,$ED$2:$ED$1000,"&lt;"&amp;ED204)=0,"Y","N"))</f>
        <v/>
      </c>
      <c r="EC204">
        <f>IF(Y204="","N",IF(Y204&lt;=10,"Y","N"))</f>
        <v/>
      </c>
      <c r="ED204">
        <f>ROW()-1</f>
        <v/>
      </c>
    </row>
    <row r="205">
      <c r="A205" t="inlineStr">
        <is>
          <t>AB-038</t>
        </is>
      </c>
      <c r="B205" t="inlineStr">
        <is>
          <t>Gheelish</t>
        </is>
      </c>
      <c r="C205" t="inlineStr">
        <is>
          <t>Darin</t>
        </is>
      </c>
      <c r="D205" t="inlineStr">
        <is>
          <t>Alpert</t>
        </is>
      </c>
      <c r="E205" t="inlineStr">
        <is>
          <t>Founder/CEO</t>
        </is>
      </c>
      <c r="H205" t="inlineStr">
        <is>
          <t>none</t>
        </is>
      </c>
      <c r="I205" t="inlineStr">
        <is>
          <t>linkedin</t>
        </is>
      </c>
      <c r="J205">
        <f>IF(AU205="pass",CM205+CN205+CO205+CP205+CQ205+CR205+CS205+CT205,0)</f>
        <v/>
      </c>
      <c r="K205" t="inlineStr">
        <is>
          <t>Brand based outside the Northeast, no graded store within ten blocks, online store only, news 46 days ago, revenue unknown, contact named; founder review: claim-borderline, scale.</t>
        </is>
      </c>
      <c r="M205" t="inlineStr">
        <is>
          <t>none found within ten blocks</t>
        </is>
      </c>
      <c r="N205" t="inlineStr">
        <is>
          <t>unverified</t>
        </is>
      </c>
      <c r="O205" t="inlineStr">
        <is>
          <t>Trade-press feature on growth from kitchen to 4,000+ stores; tortilla chips line added</t>
        </is>
      </c>
      <c r="P205" t="inlineStr">
        <is>
          <t>https://www.snackandbakery.com/articles/116281-gheelish-clarifies-the-brands-better-for-you-snack-growth</t>
        </is>
      </c>
      <c r="Q205" t="inlineStr">
        <is>
          <t>2026-09-08</t>
        </is>
      </c>
      <c r="R205" t="inlineStr">
        <is>
          <t>N</t>
        </is>
      </c>
      <c r="S205" t="inlineStr">
        <is>
          <t>unknown</t>
        </is>
      </c>
      <c r="T205" t="inlineStr">
        <is>
          <t>N</t>
        </is>
      </c>
      <c r="U205" t="inlineStr">
        <is>
          <t>new</t>
        </is>
      </c>
      <c r="V205" t="inlineStr">
        <is>
          <t>https://www.gheelish.com/pages/about-us</t>
        </is>
      </c>
      <c r="W205" t="inlineStr">
        <is>
          <t>2026-10-23</t>
        </is>
      </c>
      <c r="X205" t="inlineStr">
        <is>
          <t>brand</t>
        </is>
      </c>
      <c r="Y205">
        <f>IF(EB205&lt;&gt;"Y","",COUNTIFS($EB$2:$EB$1000,"Y",$J$2:$J$1000,"&gt;"&amp;J205)+COUNTIFS($EB$2:$EB$1000,"Y",$J$2:$J$1000,J205,$ED$2:$ED$1000,"&lt;"&amp;ED205)+1)</f>
        <v/>
      </c>
      <c r="Z205" t="n">
        <v>204</v>
      </c>
      <c r="AA205" t="inlineStr">
        <is>
          <t>N</t>
        </is>
      </c>
      <c r="AB205" t="inlineStr">
        <is>
          <t>find Darin Alpert at Gheelish on LinkedIn and paste the profile URL; founder review (claim-borderline, scale): read founder_review_reason first</t>
        </is>
      </c>
      <c r="AC205" t="inlineStr">
        <is>
          <t>founder</t>
        </is>
      </c>
      <c r="AD205" t="inlineStr">
        <is>
          <t>verified-page</t>
        </is>
      </c>
      <c r="AE205" t="inlineStr">
        <is>
          <t>press, event or podcast page</t>
        </is>
      </c>
      <c r="AF205" t="inlineStr">
        <is>
          <t>https://www.snackandbakery.com/articles/116281-gheelish-clarifies-the-brands-better-for-you-snack-growth</t>
        </is>
      </c>
      <c r="AG205" t="inlineStr">
        <is>
          <t>2026-10-23</t>
        </is>
      </c>
      <c r="AH205" t="inlineStr">
        <is>
          <t>Gheelish organic popcorn popped in grass-fed ghee, Lightly Buttered</t>
        </is>
      </c>
      <c r="AI205" t="inlineStr">
        <is>
          <t>popcorn-puffs</t>
        </is>
      </c>
      <c r="AJ205" t="inlineStr">
        <is>
          <t>Raleigh</t>
        </is>
      </c>
      <c r="AK205" t="inlineStr">
        <is>
          <t>https://www.gheelish.com</t>
        </is>
      </c>
      <c r="AL205" t="inlineStr">
        <is>
          <t>Y</t>
        </is>
      </c>
      <c r="AM205" t="inlineStr">
        <is>
          <t>Founder interview says ghee fats 'support gut and immune health' (press, not pack); new line is protein cookies; no NYC retailer found; scale signal in the why-now ('4,000+ stores'): likely above the $10M band; ask at intake</t>
        </is>
      </c>
      <c r="AN205" t="inlineStr">
        <is>
          <t>AB-038</t>
        </is>
      </c>
      <c r="AO205" t="inlineStr">
        <is>
          <t>N</t>
        </is>
      </c>
      <c r="AR205">
        <f>IF(AND(AU205="pass",AO205&lt;&gt;"Y",C205&lt;&gt;""),"Y","N")</f>
        <v/>
      </c>
      <c r="AS205">
        <f>_xlfn.TEXTJOIN("; ",TRUE,IF(AU205&lt;&gt;"pass","gated out",""),IF(AO205="Y","on hold: "&amp;AP205,""),IF(C205="","no contact named on an opened page",""))</f>
        <v/>
      </c>
      <c r="AU205" t="inlineStr">
        <is>
          <t>pass</t>
        </is>
      </c>
      <c r="AW205" t="inlineStr">
        <is>
          <t>passes all hard gates</t>
        </is>
      </c>
      <c r="AX205" t="inlineStr">
        <is>
          <t>claim-borderline;scale</t>
        </is>
      </c>
      <c r="AY205" t="inlineStr">
        <is>
          <t>https://www.gheelish.com</t>
        </is>
      </c>
      <c r="AZ205" t="inlineStr">
        <is>
          <t>NC</t>
        </is>
      </c>
      <c r="BA205" t="inlineStr">
        <is>
          <t>elsewhere</t>
        </is>
      </c>
      <c r="BB205" t="inlineStr">
        <is>
          <t>unknown</t>
        </is>
      </c>
      <c r="BD205" t="inlineStr">
        <is>
          <t>Y</t>
        </is>
      </c>
      <c r="BE205" t="inlineStr">
        <is>
          <t>Bagged air-popped popcorn and tortilla chips, ambient</t>
        </is>
      </c>
      <c r="BF205" t="inlineStr">
        <is>
          <t>unknown</t>
        </is>
      </c>
      <c r="BG205" t="inlineStr">
        <is>
          <t>Y</t>
        </is>
      </c>
      <c r="BH205" t="inlineStr">
        <is>
          <t>unknown</t>
        </is>
      </c>
      <c r="BJ205" t="inlineStr">
        <is>
          <t>unknown</t>
        </is>
      </c>
      <c r="BK205" t="inlineStr">
        <is>
          <t>N</t>
        </is>
      </c>
      <c r="BL205" t="inlineStr">
        <is>
          <t>N</t>
        </is>
      </c>
      <c r="BO205" t="inlineStr">
        <is>
          <t>N</t>
        </is>
      </c>
      <c r="BP205" t="n">
        <v>0</v>
      </c>
      <c r="BS205" t="inlineStr">
        <is>
          <t>Sprouts (nationwide); 4,000+ stores (brand story page)</t>
        </is>
      </c>
      <c r="BT205" t="inlineStr">
        <is>
          <t>https://www.wholefoodsmarket.com/search?text=gheelish (no results in cluster stores, 2026-10-23)</t>
        </is>
      </c>
      <c r="BU205" t="inlineStr">
        <is>
          <t>press</t>
        </is>
      </c>
      <c r="BV205" t="n">
        <v>46</v>
      </c>
      <c r="BX205" t="inlineStr">
        <is>
          <t>Darin Alpert</t>
        </is>
      </c>
      <c r="CF205" t="inlineStr">
        <is>
          <t>none</t>
        </is>
      </c>
      <c r="CK205" t="inlineStr">
        <is>
          <t>none</t>
        </is>
      </c>
      <c r="CL205" t="n">
        <v>31</v>
      </c>
      <c r="CM205" t="n">
        <v>6</v>
      </c>
      <c r="CN205" t="n">
        <v>3</v>
      </c>
      <c r="CO205" t="n">
        <v>15</v>
      </c>
      <c r="CP205" t="n">
        <v>5</v>
      </c>
      <c r="CQ205" t="n">
        <v>8</v>
      </c>
      <c r="CR205" t="n">
        <v>6</v>
      </c>
      <c r="CS205">
        <f>IF(R205="Y",10,0)</f>
        <v/>
      </c>
      <c r="CT205" t="n">
        <v>-12</v>
      </c>
      <c r="CU205" t="inlineStr">
        <is>
          <t>unknown</t>
        </is>
      </c>
      <c r="CV205" t="inlineStr">
        <is>
          <t>BR1</t>
        </is>
      </c>
      <c r="CW205" t="inlineStr">
        <is>
          <t>BR1:39</t>
        </is>
      </c>
      <c r="CX205" t="inlineStr">
        <is>
          <t>Business address in privacy policy is Raleigh NC. Brand story names co-founder Kelly (first name).</t>
        </is>
      </c>
      <c r="DA205" t="inlineStr">
        <is>
          <t>stage 1 only</t>
        </is>
      </c>
      <c r="DY205">
        <f>IF(ISNUMBER(MATCH(U205,{"queued","contacted","replied","call_booked","call_done","yes_in_principle","materials_sent"},0)),"Y","N")</f>
        <v/>
      </c>
      <c r="DZ205">
        <f>IF(COUNTIFS($AN$2:$AN$1000,AN205,$DY$2:$DY$1000,"Y")+COUNTIFS($AN$2:$AN$1000,AN205,$T$2:$T$1000,"Y")&gt;0,"Y","N")</f>
        <v/>
      </c>
      <c r="EA205">
        <f>IF(AND(U205="new",T205="N",AR205="Y",AQ205="",DZ205="N"),"Y","N")</f>
        <v/>
      </c>
      <c r="EB205">
        <f>IF(EA205&lt;&gt;"Y","N",IF(COUNTIFS($AN$2:$AN$1000,AN205,$EA$2:$EA$1000,"Y",$J$2:$J$1000,"&gt;"&amp;J205)+COUNTIFS($AN$2:$AN$1000,AN205,$EA$2:$EA$1000,"Y",$J$2:$J$1000,J205,$ED$2:$ED$1000,"&lt;"&amp;ED205)=0,"Y","N"))</f>
        <v/>
      </c>
      <c r="EC205">
        <f>IF(Y205="","N",IF(Y205&lt;=10,"Y","N"))</f>
        <v/>
      </c>
      <c r="ED205">
        <f>ROW()-1</f>
        <v/>
      </c>
    </row>
    <row r="206">
      <c r="A206" t="inlineStr">
        <is>
          <t>AB-296</t>
        </is>
      </c>
      <c r="B206" t="inlineStr">
        <is>
          <t>Lark Fine Foods</t>
        </is>
      </c>
      <c r="H206" t="inlineStr">
        <is>
          <t>none</t>
        </is>
      </c>
      <c r="J206">
        <f>IF(AU206="pass",CM206+CN206+CO206+CP206+CQ206+CR206+CS206+CT206,0)</f>
        <v/>
      </c>
      <c r="K206" t="inlineStr">
        <is>
          <t>Northeast brand, no graded store within ten blocks, online store only, a new store listing 20 days ago, revenue unknown, no contact named; founder review: format.</t>
        </is>
      </c>
      <c r="M206" t="inlineStr">
        <is>
          <t>none found within ten blocks</t>
        </is>
      </c>
      <c r="N206" t="inlineStr">
        <is>
          <t>unverified</t>
        </is>
      </c>
      <c r="O206" t="inlineStr">
        <is>
          <t>Added Tea Cakes and ribboned Tea Cakes to its online store</t>
        </is>
      </c>
      <c r="P206" t="inlineStr">
        <is>
          <t>https://larkfinefoods.com/products.json</t>
        </is>
      </c>
      <c r="Q206" t="inlineStr">
        <is>
          <t>2026-10-04</t>
        </is>
      </c>
      <c r="R206" t="inlineStr">
        <is>
          <t>N</t>
        </is>
      </c>
      <c r="S206" t="inlineStr">
        <is>
          <t>unknown</t>
        </is>
      </c>
      <c r="T206" t="inlineStr">
        <is>
          <t>N</t>
        </is>
      </c>
      <c r="U206" t="inlineStr">
        <is>
          <t>new</t>
        </is>
      </c>
      <c r="V206" t="inlineStr">
        <is>
          <t>https://events.specialtyfood.com/event/2026-summer-fancy-food-show/exhibitor/RXhoaWJpdG9yXzI0ODY2MDE=</t>
        </is>
      </c>
      <c r="W206" t="inlineStr">
        <is>
          <t>2026-10-24</t>
        </is>
      </c>
      <c r="X206" t="inlineStr">
        <is>
          <t>brand</t>
        </is>
      </c>
      <c r="Y206">
        <f>IF(EB206&lt;&gt;"Y","",COUNTIFS($EB$2:$EB$1000,"Y",$J$2:$J$1000,"&gt;"&amp;J206)+COUNTIFS($EB$2:$EB$1000,"Y",$J$2:$J$1000,J206,$ED$2:$ED$1000,"&lt;"&amp;ED206)+1)</f>
        <v/>
      </c>
      <c r="Z206" t="n">
        <v>205</v>
      </c>
      <c r="AA206" t="inlineStr">
        <is>
          <t>N</t>
        </is>
      </c>
      <c r="AB206" t="inlineStr">
        <is>
          <t>no person named on an opened page: not ready; founder review (format): read founder_review_reason first</t>
        </is>
      </c>
      <c r="AD206" t="inlineStr">
        <is>
          <t>none</t>
        </is>
      </c>
      <c r="AH206" t="inlineStr">
        <is>
          <t>Olive Scourtin sweet-and-savory biscuits; Tea Cakes</t>
        </is>
      </c>
      <c r="AI206" t="inlineStr">
        <is>
          <t>cookies-baked</t>
        </is>
      </c>
      <c r="AJ206" t="inlineStr">
        <is>
          <t>Essex</t>
        </is>
      </c>
      <c r="AK206" t="inlineStr">
        <is>
          <t>https://larkfinefoods.com</t>
        </is>
      </c>
      <c r="AL206" t="inlineStr">
        <is>
          <t>Y</t>
        </is>
      </c>
      <c r="AM206" t="inlineStr">
        <is>
          <t>Founded 2008 and gift-box led; single-serve format not seen. Founder not named on pages opened</t>
        </is>
      </c>
      <c r="AN206" t="inlineStr">
        <is>
          <t>AB-296</t>
        </is>
      </c>
      <c r="AO206" t="inlineStr">
        <is>
          <t>N</t>
        </is>
      </c>
      <c r="AR206">
        <f>IF(AND(AU206="pass",AO206&lt;&gt;"Y",C206&lt;&gt;""),"Y","N")</f>
        <v/>
      </c>
      <c r="AS206">
        <f>_xlfn.TEXTJOIN("; ",TRUE,IF(AU206&lt;&gt;"pass","gated out",""),IF(AO206="Y","on hold: "&amp;AP206,""),IF(C206="","no contact named on an opened page",""))</f>
        <v/>
      </c>
      <c r="AU206" t="inlineStr">
        <is>
          <t>pass</t>
        </is>
      </c>
      <c r="AW206" t="inlineStr">
        <is>
          <t>passes all hard gates</t>
        </is>
      </c>
      <c r="AX206" t="inlineStr">
        <is>
          <t>format</t>
        </is>
      </c>
      <c r="AY206" t="inlineStr">
        <is>
          <t>https://larkfinefoods.com</t>
        </is>
      </c>
      <c r="AZ206" t="inlineStr">
        <is>
          <t>MA</t>
        </is>
      </c>
      <c r="BA206" t="inlineStr">
        <is>
          <t>northeast</t>
        </is>
      </c>
      <c r="BB206" t="inlineStr">
        <is>
          <t>unknown</t>
        </is>
      </c>
      <c r="BD206" t="inlineStr">
        <is>
          <t>Y</t>
        </is>
      </c>
      <c r="BE206" t="inlineStr">
        <is>
          <t>Packaged biscuits and shortbread sold ambient online and in specialty stores; shelf life not stated</t>
        </is>
      </c>
      <c r="BF206" t="inlineStr">
        <is>
          <t>unknown</t>
        </is>
      </c>
      <c r="BG206" t="inlineStr">
        <is>
          <t>Y</t>
        </is>
      </c>
      <c r="BH206" t="inlineStr">
        <is>
          <t>unknown</t>
        </is>
      </c>
      <c r="BJ206" t="inlineStr">
        <is>
          <t>No sourced sales figure found</t>
        </is>
      </c>
      <c r="BK206" t="inlineStr">
        <is>
          <t>N</t>
        </is>
      </c>
      <c r="BL206" t="inlineStr">
        <is>
          <t>N</t>
        </is>
      </c>
      <c r="BO206" t="inlineStr">
        <is>
          <t>N</t>
        </is>
      </c>
      <c r="BP206" t="n">
        <v>0</v>
      </c>
      <c r="BS206" t="inlineStr">
        <is>
          <t>Specialty retailers (unnamed)</t>
        </is>
      </c>
      <c r="BU206" t="inlineStr">
        <is>
          <t>listing</t>
        </is>
      </c>
      <c r="BV206" t="n">
        <v>20</v>
      </c>
      <c r="CF206" t="inlineStr">
        <is>
          <t>none</t>
        </is>
      </c>
      <c r="CK206" t="inlineStr">
        <is>
          <t>none</t>
        </is>
      </c>
      <c r="CL206" t="n">
        <v>31</v>
      </c>
      <c r="CM206" t="n">
        <v>6</v>
      </c>
      <c r="CN206" t="n">
        <v>8</v>
      </c>
      <c r="CO206" t="n">
        <v>8</v>
      </c>
      <c r="CP206" t="n">
        <v>5</v>
      </c>
      <c r="CQ206" t="n">
        <v>8</v>
      </c>
      <c r="CR206" t="n">
        <v>0</v>
      </c>
      <c r="CS206">
        <f>IF(R206="Y",10,0)</f>
        <v/>
      </c>
      <c r="CT206" t="n">
        <v>-4</v>
      </c>
      <c r="CV206" t="inlineStr">
        <is>
          <t>BR5</t>
        </is>
      </c>
      <c r="CW206" t="inlineStr">
        <is>
          <t>BR5:32</t>
        </is>
      </c>
      <c r="CX206" t="inlineStr">
        <is>
          <t>SFFS 2026: 'Founded in 2008, Lark Fine Foods is a 100% woman-owned and operated specialty foods company located north of Boston in historic Essex, Massachusetts'.</t>
        </is>
      </c>
      <c r="DA206" t="inlineStr">
        <is>
          <t>stage 1 only</t>
        </is>
      </c>
      <c r="DY206">
        <f>IF(ISNUMBER(MATCH(U206,{"queued","contacted","replied","call_booked","call_done","yes_in_principle","materials_sent"},0)),"Y","N")</f>
        <v/>
      </c>
      <c r="DZ206">
        <f>IF(COUNTIFS($AN$2:$AN$1000,AN206,$DY$2:$DY$1000,"Y")+COUNTIFS($AN$2:$AN$1000,AN206,$T$2:$T$1000,"Y")&gt;0,"Y","N")</f>
        <v/>
      </c>
      <c r="EA206">
        <f>IF(AND(U206="new",T206="N",AR206="Y",AQ206="",DZ206="N"),"Y","N")</f>
        <v/>
      </c>
      <c r="EB206">
        <f>IF(EA206&lt;&gt;"Y","N",IF(COUNTIFS($AN$2:$AN$1000,AN206,$EA$2:$EA$1000,"Y",$J$2:$J$1000,"&gt;"&amp;J206)+COUNTIFS($AN$2:$AN$1000,AN206,$EA$2:$EA$1000,"Y",$J$2:$J$1000,J206,$ED$2:$ED$1000,"&lt;"&amp;ED206)=0,"Y","N"))</f>
        <v/>
      </c>
      <c r="EC206">
        <f>IF(Y206="","N",IF(Y206&lt;=10,"Y","N"))</f>
        <v/>
      </c>
      <c r="ED206">
        <f>ROW()-1</f>
        <v/>
      </c>
    </row>
    <row r="207">
      <c r="A207" t="inlineStr">
        <is>
          <t>AB-108</t>
        </is>
      </c>
      <c r="B207" t="inlineStr">
        <is>
          <t>jcoco</t>
        </is>
      </c>
      <c r="C207" t="inlineStr">
        <is>
          <t>Jean</t>
        </is>
      </c>
      <c r="D207" t="inlineStr">
        <is>
          <t>Thompson</t>
        </is>
      </c>
      <c r="E207" t="inlineStr">
        <is>
          <t>Founder and CEO</t>
        </is>
      </c>
      <c r="H207" t="inlineStr">
        <is>
          <t>none</t>
        </is>
      </c>
      <c r="I207" t="inlineStr">
        <is>
          <t>linkedin</t>
        </is>
      </c>
      <c r="J207">
        <f>IF(AU207="pass",CM207+CN207+CO207+CP207+CQ207+CR207+CS207+CT207,0)</f>
        <v/>
      </c>
      <c r="K207" t="inlineStr">
        <is>
          <t>Brand based outside the Northeast, store page shows Whole Foods Market NoMad inside the cluster, a new store listing 39 days ago, revenue unknown, contact named; founder review: owner.</t>
        </is>
      </c>
      <c r="M207" t="inlineStr">
        <is>
          <t>Whole Foods Market NoMad, 63 Madison Ave</t>
        </is>
      </c>
      <c r="N207" t="inlineStr">
        <is>
          <t>store_selector</t>
        </is>
      </c>
      <c r="O207" t="inlineStr">
        <is>
          <t>Launched Sweet Heat bars (Thai Chili Peanut, Chili Almond, Spicy Pineapple), Sept 2026</t>
        </is>
      </c>
      <c r="P207" t="inlineStr">
        <is>
          <t>https://jcocochocolate.com/</t>
        </is>
      </c>
      <c r="Q207" t="inlineStr">
        <is>
          <t>2026-09-15</t>
        </is>
      </c>
      <c r="R207" t="inlineStr">
        <is>
          <t>N</t>
        </is>
      </c>
      <c r="S207" t="inlineStr">
        <is>
          <t>unknown</t>
        </is>
      </c>
      <c r="T207" t="inlineStr">
        <is>
          <t>N</t>
        </is>
      </c>
      <c r="U207" t="inlineStr">
        <is>
          <t>new</t>
        </is>
      </c>
      <c r="V207" t="inlineStr">
        <is>
          <t>https://jcocochocolate.com/pages/about</t>
        </is>
      </c>
      <c r="W207" t="inlineStr">
        <is>
          <t>2026-10-23</t>
        </is>
      </c>
      <c r="X207" t="inlineStr">
        <is>
          <t>brand</t>
        </is>
      </c>
      <c r="Y207">
        <f>IF(EB207&lt;&gt;"Y","",COUNTIFS($EB$2:$EB$1000,"Y",$J$2:$J$1000,"&gt;"&amp;J207)+COUNTIFS($EB$2:$EB$1000,"Y",$J$2:$J$1000,J207,$ED$2:$ED$1000,"&lt;"&amp;ED207)+1)</f>
        <v/>
      </c>
      <c r="Z207" t="n">
        <v>206</v>
      </c>
      <c r="AA207" t="inlineStr">
        <is>
          <t>N</t>
        </is>
      </c>
      <c r="AB207" t="inlineStr">
        <is>
          <t>find Jean Thompson at jcoco on LinkedIn and paste the profile URL; before using the retailer line, check Whole Foods Market NoMad still lists it: https://www.wholefoodsmarket.com/search?text=jcoco with your store set to NoMad (catalogs change daily); founder review (owner): read founder_review_reason first</t>
        </is>
      </c>
      <c r="AC207" t="inlineStr">
        <is>
          <t>founder</t>
        </is>
      </c>
      <c r="AD207" t="inlineStr">
        <is>
          <t>verified-page</t>
        </is>
      </c>
      <c r="AE207" t="inlineStr">
        <is>
          <t>employer's own site</t>
        </is>
      </c>
      <c r="AF207" t="inlineStr">
        <is>
          <t>https://jcocochocolate.com/pages/about</t>
        </is>
      </c>
      <c r="AG207" t="inlineStr">
        <is>
          <t>2026-10-23</t>
        </is>
      </c>
      <c r="AH207" t="inlineStr">
        <is>
          <t>Black Fig and Pistachio Dark Chocolate Bar 3 oz; Thai Chili Peanut bar</t>
        </is>
      </c>
      <c r="AI207" t="inlineStr">
        <is>
          <t>chocolate-candy</t>
        </is>
      </c>
      <c r="AJ207" t="inlineStr">
        <is>
          <t>Tukwila</t>
        </is>
      </c>
      <c r="AK207" t="inlineStr">
        <is>
          <t>https://jcocochocolate.com</t>
        </is>
      </c>
      <c r="AL207" t="inlineStr">
        <is>
          <t>Y</t>
        </is>
      </c>
      <c r="AM207" t="inlineStr">
        <is>
          <t>Part of Seattle Chocolate Co. (parent company size unknown); 'delicious and nutritious' wording; 60-day shelf life not stated</t>
        </is>
      </c>
      <c r="AN207" t="inlineStr">
        <is>
          <t>AB-108</t>
        </is>
      </c>
      <c r="AO207" t="inlineStr">
        <is>
          <t>N</t>
        </is>
      </c>
      <c r="AR207">
        <f>IF(AND(AU207="pass",AO207&lt;&gt;"Y",C207&lt;&gt;""),"Y","N")</f>
        <v/>
      </c>
      <c r="AS207">
        <f>_xlfn.TEXTJOIN("; ",TRUE,IF(AU207&lt;&gt;"pass","gated out",""),IF(AO207="Y","on hold: "&amp;AP207,""),IF(C207="","no contact named on an opened page",""))</f>
        <v/>
      </c>
      <c r="AU207" t="inlineStr">
        <is>
          <t>pass</t>
        </is>
      </c>
      <c r="AW207" t="inlineStr">
        <is>
          <t>passes all hard gates</t>
        </is>
      </c>
      <c r="AX207" t="inlineStr">
        <is>
          <t>owner</t>
        </is>
      </c>
      <c r="AY207" t="inlineStr">
        <is>
          <t>https://jcocochocolate.com</t>
        </is>
      </c>
      <c r="AZ207" t="inlineStr">
        <is>
          <t>WA</t>
        </is>
      </c>
      <c r="BA207" t="inlineStr">
        <is>
          <t>elsewhere</t>
        </is>
      </c>
      <c r="BB207" t="inlineStr">
        <is>
          <t>owned by Seattle Chocolate Co. (site footer)</t>
        </is>
      </c>
      <c r="BC207" t="inlineStr">
        <is>
          <t>https://jcocochocolate.com/pages/about</t>
        </is>
      </c>
      <c r="BD207" t="inlineStr">
        <is>
          <t>likely</t>
        </is>
      </c>
      <c r="BE207" t="inlineStr">
        <is>
          <t>Wrapped chocolate bars sold ambient at Whole Foods; shelf-life figure not found</t>
        </is>
      </c>
      <c r="BF207" t="inlineStr">
        <is>
          <t>Y</t>
        </is>
      </c>
      <c r="BG207" t="inlineStr">
        <is>
          <t>Y</t>
        </is>
      </c>
      <c r="BH207" t="inlineStr">
        <is>
          <t>unknown</t>
        </is>
      </c>
      <c r="BJ207" t="inlineStr">
        <is>
          <t>unknown</t>
        </is>
      </c>
      <c r="BK207" t="inlineStr">
        <is>
          <t>N</t>
        </is>
      </c>
      <c r="BL207" t="inlineStr">
        <is>
          <t>N</t>
        </is>
      </c>
      <c r="BN207" t="n">
        <v>0</v>
      </c>
      <c r="BO207" t="inlineStr">
        <is>
          <t>Y</t>
        </is>
      </c>
      <c r="BP207" t="n">
        <v>3</v>
      </c>
      <c r="BQ207" t="inlineStr">
        <is>
          <t>Whole Foods Market NoMad, 63 Madison Ave (store_selector, inside);Whole Foods Market Union Square, 4 Union Sq S (store_selector, inside);Whole Foods Market Chelsea, 250 7th Ave (store_selector, 3.0 blocks out)</t>
        </is>
      </c>
      <c r="BS207" t="inlineStr">
        <is>
          <t>Whole Foods; store locator (Secomapp widget, not machine-read)</t>
        </is>
      </c>
      <c r="BT207" t="inlineStr">
        <is>
          <t>https://www.wholefoodsmarket.com/api/search?text=jcoco&amp;store=10162&amp;limit=60&amp;offset=0; https://www.wholefoodsmarket.com/api/search?text=jcoco&amp;store=10773&amp;limit=60&amp;offset=0; https://www.wholefoodsmarket.com/api/search?text=jcoco&amp;store=10131&amp;limit=60&amp;offset=0</t>
        </is>
      </c>
      <c r="BU207" t="inlineStr">
        <is>
          <t>listing</t>
        </is>
      </c>
      <c r="BV207" t="n">
        <v>39</v>
      </c>
      <c r="BX207" t="inlineStr">
        <is>
          <t>Jean Thompson</t>
        </is>
      </c>
      <c r="CF207" t="inlineStr">
        <is>
          <t>none</t>
        </is>
      </c>
      <c r="CK207" t="inlineStr">
        <is>
          <t>none</t>
        </is>
      </c>
      <c r="CL207" t="n">
        <v>30</v>
      </c>
      <c r="CM207" t="n">
        <v>25</v>
      </c>
      <c r="CN207" t="n">
        <v>3</v>
      </c>
      <c r="CO207" t="n">
        <v>8</v>
      </c>
      <c r="CP207" t="n">
        <v>5</v>
      </c>
      <c r="CQ207" t="n">
        <v>8</v>
      </c>
      <c r="CR207" t="n">
        <v>6</v>
      </c>
      <c r="CS207">
        <f>IF(R207="Y",10,0)</f>
        <v/>
      </c>
      <c r="CT207" t="n">
        <v>-25</v>
      </c>
      <c r="CU207" t="inlineStr">
        <is>
          <t>https://www.instagram.com/jcocochocolate/</t>
        </is>
      </c>
      <c r="CV207" t="inlineStr">
        <is>
          <t>BR2</t>
        </is>
      </c>
      <c r="CW207" t="inlineStr">
        <is>
          <t>BR2:46</t>
        </is>
      </c>
      <c r="CX207" t="inlineStr">
        <is>
          <t>Founded 2012; gives back with every bar. Why-now from Shopify publish dates.</t>
        </is>
      </c>
      <c r="CY207" t="inlineStr">
        <is>
          <t xml:space="preserve">hq_city &lt;- https://jcocochocolate.com/pages/about (2026-10-24, opened); </t>
        </is>
      </c>
      <c r="DA207" t="inlineStr">
        <is>
          <t>stage 1 only</t>
        </is>
      </c>
      <c r="DY207">
        <f>IF(ISNUMBER(MATCH(U207,{"queued","contacted","replied","call_booked","call_done","yes_in_principle","materials_sent"},0)),"Y","N")</f>
        <v/>
      </c>
      <c r="DZ207">
        <f>IF(COUNTIFS($AN$2:$AN$1000,AN207,$DY$2:$DY$1000,"Y")+COUNTIFS($AN$2:$AN$1000,AN207,$T$2:$T$1000,"Y")&gt;0,"Y","N")</f>
        <v/>
      </c>
      <c r="EA207">
        <f>IF(AND(U207="new",T207="N",AR207="Y",AQ207="",DZ207="N"),"Y","N")</f>
        <v/>
      </c>
      <c r="EB207">
        <f>IF(EA207&lt;&gt;"Y","N",IF(COUNTIFS($AN$2:$AN$1000,AN207,$EA$2:$EA$1000,"Y",$J$2:$J$1000,"&gt;"&amp;J207)+COUNTIFS($AN$2:$AN$1000,AN207,$EA$2:$EA$1000,"Y",$J$2:$J$1000,J207,$ED$2:$ED$1000,"&lt;"&amp;ED207)=0,"Y","N"))</f>
        <v/>
      </c>
      <c r="EC207">
        <f>IF(Y207="","N",IF(Y207&lt;=10,"Y","N"))</f>
        <v/>
      </c>
      <c r="ED207">
        <f>ROW()-1</f>
        <v/>
      </c>
    </row>
    <row r="208">
      <c r="A208" t="inlineStr">
        <is>
          <t>AB-193</t>
        </is>
      </c>
      <c r="B208" t="inlineStr">
        <is>
          <t>Beekeeper Coffee</t>
        </is>
      </c>
      <c r="C208" t="inlineStr">
        <is>
          <t>David</t>
        </is>
      </c>
      <c r="D208" t="inlineStr">
        <is>
          <t>Creech</t>
        </is>
      </c>
      <c r="E208" t="inlineStr">
        <is>
          <t>Co-founder</t>
        </is>
      </c>
      <c r="H208" t="inlineStr">
        <is>
          <t>none</t>
        </is>
      </c>
      <c r="I208" t="inlineStr">
        <is>
          <t>linkedin</t>
        </is>
      </c>
      <c r="J208">
        <f>IF(AU208="pass",CM208+CN208+CO208+CP208+CQ208+CR208+CS208+CT208,0)</f>
        <v/>
      </c>
      <c r="K208" t="inlineStr">
        <is>
          <t>Brand based outside the Northeast, no graded store within ten blocks, online store only, a new store listing 32 days ago, revenue unknown, contact named; founder review: scale.</t>
        </is>
      </c>
      <c r="M208" t="inlineStr">
        <is>
          <t>none found within ten blocks</t>
        </is>
      </c>
      <c r="N208" t="inlineStr">
        <is>
          <t>unverified</t>
        </is>
      </c>
      <c r="O208" t="inlineStr">
        <is>
          <t>Relaunched lineup on store: Mocha and Horchata Lattes (2026-07-21), Black (2026-09-12), Vanilla Latte (2026-09-22)</t>
        </is>
      </c>
      <c r="P208" t="inlineStr">
        <is>
          <t>https://beekeepercoffee.com/products.json</t>
        </is>
      </c>
      <c r="Q208" t="inlineStr">
        <is>
          <t>2026-09-22</t>
        </is>
      </c>
      <c r="R208" t="inlineStr">
        <is>
          <t>N</t>
        </is>
      </c>
      <c r="S208" t="inlineStr">
        <is>
          <t>unknown</t>
        </is>
      </c>
      <c r="T208" t="inlineStr">
        <is>
          <t>N</t>
        </is>
      </c>
      <c r="U208" t="inlineStr">
        <is>
          <t>new</t>
        </is>
      </c>
      <c r="V208" t="inlineStr">
        <is>
          <t>https://beekeepercoffee.com/pages/faq</t>
        </is>
      </c>
      <c r="W208" t="inlineStr">
        <is>
          <t>2026-10-23</t>
        </is>
      </c>
      <c r="X208" t="inlineStr">
        <is>
          <t>brand</t>
        </is>
      </c>
      <c r="Y208">
        <f>IF(EB208&lt;&gt;"Y","",COUNTIFS($EB$2:$EB$1000,"Y",$J$2:$J$1000,"&gt;"&amp;J208)+COUNTIFS($EB$2:$EB$1000,"Y",$J$2:$J$1000,J208,$ED$2:$ED$1000,"&lt;"&amp;ED208)+1)</f>
        <v/>
      </c>
      <c r="Z208" t="n">
        <v>207</v>
      </c>
      <c r="AA208" t="inlineStr">
        <is>
          <t>N</t>
        </is>
      </c>
      <c r="AB208" t="inlineStr">
        <is>
          <t>find David Creech at Beekeeper Coffee on LinkedIn and paste the profile URL; founder review (scale): read founder_review_reason first</t>
        </is>
      </c>
      <c r="AC208" t="inlineStr">
        <is>
          <t>founder</t>
        </is>
      </c>
      <c r="AD208" t="inlineStr">
        <is>
          <t>verified-page</t>
        </is>
      </c>
      <c r="AE208" t="inlineStr">
        <is>
          <t>press, event or podcast page</t>
        </is>
      </c>
      <c r="AF208" t="inlineStr">
        <is>
          <t>https://www.foodnavigator.com/Article/2024/10/03/Beekeeper-Coffee-taps-into-youth-culture-to-build-its-RTD-honey-sweetened-coffee/</t>
        </is>
      </c>
      <c r="AG208" t="inlineStr">
        <is>
          <t>2026-10-23</t>
        </is>
      </c>
      <c r="AH208" t="inlineStr">
        <is>
          <t>Beekeeper Vanilla Latte (cold brew with a drop of honey), can</t>
        </is>
      </c>
      <c r="AI208" t="inlineStr">
        <is>
          <t>coffee-rtd</t>
        </is>
      </c>
      <c r="AJ208" t="inlineStr">
        <is>
          <t>unknown</t>
        </is>
      </c>
      <c r="AK208" t="inlineStr">
        <is>
          <t>https://beekeepercoffee.com</t>
        </is>
      </c>
      <c r="AL208" t="inlineStr">
        <is>
          <t>Y</t>
        </is>
      </c>
      <c r="AM208" t="inlineStr">
        <is>
          <t>Dairy lattes made in Tennessee; HQ and NYC retail not confirmed; national collab history may put it above the band</t>
        </is>
      </c>
      <c r="AN208" t="inlineStr">
        <is>
          <t>AB-193</t>
        </is>
      </c>
      <c r="AO208" t="inlineStr">
        <is>
          <t>N</t>
        </is>
      </c>
      <c r="AR208">
        <f>IF(AND(AU208="pass",AO208&lt;&gt;"Y",C208&lt;&gt;""),"Y","N")</f>
        <v/>
      </c>
      <c r="AS208">
        <f>_xlfn.TEXTJOIN("; ",TRUE,IF(AU208&lt;&gt;"pass","gated out",""),IF(AO208="Y","on hold: "&amp;AP208,""),IF(C208="","no contact named on an opened page",""))</f>
        <v/>
      </c>
      <c r="AU208" t="inlineStr">
        <is>
          <t>pass</t>
        </is>
      </c>
      <c r="AW208" t="inlineStr">
        <is>
          <t>passes all hard gates</t>
        </is>
      </c>
      <c r="AX208" t="inlineStr">
        <is>
          <t>scale</t>
        </is>
      </c>
      <c r="AY208" t="inlineStr">
        <is>
          <t>https://beekeepercoffee.com</t>
        </is>
      </c>
      <c r="AZ208" t="inlineStr">
        <is>
          <t>MI</t>
        </is>
      </c>
      <c r="BA208" t="inlineStr">
        <is>
          <t>elsewhere</t>
        </is>
      </c>
      <c r="BB208" t="inlineStr">
        <is>
          <t>unknown</t>
        </is>
      </c>
      <c r="BD208" t="inlineStr">
        <is>
          <t>Y</t>
        </is>
      </c>
      <c r="BE208" t="inlineStr">
        <is>
          <t>FAQ: 'all of our Latte and Cold Brew products are shelf-stable' (beekeepercoffee.com/pages/faq, opened 2026-10-23)</t>
        </is>
      </c>
      <c r="BF208" t="inlineStr">
        <is>
          <t>Y</t>
        </is>
      </c>
      <c r="BG208" t="inlineStr">
        <is>
          <t>Y</t>
        </is>
      </c>
      <c r="BH208" t="inlineStr">
        <is>
          <t>unknown</t>
        </is>
      </c>
      <c r="BJ208" t="inlineStr">
        <is>
          <t>No public sales figure found</t>
        </is>
      </c>
      <c r="BK208" t="inlineStr">
        <is>
          <t>N</t>
        </is>
      </c>
      <c r="BL208" t="inlineStr">
        <is>
          <t>N</t>
        </is>
      </c>
      <c r="BO208" t="inlineStr">
        <is>
          <t>N</t>
        </is>
      </c>
      <c r="BP208" t="n">
        <v>0</v>
      </c>
      <c r="BS208" t="inlineStr">
        <is>
          <t>Taco Bell (Horchata latte collab, 2024 press listed on about page); Pop Up Grocer (past brand); GoToAisle locator not readable</t>
        </is>
      </c>
      <c r="BT208" t="inlineStr">
        <is>
          <t>https://beekeepercoffee.com/pages/about-us</t>
        </is>
      </c>
      <c r="BU208" t="inlineStr">
        <is>
          <t>listing</t>
        </is>
      </c>
      <c r="BV208" t="n">
        <v>32</v>
      </c>
      <c r="BX208" t="inlineStr">
        <is>
          <t>David Creech</t>
        </is>
      </c>
      <c r="CA208" t="inlineStr">
        <is>
          <t>Graham Neuburger</t>
        </is>
      </c>
      <c r="CB208" t="inlineStr">
        <is>
          <t>Graham</t>
        </is>
      </c>
      <c r="CC208" t="inlineStr">
        <is>
          <t>Neuburger</t>
        </is>
      </c>
      <c r="CD208" t="inlineStr">
        <is>
          <t>Head of Marketing</t>
        </is>
      </c>
      <c r="CE208" t="inlineStr">
        <is>
          <t>marketing</t>
        </is>
      </c>
      <c r="CF208" t="inlineStr">
        <is>
          <t>verified-page</t>
        </is>
      </c>
      <c r="CK208" t="inlineStr">
        <is>
          <t>none</t>
        </is>
      </c>
      <c r="CL208" t="n">
        <v>30</v>
      </c>
      <c r="CM208" t="n">
        <v>6</v>
      </c>
      <c r="CN208" t="n">
        <v>3</v>
      </c>
      <c r="CO208" t="n">
        <v>8</v>
      </c>
      <c r="CP208" t="n">
        <v>5</v>
      </c>
      <c r="CQ208" t="n">
        <v>10</v>
      </c>
      <c r="CR208" t="n">
        <v>10</v>
      </c>
      <c r="CS208">
        <f>IF(R208="Y",10,0)</f>
        <v/>
      </c>
      <c r="CT208" t="n">
        <v>-12</v>
      </c>
      <c r="CU208" t="inlineStr">
        <is>
          <t>https://instagram.com/beekeepercoffee</t>
        </is>
      </c>
      <c r="CV208" t="inlineStr">
        <is>
          <t>BR3</t>
        </is>
      </c>
      <c r="CW208" t="inlineStr">
        <is>
          <t>BR3:67</t>
        </is>
      </c>
      <c r="CX208" t="inlineStr">
        <is>
          <t>FAQ: manufacturing facility in Tennessee, sources from neighboring dairy farms. Co-founders referenced in a BevNET headline on the about page (names not given). Dates are Shopify publish dates.</t>
        </is>
      </c>
      <c r="CY208" t="inlineStr">
        <is>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is>
      </c>
      <c r="CZ208" t="inlineStr">
        <is>
          <t>https://attend.expowest.com/event/natural-products-expo-west-2026/exhibitor/RXhoaWJpdG9yXzIzNTc2MDY=</t>
        </is>
      </c>
      <c r="DA208" t="inlineStr">
        <is>
          <t>stage 1 only</t>
        </is>
      </c>
      <c r="DC208" t="inlineStr">
        <is>
          <t>press, event or podcast page</t>
        </is>
      </c>
      <c r="DY208">
        <f>IF(ISNUMBER(MATCH(U208,{"queued","contacted","replied","call_booked","call_done","yes_in_principle","materials_sent"},0)),"Y","N")</f>
        <v/>
      </c>
      <c r="DZ208">
        <f>IF(COUNTIFS($AN$2:$AN$1000,AN208,$DY$2:$DY$1000,"Y")+COUNTIFS($AN$2:$AN$1000,AN208,$T$2:$T$1000,"Y")&gt;0,"Y","N")</f>
        <v/>
      </c>
      <c r="EA208">
        <f>IF(AND(U208="new",T208="N",AR208="Y",AQ208="",DZ208="N"),"Y","N")</f>
        <v/>
      </c>
      <c r="EB208">
        <f>IF(EA208&lt;&gt;"Y","N",IF(COUNTIFS($AN$2:$AN$1000,AN208,$EA$2:$EA$1000,"Y",$J$2:$J$1000,"&gt;"&amp;J208)+COUNTIFS($AN$2:$AN$1000,AN208,$EA$2:$EA$1000,"Y",$J$2:$J$1000,J208,$ED$2:$ED$1000,"&lt;"&amp;ED208)=0,"Y","N"))</f>
        <v/>
      </c>
      <c r="EC208">
        <f>IF(Y208="","N",IF(Y208&lt;=10,"Y","N"))</f>
        <v/>
      </c>
      <c r="ED208">
        <f>ROW()-1</f>
        <v/>
      </c>
    </row>
    <row r="209">
      <c r="A209" t="inlineStr">
        <is>
          <t>AB-205</t>
        </is>
      </c>
      <c r="B209" t="inlineStr">
        <is>
          <t>Kimino</t>
        </is>
      </c>
      <c r="H209" t="inlineStr">
        <is>
          <t>none</t>
        </is>
      </c>
      <c r="J209">
        <f>IF(AU209="pass",CM209+CN209+CO209+CP209+CQ209+CR209+CS209+CT209,0)</f>
        <v/>
      </c>
      <c r="K209" t="inlineStr">
        <is>
          <t>Brand based outside the Northeast, no graded store within ten blocks, online store only, a new store listing 359 days ago, revenue unknown, contact seen only in a snippet; founder review: other.</t>
        </is>
      </c>
      <c r="M209" t="inlineStr">
        <is>
          <t>none found within ten blocks</t>
        </is>
      </c>
      <c r="N209" t="inlineStr">
        <is>
          <t>unverified</t>
        </is>
      </c>
      <c r="O209" t="inlineStr">
        <is>
          <t>Relaunched US lineup: Sparkling Juices and Sparkling Waters (Yuzu, Ume, Mikan, Ringo, Momo) listed on the US store</t>
        </is>
      </c>
      <c r="P209" t="inlineStr">
        <is>
          <t>https://us.kimino.com/products.json</t>
        </is>
      </c>
      <c r="Q209" t="inlineStr">
        <is>
          <t>2025-10-30</t>
        </is>
      </c>
      <c r="R209" t="inlineStr">
        <is>
          <t>N</t>
        </is>
      </c>
      <c r="S209" t="inlineStr">
        <is>
          <t>unknown</t>
        </is>
      </c>
      <c r="T209" t="inlineStr">
        <is>
          <t>N</t>
        </is>
      </c>
      <c r="U209" t="inlineStr">
        <is>
          <t>new</t>
        </is>
      </c>
      <c r="V209" t="inlineStr">
        <is>
          <t>https://us.kimino.com/pages/kimino-about-page</t>
        </is>
      </c>
      <c r="W209" t="inlineStr">
        <is>
          <t>2026-10-23</t>
        </is>
      </c>
      <c r="X209" t="inlineStr">
        <is>
          <t>brand</t>
        </is>
      </c>
      <c r="Y209">
        <f>IF(EB209&lt;&gt;"Y","",COUNTIFS($EB$2:$EB$1000,"Y",$J$2:$J$1000,"&gt;"&amp;J209)+COUNTIFS($EB$2:$EB$1000,"Y",$J$2:$J$1000,J209,$ED$2:$ED$1000,"&lt;"&amp;ED209)+1)</f>
        <v/>
      </c>
      <c r="Z209" t="n">
        <v>208</v>
      </c>
      <c r="AA209" t="inlineStr">
        <is>
          <t>N</t>
        </is>
      </c>
      <c r="AB209" t="inlineStr">
        <is>
          <t>no person named on an opened page: not ready; founder review (other): read founder_review_reason first</t>
        </is>
      </c>
      <c r="AC209" t="inlineStr">
        <is>
          <t>founder</t>
        </is>
      </c>
      <c r="AD209" t="inlineStr">
        <is>
          <t>unverified</t>
        </is>
      </c>
      <c r="AE209" t="inlineStr">
        <is>
          <t>unknown</t>
        </is>
      </c>
      <c r="AG209" t="inlineStr">
        <is>
          <t>2026-10-23</t>
        </is>
      </c>
      <c r="AH209" t="inlineStr">
        <is>
          <t>Kimino Yuzu Sparkling Juice / Sparkling Water (Japanese fruit), can</t>
        </is>
      </c>
      <c r="AI209" t="inlineStr">
        <is>
          <t>sparkling-soda</t>
        </is>
      </c>
      <c r="AJ209" t="inlineStr">
        <is>
          <t>Los Angeles</t>
        </is>
      </c>
      <c r="AK209" t="inlineStr">
        <is>
          <t>https://us.kimino.com</t>
        </is>
      </c>
      <c r="AL209" t="inlineStr">
        <is>
          <t>Y</t>
        </is>
      </c>
      <c r="AM209" t="inlineStr">
        <is>
          <t>Japan-rooted brand ('farmers and makers from Japan'); US entity location and NYC retail not found; 24-packs only online; 60-day shelf life not stated</t>
        </is>
      </c>
      <c r="AN209" t="inlineStr">
        <is>
          <t>AB-205</t>
        </is>
      </c>
      <c r="AO209" t="inlineStr">
        <is>
          <t>N</t>
        </is>
      </c>
      <c r="AR209">
        <f>IF(AND(AU209="pass",AO209&lt;&gt;"Y",C209&lt;&gt;""),"Y","N")</f>
        <v/>
      </c>
      <c r="AS209">
        <f>_xlfn.TEXTJOIN("; ",TRUE,IF(AU209&lt;&gt;"pass","gated out",""),IF(AO209="Y","on hold: "&amp;AP209,""),IF(C209="","no contact named on an opened page",""))</f>
        <v/>
      </c>
      <c r="AU209" t="inlineStr">
        <is>
          <t>pass</t>
        </is>
      </c>
      <c r="AW209" t="inlineStr">
        <is>
          <t>passes all hard gates</t>
        </is>
      </c>
      <c r="AX209" t="inlineStr">
        <is>
          <t>other</t>
        </is>
      </c>
      <c r="AY209" t="inlineStr">
        <is>
          <t>https://us.kimino.com</t>
        </is>
      </c>
      <c r="AZ209" t="inlineStr">
        <is>
          <t>CA</t>
        </is>
      </c>
      <c r="BA209" t="inlineStr">
        <is>
          <t>elsewhere</t>
        </is>
      </c>
      <c r="BB209" t="inlineStr">
        <is>
          <t>unknown</t>
        </is>
      </c>
      <c r="BD209" t="inlineStr">
        <is>
          <t>unknown</t>
        </is>
      </c>
      <c r="BE209" t="inlineStr">
        <is>
          <t>No storage statement in FAQ</t>
        </is>
      </c>
      <c r="BF209" t="inlineStr">
        <is>
          <t>Y</t>
        </is>
      </c>
      <c r="BG209" t="inlineStr">
        <is>
          <t>Y</t>
        </is>
      </c>
      <c r="BH209" t="inlineStr">
        <is>
          <t>unknown</t>
        </is>
      </c>
      <c r="BJ209" t="inlineStr">
        <is>
          <t>No public sales figure found</t>
        </is>
      </c>
      <c r="BK209" t="inlineStr">
        <is>
          <t>N</t>
        </is>
      </c>
      <c r="BL209" t="inlineStr">
        <is>
          <t>N</t>
        </is>
      </c>
      <c r="BO209" t="inlineStr">
        <is>
          <t>N</t>
        </is>
      </c>
      <c r="BP209" t="n">
        <v>0</v>
      </c>
      <c r="BS209" t="inlineStr">
        <is>
          <t>unknown (wholesale page only)</t>
        </is>
      </c>
      <c r="BU209" t="inlineStr">
        <is>
          <t>listing</t>
        </is>
      </c>
      <c r="BV209" t="n">
        <v>359</v>
      </c>
      <c r="BX209" t="inlineStr">
        <is>
          <t>Bill Creelman</t>
        </is>
      </c>
      <c r="BY209" t="inlineStr">
        <is>
          <t>unverified, founder to confirm</t>
        </is>
      </c>
      <c r="CA209" t="inlineStr">
        <is>
          <t>Andres Montoya</t>
        </is>
      </c>
      <c r="CB209" t="inlineStr">
        <is>
          <t>Andres</t>
        </is>
      </c>
      <c r="CC209" t="inlineStr">
        <is>
          <t>Montoya</t>
        </is>
      </c>
      <c r="CD209" t="inlineStr">
        <is>
          <t>National Director</t>
        </is>
      </c>
      <c r="CE209" t="inlineStr">
        <is>
          <t>marketing</t>
        </is>
      </c>
      <c r="CF209" t="inlineStr">
        <is>
          <t>verified-page</t>
        </is>
      </c>
      <c r="CG209" t="inlineStr">
        <is>
          <t>National Director, not a marketing title</t>
        </is>
      </c>
      <c r="CK209" t="inlineStr">
        <is>
          <t>none</t>
        </is>
      </c>
      <c r="CL209" t="n">
        <v>30</v>
      </c>
      <c r="CM209" t="n">
        <v>6</v>
      </c>
      <c r="CN209" t="n">
        <v>3</v>
      </c>
      <c r="CO209" t="n">
        <v>4</v>
      </c>
      <c r="CP209" t="n">
        <v>5</v>
      </c>
      <c r="CQ209" t="n">
        <v>7</v>
      </c>
      <c r="CR209" t="n">
        <v>7</v>
      </c>
      <c r="CS209">
        <f>IF(R209="Y",10,0)</f>
        <v/>
      </c>
      <c r="CT209" t="n">
        <v>-2</v>
      </c>
      <c r="CU209" t="inlineStr">
        <is>
          <t>unknown</t>
        </is>
      </c>
      <c r="CV209" t="inlineStr">
        <is>
          <t>BR3</t>
        </is>
      </c>
      <c r="CW209" t="inlineStr">
        <is>
          <t>BR3:79</t>
        </is>
      </c>
      <c r="CX209" t="inlineStr">
        <is>
          <t>kimino.com is a splash page linking to Japan and USA stores. Fits the Asian-flavor sparkling set with Sanzo and Moshi (category exclusivity per drop). Date is Shopify publish date.</t>
        </is>
      </c>
      <c r="CY209" t="inlineStr">
        <is>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is>
      </c>
      <c r="CZ209" t="inlineStr">
        <is>
          <t>https://attend.expowest.com/event/natural-products-expo-west-2026/exhibitor/RXhoaWJpdG9yXzIzNTg3MzU=</t>
        </is>
      </c>
      <c r="DA209" t="inlineStr">
        <is>
          <t>stage 1 only</t>
        </is>
      </c>
      <c r="DC209" t="inlineStr">
        <is>
          <t>press, event or podcast page</t>
        </is>
      </c>
      <c r="DY209">
        <f>IF(ISNUMBER(MATCH(U209,{"queued","contacted","replied","call_booked","call_done","yes_in_principle","materials_sent"},0)),"Y","N")</f>
        <v/>
      </c>
      <c r="DZ209">
        <f>IF(COUNTIFS($AN$2:$AN$1000,AN209,$DY$2:$DY$1000,"Y")+COUNTIFS($AN$2:$AN$1000,AN209,$T$2:$T$1000,"Y")&gt;0,"Y","N")</f>
        <v/>
      </c>
      <c r="EA209">
        <f>IF(AND(U209="new",T209="N",AR209="Y",AQ209="",DZ209="N"),"Y","N")</f>
        <v/>
      </c>
      <c r="EB209">
        <f>IF(EA209&lt;&gt;"Y","N",IF(COUNTIFS($AN$2:$AN$1000,AN209,$EA$2:$EA$1000,"Y",$J$2:$J$1000,"&gt;"&amp;J209)+COUNTIFS($AN$2:$AN$1000,AN209,$EA$2:$EA$1000,"Y",$J$2:$J$1000,J209,$ED$2:$ED$1000,"&lt;"&amp;ED209)=0,"Y","N"))</f>
        <v/>
      </c>
      <c r="EC209">
        <f>IF(Y209="","N",IF(Y209&lt;=10,"Y","N"))</f>
        <v/>
      </c>
      <c r="ED209">
        <f>ROW()-1</f>
        <v/>
      </c>
    </row>
    <row r="210">
      <c r="A210" t="inlineStr">
        <is>
          <t>AB-115</t>
        </is>
      </c>
      <c r="B210" t="inlineStr">
        <is>
          <t>Mast</t>
        </is>
      </c>
      <c r="H210" t="inlineStr">
        <is>
          <t>none</t>
        </is>
      </c>
      <c r="J210">
        <f>IF(AU210="pass",CM210+CN210+CO210+CP210+CQ210+CR210+CS210+CT210,0)</f>
        <v/>
      </c>
      <c r="K210" t="inlineStr">
        <is>
          <t>New York State brand, no graded store within ten blocks, online store only, no dated why-now in the last 12 months, revenue unknown, no contact named; founder review: other.</t>
        </is>
      </c>
      <c r="M210" t="inlineStr">
        <is>
          <t>none found within ten blocks</t>
        </is>
      </c>
      <c r="N210" t="inlineStr">
        <is>
          <t>unverified</t>
        </is>
      </c>
      <c r="R210" t="inlineStr">
        <is>
          <t>N</t>
        </is>
      </c>
      <c r="S210" t="inlineStr">
        <is>
          <t>unknown</t>
        </is>
      </c>
      <c r="T210" t="inlineStr">
        <is>
          <t>N</t>
        </is>
      </c>
      <c r="U210" t="inlineStr">
        <is>
          <t>new</t>
        </is>
      </c>
      <c r="V210" t="inlineStr">
        <is>
          <t>https://mastmarket.com/pages/faq</t>
        </is>
      </c>
      <c r="W210" t="inlineStr">
        <is>
          <t>2026-10-23</t>
        </is>
      </c>
      <c r="X210" t="inlineStr">
        <is>
          <t>brand</t>
        </is>
      </c>
      <c r="Y210">
        <f>IF(EB210&lt;&gt;"Y","",COUNTIFS($EB$2:$EB$1000,"Y",$J$2:$J$1000,"&gt;"&amp;J210)+COUNTIFS($EB$2:$EB$1000,"Y",$J$2:$J$1000,J210,$ED$2:$ED$1000,"&lt;"&amp;ED210)+1)</f>
        <v/>
      </c>
      <c r="Z210" t="n">
        <v>209</v>
      </c>
      <c r="AA210" t="inlineStr">
        <is>
          <t>N</t>
        </is>
      </c>
      <c r="AB210" t="inlineStr">
        <is>
          <t>no person named on an opened page: not ready; founder review (other): read founder_review_reason first</t>
        </is>
      </c>
      <c r="AD210" t="inlineStr">
        <is>
          <t>none</t>
        </is>
      </c>
      <c r="AH210" t="inlineStr">
        <is>
          <t>Mast organic chocolate bars (Tanzanian Kokoa Kamili cacao)</t>
        </is>
      </c>
      <c r="AI210" t="inlineStr">
        <is>
          <t>chocolate-candy</t>
        </is>
      </c>
      <c r="AJ210" t="inlineStr">
        <is>
          <t>Bedford (contact page; terms list Mt. Kisco)</t>
        </is>
      </c>
      <c r="AK210" t="inlineStr">
        <is>
          <t>https://mastmarket.com</t>
        </is>
      </c>
      <c r="AL210" t="inlineStr">
        <is>
          <t>Y</t>
        </is>
      </c>
      <c r="AM210" t="inlineStr">
        <is>
          <t>Brand has pivoted to an organic market (sells many third-party foods); chocolate line not found in cluster WFM catalogs; confirm the chocolate line is still active; 60-day shelf life not stated</t>
        </is>
      </c>
      <c r="AN210" t="inlineStr">
        <is>
          <t>AB-115</t>
        </is>
      </c>
      <c r="AO210" t="inlineStr">
        <is>
          <t>N</t>
        </is>
      </c>
      <c r="AR210">
        <f>IF(AND(AU210="pass",AO210&lt;&gt;"Y",C210&lt;&gt;""),"Y","N")</f>
        <v/>
      </c>
      <c r="AS210">
        <f>_xlfn.TEXTJOIN("; ",TRUE,IF(AU210&lt;&gt;"pass","gated out",""),IF(AO210="Y","on hold: "&amp;AP210,""),IF(C210="","no contact named on an opened page",""))</f>
        <v/>
      </c>
      <c r="AU210" t="inlineStr">
        <is>
          <t>pass</t>
        </is>
      </c>
      <c r="AW210" t="inlineStr">
        <is>
          <t>passes all hard gates</t>
        </is>
      </c>
      <c r="AX210" t="inlineStr">
        <is>
          <t>other</t>
        </is>
      </c>
      <c r="AY210" t="inlineStr">
        <is>
          <t>https://mastmarket.com</t>
        </is>
      </c>
      <c r="AZ210" t="inlineStr">
        <is>
          <t>NY</t>
        </is>
      </c>
      <c r="BA210" t="inlineStr">
        <is>
          <t>nys</t>
        </is>
      </c>
      <c r="BB210" t="inlineStr">
        <is>
          <t>unknown</t>
        </is>
      </c>
      <c r="BD210" t="inlineStr">
        <is>
          <t>likely</t>
        </is>
      </c>
      <c r="BE210" t="inlineStr">
        <is>
          <t>Wrapped chocolate bars sold nationally at grocery; shelf-life figure not found</t>
        </is>
      </c>
      <c r="BF210" t="inlineStr">
        <is>
          <t>Y</t>
        </is>
      </c>
      <c r="BG210" t="inlineStr">
        <is>
          <t>Y</t>
        </is>
      </c>
      <c r="BH210" t="inlineStr">
        <is>
          <t>unknown</t>
        </is>
      </c>
      <c r="BJ210" t="inlineStr">
        <is>
          <t>unknown</t>
        </is>
      </c>
      <c r="BK210" t="inlineStr">
        <is>
          <t>N</t>
        </is>
      </c>
      <c r="BL210" t="inlineStr">
        <is>
          <t>N</t>
        </is>
      </c>
      <c r="BO210" t="inlineStr">
        <is>
          <t>N</t>
        </is>
      </c>
      <c r="BP210" t="n">
        <v>0</v>
      </c>
      <c r="BR210" t="inlineStr">
        <is>
          <t>Mast Market (brand_claim, unplaced)</t>
        </is>
      </c>
      <c r="BS210" t="inlineStr">
        <is>
          <t>Whole Foods; Wegmans; The Fresh Market; hundreds of independent specialty markets (brand FAQ)</t>
        </is>
      </c>
      <c r="BT210" t="inlineStr">
        <is>
          <t>https://mastmarket.com/pages/faq; https://www.wholefoodsmarket.com/api/search?text=mast%20chocolate&amp;store=10162&amp;limit=60&amp;offset=0</t>
        </is>
      </c>
      <c r="BU210" t="inlineStr">
        <is>
          <t>none</t>
        </is>
      </c>
      <c r="CF210" t="inlineStr">
        <is>
          <t>none</t>
        </is>
      </c>
      <c r="CK210" t="inlineStr">
        <is>
          <t>none</t>
        </is>
      </c>
      <c r="CL210" t="n">
        <v>30</v>
      </c>
      <c r="CM210" t="n">
        <v>6</v>
      </c>
      <c r="CN210" t="n">
        <v>13</v>
      </c>
      <c r="CO210" t="n">
        <v>0</v>
      </c>
      <c r="CP210" t="n">
        <v>5</v>
      </c>
      <c r="CQ210" t="n">
        <v>8</v>
      </c>
      <c r="CR210" t="n">
        <v>0</v>
      </c>
      <c r="CS210">
        <f>IF(R210="Y",10,0)</f>
        <v/>
      </c>
      <c r="CT210" t="n">
        <v>-2</v>
      </c>
      <c r="CU210" t="inlineStr">
        <is>
          <t>https://www.instagram.com/mastmarket/</t>
        </is>
      </c>
      <c r="CV210" t="inlineStr">
        <is>
          <t>BR2</t>
        </is>
      </c>
      <c r="CW210" t="inlineStr">
        <is>
          <t>BR2:53</t>
        </is>
      </c>
      <c r="CX210" t="inlineStr">
        <is>
          <t>Formerly Mast Brothers (mastbrothers.com now redirects to mastmarket.com). Mast Market also stocks local brands and could double as a NYC retailer for other rows. Store address not found on pages opened.</t>
        </is>
      </c>
      <c r="CY210" t="inlineStr">
        <is>
          <t xml:space="preserve">hq_city &lt;- https://mastmarket.com/policies/contact-information (2026-10-24, opened); </t>
        </is>
      </c>
      <c r="DA210" t="inlineStr">
        <is>
          <t>stage 1 only</t>
        </is>
      </c>
      <c r="DY210">
        <f>IF(ISNUMBER(MATCH(U210,{"queued","contacted","replied","call_booked","call_done","yes_in_principle","materials_sent"},0)),"Y","N")</f>
        <v/>
      </c>
      <c r="DZ210">
        <f>IF(COUNTIFS($AN$2:$AN$1000,AN210,$DY$2:$DY$1000,"Y")+COUNTIFS($AN$2:$AN$1000,AN210,$T$2:$T$1000,"Y")&gt;0,"Y","N")</f>
        <v/>
      </c>
      <c r="EA210">
        <f>IF(AND(U210="new",T210="N",AR210="Y",AQ210="",DZ210="N"),"Y","N")</f>
        <v/>
      </c>
      <c r="EB210">
        <f>IF(EA210&lt;&gt;"Y","N",IF(COUNTIFS($AN$2:$AN$1000,AN210,$EA$2:$EA$1000,"Y",$J$2:$J$1000,"&gt;"&amp;J210)+COUNTIFS($AN$2:$AN$1000,AN210,$EA$2:$EA$1000,"Y",$J$2:$J$1000,J210,$ED$2:$ED$1000,"&lt;"&amp;ED210)=0,"Y","N"))</f>
        <v/>
      </c>
      <c r="EC210">
        <f>IF(Y210="","N",IF(Y210&lt;=10,"Y","N"))</f>
        <v/>
      </c>
      <c r="ED210">
        <f>ROW()-1</f>
        <v/>
      </c>
    </row>
    <row r="211">
      <c r="A211" t="inlineStr">
        <is>
          <t>AB-018</t>
        </is>
      </c>
      <c r="B211" t="inlineStr">
        <is>
          <t>Ghips</t>
        </is>
      </c>
      <c r="H211" t="inlineStr">
        <is>
          <t>none</t>
        </is>
      </c>
      <c r="J211">
        <f>IF(AU211="pass",CM211+CN211+CO211+CP211+CQ211+CR211+CS211+CT211,0)</f>
        <v/>
      </c>
      <c r="K211" t="inlineStr">
        <is>
          <t>Brand based outside the Northeast, no graded store within ten blocks, online store only, a new store listing 88 days ago, revenue unknown, no contact named.</t>
        </is>
      </c>
      <c r="M211" t="inlineStr">
        <is>
          <t>none found within ten blocks</t>
        </is>
      </c>
      <c r="N211" t="inlineStr">
        <is>
          <t>unverified</t>
        </is>
      </c>
      <c r="O211" t="inlineStr">
        <is>
          <t>New Sea Salt &amp; Balsamic flavor; brand already sells an 'Office Subscription' product</t>
        </is>
      </c>
      <c r="P211" t="inlineStr">
        <is>
          <t>https://eatghips.com/products/sea-salt-balsamic</t>
        </is>
      </c>
      <c r="Q211" t="inlineStr">
        <is>
          <t>2026-07-28</t>
        </is>
      </c>
      <c r="R211" t="inlineStr">
        <is>
          <t>N</t>
        </is>
      </c>
      <c r="S211" t="inlineStr">
        <is>
          <t>unknown</t>
        </is>
      </c>
      <c r="T211" t="inlineStr">
        <is>
          <t>N</t>
        </is>
      </c>
      <c r="U211" t="inlineStr">
        <is>
          <t>new</t>
        </is>
      </c>
      <c r="V211" t="inlineStr">
        <is>
          <t>https://eatghips.com/pages/about</t>
        </is>
      </c>
      <c r="W211" t="inlineStr">
        <is>
          <t>2026-10-23</t>
        </is>
      </c>
      <c r="X211" t="inlineStr">
        <is>
          <t>brand</t>
        </is>
      </c>
      <c r="Y211">
        <f>IF(EB211&lt;&gt;"Y","",COUNTIFS($EB$2:$EB$1000,"Y",$J$2:$J$1000,"&gt;"&amp;J211)+COUNTIFS($EB$2:$EB$1000,"Y",$J$2:$J$1000,J211,$ED$2:$ED$1000,"&lt;"&amp;ED211)+1)</f>
        <v/>
      </c>
      <c r="Z211" t="n">
        <v>210</v>
      </c>
      <c r="AA211" t="inlineStr">
        <is>
          <t>N</t>
        </is>
      </c>
      <c r="AB211" t="inlineStr">
        <is>
          <t>no person named on an opened page: not ready</t>
        </is>
      </c>
      <c r="AD211" t="inlineStr">
        <is>
          <t>none</t>
        </is>
      </c>
      <c r="AH211" t="inlineStr">
        <is>
          <t>Ghips ghee-fried potato chips, Sea Salt Original (5 oz bags)</t>
        </is>
      </c>
      <c r="AI211" t="inlineStr">
        <is>
          <t>chips-crisps</t>
        </is>
      </c>
      <c r="AJ211" t="inlineStr">
        <is>
          <t>Del Mar</t>
        </is>
      </c>
      <c r="AK211" t="inlineStr">
        <is>
          <t>https://eatghips.com</t>
        </is>
      </c>
      <c r="AL211" t="inlineStr">
        <is>
          <t>N</t>
        </is>
      </c>
      <c r="AN211" t="inlineStr">
        <is>
          <t>AB-018</t>
        </is>
      </c>
      <c r="AO211" t="inlineStr">
        <is>
          <t>N</t>
        </is>
      </c>
      <c r="AR211">
        <f>IF(AND(AU211="pass",AO211&lt;&gt;"Y",C211&lt;&gt;""),"Y","N")</f>
        <v/>
      </c>
      <c r="AS211">
        <f>_xlfn.TEXTJOIN("; ",TRUE,IF(AU211&lt;&gt;"pass","gated out",""),IF(AO211="Y","on hold: "&amp;AP211,""),IF(C211="","no contact named on an opened page",""))</f>
        <v/>
      </c>
      <c r="AU211" t="inlineStr">
        <is>
          <t>pass</t>
        </is>
      </c>
      <c r="AW211" t="inlineStr">
        <is>
          <t>passes all hard gates</t>
        </is>
      </c>
      <c r="AY211" t="inlineStr">
        <is>
          <t>https://eatghips.com</t>
        </is>
      </c>
      <c r="AZ211" t="inlineStr">
        <is>
          <t>CA</t>
        </is>
      </c>
      <c r="BA211" t="inlineStr">
        <is>
          <t>elsewhere</t>
        </is>
      </c>
      <c r="BB211" t="inlineStr">
        <is>
          <t>unknown</t>
        </is>
      </c>
      <c r="BD211" t="inlineStr">
        <is>
          <t>Y</t>
        </is>
      </c>
      <c r="BE211" t="inlineStr">
        <is>
          <t>Bagged potato chips sold ambient</t>
        </is>
      </c>
      <c r="BF211" t="inlineStr">
        <is>
          <t>N</t>
        </is>
      </c>
      <c r="BG211" t="inlineStr">
        <is>
          <t>Y</t>
        </is>
      </c>
      <c r="BH211" t="inlineStr">
        <is>
          <t>unknown</t>
        </is>
      </c>
      <c r="BJ211" t="inlineStr">
        <is>
          <t>unknown</t>
        </is>
      </c>
      <c r="BK211" t="inlineStr">
        <is>
          <t>N</t>
        </is>
      </c>
      <c r="BL211" t="inlineStr">
        <is>
          <t>N</t>
        </is>
      </c>
      <c r="BO211" t="inlineStr">
        <is>
          <t>N</t>
        </is>
      </c>
      <c r="BP211" t="n">
        <v>0</v>
      </c>
      <c r="BR211" t="inlineStr">
        <is>
          <t>PopUp Grocer (brand_claim, unplaced)</t>
        </is>
      </c>
      <c r="BS211" t="inlineStr">
        <is>
          <t>PopUp Grocer (NYC); Faire; Airgoods</t>
        </is>
      </c>
      <c r="BT211" t="inlineStr">
        <is>
          <t>https://popupgrocer.com/pages/directory (availability 'NYC Flagship', 2026-10-23); https://popupgrocer.com/products/ghips</t>
        </is>
      </c>
      <c r="BU211" t="inlineStr">
        <is>
          <t>listing</t>
        </is>
      </c>
      <c r="BV211" t="n">
        <v>88</v>
      </c>
      <c r="CF211" t="inlineStr">
        <is>
          <t>none</t>
        </is>
      </c>
      <c r="CK211" t="inlineStr">
        <is>
          <t>none</t>
        </is>
      </c>
      <c r="CL211" t="n">
        <v>29</v>
      </c>
      <c r="CM211" t="n">
        <v>6</v>
      </c>
      <c r="CN211" t="n">
        <v>3</v>
      </c>
      <c r="CO211" t="n">
        <v>8</v>
      </c>
      <c r="CP211" t="n">
        <v>5</v>
      </c>
      <c r="CQ211" t="n">
        <v>7</v>
      </c>
      <c r="CR211" t="n">
        <v>0</v>
      </c>
      <c r="CS211">
        <f>IF(R211="Y",10,0)</f>
        <v/>
      </c>
      <c r="CT211" t="n">
        <v>0</v>
      </c>
      <c r="CU211" t="inlineStr">
        <is>
          <t>https://instagram.com/eatghips</t>
        </is>
      </c>
      <c r="CV211" t="inlineStr">
        <is>
          <t>BR1</t>
        </is>
      </c>
      <c r="CW211" t="inlineStr">
        <is>
          <t>BR1:19</t>
        </is>
      </c>
      <c r="CX211" t="inlineStr">
        <is>
          <t>Office Subscription SKU (published 2026-01-14) signals interest in office channel. Business city from privacy policy. Founder not named on site.</t>
        </is>
      </c>
      <c r="DA211" t="inlineStr">
        <is>
          <t>stage 1 only</t>
        </is>
      </c>
      <c r="DY211">
        <f>IF(ISNUMBER(MATCH(U211,{"queued","contacted","replied","call_booked","call_done","yes_in_principle","materials_sent"},0)),"Y","N")</f>
        <v/>
      </c>
      <c r="DZ211">
        <f>IF(COUNTIFS($AN$2:$AN$1000,AN211,$DY$2:$DY$1000,"Y")+COUNTIFS($AN$2:$AN$1000,AN211,$T$2:$T$1000,"Y")&gt;0,"Y","N")</f>
        <v/>
      </c>
      <c r="EA211">
        <f>IF(AND(U211="new",T211="N",AR211="Y",AQ211="",DZ211="N"),"Y","N")</f>
        <v/>
      </c>
      <c r="EB211">
        <f>IF(EA211&lt;&gt;"Y","N",IF(COUNTIFS($AN$2:$AN$1000,AN211,$EA$2:$EA$1000,"Y",$J$2:$J$1000,"&gt;"&amp;J211)+COUNTIFS($AN$2:$AN$1000,AN211,$EA$2:$EA$1000,"Y",$J$2:$J$1000,J211,$ED$2:$ED$1000,"&lt;"&amp;ED211)=0,"Y","N"))</f>
        <v/>
      </c>
      <c r="EC211">
        <f>IF(Y211="","N",IF(Y211&lt;=10,"Y","N"))</f>
        <v/>
      </c>
      <c r="ED211">
        <f>ROW()-1</f>
        <v/>
      </c>
    </row>
    <row r="212">
      <c r="A212" t="inlineStr">
        <is>
          <t>AB-039</t>
        </is>
      </c>
      <c r="B212" t="inlineStr">
        <is>
          <t>PeaKaPop</t>
        </is>
      </c>
      <c r="C212" t="inlineStr">
        <is>
          <t>Emre</t>
        </is>
      </c>
      <c r="D212" t="inlineStr">
        <is>
          <t>unknown</t>
        </is>
      </c>
      <c r="E212" t="inlineStr">
        <is>
          <t>Co-founder</t>
        </is>
      </c>
      <c r="H212" t="inlineStr">
        <is>
          <t>none</t>
        </is>
      </c>
      <c r="I212" t="inlineStr">
        <is>
          <t>linkedin</t>
        </is>
      </c>
      <c r="J212">
        <f>IF(AU212="pass",CM212+CN212+CO212+CP212+CQ212+CR212+CS212+CT212,0)</f>
        <v/>
      </c>
      <c r="K212" t="inlineStr">
        <is>
          <t>Brand based outside the Northeast, no graded store within ten blocks, online store only, a new store listing 71 days ago, revenue unknown, contact named (first name only); founder review: claim-borderline.</t>
        </is>
      </c>
      <c r="M212" t="inlineStr">
        <is>
          <t>none found within ten blocks</t>
        </is>
      </c>
      <c r="N212" t="inlineStr">
        <is>
          <t>unverified</t>
        </is>
      </c>
      <c r="O212" t="inlineStr">
        <is>
          <t>Launched Protein Thins on brand store</t>
        </is>
      </c>
      <c r="P212" t="inlineStr">
        <is>
          <t>https://peakapop.com/products/protein-this</t>
        </is>
      </c>
      <c r="Q212" t="inlineStr">
        <is>
          <t>2026-08-14</t>
        </is>
      </c>
      <c r="R212" t="inlineStr">
        <is>
          <t>N</t>
        </is>
      </c>
      <c r="S212" t="inlineStr">
        <is>
          <t>unknown</t>
        </is>
      </c>
      <c r="T212" t="inlineStr">
        <is>
          <t>N</t>
        </is>
      </c>
      <c r="U212" t="inlineStr">
        <is>
          <t>new</t>
        </is>
      </c>
      <c r="V212" t="inlineStr">
        <is>
          <t>https://peakapop.com/pages/about-us</t>
        </is>
      </c>
      <c r="W212" t="inlineStr">
        <is>
          <t>2026-10-23</t>
        </is>
      </c>
      <c r="X212" t="inlineStr">
        <is>
          <t>brand</t>
        </is>
      </c>
      <c r="Y212">
        <f>IF(EB212&lt;&gt;"Y","",COUNTIFS($EB$2:$EB$1000,"Y",$J$2:$J$1000,"&gt;"&amp;J212)+COUNTIFS($EB$2:$EB$1000,"Y",$J$2:$J$1000,J212,$ED$2:$ED$1000,"&lt;"&amp;ED212)+1)</f>
        <v/>
      </c>
      <c r="Z212" t="n">
        <v>211</v>
      </c>
      <c r="AA212" t="inlineStr">
        <is>
          <t>N</t>
        </is>
      </c>
      <c r="AB212" t="inlineStr">
        <is>
          <t>find Emre at PeaKaPop on LinkedIn and paste the profile URL; surname not public: take it from LinkedIn; founder review (claim-borderline): read founder_review_reason first</t>
        </is>
      </c>
      <c r="AC212" t="inlineStr">
        <is>
          <t>founder</t>
        </is>
      </c>
      <c r="AD212" t="inlineStr">
        <is>
          <t>first-name-only</t>
        </is>
      </c>
      <c r="AE212" t="inlineStr">
        <is>
          <t>employer's own site</t>
        </is>
      </c>
      <c r="AF212" t="inlineStr">
        <is>
          <t>https://peakapop.com/pages/about-us</t>
        </is>
      </c>
      <c r="AG212" t="inlineStr">
        <is>
          <t>2026-10-23</t>
        </is>
      </c>
      <c r="AH212" t="inlineStr">
        <is>
          <t>PeaKaPop Sea Salt Veggie Crisps (air-popped chickpea and lentil)</t>
        </is>
      </c>
      <c r="AI212" t="inlineStr">
        <is>
          <t>popcorn-puffs</t>
        </is>
      </c>
      <c r="AJ212" t="inlineStr">
        <is>
          <t>Woodbridge</t>
        </is>
      </c>
      <c r="AK212" t="inlineStr">
        <is>
          <t>https://peakapop.com</t>
        </is>
      </c>
      <c r="AL212" t="inlineStr">
        <is>
          <t>Y</t>
        </is>
      </c>
      <c r="AM212" t="inlineStr">
        <is>
          <t>New 'Protein Thins' line (protein positioning)</t>
        </is>
      </c>
      <c r="AN212" t="inlineStr">
        <is>
          <t>AB-039</t>
        </is>
      </c>
      <c r="AO212" t="inlineStr">
        <is>
          <t>N</t>
        </is>
      </c>
      <c r="AR212">
        <f>IF(AND(AU212="pass",AO212&lt;&gt;"Y",C212&lt;&gt;""),"Y","N")</f>
        <v/>
      </c>
      <c r="AS212">
        <f>_xlfn.TEXTJOIN("; ",TRUE,IF(AU212&lt;&gt;"pass","gated out",""),IF(AO212="Y","on hold: "&amp;AP212,""),IF(C212="","no contact named on an opened page",""))</f>
        <v/>
      </c>
      <c r="AU212" t="inlineStr">
        <is>
          <t>pass</t>
        </is>
      </c>
      <c r="AW212" t="inlineStr">
        <is>
          <t>passes all hard gates</t>
        </is>
      </c>
      <c r="AX212" t="inlineStr">
        <is>
          <t>claim-borderline</t>
        </is>
      </c>
      <c r="AY212" t="inlineStr">
        <is>
          <t>https://peakapop.com</t>
        </is>
      </c>
      <c r="AZ212" t="inlineStr">
        <is>
          <t>VA</t>
        </is>
      </c>
      <c r="BA212" t="inlineStr">
        <is>
          <t>elsewhere</t>
        </is>
      </c>
      <c r="BB212" t="inlineStr">
        <is>
          <t>unknown</t>
        </is>
      </c>
      <c r="BD212" t="inlineStr">
        <is>
          <t>Y</t>
        </is>
      </c>
      <c r="BE212" t="inlineStr">
        <is>
          <t>Air-popped legume crisps in sealed bags, ambient</t>
        </is>
      </c>
      <c r="BF212" t="inlineStr">
        <is>
          <t>unknown</t>
        </is>
      </c>
      <c r="BG212" t="inlineStr">
        <is>
          <t>Y</t>
        </is>
      </c>
      <c r="BH212" t="inlineStr">
        <is>
          <t>unknown</t>
        </is>
      </c>
      <c r="BJ212" t="inlineStr">
        <is>
          <t>unknown</t>
        </is>
      </c>
      <c r="BK212" t="inlineStr">
        <is>
          <t>N</t>
        </is>
      </c>
      <c r="BL212" t="inlineStr">
        <is>
          <t>N</t>
        </is>
      </c>
      <c r="BO212" t="inlineStr">
        <is>
          <t>N</t>
        </is>
      </c>
      <c r="BP212" t="n">
        <v>0</v>
      </c>
      <c r="BR212" t="inlineStr">
        <is>
          <t>PopUp Grocer (brand_claim, unplaced)</t>
        </is>
      </c>
      <c r="BS212" t="inlineStr">
        <is>
          <t>PopUp Grocer (NYC)</t>
        </is>
      </c>
      <c r="BT212" t="inlineStr">
        <is>
          <t>https://popupgrocer.com/pages/directory (availability 'NYC Flagship', 2026-10-23); https://popupgrocer.com/products/peakapop</t>
        </is>
      </c>
      <c r="BU212" t="inlineStr">
        <is>
          <t>listing</t>
        </is>
      </c>
      <c r="BV212" t="n">
        <v>71</v>
      </c>
      <c r="BX212" t="inlineStr">
        <is>
          <t>Emre</t>
        </is>
      </c>
      <c r="BY212" t="inlineStr">
        <is>
          <t>first names on brand site</t>
        </is>
      </c>
      <c r="CA212" t="inlineStr">
        <is>
          <t>Zeynep</t>
        </is>
      </c>
      <c r="CB212" t="inlineStr">
        <is>
          <t>Zeynep</t>
        </is>
      </c>
      <c r="CC212" t="inlineStr">
        <is>
          <t>unknown</t>
        </is>
      </c>
      <c r="CD212" t="inlineStr">
        <is>
          <t>Co-founder</t>
        </is>
      </c>
      <c r="CE212" t="inlineStr">
        <is>
          <t>co-founder</t>
        </is>
      </c>
      <c r="CF212" t="inlineStr">
        <is>
          <t>first-name-only</t>
        </is>
      </c>
      <c r="CG212" t="inlineStr">
        <is>
          <t>first names on brand site</t>
        </is>
      </c>
      <c r="CK212" t="inlineStr">
        <is>
          <t>none</t>
        </is>
      </c>
      <c r="CL212" t="n">
        <v>29</v>
      </c>
      <c r="CM212" t="n">
        <v>6</v>
      </c>
      <c r="CN212" t="n">
        <v>3</v>
      </c>
      <c r="CO212" t="n">
        <v>8</v>
      </c>
      <c r="CP212" t="n">
        <v>5</v>
      </c>
      <c r="CQ212" t="n">
        <v>8</v>
      </c>
      <c r="CR212" t="n">
        <v>3</v>
      </c>
      <c r="CS212">
        <f>IF(R212="Y",10,0)</f>
        <v/>
      </c>
      <c r="CT212" t="n">
        <v>-4</v>
      </c>
      <c r="CU212" t="inlineStr">
        <is>
          <t>https://instagram.com/peakapop</t>
        </is>
      </c>
      <c r="CV212" t="inlineStr">
        <is>
          <t>BR1</t>
        </is>
      </c>
      <c r="CW212" t="inlineStr">
        <is>
          <t>BR1:40</t>
        </is>
      </c>
      <c r="CX212" t="inlineStr">
        <is>
          <t>Entity Fine Snacks Inc., Woodbridge VA (terms of service). Makes every batch in its own facility (homepage).</t>
        </is>
      </c>
      <c r="CZ212" t="inlineStr">
        <is>
          <t>https://peakapop.com/pages/about-us</t>
        </is>
      </c>
      <c r="DA212" t="inlineStr">
        <is>
          <t>stage 1 only</t>
        </is>
      </c>
      <c r="DC212" t="inlineStr">
        <is>
          <t>employer's own site</t>
        </is>
      </c>
      <c r="DY212">
        <f>IF(ISNUMBER(MATCH(U212,{"queued","contacted","replied","call_booked","call_done","yes_in_principle","materials_sent"},0)),"Y","N")</f>
        <v/>
      </c>
      <c r="DZ212">
        <f>IF(COUNTIFS($AN$2:$AN$1000,AN212,$DY$2:$DY$1000,"Y")+COUNTIFS($AN$2:$AN$1000,AN212,$T$2:$T$1000,"Y")&gt;0,"Y","N")</f>
        <v/>
      </c>
      <c r="EA212">
        <f>IF(AND(U212="new",T212="N",AR212="Y",AQ212="",DZ212="N"),"Y","N")</f>
        <v/>
      </c>
      <c r="EB212">
        <f>IF(EA212&lt;&gt;"Y","N",IF(COUNTIFS($AN$2:$AN$1000,AN212,$EA$2:$EA$1000,"Y",$J$2:$J$1000,"&gt;"&amp;J212)+COUNTIFS($AN$2:$AN$1000,AN212,$EA$2:$EA$1000,"Y",$J$2:$J$1000,J212,$ED$2:$ED$1000,"&lt;"&amp;ED212)=0,"Y","N"))</f>
        <v/>
      </c>
      <c r="EC212">
        <f>IF(Y212="","N",IF(Y212&lt;=10,"Y","N"))</f>
        <v/>
      </c>
      <c r="ED212">
        <f>ROW()-1</f>
        <v/>
      </c>
    </row>
    <row r="213">
      <c r="A213" t="inlineStr">
        <is>
          <t>AB-161</t>
        </is>
      </c>
      <c r="B213" t="inlineStr">
        <is>
          <t>Death Wish Coffee</t>
        </is>
      </c>
      <c r="C213" t="inlineStr">
        <is>
          <t>Mike</t>
        </is>
      </c>
      <c r="D213" t="inlineStr">
        <is>
          <t>Brown</t>
        </is>
      </c>
      <c r="E213" t="inlineStr">
        <is>
          <t>Founder</t>
        </is>
      </c>
      <c r="H213" t="inlineStr">
        <is>
          <t>none</t>
        </is>
      </c>
      <c r="I213" t="inlineStr">
        <is>
          <t>linkedin</t>
        </is>
      </c>
      <c r="J213">
        <f>IF(AU213="pass",CM213+CN213+CO213+CP213+CQ213+CR213+CS213+CT213,0)</f>
        <v/>
      </c>
      <c r="K213" t="inlineStr">
        <is>
          <t>New York State brand, no graded store within ten blocks, online store only, a new store listing 204 days ago, revenue unknown, contact named; founder review: scale, claim-borderline.</t>
        </is>
      </c>
      <c r="M213" t="inlineStr">
        <is>
          <t>none found within ten blocks</t>
        </is>
      </c>
      <c r="N213" t="inlineStr">
        <is>
          <t>unverified</t>
        </is>
      </c>
      <c r="O213" t="inlineStr">
        <is>
          <t>New Caramel Cold Brew Latte can added (after Classic, Mocha, Vanilla lattes in 2025-11)</t>
        </is>
      </c>
      <c r="P213" t="inlineStr">
        <is>
          <t>https://www.deathwishcoffee.com/products/caramel-cold-brew-latte</t>
        </is>
      </c>
      <c r="Q213" t="inlineStr">
        <is>
          <t>2026-04-03</t>
        </is>
      </c>
      <c r="R213" t="inlineStr">
        <is>
          <t>N</t>
        </is>
      </c>
      <c r="S213" t="inlineStr">
        <is>
          <t>unknown</t>
        </is>
      </c>
      <c r="T213" t="inlineStr">
        <is>
          <t>N</t>
        </is>
      </c>
      <c r="U213" t="inlineStr">
        <is>
          <t>new</t>
        </is>
      </c>
      <c r="V213" t="inlineStr">
        <is>
          <t>https://www.deathwishcoffee.com/pages/about</t>
        </is>
      </c>
      <c r="W213" t="inlineStr">
        <is>
          <t>2026-10-23</t>
        </is>
      </c>
      <c r="X213" t="inlineStr">
        <is>
          <t>brand</t>
        </is>
      </c>
      <c r="Y213">
        <f>IF(EB213&lt;&gt;"Y","",COUNTIFS($EB$2:$EB$1000,"Y",$J$2:$J$1000,"&gt;"&amp;J213)+COUNTIFS($EB$2:$EB$1000,"Y",$J$2:$J$1000,J213,$ED$2:$ED$1000,"&lt;"&amp;ED213)+1)</f>
        <v/>
      </c>
      <c r="Z213" t="n">
        <v>212</v>
      </c>
      <c r="AA213" t="inlineStr">
        <is>
          <t>N</t>
        </is>
      </c>
      <c r="AB213" t="inlineStr">
        <is>
          <t>find Mike Brown at Death Wish Coffee on LinkedIn and paste the profile URL; founder review (scale, claim-borderline): read founder_review_reason first</t>
        </is>
      </c>
      <c r="AC213" t="inlineStr">
        <is>
          <t>founder</t>
        </is>
      </c>
      <c r="AD213" t="inlineStr">
        <is>
          <t>verified-page</t>
        </is>
      </c>
      <c r="AE213" t="inlineStr">
        <is>
          <t>employer's own site</t>
        </is>
      </c>
      <c r="AF213" t="inlineStr">
        <is>
          <t>https://www.deathwishcoffee.com/pages/about</t>
        </is>
      </c>
      <c r="AG213" t="inlineStr">
        <is>
          <t>2026-10-23</t>
        </is>
      </c>
      <c r="AH213" t="inlineStr">
        <is>
          <t>Death Wish Classic Cold Brew Latte, can (approx. 140 mg caffeine)</t>
        </is>
      </c>
      <c r="AI213" t="inlineStr">
        <is>
          <t>coffee-rtd</t>
        </is>
      </c>
      <c r="AJ213" t="inlineStr">
        <is>
          <t>Saratoga Springs</t>
        </is>
      </c>
      <c r="AK213" t="inlineStr">
        <is>
          <t>https://www.deathwishcoffee.com/products/caramel-cold-brew-latte</t>
        </is>
      </c>
      <c r="AL213" t="inlineStr">
        <is>
          <t>Y</t>
        </is>
      </c>
      <c r="AM213" t="inlineStr">
        <is>
          <t>High-caffeine positioning (140 mg per can) and '65% less sugar' nutrient-content claim; national brand since 2012, likely above $10M (no figure); 60-day shelf life not stated</t>
        </is>
      </c>
      <c r="AN213" t="inlineStr">
        <is>
          <t>AB-161</t>
        </is>
      </c>
      <c r="AO213" t="inlineStr">
        <is>
          <t>N</t>
        </is>
      </c>
      <c r="AR213">
        <f>IF(AND(AU213="pass",AO213&lt;&gt;"Y",C213&lt;&gt;""),"Y","N")</f>
        <v/>
      </c>
      <c r="AS213">
        <f>_xlfn.TEXTJOIN("; ",TRUE,IF(AU213&lt;&gt;"pass","gated out",""),IF(AO213="Y","on hold: "&amp;AP213,""),IF(C213="","no contact named on an opened page",""))</f>
        <v/>
      </c>
      <c r="AU213" t="inlineStr">
        <is>
          <t>pass</t>
        </is>
      </c>
      <c r="AW213" t="inlineStr">
        <is>
          <t>passes all hard gates</t>
        </is>
      </c>
      <c r="AX213" t="inlineStr">
        <is>
          <t>scale;claim-borderline</t>
        </is>
      </c>
      <c r="AY213" t="inlineStr">
        <is>
          <t>https://www.deathwishcoffee.com</t>
        </is>
      </c>
      <c r="AZ213" t="inlineStr">
        <is>
          <t>NY</t>
        </is>
      </c>
      <c r="BA213" t="inlineStr">
        <is>
          <t>nys</t>
        </is>
      </c>
      <c r="BB213" t="inlineStr">
        <is>
          <t>unknown</t>
        </is>
      </c>
      <c r="BD213" t="inlineStr">
        <is>
          <t>unknown</t>
        </is>
      </c>
      <c r="BE213" t="inlineStr">
        <is>
          <t>No storage statement on latte product copy</t>
        </is>
      </c>
      <c r="BF213" t="inlineStr">
        <is>
          <t>Y</t>
        </is>
      </c>
      <c r="BG213" t="inlineStr">
        <is>
          <t>Y</t>
        </is>
      </c>
      <c r="BH213" t="inlineStr">
        <is>
          <t>unknown</t>
        </is>
      </c>
      <c r="BJ213" t="inlineStr">
        <is>
          <t>No public sales figure found</t>
        </is>
      </c>
      <c r="BK213" t="inlineStr">
        <is>
          <t>N</t>
        </is>
      </c>
      <c r="BL213" t="inlineStr">
        <is>
          <t>N</t>
        </is>
      </c>
      <c r="BO213" t="inlineStr">
        <is>
          <t>N</t>
        </is>
      </c>
      <c r="BP213" t="n">
        <v>0</v>
      </c>
      <c r="BS213" t="inlineStr">
        <is>
          <t>unknown (GoToAisle locator not readable)</t>
        </is>
      </c>
      <c r="BU213" t="inlineStr">
        <is>
          <t>listing</t>
        </is>
      </c>
      <c r="BV213" t="n">
        <v>204</v>
      </c>
      <c r="BX213" t="inlineStr">
        <is>
          <t>Mike Brown</t>
        </is>
      </c>
      <c r="CF213" t="inlineStr">
        <is>
          <t>none</t>
        </is>
      </c>
      <c r="CK213" t="inlineStr">
        <is>
          <t>none</t>
        </is>
      </c>
      <c r="CL213" t="n">
        <v>29</v>
      </c>
      <c r="CM213" t="n">
        <v>6</v>
      </c>
      <c r="CN213" t="n">
        <v>13</v>
      </c>
      <c r="CO213" t="n">
        <v>4</v>
      </c>
      <c r="CP213" t="n">
        <v>5</v>
      </c>
      <c r="CQ213" t="n">
        <v>7</v>
      </c>
      <c r="CR213" t="n">
        <v>6</v>
      </c>
      <c r="CS213">
        <f>IF(R213="Y",10,0)</f>
        <v/>
      </c>
      <c r="CT213" t="n">
        <v>-12</v>
      </c>
      <c r="CU213" t="inlineStr">
        <is>
          <t>https://www.instagram.com/deathwishcoffee</t>
        </is>
      </c>
      <c r="CV213" t="inlineStr">
        <is>
          <t>BR3</t>
        </is>
      </c>
      <c r="CW213" t="inlineStr">
        <is>
          <t>BR3:35</t>
        </is>
      </c>
      <c r="CX213" t="inlineStr">
        <is>
          <t>About page: headquartered in downtown Saratoga Springs, manufacturing in Round Lake, New York. Dates are Shopify publish dates.</t>
        </is>
      </c>
      <c r="DA213" t="inlineStr">
        <is>
          <t>stage 1 only</t>
        </is>
      </c>
      <c r="DY213">
        <f>IF(ISNUMBER(MATCH(U213,{"queued","contacted","replied","call_booked","call_done","yes_in_principle","materials_sent"},0)),"Y","N")</f>
        <v/>
      </c>
      <c r="DZ213">
        <f>IF(COUNTIFS($AN$2:$AN$1000,AN213,$DY$2:$DY$1000,"Y")+COUNTIFS($AN$2:$AN$1000,AN213,$T$2:$T$1000,"Y")&gt;0,"Y","N")</f>
        <v/>
      </c>
      <c r="EA213">
        <f>IF(AND(U213="new",T213="N",AR213="Y",AQ213="",DZ213="N"),"Y","N")</f>
        <v/>
      </c>
      <c r="EB213">
        <f>IF(EA213&lt;&gt;"Y","N",IF(COUNTIFS($AN$2:$AN$1000,AN213,$EA$2:$EA$1000,"Y",$J$2:$J$1000,"&gt;"&amp;J213)+COUNTIFS($AN$2:$AN$1000,AN213,$EA$2:$EA$1000,"Y",$J$2:$J$1000,J213,$ED$2:$ED$1000,"&lt;"&amp;ED213)=0,"Y","N"))</f>
        <v/>
      </c>
      <c r="EC213">
        <f>IF(Y213="","N",IF(Y213&lt;=10,"Y","N"))</f>
        <v/>
      </c>
      <c r="ED213">
        <f>ROW()-1</f>
        <v/>
      </c>
    </row>
    <row r="214">
      <c r="A214" t="inlineStr">
        <is>
          <t>AB-287</t>
        </is>
      </c>
      <c r="B214" t="inlineStr">
        <is>
          <t>Popzup Popcorn</t>
        </is>
      </c>
      <c r="H214" t="inlineStr">
        <is>
          <t>none</t>
        </is>
      </c>
      <c r="J214">
        <f>IF(AU214="pass",CM214+CN214+CO214+CP214+CQ214+CR214+CS214+CT214,0)</f>
        <v/>
      </c>
      <c r="K214" t="inlineStr">
        <is>
          <t>Northeast brand, no graded store within ten blocks, online store only, a new store listing 254 days ago, revenue unknown, no contact named; founder review: claim-borderline.</t>
        </is>
      </c>
      <c r="M214" t="inlineStr">
        <is>
          <t>none found within ten blocks</t>
        </is>
      </c>
      <c r="N214" t="inlineStr">
        <is>
          <t>unverified</t>
        </is>
      </c>
      <c r="O214" t="inlineStr">
        <is>
          <t>Launched 8-pack boxes of its single-serve popcorn bags</t>
        </is>
      </c>
      <c r="P214" t="inlineStr">
        <is>
          <t>https://popzup.com/products.json</t>
        </is>
      </c>
      <c r="Q214" t="inlineStr">
        <is>
          <t>2026-02-12</t>
        </is>
      </c>
      <c r="R214" t="inlineStr">
        <is>
          <t>N</t>
        </is>
      </c>
      <c r="S214" t="inlineStr">
        <is>
          <t>unknown</t>
        </is>
      </c>
      <c r="T214" t="inlineStr">
        <is>
          <t>N</t>
        </is>
      </c>
      <c r="U214" t="inlineStr">
        <is>
          <t>new</t>
        </is>
      </c>
      <c r="V214" t="inlineStr">
        <is>
          <t>https://events.specialtyfood.com/event/2026-summer-fancy-food-show/exhibitor/RXhoaWJpdG9yXzI0MjEwMDk=</t>
        </is>
      </c>
      <c r="W214" t="inlineStr">
        <is>
          <t>2026-10-24</t>
        </is>
      </c>
      <c r="X214" t="inlineStr">
        <is>
          <t>brand</t>
        </is>
      </c>
      <c r="Y214">
        <f>IF(EB214&lt;&gt;"Y","",COUNTIFS($EB$2:$EB$1000,"Y",$J$2:$J$1000,"&gt;"&amp;J214)+COUNTIFS($EB$2:$EB$1000,"Y",$J$2:$J$1000,J214,$ED$2:$ED$1000,"&lt;"&amp;ED214)+1)</f>
        <v/>
      </c>
      <c r="Z214" t="n">
        <v>213</v>
      </c>
      <c r="AA214" t="inlineStr">
        <is>
          <t>N</t>
        </is>
      </c>
      <c r="AB214" t="inlineStr">
        <is>
          <t>no person named on an opened page: not ready; founder review (claim-borderline): read founder_review_reason first</t>
        </is>
      </c>
      <c r="AD214" t="inlineStr">
        <is>
          <t>none</t>
        </is>
      </c>
      <c r="AH214" t="inlineStr">
        <is>
          <t>Cheddar Head single-serve popcorn, 0.52 oz bag (8-pack and 30-pack)</t>
        </is>
      </c>
      <c r="AI214" t="inlineStr">
        <is>
          <t>popcorn-puffs</t>
        </is>
      </c>
      <c r="AJ214" t="inlineStr">
        <is>
          <t>Somersworth</t>
        </is>
      </c>
      <c r="AK214" t="inlineStr">
        <is>
          <t>https://popzup.com</t>
        </is>
      </c>
      <c r="AL214" t="inlineStr">
        <is>
          <t>Y</t>
        </is>
      </c>
      <c r="AM214" t="inlineStr">
        <is>
          <t>Site copy calls the 70-calorie packs a 'healthy snack'; the SFFS listing says the dairy is 'a complete protein' with '11% daily fiber' (nutrient wording, check the pack). No NYC retailer found; online only for the cluster</t>
        </is>
      </c>
      <c r="AN214" t="inlineStr">
        <is>
          <t>AB-287</t>
        </is>
      </c>
      <c r="AO214" t="inlineStr">
        <is>
          <t>N</t>
        </is>
      </c>
      <c r="AR214">
        <f>IF(AND(AU214="pass",AO214&lt;&gt;"Y",C214&lt;&gt;""),"Y","N")</f>
        <v/>
      </c>
      <c r="AS214">
        <f>_xlfn.TEXTJOIN("; ",TRUE,IF(AU214&lt;&gt;"pass","gated out",""),IF(AO214="Y","on hold: "&amp;AP214,""),IF(C214="","no contact named on an opened page",""))</f>
        <v/>
      </c>
      <c r="AU214" t="inlineStr">
        <is>
          <t>pass</t>
        </is>
      </c>
      <c r="AW214" t="inlineStr">
        <is>
          <t>passes all hard gates</t>
        </is>
      </c>
      <c r="AX214" t="inlineStr">
        <is>
          <t>claim-borderline</t>
        </is>
      </c>
      <c r="AY214" t="inlineStr">
        <is>
          <t>https://popzup.com</t>
        </is>
      </c>
      <c r="AZ214" t="inlineStr">
        <is>
          <t>NH</t>
        </is>
      </c>
      <c r="BA214" t="inlineStr">
        <is>
          <t>northeast</t>
        </is>
      </c>
      <c r="BB214" t="inlineStr">
        <is>
          <t>unknown</t>
        </is>
      </c>
      <c r="BD214" t="inlineStr">
        <is>
          <t>Y</t>
        </is>
      </c>
      <c r="BE214" t="inlineStr">
        <is>
          <t>Popped popcorn in sealed single-serve bags shipped nationwide; shelf life not stated</t>
        </is>
      </c>
      <c r="BF214" t="inlineStr">
        <is>
          <t>Y</t>
        </is>
      </c>
      <c r="BG214" t="inlineStr">
        <is>
          <t>Y</t>
        </is>
      </c>
      <c r="BH214" t="inlineStr">
        <is>
          <t>unknown</t>
        </is>
      </c>
      <c r="BJ214" t="inlineStr">
        <is>
          <t>No sourced sales figure found</t>
        </is>
      </c>
      <c r="BK214" t="inlineStr">
        <is>
          <t>N</t>
        </is>
      </c>
      <c r="BL214" t="inlineStr">
        <is>
          <t>N</t>
        </is>
      </c>
      <c r="BO214" t="inlineStr">
        <is>
          <t>N</t>
        </is>
      </c>
      <c r="BP214" t="n">
        <v>0</v>
      </c>
      <c r="BS214" t="inlineStr">
        <is>
          <t>General stores in New England (customer reviews); online</t>
        </is>
      </c>
      <c r="BU214" t="inlineStr">
        <is>
          <t>listing</t>
        </is>
      </c>
      <c r="BV214" t="n">
        <v>254</v>
      </c>
      <c r="CF214" t="inlineStr">
        <is>
          <t>none</t>
        </is>
      </c>
      <c r="CK214" t="inlineStr">
        <is>
          <t>none</t>
        </is>
      </c>
      <c r="CL214" t="n">
        <v>29</v>
      </c>
      <c r="CM214" t="n">
        <v>6</v>
      </c>
      <c r="CN214" t="n">
        <v>8</v>
      </c>
      <c r="CO214" t="n">
        <v>4</v>
      </c>
      <c r="CP214" t="n">
        <v>5</v>
      </c>
      <c r="CQ214" t="n">
        <v>10</v>
      </c>
      <c r="CR214" t="n">
        <v>0</v>
      </c>
      <c r="CS214">
        <f>IF(R214="Y",10,0)</f>
        <v/>
      </c>
      <c r="CT214" t="n">
        <v>-4</v>
      </c>
      <c r="CU214" t="inlineStr">
        <is>
          <t>https://www.instagram.com/popzup.popcorn/</t>
        </is>
      </c>
      <c r="CV214" t="inlineStr">
        <is>
          <t>BR5</t>
        </is>
      </c>
      <c r="CW214" t="inlineStr">
        <is>
          <t>BR5:23</t>
        </is>
      </c>
      <c r="CX214" t="inlineStr">
        <is>
          <t>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is>
      </c>
      <c r="DA214" t="inlineStr">
        <is>
          <t>stage 1 only</t>
        </is>
      </c>
      <c r="DY214">
        <f>IF(ISNUMBER(MATCH(U214,{"queued","contacted","replied","call_booked","call_done","yes_in_principle","materials_sent"},0)),"Y","N")</f>
        <v/>
      </c>
      <c r="DZ214">
        <f>IF(COUNTIFS($AN$2:$AN$1000,AN214,$DY$2:$DY$1000,"Y")+COUNTIFS($AN$2:$AN$1000,AN214,$T$2:$T$1000,"Y")&gt;0,"Y","N")</f>
        <v/>
      </c>
      <c r="EA214">
        <f>IF(AND(U214="new",T214="N",AR214="Y",AQ214="",DZ214="N"),"Y","N")</f>
        <v/>
      </c>
      <c r="EB214">
        <f>IF(EA214&lt;&gt;"Y","N",IF(COUNTIFS($AN$2:$AN$1000,AN214,$EA$2:$EA$1000,"Y",$J$2:$J$1000,"&gt;"&amp;J214)+COUNTIFS($AN$2:$AN$1000,AN214,$EA$2:$EA$1000,"Y",$J$2:$J$1000,J214,$ED$2:$ED$1000,"&lt;"&amp;ED214)=0,"Y","N"))</f>
        <v/>
      </c>
      <c r="EC214">
        <f>IF(Y214="","N",IF(Y214&lt;=10,"Y","N"))</f>
        <v/>
      </c>
      <c r="ED214">
        <f>ROW()-1</f>
        <v/>
      </c>
    </row>
    <row r="215">
      <c r="A215" t="inlineStr">
        <is>
          <t>AB-101</t>
        </is>
      </c>
      <c r="B215" t="inlineStr">
        <is>
          <t>Bakery on Main</t>
        </is>
      </c>
      <c r="C215" t="inlineStr">
        <is>
          <t>Michael</t>
        </is>
      </c>
      <c r="D215" t="inlineStr">
        <is>
          <t>Smulders</t>
        </is>
      </c>
      <c r="E215" t="inlineStr">
        <is>
          <t>Founder</t>
        </is>
      </c>
      <c r="H215" t="inlineStr">
        <is>
          <t>none</t>
        </is>
      </c>
      <c r="I215" t="inlineStr">
        <is>
          <t>linkedin</t>
        </is>
      </c>
      <c r="J215">
        <f>IF(AU215="pass",CM215+CN215+CO215+CP215+CQ215+CR215+CS215+CT215,0)</f>
        <v/>
      </c>
      <c r="K215" t="inlineStr">
        <is>
          <t>Northeast brand, no graded store within ten blocks, online store only, no dated why-now in the last 12 months, revenue unknown, contact named; founder review: other.</t>
        </is>
      </c>
      <c r="M215" t="inlineStr">
        <is>
          <t>none found within ten blocks</t>
        </is>
      </c>
      <c r="N215" t="inlineStr">
        <is>
          <t>unverified</t>
        </is>
      </c>
      <c r="R215" t="inlineStr">
        <is>
          <t>N</t>
        </is>
      </c>
      <c r="S215" t="inlineStr">
        <is>
          <t>unknown</t>
        </is>
      </c>
      <c r="T215" t="inlineStr">
        <is>
          <t>N</t>
        </is>
      </c>
      <c r="U215" t="inlineStr">
        <is>
          <t>new</t>
        </is>
      </c>
      <c r="V215" t="inlineStr">
        <is>
          <t>https://bakeryonmain.com/about/</t>
        </is>
      </c>
      <c r="W215" t="inlineStr">
        <is>
          <t>2026-10-23</t>
        </is>
      </c>
      <c r="X215" t="inlineStr">
        <is>
          <t>brand</t>
        </is>
      </c>
      <c r="Y215">
        <f>IF(EB215&lt;&gt;"Y","",COUNTIFS($EB$2:$EB$1000,"Y",$J$2:$J$1000,"&gt;"&amp;J215)+COUNTIFS($EB$2:$EB$1000,"Y",$J$2:$J$1000,J215,$ED$2:$ED$1000,"&lt;"&amp;ED215)+1)</f>
        <v/>
      </c>
      <c r="Z215" t="n">
        <v>214</v>
      </c>
      <c r="AA215" t="inlineStr">
        <is>
          <t>N</t>
        </is>
      </c>
      <c r="AB215" t="inlineStr">
        <is>
          <t>find Michael Smulders at Bakery on Main on LinkedIn and paste the profile URL; founder review (other): read founder_review_reason first</t>
        </is>
      </c>
      <c r="AC215" t="inlineStr">
        <is>
          <t>founder</t>
        </is>
      </c>
      <c r="AD215" t="inlineStr">
        <is>
          <t>verified-page</t>
        </is>
      </c>
      <c r="AE215" t="inlineStr">
        <is>
          <t>employer's own site</t>
        </is>
      </c>
      <c r="AF215" t="inlineStr">
        <is>
          <t>https://bakeryonmain.com/about/</t>
        </is>
      </c>
      <c r="AG215" t="inlineStr">
        <is>
          <t>2026-10-23</t>
        </is>
      </c>
      <c r="AH215" t="inlineStr">
        <is>
          <t>Gluten-free granola bars</t>
        </is>
      </c>
      <c r="AI215" t="inlineStr">
        <is>
          <t>bars</t>
        </is>
      </c>
      <c r="AJ215" t="inlineStr">
        <is>
          <t>Glastonbury (founding location per brand about page; current HQ not stated)</t>
        </is>
      </c>
      <c r="AK215" t="inlineStr">
        <is>
          <t>https://www.amazon.com/stores/UncleCrumbles/page/CCAA198D-5DEE</t>
        </is>
      </c>
      <c r="AL215" t="inlineStr">
        <is>
          <t>Y</t>
        </is>
      </c>
      <c r="AM215" t="inlineStr">
        <is>
          <t>Founded 1992; mostly granola and oatmeal (bars a minor line); no cluster retailer found; 60-day shelf life not stated</t>
        </is>
      </c>
      <c r="AN215" t="inlineStr">
        <is>
          <t>AB-101</t>
        </is>
      </c>
      <c r="AO215" t="inlineStr">
        <is>
          <t>N</t>
        </is>
      </c>
      <c r="AR215">
        <f>IF(AND(AU215="pass",AO215&lt;&gt;"Y",C215&lt;&gt;""),"Y","N")</f>
        <v/>
      </c>
      <c r="AS215">
        <f>_xlfn.TEXTJOIN("; ",TRUE,IF(AU215&lt;&gt;"pass","gated out",""),IF(AO215="Y","on hold: "&amp;AP215,""),IF(C215="","no contact named on an opened page",""))</f>
        <v/>
      </c>
      <c r="AU215" t="inlineStr">
        <is>
          <t>pass</t>
        </is>
      </c>
      <c r="AW215" t="inlineStr">
        <is>
          <t>passes all hard gates</t>
        </is>
      </c>
      <c r="AX215" t="inlineStr">
        <is>
          <t>other</t>
        </is>
      </c>
      <c r="AY215" t="inlineStr">
        <is>
          <t>https://bakeryonmain.com</t>
        </is>
      </c>
      <c r="AZ215" t="inlineStr">
        <is>
          <t>CT</t>
        </is>
      </c>
      <c r="BA215" t="inlineStr">
        <is>
          <t>northeast</t>
        </is>
      </c>
      <c r="BB215" t="inlineStr">
        <is>
          <t>unknown</t>
        </is>
      </c>
      <c r="BD215" t="inlineStr">
        <is>
          <t>likely</t>
        </is>
      </c>
      <c r="BE215" t="inlineStr">
        <is>
          <t>Granola, instant oatmeal and granola bars (ambient grocery categories); shelf-life figure not found</t>
        </is>
      </c>
      <c r="BF215" t="inlineStr">
        <is>
          <t>unknown</t>
        </is>
      </c>
      <c r="BG215" t="inlineStr">
        <is>
          <t>Y</t>
        </is>
      </c>
      <c r="BH215" t="inlineStr">
        <is>
          <t>unknown</t>
        </is>
      </c>
      <c r="BJ215" t="inlineStr">
        <is>
          <t>unknown</t>
        </is>
      </c>
      <c r="BK215" t="inlineStr">
        <is>
          <t>N</t>
        </is>
      </c>
      <c r="BL215" t="inlineStr">
        <is>
          <t>N</t>
        </is>
      </c>
      <c r="BO215" t="inlineStr">
        <is>
          <t>N</t>
        </is>
      </c>
      <c r="BP215" t="n">
        <v>0</v>
      </c>
      <c r="BS215" t="inlineStr">
        <is>
          <t>Local supermarkets (store locator)</t>
        </is>
      </c>
      <c r="BT215" t="inlineStr">
        <is>
          <t>https://bakeryonmain.com/store-locator/; https://www.wholefoodsmarket.com/api/search?text=bakery%20on%20main&amp;store=10162&amp;limit=60&amp;offset=0</t>
        </is>
      </c>
      <c r="BU215" t="inlineStr">
        <is>
          <t>none</t>
        </is>
      </c>
      <c r="BX215" t="inlineStr">
        <is>
          <t>Michael Smulders</t>
        </is>
      </c>
      <c r="CF215" t="inlineStr">
        <is>
          <t>none</t>
        </is>
      </c>
      <c r="CK215" t="inlineStr">
        <is>
          <t>none</t>
        </is>
      </c>
      <c r="CL215" t="n">
        <v>29</v>
      </c>
      <c r="CM215" t="n">
        <v>6</v>
      </c>
      <c r="CN215" t="n">
        <v>8</v>
      </c>
      <c r="CO215" t="n">
        <v>0</v>
      </c>
      <c r="CP215" t="n">
        <v>5</v>
      </c>
      <c r="CQ215" t="n">
        <v>6</v>
      </c>
      <c r="CR215" t="n">
        <v>6</v>
      </c>
      <c r="CS215">
        <f>IF(R215="Y",10,0)</f>
        <v/>
      </c>
      <c r="CT215" t="n">
        <v>-2</v>
      </c>
      <c r="CU215" t="inlineStr">
        <is>
          <t>https://www.instagram.com/bakeryonmain/</t>
        </is>
      </c>
      <c r="CV215" t="inlineStr">
        <is>
          <t>BR2</t>
        </is>
      </c>
      <c r="CW215" t="inlineStr">
        <is>
          <t>BR2:39</t>
        </is>
      </c>
      <c r="CX215" t="inlineStr">
        <is>
          <t>Northeast brand. Not in WFM cluster catalogs. | Stage 1 online-store check 2026-10-24: Amazon storefront linked from the brand homepage (Amazon only; Amazon page not opened; discount code via Amazon promotions, founder to confirm) (https://bakeryonmain.com)</t>
        </is>
      </c>
      <c r="CY215" t="inlineStr">
        <is>
          <t xml:space="preserve">online_store &lt;- https://bakeryonmain.com (2026-10-24, opened, stage 1); </t>
        </is>
      </c>
      <c r="DA215" t="inlineStr">
        <is>
          <t>stage 1 only</t>
        </is>
      </c>
      <c r="DY215">
        <f>IF(ISNUMBER(MATCH(U215,{"queued","contacted","replied","call_booked","call_done","yes_in_principle","materials_sent"},0)),"Y","N")</f>
        <v/>
      </c>
      <c r="DZ215">
        <f>IF(COUNTIFS($AN$2:$AN$1000,AN215,$DY$2:$DY$1000,"Y")+COUNTIFS($AN$2:$AN$1000,AN215,$T$2:$T$1000,"Y")&gt;0,"Y","N")</f>
        <v/>
      </c>
      <c r="EA215">
        <f>IF(AND(U215="new",T215="N",AR215="Y",AQ215="",DZ215="N"),"Y","N")</f>
        <v/>
      </c>
      <c r="EB215">
        <f>IF(EA215&lt;&gt;"Y","N",IF(COUNTIFS($AN$2:$AN$1000,AN215,$EA$2:$EA$1000,"Y",$J$2:$J$1000,"&gt;"&amp;J215)+COUNTIFS($AN$2:$AN$1000,AN215,$EA$2:$EA$1000,"Y",$J$2:$J$1000,J215,$ED$2:$ED$1000,"&lt;"&amp;ED215)=0,"Y","N"))</f>
        <v/>
      </c>
      <c r="EC215">
        <f>IF(Y215="","N",IF(Y215&lt;=10,"Y","N"))</f>
        <v/>
      </c>
      <c r="ED215">
        <f>ROW()-1</f>
        <v/>
      </c>
    </row>
    <row r="216">
      <c r="A216" t="inlineStr">
        <is>
          <t>AB-069</t>
        </is>
      </c>
      <c r="B216" t="inlineStr">
        <is>
          <t>Sweet Loren's</t>
        </is>
      </c>
      <c r="C216" t="inlineStr">
        <is>
          <t>Loren</t>
        </is>
      </c>
      <c r="D216" t="inlineStr">
        <is>
          <t>Castle</t>
        </is>
      </c>
      <c r="E216" t="inlineStr">
        <is>
          <t>Founder and CEO</t>
        </is>
      </c>
      <c r="F216" t="inlineStr">
        <is>
          <t>https://www.linkedin.com/in/loren-brill-castle-56887121/</t>
        </is>
      </c>
      <c r="H216" t="inlineStr">
        <is>
          <t>none</t>
        </is>
      </c>
      <c r="I216" t="inlineStr">
        <is>
          <t>linkedin</t>
        </is>
      </c>
      <c r="J216">
        <f>IF(AU216="pass",CM216+CN216+CO216+CP216+CQ216+CR216+CS216+CT216,0)</f>
        <v/>
      </c>
      <c r="K216" t="inlineStr">
        <is>
          <t>New York City brand, store page shows Whole Foods Market NoMad inside the cluster, no dated why-now in the last 12 months, revenue over $10M, contact named plus a marketing lead; founder review: scale-reported, perishable-risk, claim-borderline.</t>
        </is>
      </c>
      <c r="M216" t="inlineStr">
        <is>
          <t>Whole Foods Market NoMad, 63 Madison Ave</t>
        </is>
      </c>
      <c r="N216" t="inlineStr">
        <is>
          <t>store_selector</t>
        </is>
      </c>
      <c r="R216" t="inlineStr">
        <is>
          <t>N</t>
        </is>
      </c>
      <c r="S216" t="inlineStr">
        <is>
          <t>unknown</t>
        </is>
      </c>
      <c r="T216" t="inlineStr">
        <is>
          <t>N</t>
        </is>
      </c>
      <c r="U216" t="inlineStr">
        <is>
          <t>new</t>
        </is>
      </c>
      <c r="V216" t="inlineStr">
        <is>
          <t>https://www.sweetlorens.com/pages/our-story</t>
        </is>
      </c>
      <c r="W216" t="inlineStr">
        <is>
          <t>2026-10-23</t>
        </is>
      </c>
      <c r="X216" t="inlineStr">
        <is>
          <t>brand</t>
        </is>
      </c>
      <c r="Y216">
        <f>IF(EB216&lt;&gt;"Y","",COUNTIFS($EB$2:$EB$1000,"Y",$J$2:$J$1000,"&gt;"&amp;J216)+COUNTIFS($EB$2:$EB$1000,"Y",$J$2:$J$1000,J216,$ED$2:$ED$1000,"&lt;"&amp;ED216)+1)</f>
        <v/>
      </c>
      <c r="Z216" t="n">
        <v>215</v>
      </c>
      <c r="AA216" t="inlineStr">
        <is>
          <t>N</t>
        </is>
      </c>
      <c r="AB216" t="inlineStr">
        <is>
          <t>before using the retailer line, check Whole Foods Market NoMad still lists it: https://www.wholefoodsmarket.com/search?text=Sweet%20Loren%27s with your store set to NoMad (catalogs change daily); founder review (scale-reported, perishable-risk, claim-borderline): read founder_review_reason first</t>
        </is>
      </c>
      <c r="AC216" t="inlineStr">
        <is>
          <t>founder</t>
        </is>
      </c>
      <c r="AD216" t="inlineStr">
        <is>
          <t>verified-page</t>
        </is>
      </c>
      <c r="AE216" t="inlineStr">
        <is>
          <t>employer's own site</t>
        </is>
      </c>
      <c r="AF216" t="inlineStr">
        <is>
          <t>https://www.sweetlorens.com/blogs/press</t>
        </is>
      </c>
      <c r="AG216" t="inlineStr">
        <is>
          <t>2026-10-24</t>
        </is>
      </c>
      <c r="AH216" t="inlineStr">
        <is>
          <t>Breakfast Biscuits 5 Count (Cinnamon Sugar, Chocolate, Blueberry)</t>
        </is>
      </c>
      <c r="AI216" t="inlineStr">
        <is>
          <t>cookies-baked</t>
        </is>
      </c>
      <c r="AJ216" t="inlineStr">
        <is>
          <t>New York (brand story: founded in NYC; current HQ address not stated)</t>
        </is>
      </c>
      <c r="AK216" t="inlineStr">
        <is>
          <t>https://www.sweetlorens.com</t>
        </is>
      </c>
      <c r="AL216" t="inlineStr">
        <is>
          <t>Y</t>
        </is>
      </c>
      <c r="AM216" t="inlineStr">
        <is>
          <t>Core line is refrigerated dough (excluded); only the shelf-stable Breakfast Biscuits qualify; protein/fiber nutrient claims on new bars</t>
        </is>
      </c>
      <c r="AN216" t="inlineStr">
        <is>
          <t>AB-069</t>
        </is>
      </c>
      <c r="AO216" t="inlineStr">
        <is>
          <t>N</t>
        </is>
      </c>
      <c r="AR216">
        <f>IF(AND(AU216="pass",AO216&lt;&gt;"Y",C216&lt;&gt;""),"Y","N")</f>
        <v/>
      </c>
      <c r="AS216">
        <f>_xlfn.TEXTJOIN("; ",TRUE,IF(AU216&lt;&gt;"pass","gated out",""),IF(AO216="Y","on hold: "&amp;AP216,""),IF(C216="","no contact named on an opened page",""))</f>
        <v/>
      </c>
      <c r="AU216" t="inlineStr">
        <is>
          <t>pass</t>
        </is>
      </c>
      <c r="AW216" t="inlineStr">
        <is>
          <t>passes all hard gates</t>
        </is>
      </c>
      <c r="AX216" t="inlineStr">
        <is>
          <t>scale-reported;perishable-risk;claim-borderline</t>
        </is>
      </c>
      <c r="AY216" t="inlineStr">
        <is>
          <t>https://www.sweetlorens.com</t>
        </is>
      </c>
      <c r="AZ216" t="inlineStr">
        <is>
          <t>NY</t>
        </is>
      </c>
      <c r="BA216" t="inlineStr">
        <is>
          <t>nyc</t>
        </is>
      </c>
      <c r="BB216" t="inlineStr">
        <is>
          <t>unknown</t>
        </is>
      </c>
      <c r="BD216" t="inlineStr">
        <is>
          <t>Y</t>
        </is>
      </c>
      <c r="BE216" t="inlineStr">
        <is>
          <t>Brand Our Story: launched 'shelf-stable breakfast biscuits'; most of the rest of the line is refrigerated dough</t>
        </is>
      </c>
      <c r="BF216" t="inlineStr">
        <is>
          <t>unknown</t>
        </is>
      </c>
      <c r="BG216" t="inlineStr">
        <is>
          <t>Y</t>
        </is>
      </c>
      <c r="BH216" t="inlineStr">
        <is>
          <t>over-10m</t>
        </is>
      </c>
      <c r="BI216" t="inlineStr">
        <is>
          <t>press headline: a 2025 projection (CNBC, 2025-02-18), not actuals</t>
        </is>
      </c>
      <c r="BJ216" t="inlineStr">
        <is>
          <t>CNBC, 2025-02-18, on the brand's press page: 'set to bring in $120 million this year' (a projection, not actuals)</t>
        </is>
      </c>
      <c r="BK216" t="inlineStr">
        <is>
          <t>N</t>
        </is>
      </c>
      <c r="BL216" t="inlineStr">
        <is>
          <t>N</t>
        </is>
      </c>
      <c r="BN216" t="n">
        <v>0</v>
      </c>
      <c r="BO216" t="inlineStr">
        <is>
          <t>Y</t>
        </is>
      </c>
      <c r="BP216" t="n">
        <v>3</v>
      </c>
      <c r="BQ216" t="inlineStr">
        <is>
          <t>Whole Foods Market NoMad, 63 Madison Ave (store_selector, inside);Whole Foods Market Union Square, 4 Union Sq S (store_selector, inside);Whole Foods Market Chelsea, 250 7th Ave (store_selector, 3.0 blocks out)</t>
        </is>
      </c>
      <c r="BS216" t="inlineStr">
        <is>
          <t>Whole Foods (nationwide for biscuits); Publix; Amazon</t>
        </is>
      </c>
      <c r="BT216" t="inlineStr">
        <is>
          <t>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is>
      </c>
      <c r="BU216" t="inlineStr">
        <is>
          <t>none</t>
        </is>
      </c>
      <c r="BX216" t="inlineStr">
        <is>
          <t>Loren Castle</t>
        </is>
      </c>
      <c r="BY216" t="inlineStr">
        <is>
          <t>Brand press page carries the CNBC piece (2025-02-18): "Castle is founder and CEO of Sweet Loren's". The Org lists "Loren (Brill) Castle". LinkedIn URL linked from https://karagoldin.com/podcasts/loren-castle/; LinkedIn not opened. Fills the stage-1 surname gap.</t>
        </is>
      </c>
      <c r="BZ216" t="inlineStr">
        <is>
          <t>listed on an opened page or in search results; LinkedIn itself not opened</t>
        </is>
      </c>
      <c r="CA216" t="inlineStr">
        <is>
          <t>Tracy Garbowski</t>
        </is>
      </c>
      <c r="CB216" t="inlineStr">
        <is>
          <t>Tracy</t>
        </is>
      </c>
      <c r="CC216" t="inlineStr">
        <is>
          <t>Garbowski</t>
        </is>
      </c>
      <c r="CD216" t="inlineStr">
        <is>
          <t>Senior Vice President, Marketing</t>
        </is>
      </c>
      <c r="CE216" t="inlineStr">
        <is>
          <t>marketing lead</t>
        </is>
      </c>
      <c r="CF216" t="inlineStr">
        <is>
          <t>verified-page</t>
        </is>
      </c>
      <c r="CG216" t="inlineStr">
        <is>
          <t>The Org (updated 2026-01-21): SVP Marketing since 2025. The earlier SVP Marketing, Robyn DeFina (appointed 2022-10 per Food Industry Executive, The Org updated 2023-01), appears superseded; not recorded as a contact.</t>
        </is>
      </c>
      <c r="CK216" t="inlineStr">
        <is>
          <t>none</t>
        </is>
      </c>
      <c r="CL216" t="n">
        <v>28</v>
      </c>
      <c r="CM216" t="n">
        <v>25</v>
      </c>
      <c r="CN216" t="n">
        <v>20</v>
      </c>
      <c r="CO216" t="n">
        <v>0</v>
      </c>
      <c r="CP216" t="n">
        <v>0</v>
      </c>
      <c r="CQ216" t="n">
        <v>8</v>
      </c>
      <c r="CR216" t="n">
        <v>10</v>
      </c>
      <c r="CS216">
        <f>IF(R216="Y",10,0)</f>
        <v/>
      </c>
      <c r="CT216" t="n">
        <v>-35</v>
      </c>
      <c r="CU216" t="inlineStr">
        <is>
          <t>https://www.instagram.com/sweetlorens/</t>
        </is>
      </c>
      <c r="CV216" t="inlineStr">
        <is>
          <t>BR2</t>
        </is>
      </c>
      <c r="CW216" t="inlineStr">
        <is>
          <t>BR2:6</t>
        </is>
      </c>
      <c r="CX216" t="inlineStr">
        <is>
          <t>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is>
      </c>
      <c r="CY216" t="inlineStr">
        <is>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is>
      </c>
      <c r="CZ216" t="inlineStr">
        <is>
          <t>https://theorg.com/org/sweet-lorens/person/tracy-garbowski</t>
        </is>
      </c>
      <c r="DA216" t="inlineStr">
        <is>
          <t>stage 2</t>
        </is>
      </c>
      <c r="DC216" t="inlineStr">
        <is>
          <t>The Org (crowd-edited org chart)</t>
        </is>
      </c>
      <c r="DD216" t="inlineStr">
        <is>
          <t>2026-01-21</t>
        </is>
      </c>
      <c r="DY216">
        <f>IF(ISNUMBER(MATCH(U216,{"queued","contacted","replied","call_booked","call_done","yes_in_principle","materials_sent"},0)),"Y","N")</f>
        <v/>
      </c>
      <c r="DZ216">
        <f>IF(COUNTIFS($AN$2:$AN$1000,AN216,$DY$2:$DY$1000,"Y")+COUNTIFS($AN$2:$AN$1000,AN216,$T$2:$T$1000,"Y")&gt;0,"Y","N")</f>
        <v/>
      </c>
      <c r="EA216">
        <f>IF(AND(U216="new",T216="N",AR216="Y",AQ216="",DZ216="N"),"Y","N")</f>
        <v/>
      </c>
      <c r="EB216">
        <f>IF(EA216&lt;&gt;"Y","N",IF(COUNTIFS($AN$2:$AN$1000,AN216,$EA$2:$EA$1000,"Y",$J$2:$J$1000,"&gt;"&amp;J216)+COUNTIFS($AN$2:$AN$1000,AN216,$EA$2:$EA$1000,"Y",$J$2:$J$1000,J216,$ED$2:$ED$1000,"&lt;"&amp;ED216)=0,"Y","N"))</f>
        <v/>
      </c>
      <c r="EC216">
        <f>IF(Y216="","N",IF(Y216&lt;=10,"Y","N"))</f>
        <v/>
      </c>
      <c r="ED216">
        <f>ROW()-1</f>
        <v/>
      </c>
    </row>
    <row r="217">
      <c r="A217" t="inlineStr">
        <is>
          <t>AB-109</t>
        </is>
      </c>
      <c r="B217" t="inlineStr">
        <is>
          <t>Kate's Real Food</t>
        </is>
      </c>
      <c r="H217" t="inlineStr">
        <is>
          <t>none</t>
        </is>
      </c>
      <c r="J217">
        <f>IF(AU217="pass",CM217+CN217+CO217+CP217+CQ217+CR217+CS217+CT217,0)</f>
        <v/>
      </c>
      <c r="K217" t="inlineStr">
        <is>
          <t>Brand based outside the Northeast, no graded store within ten blocks, online store only, a new store listing 36 days ago, revenue unknown, no contact named; founder review: claim-borderline.</t>
        </is>
      </c>
      <c r="M217" t="inlineStr">
        <is>
          <t>none found within ten blocks</t>
        </is>
      </c>
      <c r="N217" t="inlineStr">
        <is>
          <t>unverified</t>
        </is>
      </c>
      <c r="O217" t="inlineStr">
        <is>
          <t>Added Protein Bar Variety Pack (Sept 2026) and new protein bars (Apr 2026)</t>
        </is>
      </c>
      <c r="P217" t="inlineStr">
        <is>
          <t>https://katesrealfood.com/</t>
        </is>
      </c>
      <c r="Q217" t="inlineStr">
        <is>
          <t>2026-09-18</t>
        </is>
      </c>
      <c r="R217" t="inlineStr">
        <is>
          <t>N</t>
        </is>
      </c>
      <c r="S217" t="inlineStr">
        <is>
          <t>unknown</t>
        </is>
      </c>
      <c r="T217" t="inlineStr">
        <is>
          <t>N</t>
        </is>
      </c>
      <c r="U217" t="inlineStr">
        <is>
          <t>new</t>
        </is>
      </c>
      <c r="V217" t="inlineStr">
        <is>
          <t>https://katesrealfood.com/</t>
        </is>
      </c>
      <c r="W217" t="inlineStr">
        <is>
          <t>2026-10-23</t>
        </is>
      </c>
      <c r="X217" t="inlineStr">
        <is>
          <t>brand</t>
        </is>
      </c>
      <c r="Y217">
        <f>IF(EB217&lt;&gt;"Y","",COUNTIFS($EB$2:$EB$1000,"Y",$J$2:$J$1000,"&gt;"&amp;J217)+COUNTIFS($EB$2:$EB$1000,"Y",$J$2:$J$1000,J217,$ED$2:$ED$1000,"&lt;"&amp;ED217)+1)</f>
        <v/>
      </c>
      <c r="Z217" t="n">
        <v>216</v>
      </c>
      <c r="AA217" t="inlineStr">
        <is>
          <t>N</t>
        </is>
      </c>
      <c r="AB217" t="inlineStr">
        <is>
          <t>no person named on an opened page: not ready; founder review (claim-borderline): read founder_review_reason first</t>
        </is>
      </c>
      <c r="AD217" t="inlineStr">
        <is>
          <t>none</t>
        </is>
      </c>
      <c r="AH217" t="inlineStr">
        <is>
          <t>Peanut Butter Dark Chocolate organic energy bar; Coconut Truffle Protein Bar</t>
        </is>
      </c>
      <c r="AI217" t="inlineStr">
        <is>
          <t>bars</t>
        </is>
      </c>
      <c r="AJ217" t="inlineStr">
        <is>
          <t>Victor</t>
        </is>
      </c>
      <c r="AK217" t="inlineStr">
        <is>
          <t>https://katesrealfood.com</t>
        </is>
      </c>
      <c r="AL217" t="inlineStr">
        <is>
          <t>Y</t>
        </is>
      </c>
      <c r="AM217" t="inlineStr">
        <is>
          <t>Protein bar line ('High in protein'); no cluster retailer found | Health-claim scan 2026-10-24: the homepage links a blog post on 'Prebiotic Fiber, &amp; Sustained Energy'. Blog copy, not pack copy; founder to read</t>
        </is>
      </c>
      <c r="AN217" t="inlineStr">
        <is>
          <t>AB-109</t>
        </is>
      </c>
      <c r="AO217" t="inlineStr">
        <is>
          <t>N</t>
        </is>
      </c>
      <c r="AR217">
        <f>IF(AND(AU217="pass",AO217&lt;&gt;"Y",C217&lt;&gt;""),"Y","N")</f>
        <v/>
      </c>
      <c r="AS217">
        <f>_xlfn.TEXTJOIN("; ",TRUE,IF(AU217&lt;&gt;"pass","gated out",""),IF(AO217="Y","on hold: "&amp;AP217,""),IF(C217="","no contact named on an opened page",""))</f>
        <v/>
      </c>
      <c r="AU217" t="inlineStr">
        <is>
          <t>pass</t>
        </is>
      </c>
      <c r="AW217" t="inlineStr">
        <is>
          <t>passes all hard gates</t>
        </is>
      </c>
      <c r="AX217" t="inlineStr">
        <is>
          <t>claim-borderline</t>
        </is>
      </c>
      <c r="AY217" t="inlineStr">
        <is>
          <t>https://katesrealfood.com</t>
        </is>
      </c>
      <c r="AZ217" t="inlineStr">
        <is>
          <t>ID</t>
        </is>
      </c>
      <c r="BA217" t="inlineStr">
        <is>
          <t>elsewhere</t>
        </is>
      </c>
      <c r="BB217" t="inlineStr">
        <is>
          <t>unknown</t>
        </is>
      </c>
      <c r="BD217" t="inlineStr">
        <is>
          <t>Y</t>
        </is>
      </c>
      <c r="BE217" t="inlineStr">
        <is>
          <t>Brand wholesale FAQ: 'Our bars have a 365-day shelf life from the date of production.'</t>
        </is>
      </c>
      <c r="BF217" t="inlineStr">
        <is>
          <t>Y</t>
        </is>
      </c>
      <c r="BG217" t="inlineStr">
        <is>
          <t>Y</t>
        </is>
      </c>
      <c r="BH217" t="inlineStr">
        <is>
          <t>unknown</t>
        </is>
      </c>
      <c r="BJ217" t="inlineStr">
        <is>
          <t>unknown</t>
        </is>
      </c>
      <c r="BK217" t="inlineStr">
        <is>
          <t>N</t>
        </is>
      </c>
      <c r="BL217" t="inlineStr">
        <is>
          <t>N</t>
        </is>
      </c>
      <c r="BO217" t="inlineStr">
        <is>
          <t>N</t>
        </is>
      </c>
      <c r="BP217" t="n">
        <v>0</v>
      </c>
      <c r="BS217" t="inlineStr">
        <is>
          <t>Select retailers nationwide and online partners (brand store locator page)</t>
        </is>
      </c>
      <c r="BT217" t="inlineStr">
        <is>
          <t>https://www.wholefoodsmarket.com/api/search?text=kates%20real%20food&amp;store=10162&amp;limit=60&amp;offset=0</t>
        </is>
      </c>
      <c r="BU217" t="inlineStr">
        <is>
          <t>listing</t>
        </is>
      </c>
      <c r="BV217" t="n">
        <v>36</v>
      </c>
      <c r="CF217" t="inlineStr">
        <is>
          <t>none</t>
        </is>
      </c>
      <c r="CK217" t="inlineStr">
        <is>
          <t>none</t>
        </is>
      </c>
      <c r="CL217" t="n">
        <v>28</v>
      </c>
      <c r="CM217" t="n">
        <v>6</v>
      </c>
      <c r="CN217" t="n">
        <v>3</v>
      </c>
      <c r="CO217" t="n">
        <v>8</v>
      </c>
      <c r="CP217" t="n">
        <v>5</v>
      </c>
      <c r="CQ217" t="n">
        <v>10</v>
      </c>
      <c r="CR217" t="n">
        <v>0</v>
      </c>
      <c r="CS217">
        <f>IF(R217="Y",10,0)</f>
        <v/>
      </c>
      <c r="CT217" t="n">
        <v>-4</v>
      </c>
      <c r="CU217" t="inlineStr">
        <is>
          <t>https://www.instagram.com/katesrealfood/</t>
        </is>
      </c>
      <c r="CV217" t="inlineStr">
        <is>
          <t>BR2</t>
        </is>
      </c>
      <c r="CW217" t="inlineStr">
        <is>
          <t>BR2:47</t>
        </is>
      </c>
      <c r="CX217" t="inlineStr">
        <is>
          <t>Organic honey-based bars. Not in WFM cluster catalogs. Why-now from Shopify publish dates.</t>
        </is>
      </c>
      <c r="CY217" t="inlineStr">
        <is>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t>
        </is>
      </c>
      <c r="DA217" t="inlineStr">
        <is>
          <t>stage 1 only</t>
        </is>
      </c>
      <c r="DY217">
        <f>IF(ISNUMBER(MATCH(U217,{"queued","contacted","replied","call_booked","call_done","yes_in_principle","materials_sent"},0)),"Y","N")</f>
        <v/>
      </c>
      <c r="DZ217">
        <f>IF(COUNTIFS($AN$2:$AN$1000,AN217,$DY$2:$DY$1000,"Y")+COUNTIFS($AN$2:$AN$1000,AN217,$T$2:$T$1000,"Y")&gt;0,"Y","N")</f>
        <v/>
      </c>
      <c r="EA217">
        <f>IF(AND(U217="new",T217="N",AR217="Y",AQ217="",DZ217="N"),"Y","N")</f>
        <v/>
      </c>
      <c r="EB217">
        <f>IF(EA217&lt;&gt;"Y","N",IF(COUNTIFS($AN$2:$AN$1000,AN217,$EA$2:$EA$1000,"Y",$J$2:$J$1000,"&gt;"&amp;J217)+COUNTIFS($AN$2:$AN$1000,AN217,$EA$2:$EA$1000,"Y",$J$2:$J$1000,J217,$ED$2:$ED$1000,"&lt;"&amp;ED217)=0,"Y","N"))</f>
        <v/>
      </c>
      <c r="EC217">
        <f>IF(Y217="","N",IF(Y217&lt;=10,"Y","N"))</f>
        <v/>
      </c>
      <c r="ED217">
        <f>ROW()-1</f>
        <v/>
      </c>
    </row>
    <row r="218">
      <c r="A218" t="inlineStr">
        <is>
          <t>AB-242</t>
        </is>
      </c>
      <c r="B218" t="inlineStr">
        <is>
          <t>Baabu Foods</t>
        </is>
      </c>
      <c r="H218" t="inlineStr">
        <is>
          <t>none</t>
        </is>
      </c>
      <c r="J218">
        <f>IF(AU218="pass",CM218+CN218+CO218+CP218+CQ218+CR218+CS218+CT218,0)</f>
        <v/>
      </c>
      <c r="K218" t="inlineStr">
        <is>
          <t>Northeast brand, no graded store within ten blocks, online store only, no dated why-now in the last 12 months, revenue unknown, contact seen only in a snippet; founder review: claim-borderline.</t>
        </is>
      </c>
      <c r="M218" t="inlineStr">
        <is>
          <t>none found within ten blocks</t>
        </is>
      </c>
      <c r="N218" t="inlineStr">
        <is>
          <t>unverified</t>
        </is>
      </c>
      <c r="R218" t="inlineStr">
        <is>
          <t>N</t>
        </is>
      </c>
      <c r="S218" t="inlineStr">
        <is>
          <t>unknown</t>
        </is>
      </c>
      <c r="T218" t="inlineStr">
        <is>
          <t>N</t>
        </is>
      </c>
      <c r="U218" t="inlineStr">
        <is>
          <t>new</t>
        </is>
      </c>
      <c r="V218" t="inlineStr">
        <is>
          <t>https://www.pearlriver.com/products/baabu</t>
        </is>
      </c>
      <c r="W218" t="inlineStr">
        <is>
          <t>2026-10-23</t>
        </is>
      </c>
      <c r="X218" t="inlineStr">
        <is>
          <t>brand</t>
        </is>
      </c>
      <c r="Y218">
        <f>IF(EB218&lt;&gt;"Y","",COUNTIFS($EB$2:$EB$1000,"Y",$J$2:$J$1000,"&gt;"&amp;J218)+COUNTIFS($EB$2:$EB$1000,"Y",$J$2:$J$1000,J218,$ED$2:$ED$1000,"&lt;"&amp;ED218)+1)</f>
        <v/>
      </c>
      <c r="Z218" t="n">
        <v>217</v>
      </c>
      <c r="AA218" t="inlineStr">
        <is>
          <t>N</t>
        </is>
      </c>
      <c r="AB218" t="inlineStr">
        <is>
          <t>no person named on an opened page: not ready; founder review (claim-borderline): read founder_review_reason first</t>
        </is>
      </c>
      <c r="AC218" t="inlineStr">
        <is>
          <t>founder</t>
        </is>
      </c>
      <c r="AD218" t="inlineStr">
        <is>
          <t>unverified</t>
        </is>
      </c>
      <c r="AE218" t="inlineStr">
        <is>
          <t>employer's own site</t>
        </is>
      </c>
      <c r="AF218" t="inlineStr">
        <is>
          <t>https://baabufoods.com/pages/meet-the-baabus</t>
        </is>
      </c>
      <c r="AG218" t="inlineStr">
        <is>
          <t>2026-10-23</t>
        </is>
      </c>
      <c r="AH218" t="inlineStr">
        <is>
          <t>Organic Masala Pecans, 6 oz</t>
        </is>
      </c>
      <c r="AI218" t="inlineStr">
        <is>
          <t>nuts-seeds-trail</t>
        </is>
      </c>
      <c r="AJ218" t="inlineStr">
        <is>
          <t>unknown, New Jersey (Pearl River listing: 'Small-batch roasted in New Jersey')</t>
        </is>
      </c>
      <c r="AK218" t="inlineStr">
        <is>
          <t>https://baabufoods.com</t>
        </is>
      </c>
      <c r="AL218" t="inlineStr">
        <is>
          <t>Y</t>
        </is>
      </c>
      <c r="AM218" t="inlineStr">
        <is>
          <t>Retailer copy for the Chai Biscuits says fennel seeds 'support digestion... promote cardiovascular health' (structure/function); the pecans themselves carry no claim; offer pecans only and check pack wording</t>
        </is>
      </c>
      <c r="AN218" t="inlineStr">
        <is>
          <t>AB-242</t>
        </is>
      </c>
      <c r="AO218" t="inlineStr">
        <is>
          <t>N</t>
        </is>
      </c>
      <c r="AR218">
        <f>IF(AND(AU218="pass",AO218&lt;&gt;"Y",C218&lt;&gt;""),"Y","N")</f>
        <v/>
      </c>
      <c r="AS218">
        <f>_xlfn.TEXTJOIN("; ",TRUE,IF(AU218&lt;&gt;"pass","gated out",""),IF(AO218="Y","on hold: "&amp;AP218,""),IF(C218="","no contact named on an opened page",""))</f>
        <v/>
      </c>
      <c r="AU218" t="inlineStr">
        <is>
          <t>pass</t>
        </is>
      </c>
      <c r="AW218" t="inlineStr">
        <is>
          <t>passes all hard gates</t>
        </is>
      </c>
      <c r="AX218" t="inlineStr">
        <is>
          <t>claim-borderline</t>
        </is>
      </c>
      <c r="AY218" t="inlineStr">
        <is>
          <t>https://baabufoods.com</t>
        </is>
      </c>
      <c r="AZ218" t="inlineStr">
        <is>
          <t>NJ</t>
        </is>
      </c>
      <c r="BA218" t="inlineStr">
        <is>
          <t>northeast</t>
        </is>
      </c>
      <c r="BB218" t="inlineStr">
        <is>
          <t>unknown</t>
        </is>
      </c>
      <c r="BD218" t="inlineStr">
        <is>
          <t>Y</t>
        </is>
      </c>
      <c r="BE218" t="inlineStr">
        <is>
          <t>Roasted nuts sold ambient; no shelf-life figure published, founder to confirm</t>
        </is>
      </c>
      <c r="BF218" t="inlineStr">
        <is>
          <t>Y</t>
        </is>
      </c>
      <c r="BG218" t="inlineStr">
        <is>
          <t>Y</t>
        </is>
      </c>
      <c r="BH218" t="inlineStr">
        <is>
          <t>unknown</t>
        </is>
      </c>
      <c r="BJ218" t="inlineStr">
        <is>
          <t>unknown</t>
        </is>
      </c>
      <c r="BK218" t="inlineStr">
        <is>
          <t>Y</t>
        </is>
      </c>
      <c r="BL218" t="inlineStr">
        <is>
          <t>N</t>
        </is>
      </c>
      <c r="BO218" t="inlineStr">
        <is>
          <t>N</t>
        </is>
      </c>
      <c r="BP218" t="n">
        <v>0</v>
      </c>
      <c r="BR218" t="inlineStr">
        <is>
          <t>Pearl River Mart Foods (unverified, 11.4 blocks out)</t>
        </is>
      </c>
      <c r="BS218" t="inlineStr">
        <is>
          <t>Pearl River Mart (online catalog)</t>
        </is>
      </c>
      <c r="BT218" t="inlineStr">
        <is>
          <t>https://www.pearlriver.com/products/baabu</t>
        </is>
      </c>
      <c r="BU218" t="inlineStr">
        <is>
          <t>none</t>
        </is>
      </c>
      <c r="BX218" t="inlineStr">
        <is>
          <t>Lisa</t>
        </is>
      </c>
      <c r="BY218" t="inlineStr">
        <is>
          <t>first names only; surnames founder to confirm</t>
        </is>
      </c>
      <c r="CA218" t="inlineStr">
        <is>
          <t>Mayank</t>
        </is>
      </c>
      <c r="CE218" t="inlineStr">
        <is>
          <t>co-founder</t>
        </is>
      </c>
      <c r="CF218" t="inlineStr">
        <is>
          <t>unverified</t>
        </is>
      </c>
      <c r="CG218" t="inlineStr">
        <is>
          <t>first names only; surnames founder to confirm</t>
        </is>
      </c>
      <c r="CK218" t="inlineStr">
        <is>
          <t>none</t>
        </is>
      </c>
      <c r="CL218" t="n">
        <v>28</v>
      </c>
      <c r="CM218" t="n">
        <v>6</v>
      </c>
      <c r="CN218" t="n">
        <v>8</v>
      </c>
      <c r="CO218" t="n">
        <v>0</v>
      </c>
      <c r="CP218" t="n">
        <v>5</v>
      </c>
      <c r="CQ218" t="n">
        <v>10</v>
      </c>
      <c r="CR218" t="n">
        <v>3</v>
      </c>
      <c r="CS218">
        <f>IF(R218="Y",10,0)</f>
        <v/>
      </c>
      <c r="CT218" t="n">
        <v>-4</v>
      </c>
      <c r="CV218" t="inlineStr">
        <is>
          <t>BR4</t>
        </is>
      </c>
      <c r="CW218" t="inlineStr">
        <is>
          <t>BR4:37</t>
        </is>
      </c>
      <c r="CX218" t="inlineStr">
        <is>
          <t>6 oz bag is share size. Brand site reachable but gave no HQ text. Pearl River Mart catalog (pearlriver.com online store; Chelsea Market food store at 75 9th Ave not confirmed for this item)</t>
        </is>
      </c>
      <c r="CY218" t="inlineStr">
        <is>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t>
        </is>
      </c>
      <c r="CZ218" t="inlineStr">
        <is>
          <t>https://baabufoods.com/pages/meet-the-baabus</t>
        </is>
      </c>
      <c r="DA218" t="inlineStr">
        <is>
          <t>stage 1 only</t>
        </is>
      </c>
      <c r="DC218" t="inlineStr">
        <is>
          <t>employer's own site</t>
        </is>
      </c>
      <c r="DY218">
        <f>IF(ISNUMBER(MATCH(U218,{"queued","contacted","replied","call_booked","call_done","yes_in_principle","materials_sent"},0)),"Y","N")</f>
        <v/>
      </c>
      <c r="DZ218">
        <f>IF(COUNTIFS($AN$2:$AN$1000,AN218,$DY$2:$DY$1000,"Y")+COUNTIFS($AN$2:$AN$1000,AN218,$T$2:$T$1000,"Y")&gt;0,"Y","N")</f>
        <v/>
      </c>
      <c r="EA218">
        <f>IF(AND(U218="new",T218="N",AR218="Y",AQ218="",DZ218="N"),"Y","N")</f>
        <v/>
      </c>
      <c r="EB218">
        <f>IF(EA218&lt;&gt;"Y","N",IF(COUNTIFS($AN$2:$AN$1000,AN218,$EA$2:$EA$1000,"Y",$J$2:$J$1000,"&gt;"&amp;J218)+COUNTIFS($AN$2:$AN$1000,AN218,$EA$2:$EA$1000,"Y",$J$2:$J$1000,J218,$ED$2:$ED$1000,"&lt;"&amp;ED218)=0,"Y","N"))</f>
        <v/>
      </c>
      <c r="EC218">
        <f>IF(Y218="","N",IF(Y218&lt;=10,"Y","N"))</f>
        <v/>
      </c>
      <c r="ED218">
        <f>ROW()-1</f>
        <v/>
      </c>
    </row>
    <row r="219">
      <c r="A219" t="inlineStr">
        <is>
          <t>AB-045</t>
        </is>
      </c>
      <c r="B219" t="inlineStr">
        <is>
          <t>The Good Crisp Company</t>
        </is>
      </c>
      <c r="C219" t="inlineStr">
        <is>
          <t>Matt</t>
        </is>
      </c>
      <c r="D219" t="inlineStr">
        <is>
          <t>Parry</t>
        </is>
      </c>
      <c r="E219" t="inlineStr">
        <is>
          <t>Founder</t>
        </is>
      </c>
      <c r="H219" t="inlineStr">
        <is>
          <t>none</t>
        </is>
      </c>
      <c r="I219" t="inlineStr">
        <is>
          <t>linkedin</t>
        </is>
      </c>
      <c r="J219">
        <f>IF(AU219="pass",CM219+CN219+CO219+CP219+CQ219+CR219+CS219+CT219,0)</f>
        <v/>
      </c>
      <c r="K219" t="inlineStr">
        <is>
          <t>Brand based outside the Northeast (HQ unverified), store page shows Whole Foods Market NoMad inside the cluster, news 281 days ago, revenue unknown, contact named; founder review: owner, scale.</t>
        </is>
      </c>
      <c r="M219" t="inlineStr">
        <is>
          <t>Whole Foods Market NoMad, 63 Madison Ave</t>
        </is>
      </c>
      <c r="N219" t="inlineStr">
        <is>
          <t>store_selector</t>
        </is>
      </c>
      <c r="O219" t="inlineStr">
        <is>
          <t>Acquired by investment firm MPearlRock (terms not disclosed); brand in 20,000+ retail doors across the US, Canada, Australia and the UK</t>
        </is>
      </c>
      <c r="P219" t="inlineStr">
        <is>
          <t>https://www.snackandbakery.com/articles/115026-investment-firm-snaps-up-the-good-crisp-company</t>
        </is>
      </c>
      <c r="Q219" t="inlineStr">
        <is>
          <t>2026-01-16</t>
        </is>
      </c>
      <c r="R219" t="inlineStr">
        <is>
          <t>N</t>
        </is>
      </c>
      <c r="S219" t="inlineStr">
        <is>
          <t>unknown</t>
        </is>
      </c>
      <c r="T219" t="inlineStr">
        <is>
          <t>N</t>
        </is>
      </c>
      <c r="U219" t="inlineStr">
        <is>
          <t>new</t>
        </is>
      </c>
      <c r="V219" t="inlineStr">
        <is>
          <t>https://www.wholefoodsmarket.com/search?text=good%20crisp</t>
        </is>
      </c>
      <c r="W219" t="inlineStr">
        <is>
          <t>2026-10-23</t>
        </is>
      </c>
      <c r="X219" t="inlineStr">
        <is>
          <t>brand</t>
        </is>
      </c>
      <c r="Y219">
        <f>IF(EB219&lt;&gt;"Y","",COUNTIFS($EB$2:$EB$1000,"Y",$J$2:$J$1000,"&gt;"&amp;J219)+COUNTIFS($EB$2:$EB$1000,"Y",$J$2:$J$1000,J219,$ED$2:$ED$1000,"&lt;"&amp;ED219)+1)</f>
        <v/>
      </c>
      <c r="Z219" t="n">
        <v>218</v>
      </c>
      <c r="AA219" t="inlineStr">
        <is>
          <t>N</t>
        </is>
      </c>
      <c r="AB219" t="inlineStr">
        <is>
          <t>find Matt Parry at The Good Crisp Company on LinkedIn and paste the profile URL; before using the retailer line, check Whole Foods Market NoMad still lists it: https://www.wholefoodsmarket.com/search?text=The%20Good%20Crisp%20Company with your store set to NoMad (catalogs change daily); founder review (owner, scale): read founder_review_reason first</t>
        </is>
      </c>
      <c r="AC219" t="inlineStr">
        <is>
          <t>founder</t>
        </is>
      </c>
      <c r="AD219" t="inlineStr">
        <is>
          <t>verified-page</t>
        </is>
      </c>
      <c r="AE219" t="inlineStr">
        <is>
          <t>press, event or podcast page</t>
        </is>
      </c>
      <c r="AF219" t="inlineStr">
        <is>
          <t>https://www.snackandbakery.com/articles/115026-investment-firm-snaps-up-the-good-crisp-company</t>
        </is>
      </c>
      <c r="AG219" t="inlineStr">
        <is>
          <t>2026-10-23</t>
        </is>
      </c>
      <c r="AH219" t="inlineStr">
        <is>
          <t>The Good Crisp Company Stacked Original potato crisps, 5.64 oz canister</t>
        </is>
      </c>
      <c r="AI219" t="inlineStr">
        <is>
          <t>chips-crisps</t>
        </is>
      </c>
      <c r="AJ219" t="inlineStr">
        <is>
          <t>Longmont (returns address); Boulder per CB Insights and a Holland &amp; Hart note (search snippets, unverified, founder to confirm)</t>
        </is>
      </c>
      <c r="AL219" t="inlineStr">
        <is>
          <t>Y</t>
        </is>
      </c>
      <c r="AM219" t="inlineStr">
        <is>
          <t>Brand site unreachable through proxy on 2026-10-23; owner, HQ and scale unconfirmed; scale signal in the why-now ('20,000+ retail doors'): likely above the $10M band; ask at intake; no online store: buy path is the store only</t>
        </is>
      </c>
      <c r="AN219" t="inlineStr">
        <is>
          <t>AB-045</t>
        </is>
      </c>
      <c r="AO219" t="inlineStr">
        <is>
          <t>N</t>
        </is>
      </c>
      <c r="AR219">
        <f>IF(AND(AU219="pass",AO219&lt;&gt;"Y",C219&lt;&gt;""),"Y","N")</f>
        <v/>
      </c>
      <c r="AS219">
        <f>_xlfn.TEXTJOIN("; ",TRUE,IF(AU219&lt;&gt;"pass","gated out",""),IF(AO219="Y","on hold: "&amp;AP219,""),IF(C219="","no contact named on an opened page",""))</f>
        <v/>
      </c>
      <c r="AU219" t="inlineStr">
        <is>
          <t>pass</t>
        </is>
      </c>
      <c r="AW219" t="inlineStr">
        <is>
          <t>passes all hard gates</t>
        </is>
      </c>
      <c r="AX219" t="inlineStr">
        <is>
          <t>owner;scale</t>
        </is>
      </c>
      <c r="AY219" t="inlineStr">
        <is>
          <t>https://www.thegoodcrispcompany.com</t>
        </is>
      </c>
      <c r="AZ219" t="inlineStr">
        <is>
          <t>CO</t>
        </is>
      </c>
      <c r="BA219" t="inlineStr">
        <is>
          <t>elsewhere (unverified)</t>
        </is>
      </c>
      <c r="BB219" t="inlineStr">
        <is>
          <t>Acquired by MPearlRock (Jan 2026)</t>
        </is>
      </c>
      <c r="BD219" t="inlineStr">
        <is>
          <t>Y</t>
        </is>
      </c>
      <c r="BE219" t="inlineStr">
        <is>
          <t>Canister potato crisps and cheese balls, ambient</t>
        </is>
      </c>
      <c r="BF219" t="inlineStr">
        <is>
          <t>N</t>
        </is>
      </c>
      <c r="BG219" t="inlineStr">
        <is>
          <t>unknown</t>
        </is>
      </c>
      <c r="BH219" t="inlineStr">
        <is>
          <t>unknown</t>
        </is>
      </c>
      <c r="BJ219" t="inlineStr">
        <is>
          <t>unknown</t>
        </is>
      </c>
      <c r="BK219" t="inlineStr">
        <is>
          <t>N</t>
        </is>
      </c>
      <c r="BL219" t="inlineStr">
        <is>
          <t>N</t>
        </is>
      </c>
      <c r="BN219" t="n">
        <v>0</v>
      </c>
      <c r="BO219" t="inlineStr">
        <is>
          <t>Y</t>
        </is>
      </c>
      <c r="BP219" t="n">
        <v>3</v>
      </c>
      <c r="BQ219" t="inlineStr">
        <is>
          <t>Whole Foods Market NoMad, 63 Madison Ave (store_selector, inside);Whole Foods Market Union Square, 4 Union Sq S (store_selector, inside);Whole Foods Market Chelsea, 250 7th Ave (store_selector, 3.0 blocks out)</t>
        </is>
      </c>
      <c r="BS219" t="inlineStr">
        <is>
          <t>Whole Foods Market</t>
        </is>
      </c>
      <c r="BT219" t="inlineStr">
        <is>
          <t>https://www.wholefoodsmarket.com/search?text=good%20crisp (10 items IN_STOCK in each cluster store context, 2026-10-23)</t>
        </is>
      </c>
      <c r="BU219" t="inlineStr">
        <is>
          <t>press</t>
        </is>
      </c>
      <c r="BV219" t="n">
        <v>281</v>
      </c>
      <c r="BX219" t="inlineStr">
        <is>
          <t>Matt Parry</t>
        </is>
      </c>
      <c r="CF219" t="inlineStr">
        <is>
          <t>none</t>
        </is>
      </c>
      <c r="CK219" t="inlineStr">
        <is>
          <t>none</t>
        </is>
      </c>
      <c r="CL219" t="n">
        <v>27</v>
      </c>
      <c r="CM219" t="n">
        <v>25</v>
      </c>
      <c r="CN219" t="n">
        <v>3</v>
      </c>
      <c r="CO219" t="n">
        <v>8</v>
      </c>
      <c r="CP219" t="n">
        <v>5</v>
      </c>
      <c r="CQ219" t="n">
        <v>5</v>
      </c>
      <c r="CR219" t="n">
        <v>6</v>
      </c>
      <c r="CS219">
        <f>IF(R219="Y",10,0)</f>
        <v/>
      </c>
      <c r="CT219" t="n">
        <v>-25</v>
      </c>
      <c r="CU219" t="inlineStr">
        <is>
          <t>unknown</t>
        </is>
      </c>
      <c r="CV219" t="inlineStr">
        <is>
          <t>BR1</t>
        </is>
      </c>
      <c r="CW219" t="inlineStr">
        <is>
          <t>BR1:46</t>
        </is>
      </c>
      <c r="CX219" t="inlineStr">
        <is>
          <t>Deep NYC shelf presence (10 SKUs per store). Needs a second pass when the site is reachable.</t>
        </is>
      </c>
      <c r="CY219" t="inlineStr">
        <is>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t>
        </is>
      </c>
      <c r="DA219" t="inlineStr">
        <is>
          <t>stage 1 only</t>
        </is>
      </c>
      <c r="DY219">
        <f>IF(ISNUMBER(MATCH(U219,{"queued","contacted","replied","call_booked","call_done","yes_in_principle","materials_sent"},0)),"Y","N")</f>
        <v/>
      </c>
      <c r="DZ219">
        <f>IF(COUNTIFS($AN$2:$AN$1000,AN219,$DY$2:$DY$1000,"Y")+COUNTIFS($AN$2:$AN$1000,AN219,$T$2:$T$1000,"Y")&gt;0,"Y","N")</f>
        <v/>
      </c>
      <c r="EA219">
        <f>IF(AND(U219="new",T219="N",AR219="Y",AQ219="",DZ219="N"),"Y","N")</f>
        <v/>
      </c>
      <c r="EB219">
        <f>IF(EA219&lt;&gt;"Y","N",IF(COUNTIFS($AN$2:$AN$1000,AN219,$EA$2:$EA$1000,"Y",$J$2:$J$1000,"&gt;"&amp;J219)+COUNTIFS($AN$2:$AN$1000,AN219,$EA$2:$EA$1000,"Y",$J$2:$J$1000,J219,$ED$2:$ED$1000,"&lt;"&amp;ED219)=0,"Y","N"))</f>
        <v/>
      </c>
      <c r="EC219">
        <f>IF(Y219="","N",IF(Y219&lt;=10,"Y","N"))</f>
        <v/>
      </c>
      <c r="ED219">
        <f>ROW()-1</f>
        <v/>
      </c>
    </row>
    <row r="220">
      <c r="A220" t="inlineStr">
        <is>
          <t>AB-310</t>
        </is>
      </c>
      <c r="B220" t="inlineStr">
        <is>
          <t>Chef Poppin</t>
        </is>
      </c>
      <c r="H220" t="inlineStr">
        <is>
          <t>none</t>
        </is>
      </c>
      <c r="J220">
        <f>IF(AU220="pass",CM220+CN220+CO220+CP220+CQ220+CR220+CS220+CT220,0)</f>
        <v/>
      </c>
      <c r="K220" t="inlineStr">
        <is>
          <t>Brand based outside the Northeast, no graded store within ten blocks, online store only, news 5 days ago, revenue unknown, no contact named; founder review: scale.</t>
        </is>
      </c>
      <c r="M220" t="inlineStr">
        <is>
          <t>none found within ten blocks</t>
        </is>
      </c>
      <c r="N220" t="inlineStr">
        <is>
          <t>unverified</t>
        </is>
      </c>
      <c r="O220" t="inlineStr">
        <is>
          <t>Kimchi Flavor Coated Gourmet Popcorn named a 2027 sofi Award finalist (Savory Snacks)</t>
        </is>
      </c>
      <c r="P220" t="inlineStr">
        <is>
          <t>https://www.specialtyfood.com/news-media/news-features/association-press-releases/2027-sofi-awards-finalists/</t>
        </is>
      </c>
      <c r="Q220" t="inlineStr">
        <is>
          <t>2026-10-19</t>
        </is>
      </c>
      <c r="R220" t="inlineStr">
        <is>
          <t>N</t>
        </is>
      </c>
      <c r="S220" t="inlineStr">
        <is>
          <t>unknown</t>
        </is>
      </c>
      <c r="T220" t="inlineStr">
        <is>
          <t>N</t>
        </is>
      </c>
      <c r="U220" t="inlineStr">
        <is>
          <t>new</t>
        </is>
      </c>
      <c r="V220" t="inlineStr">
        <is>
          <t>https://www.specialtyfood.com/news-media/news-features/association-press-releases/2027-sofi-awards-finalists/</t>
        </is>
      </c>
      <c r="W220" t="inlineStr">
        <is>
          <t>2026-10-24</t>
        </is>
      </c>
      <c r="X220" t="inlineStr">
        <is>
          <t>brand</t>
        </is>
      </c>
      <c r="Y220">
        <f>IF(EB220&lt;&gt;"Y","",COUNTIFS($EB$2:$EB$1000,"Y",$J$2:$J$1000,"&gt;"&amp;J220)+COUNTIFS($EB$2:$EB$1000,"Y",$J$2:$J$1000,J220,$ED$2:$ED$1000,"&lt;"&amp;ED220)+1)</f>
        <v/>
      </c>
      <c r="Z220" t="n">
        <v>219</v>
      </c>
      <c r="AA220" t="inlineStr">
        <is>
          <t>N</t>
        </is>
      </c>
      <c r="AB220" t="inlineStr">
        <is>
          <t>no person named on an opened page: not ready; founder review (scale): read founder_review_reason first</t>
        </is>
      </c>
      <c r="AD220" t="inlineStr">
        <is>
          <t>none</t>
        </is>
      </c>
      <c r="AH220" t="inlineStr">
        <is>
          <t>Chef Poppin Brown Sugar Boba Milk Tea popcorn, single bag ($1.99)</t>
        </is>
      </c>
      <c r="AI220" t="inlineStr">
        <is>
          <t>popcorn-puffs</t>
        </is>
      </c>
      <c r="AJ220" t="inlineStr">
        <is>
          <t>Hayward</t>
        </is>
      </c>
      <c r="AK220" t="inlineStr">
        <is>
          <t>https://www.chefpoppin.com</t>
        </is>
      </c>
      <c r="AL220" t="inlineStr">
        <is>
          <t>Y</t>
        </is>
      </c>
      <c r="AM220" t="inlineStr">
        <is>
          <t>West Coast brand (Hayward, CA) with Taiwanese production; Costco presence suggests it may sit above the revenue band. FAQ says trehalose gives a 'lower glycemic impact' (nutrition wording; check the pack)</t>
        </is>
      </c>
      <c r="AN220" t="inlineStr">
        <is>
          <t>AB-310</t>
        </is>
      </c>
      <c r="AO220" t="inlineStr">
        <is>
          <t>N</t>
        </is>
      </c>
      <c r="AR220">
        <f>IF(AND(AU220="pass",AO220&lt;&gt;"Y",C220&lt;&gt;""),"Y","N")</f>
        <v/>
      </c>
      <c r="AS220">
        <f>_xlfn.TEXTJOIN("; ",TRUE,IF(AU220&lt;&gt;"pass","gated out",""),IF(AO220="Y","on hold: "&amp;AP220,""),IF(C220="","no contact named on an opened page",""))</f>
        <v/>
      </c>
      <c r="AU220" t="inlineStr">
        <is>
          <t>pass</t>
        </is>
      </c>
      <c r="AW220" t="inlineStr">
        <is>
          <t>passes all hard gates</t>
        </is>
      </c>
      <c r="AX220" t="inlineStr">
        <is>
          <t>scale</t>
        </is>
      </c>
      <c r="AY220" t="inlineStr">
        <is>
          <t>https://www.chefpoppin.com</t>
        </is>
      </c>
      <c r="AZ220" t="inlineStr">
        <is>
          <t>CA</t>
        </is>
      </c>
      <c r="BA220" t="inlineStr">
        <is>
          <t>elsewhere</t>
        </is>
      </c>
      <c r="BB220" t="inlineStr">
        <is>
          <t>unknown</t>
        </is>
      </c>
      <c r="BD220" t="inlineStr">
        <is>
          <t>Y</t>
        </is>
      </c>
      <c r="BE220" t="inlineStr">
        <is>
          <t>FAQ: 'Unopened bags stay delicious for 18 months.'</t>
        </is>
      </c>
      <c r="BF220" t="inlineStr">
        <is>
          <t>Y</t>
        </is>
      </c>
      <c r="BG220" t="inlineStr">
        <is>
          <t>Y</t>
        </is>
      </c>
      <c r="BH220" t="inlineStr">
        <is>
          <t>unknown</t>
        </is>
      </c>
      <c r="BJ220" t="inlineStr">
        <is>
          <t>No sourced sales figure found</t>
        </is>
      </c>
      <c r="BK220" t="inlineStr">
        <is>
          <t>N</t>
        </is>
      </c>
      <c r="BL220" t="inlineStr">
        <is>
          <t>N</t>
        </is>
      </c>
      <c r="BO220" t="inlineStr">
        <is>
          <t>N</t>
        </is>
      </c>
      <c r="BP220" t="n">
        <v>0</v>
      </c>
      <c r="BS220" t="inlineStr">
        <is>
          <t>Costco (site banner 'CHEF POPPIN at Costco')</t>
        </is>
      </c>
      <c r="BU220" t="inlineStr">
        <is>
          <t>press</t>
        </is>
      </c>
      <c r="BV220" t="n">
        <v>5</v>
      </c>
      <c r="CF220" t="inlineStr">
        <is>
          <t>none</t>
        </is>
      </c>
      <c r="CK220" t="inlineStr">
        <is>
          <t>none</t>
        </is>
      </c>
      <c r="CL220" t="n">
        <v>27</v>
      </c>
      <c r="CM220" t="n">
        <v>6</v>
      </c>
      <c r="CN220" t="n">
        <v>3</v>
      </c>
      <c r="CO220" t="n">
        <v>15</v>
      </c>
      <c r="CP220" t="n">
        <v>5</v>
      </c>
      <c r="CQ220" t="n">
        <v>10</v>
      </c>
      <c r="CR220" t="n">
        <v>0</v>
      </c>
      <c r="CS220">
        <f>IF(R220="Y",10,0)</f>
        <v/>
      </c>
      <c r="CT220" t="n">
        <v>-12</v>
      </c>
      <c r="CU220" t="inlineStr">
        <is>
          <t>https://www.instagram.com/chefpoppin/</t>
        </is>
      </c>
      <c r="CV220" t="inlineStr">
        <is>
          <t>BR5</t>
        </is>
      </c>
      <c r="CW220" t="inlineStr">
        <is>
          <t>BR5:46</t>
        </is>
      </c>
      <c r="CX220" t="inlineStr">
        <is>
          <t>Listed in the 2027 sofi finalists as 'Chef Poppin International Inc.'. Kimchi popcorn published 2026-08-17 (products.json). Contact page address: Hayward, California 94545. Outside the New York-first brief; kept because the single-bag format and 18-month shelf life fit the drop.</t>
        </is>
      </c>
      <c r="DA220" t="inlineStr">
        <is>
          <t>stage 1 only</t>
        </is>
      </c>
      <c r="DY220">
        <f>IF(ISNUMBER(MATCH(U220,{"queued","contacted","replied","call_booked","call_done","yes_in_principle","materials_sent"},0)),"Y","N")</f>
        <v/>
      </c>
      <c r="DZ220">
        <f>IF(COUNTIFS($AN$2:$AN$1000,AN220,$DY$2:$DY$1000,"Y")+COUNTIFS($AN$2:$AN$1000,AN220,$T$2:$T$1000,"Y")&gt;0,"Y","N")</f>
        <v/>
      </c>
      <c r="EA220">
        <f>IF(AND(U220="new",T220="N",AR220="Y",AQ220="",DZ220="N"),"Y","N")</f>
        <v/>
      </c>
      <c r="EB220">
        <f>IF(EA220&lt;&gt;"Y","N",IF(COUNTIFS($AN$2:$AN$1000,AN220,$EA$2:$EA$1000,"Y",$J$2:$J$1000,"&gt;"&amp;J220)+COUNTIFS($AN$2:$AN$1000,AN220,$EA$2:$EA$1000,"Y",$J$2:$J$1000,J220,$ED$2:$ED$1000,"&lt;"&amp;ED220)=0,"Y","N"))</f>
        <v/>
      </c>
      <c r="EC220">
        <f>IF(Y220="","N",IF(Y220&lt;=10,"Y","N"))</f>
        <v/>
      </c>
      <c r="ED220">
        <f>ROW()-1</f>
        <v/>
      </c>
    </row>
    <row r="221">
      <c r="A221" t="inlineStr">
        <is>
          <t>AB-060</t>
        </is>
      </c>
      <c r="B221" t="inlineStr">
        <is>
          <t>Chifles</t>
        </is>
      </c>
      <c r="C221" t="inlineStr">
        <is>
          <t>Tina</t>
        </is>
      </c>
      <c r="D221" t="inlineStr">
        <is>
          <t>Caballero</t>
        </is>
      </c>
      <c r="E221" t="inlineStr">
        <is>
          <t>Press contact on release</t>
        </is>
      </c>
      <c r="H221" t="inlineStr">
        <is>
          <t>none</t>
        </is>
      </c>
      <c r="I221" t="inlineStr">
        <is>
          <t>linkedin</t>
        </is>
      </c>
      <c r="J221">
        <f>IF(AU221="pass",CM221+CN221+CO221+CP221+CQ221+CR221+CS221+CT221,0)</f>
        <v/>
      </c>
      <c r="K221" t="inlineStr">
        <is>
          <t>Brand based outside the Northeast, no graded store within ten blocks, online store only, a new store listing 3 days ago, revenue unknown, contact named; founder review: scale.</t>
        </is>
      </c>
      <c r="M221" t="inlineStr">
        <is>
          <t>none found within ten blocks</t>
        </is>
      </c>
      <c r="N221" t="inlineStr">
        <is>
          <t>unverified</t>
        </is>
      </c>
      <c r="O221" t="inlineStr">
        <is>
          <t>New Original Plantain Chips with Avocado Oil 6-pack on brand store; Kroger expansion to 2,200+ stores (release 2025-10-23)</t>
        </is>
      </c>
      <c r="P221" t="inlineStr">
        <is>
          <t>https://chifleschips.com/products/original-plantain-chips-with-avocado-oil-5-oz-ea-6-pack</t>
        </is>
      </c>
      <c r="Q221" t="inlineStr">
        <is>
          <t>2026-10-21</t>
        </is>
      </c>
      <c r="R221" t="inlineStr">
        <is>
          <t>N</t>
        </is>
      </c>
      <c r="S221" t="inlineStr">
        <is>
          <t>Y</t>
        </is>
      </c>
      <c r="T221" t="inlineStr">
        <is>
          <t>N</t>
        </is>
      </c>
      <c r="U221" t="inlineStr">
        <is>
          <t>new</t>
        </is>
      </c>
      <c r="V221" t="inlineStr">
        <is>
          <t>https://startupcpg.com/startup-cpg-newswire-chifles-americas-1-plantain-chip-expands-into-more-than-2200-kroger-stores-nationwide/</t>
        </is>
      </c>
      <c r="W221" t="inlineStr">
        <is>
          <t>2026-10-23</t>
        </is>
      </c>
      <c r="X221" t="inlineStr">
        <is>
          <t>brand</t>
        </is>
      </c>
      <c r="Y221">
        <f>IF(EB221&lt;&gt;"Y","",COUNTIFS($EB$2:$EB$1000,"Y",$J$2:$J$1000,"&gt;"&amp;J221)+COUNTIFS($EB$2:$EB$1000,"Y",$J$2:$J$1000,J221,$ED$2:$ED$1000,"&lt;"&amp;ED221)+1)</f>
        <v/>
      </c>
      <c r="Z221" t="n">
        <v>220</v>
      </c>
      <c r="AA221" t="inlineStr">
        <is>
          <t>N</t>
        </is>
      </c>
      <c r="AB221" t="inlineStr">
        <is>
          <t>find Tina Caballero at Chifles on LinkedIn and paste the profile URL; founder review (scale): read founder_review_reason first</t>
        </is>
      </c>
      <c r="AC221" t="inlineStr">
        <is>
          <t>marketing</t>
        </is>
      </c>
      <c r="AD221" t="inlineStr">
        <is>
          <t>verified-page</t>
        </is>
      </c>
      <c r="AE221" t="inlineStr">
        <is>
          <t>press, event or podcast page</t>
        </is>
      </c>
      <c r="AF221" t="inlineStr">
        <is>
          <t>https://startupcpg.com/startup-cpg-newswire-chifles-americas-1-plantain-chip-expands-into-more-than-2200-kroger-stores-nationwide/</t>
        </is>
      </c>
      <c r="AG221" t="inlineStr">
        <is>
          <t>2026-10-23</t>
        </is>
      </c>
      <c r="AH221" t="inlineStr">
        <is>
          <t>Chifles Original Plantain Chips with Avocado Oil, 5 oz (6-pack)</t>
        </is>
      </c>
      <c r="AI221" t="inlineStr">
        <is>
          <t>chips-crisps</t>
        </is>
      </c>
      <c r="AJ221" t="inlineStr">
        <is>
          <t>Miami</t>
        </is>
      </c>
      <c r="AK221" t="inlineStr">
        <is>
          <t>https://chifleschips.com</t>
        </is>
      </c>
      <c r="AL221" t="inlineStr">
        <is>
          <t>Y</t>
        </is>
      </c>
      <c r="AM221" t="inlineStr">
        <is>
          <t>Self-described 'America's #1 plantain chip' with 15,000+ points of sale and 60-year history; likely above the $10M band (no sourced figure)</t>
        </is>
      </c>
      <c r="AN221" t="inlineStr">
        <is>
          <t>AB-060</t>
        </is>
      </c>
      <c r="AO221" t="inlineStr">
        <is>
          <t>N</t>
        </is>
      </c>
      <c r="AR221">
        <f>IF(AND(AU221="pass",AO221&lt;&gt;"Y",C221&lt;&gt;""),"Y","N")</f>
        <v/>
      </c>
      <c r="AS221">
        <f>_xlfn.TEXTJOIN("; ",TRUE,IF(AU221&lt;&gt;"pass","gated out",""),IF(AO221="Y","on hold: "&amp;AP221,""),IF(C221="","no contact named on an opened page",""))</f>
        <v/>
      </c>
      <c r="AU221" t="inlineStr">
        <is>
          <t>pass</t>
        </is>
      </c>
      <c r="AW221" t="inlineStr">
        <is>
          <t>passes all hard gates</t>
        </is>
      </c>
      <c r="AX221" t="inlineStr">
        <is>
          <t>scale</t>
        </is>
      </c>
      <c r="AY221" t="inlineStr">
        <is>
          <t>https://chifleschips.com</t>
        </is>
      </c>
      <c r="AZ221" t="inlineStr">
        <is>
          <t>FL</t>
        </is>
      </c>
      <c r="BA221" t="inlineStr">
        <is>
          <t>elsewhere</t>
        </is>
      </c>
      <c r="BB221" t="inlineStr">
        <is>
          <t>family-owned (60+ years per release)</t>
        </is>
      </c>
      <c r="BD221" t="inlineStr">
        <is>
          <t>Y</t>
        </is>
      </c>
      <c r="BE221" t="inlineStr">
        <is>
          <t>Bagged plantain chips and strips, ambient</t>
        </is>
      </c>
      <c r="BF221" t="inlineStr">
        <is>
          <t>N</t>
        </is>
      </c>
      <c r="BG221" t="inlineStr">
        <is>
          <t>Y</t>
        </is>
      </c>
      <c r="BH221" t="inlineStr">
        <is>
          <t>unknown</t>
        </is>
      </c>
      <c r="BJ221" t="inlineStr">
        <is>
          <t>unknown</t>
        </is>
      </c>
      <c r="BK221" t="inlineStr">
        <is>
          <t>N</t>
        </is>
      </c>
      <c r="BL221" t="inlineStr">
        <is>
          <t>N</t>
        </is>
      </c>
      <c r="BO221" t="inlineStr">
        <is>
          <t>N</t>
        </is>
      </c>
      <c r="BP221" t="n">
        <v>0</v>
      </c>
      <c r="BS221" t="inlineStr">
        <is>
          <t>Kroger (2,200+ stores); 15,000+ points of sale in the US</t>
        </is>
      </c>
      <c r="BT221" t="inlineStr">
        <is>
          <t>https://startupcpg.com/startup-cpg-newswire-chifles-americas-1-plantain-chip-expands-into-more-than-2200-kroger-stores-nationwide/; https://www.wholefoodsmarket.com/search?text=chifles%20plantain (no WFM results in cluster stores, 2026-10-23)</t>
        </is>
      </c>
      <c r="BU221" t="inlineStr">
        <is>
          <t>listing</t>
        </is>
      </c>
      <c r="BV221" t="n">
        <v>3</v>
      </c>
      <c r="BW221" t="inlineStr">
        <is>
          <t>https://startupcpg.com/startup-cpg-newswire-chifles-americas-1-plantain-chip-expands-into-more-than-2200-kroger-stores-nationwide/</t>
        </is>
      </c>
      <c r="BX221" t="inlineStr">
        <is>
          <t>Tina Caballero</t>
        </is>
      </c>
      <c r="CF221" t="inlineStr">
        <is>
          <t>none</t>
        </is>
      </c>
      <c r="CK221" t="inlineStr">
        <is>
          <t>none</t>
        </is>
      </c>
      <c r="CL221" t="n">
        <v>27</v>
      </c>
      <c r="CM221" t="n">
        <v>6</v>
      </c>
      <c r="CN221" t="n">
        <v>3</v>
      </c>
      <c r="CO221" t="n">
        <v>8</v>
      </c>
      <c r="CP221" t="n">
        <v>5</v>
      </c>
      <c r="CQ221" t="n">
        <v>7</v>
      </c>
      <c r="CR221" t="n">
        <v>10</v>
      </c>
      <c r="CS221">
        <f>IF(R221="Y",10,0)</f>
        <v/>
      </c>
      <c r="CT221" t="n">
        <v>-12</v>
      </c>
      <c r="CU221" t="inlineStr">
        <is>
          <t>unknown</t>
        </is>
      </c>
      <c r="CV221" t="inlineStr">
        <is>
          <t>BR1</t>
        </is>
      </c>
      <c r="CW221" t="inlineStr">
        <is>
          <t>BR1:61</t>
        </is>
      </c>
      <c r="CX221" t="inlineStr">
        <is>
          <t>Release datelined MIAMI, FL (October 2025). Avocado-oil SKU created 2026-10-17 on Shopify.</t>
        </is>
      </c>
      <c r="DA221" t="inlineStr">
        <is>
          <t>stage 1 only</t>
        </is>
      </c>
      <c r="DY221">
        <f>IF(ISNUMBER(MATCH(U221,{"queued","contacted","replied","call_booked","call_done","yes_in_principle","materials_sent"},0)),"Y","N")</f>
        <v/>
      </c>
      <c r="DZ221">
        <f>IF(COUNTIFS($AN$2:$AN$1000,AN221,$DY$2:$DY$1000,"Y")+COUNTIFS($AN$2:$AN$1000,AN221,$T$2:$T$1000,"Y")&gt;0,"Y","N")</f>
        <v/>
      </c>
      <c r="EA221">
        <f>IF(AND(U221="new",T221="N",AR221="Y",AQ221="",DZ221="N"),"Y","N")</f>
        <v/>
      </c>
      <c r="EB221">
        <f>IF(EA221&lt;&gt;"Y","N",IF(COUNTIFS($AN$2:$AN$1000,AN221,$EA$2:$EA$1000,"Y",$J$2:$J$1000,"&gt;"&amp;J221)+COUNTIFS($AN$2:$AN$1000,AN221,$EA$2:$EA$1000,"Y",$J$2:$J$1000,J221,$ED$2:$ED$1000,"&lt;"&amp;ED221)=0,"Y","N"))</f>
        <v/>
      </c>
      <c r="EC221">
        <f>IF(Y221="","N",IF(Y221&lt;=10,"Y","N"))</f>
        <v/>
      </c>
      <c r="ED221">
        <f>ROW()-1</f>
        <v/>
      </c>
    </row>
    <row r="222">
      <c r="A222" t="inlineStr">
        <is>
          <t>AB-176</t>
        </is>
      </c>
      <c r="B222" t="inlineStr">
        <is>
          <t>Saint James Iced Tea</t>
        </is>
      </c>
      <c r="C222" t="inlineStr">
        <is>
          <t>John</t>
        </is>
      </c>
      <c r="D222" t="inlineStr">
        <is>
          <t>M</t>
        </is>
      </c>
      <c r="E222" t="inlineStr">
        <is>
          <t>Founder</t>
        </is>
      </c>
      <c r="H222" t="inlineStr">
        <is>
          <t>none</t>
        </is>
      </c>
      <c r="I222" t="inlineStr">
        <is>
          <t>linkedin</t>
        </is>
      </c>
      <c r="J222">
        <f>IF(AU222="pass",CM222+CN222+CO222+CP222+CQ222+CR222+CS222+CT222,0)</f>
        <v/>
      </c>
      <c r="K222" t="inlineStr">
        <is>
          <t>Brand based outside the Northeast, no graded store within ten blocks, online store only, a new store listing 59 days ago, revenue unknown, contact named; founder review: scale, claim-borderline.</t>
        </is>
      </c>
      <c r="M222" t="inlineStr">
        <is>
          <t>none found within ten blocks</t>
        </is>
      </c>
      <c r="N222" t="inlineStr">
        <is>
          <t>unverified</t>
        </is>
      </c>
      <c r="O222" t="inlineStr">
        <is>
          <t>Launched Mango 'The White Lotus' limited edition and new Fruit Punch flavor on its store</t>
        </is>
      </c>
      <c r="P222" t="inlineStr">
        <is>
          <t>https://saintjamesicedtea.com/products.json</t>
        </is>
      </c>
      <c r="Q222" t="inlineStr">
        <is>
          <t>2026-08-26</t>
        </is>
      </c>
      <c r="R222" t="inlineStr">
        <is>
          <t>N</t>
        </is>
      </c>
      <c r="S222" t="inlineStr">
        <is>
          <t>unknown</t>
        </is>
      </c>
      <c r="T222" t="inlineStr">
        <is>
          <t>N</t>
        </is>
      </c>
      <c r="U222" t="inlineStr">
        <is>
          <t>new</t>
        </is>
      </c>
      <c r="V222" t="inlineStr">
        <is>
          <t>https://saintjamesicedtea.com/pages/about</t>
        </is>
      </c>
      <c r="W222" t="inlineStr">
        <is>
          <t>2026-10-23</t>
        </is>
      </c>
      <c r="X222" t="inlineStr">
        <is>
          <t>brand</t>
        </is>
      </c>
      <c r="Y222">
        <f>IF(EB222&lt;&gt;"Y","",COUNTIFS($EB$2:$EB$1000,"Y",$J$2:$J$1000,"&gt;"&amp;J222)+COUNTIFS($EB$2:$EB$1000,"Y",$J$2:$J$1000,J222,$ED$2:$ED$1000,"&lt;"&amp;ED222)+1)</f>
        <v/>
      </c>
      <c r="Z222" t="n">
        <v>221</v>
      </c>
      <c r="AA222" t="inlineStr">
        <is>
          <t>N</t>
        </is>
      </c>
      <c r="AB222" t="inlineStr">
        <is>
          <t>find John M at Saint James Iced Tea on LinkedIn and paste the profile URL; founder review (scale, claim-borderline): read founder_review_reason first</t>
        </is>
      </c>
      <c r="AC222" t="inlineStr">
        <is>
          <t>founder</t>
        </is>
      </c>
      <c r="AD222" t="inlineStr">
        <is>
          <t>verified-page</t>
        </is>
      </c>
      <c r="AE222" t="inlineStr">
        <is>
          <t>employer's own site</t>
        </is>
      </c>
      <c r="AF222" t="inlineStr">
        <is>
          <t>https://saintjamesicedtea.com/pages/about</t>
        </is>
      </c>
      <c r="AG222" t="inlineStr">
        <is>
          <t>2026-10-23</t>
        </is>
      </c>
      <c r="AH222" t="inlineStr">
        <is>
          <t>Saint James organic iced tea (0-4 g sugar), can; Strawberry Tangerine Yerba Mate (150 mg caffeine)</t>
        </is>
      </c>
      <c r="AI222" t="inlineStr">
        <is>
          <t>tea-juice</t>
        </is>
      </c>
      <c r="AJ222" t="inlineStr">
        <is>
          <t>Boca Raton</t>
        </is>
      </c>
      <c r="AK222" t="inlineStr">
        <is>
          <t>https://saintjamesicedtea.com</t>
        </is>
      </c>
      <c r="AL222" t="inlineStr">
        <is>
          <t>Y</t>
        </is>
      </c>
      <c r="AM222" t="inlineStr">
        <is>
          <t>Founded by AriZona Iced Tea co-founder, so well-resourced and maybe above the band; yerba mate SKUs carry 150 mg caffeine (place the plain iced tea). Pop Up Grocer listing is brand-level, not SKU-level; 60-day shelf life not stated</t>
        </is>
      </c>
      <c r="AN222" t="inlineStr">
        <is>
          <t>AB-176</t>
        </is>
      </c>
      <c r="AO222" t="inlineStr">
        <is>
          <t>N</t>
        </is>
      </c>
      <c r="AR222">
        <f>IF(AND(AU222="pass",AO222&lt;&gt;"Y",C222&lt;&gt;""),"Y","N")</f>
        <v/>
      </c>
      <c r="AS222">
        <f>_xlfn.TEXTJOIN("; ",TRUE,IF(AU222&lt;&gt;"pass","gated out",""),IF(AO222="Y","on hold: "&amp;AP222,""),IF(C222="","no contact named on an opened page",""))</f>
        <v/>
      </c>
      <c r="AU222" t="inlineStr">
        <is>
          <t>pass</t>
        </is>
      </c>
      <c r="AW222" t="inlineStr">
        <is>
          <t>passes all hard gates</t>
        </is>
      </c>
      <c r="AX222" t="inlineStr">
        <is>
          <t>scale;claim-borderline</t>
        </is>
      </c>
      <c r="AY222" t="inlineStr">
        <is>
          <t>https://saintjamesicedtea.com</t>
        </is>
      </c>
      <c r="AZ222" t="inlineStr">
        <is>
          <t>FL</t>
        </is>
      </c>
      <c r="BA222" t="inlineStr">
        <is>
          <t>elsewhere</t>
        </is>
      </c>
      <c r="BB222" t="inlineStr">
        <is>
          <t>family-owned (per Pop Up Grocer directory)</t>
        </is>
      </c>
      <c r="BC222" t="inlineStr">
        <is>
          <t>https://popupgrocer.com/products/saint-james-iced-tea</t>
        </is>
      </c>
      <c r="BD222" t="inlineStr">
        <is>
          <t>unknown</t>
        </is>
      </c>
      <c r="BE222" t="inlineStr">
        <is>
          <t>FAQ discusses refrigeration only after opening; no explicit shelf-life statement read</t>
        </is>
      </c>
      <c r="BF222" t="inlineStr">
        <is>
          <t>Y</t>
        </is>
      </c>
      <c r="BG222" t="inlineStr">
        <is>
          <t>Y</t>
        </is>
      </c>
      <c r="BH222" t="inlineStr">
        <is>
          <t>unknown</t>
        </is>
      </c>
      <c r="BJ222" t="inlineStr">
        <is>
          <t>No public sales figure found</t>
        </is>
      </c>
      <c r="BK222" t="inlineStr">
        <is>
          <t>N</t>
        </is>
      </c>
      <c r="BL222" t="inlineStr">
        <is>
          <t>N</t>
        </is>
      </c>
      <c r="BO222" t="inlineStr">
        <is>
          <t>N</t>
        </is>
      </c>
      <c r="BP222" t="n">
        <v>0</v>
      </c>
      <c r="BR222" t="inlineStr">
        <is>
          <t>Pop Up Grocer (brand_claim, unplaced)</t>
        </is>
      </c>
      <c r="BS222" t="inlineStr">
        <is>
          <t>Pop Up Grocer NYC Flagship, 205 Bleecker St (retailer directory); Destini locator not readable</t>
        </is>
      </c>
      <c r="BT222" t="inlineStr">
        <is>
          <t>https://popupgrocer.com/products/saint-james-iced-tea</t>
        </is>
      </c>
      <c r="BU222" t="inlineStr">
        <is>
          <t>listing</t>
        </is>
      </c>
      <c r="BV222" t="n">
        <v>59</v>
      </c>
      <c r="BX222" t="inlineStr">
        <is>
          <t>John M</t>
        </is>
      </c>
      <c r="CA222" t="inlineStr">
        <is>
          <t>Hayley Budden</t>
        </is>
      </c>
      <c r="CB222" t="inlineStr">
        <is>
          <t>Hayley</t>
        </is>
      </c>
      <c r="CC222" t="inlineStr">
        <is>
          <t>Budden</t>
        </is>
      </c>
      <c r="CD222" t="inlineStr">
        <is>
          <t>Director of Field Marketing</t>
        </is>
      </c>
      <c r="CE222" t="inlineStr">
        <is>
          <t>marketing</t>
        </is>
      </c>
      <c r="CF222" t="inlineStr">
        <is>
          <t>verified-page</t>
        </is>
      </c>
      <c r="CK222" t="inlineStr">
        <is>
          <t>none</t>
        </is>
      </c>
      <c r="CL222" t="n">
        <v>27</v>
      </c>
      <c r="CM222" t="n">
        <v>6</v>
      </c>
      <c r="CN222" t="n">
        <v>3</v>
      </c>
      <c r="CO222" t="n">
        <v>8</v>
      </c>
      <c r="CP222" t="n">
        <v>5</v>
      </c>
      <c r="CQ222" t="n">
        <v>7</v>
      </c>
      <c r="CR222" t="n">
        <v>10</v>
      </c>
      <c r="CS222">
        <f>IF(R222="Y",10,0)</f>
        <v/>
      </c>
      <c r="CT222" t="n">
        <v>-12</v>
      </c>
      <c r="CU222" t="inlineStr">
        <is>
          <t>unknown</t>
        </is>
      </c>
      <c r="CV222" t="inlineStr">
        <is>
          <t>BR3</t>
        </is>
      </c>
      <c r="CW222" t="inlineStr">
        <is>
          <t>BR3:50</t>
        </is>
      </c>
      <c r="CX222" t="inlineStr">
        <is>
          <t>Pop Up Grocer directory (opened 2026-10-23): 'second-generation, family-owned', availability 'NYC Flagship'. store_selector grade is from the retailer's own directory page naming its NYC Flagship store. Dates are Shopify publish dates.</t>
        </is>
      </c>
      <c r="CY222" t="inlineStr">
        <is>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t>
        </is>
      </c>
      <c r="CZ222" t="inlineStr">
        <is>
          <t>https://attend.expowest.com/event/natural-products-expo-west-2026/exhibitor/RXhoaWJpdG9yXzIzNTc0NDA=</t>
        </is>
      </c>
      <c r="DA222" t="inlineStr">
        <is>
          <t>stage 1 only</t>
        </is>
      </c>
      <c r="DC222" t="inlineStr">
        <is>
          <t>press, event or podcast page</t>
        </is>
      </c>
      <c r="DY222">
        <f>IF(ISNUMBER(MATCH(U222,{"queued","contacted","replied","call_booked","call_done","yes_in_principle","materials_sent"},0)),"Y","N")</f>
        <v/>
      </c>
      <c r="DZ222">
        <f>IF(COUNTIFS($AN$2:$AN$1000,AN222,$DY$2:$DY$1000,"Y")+COUNTIFS($AN$2:$AN$1000,AN222,$T$2:$T$1000,"Y")&gt;0,"Y","N")</f>
        <v/>
      </c>
      <c r="EA222">
        <f>IF(AND(U222="new",T222="N",AR222="Y",AQ222="",DZ222="N"),"Y","N")</f>
        <v/>
      </c>
      <c r="EB222">
        <f>IF(EA222&lt;&gt;"Y","N",IF(COUNTIFS($AN$2:$AN$1000,AN222,$EA$2:$EA$1000,"Y",$J$2:$J$1000,"&gt;"&amp;J222)+COUNTIFS($AN$2:$AN$1000,AN222,$EA$2:$EA$1000,"Y",$J$2:$J$1000,J222,$ED$2:$ED$1000,"&lt;"&amp;ED222)=0,"Y","N"))</f>
        <v/>
      </c>
      <c r="EC222">
        <f>IF(Y222="","N",IF(Y222&lt;=10,"Y","N"))</f>
        <v/>
      </c>
      <c r="ED222">
        <f>ROW()-1</f>
        <v/>
      </c>
    </row>
    <row r="223">
      <c r="A223" t="inlineStr">
        <is>
          <t>AB-102</t>
        </is>
      </c>
      <c r="B223" t="inlineStr">
        <is>
          <t>Blake's Seed Based</t>
        </is>
      </c>
      <c r="H223" t="inlineStr">
        <is>
          <t>none</t>
        </is>
      </c>
      <c r="J223">
        <f>IF(AU223="pass",CM223+CN223+CO223+CP223+CQ223+CR223+CS223+CT223,0)</f>
        <v/>
      </c>
      <c r="K223" t="inlineStr">
        <is>
          <t>Brand based outside the Northeast, no graded store within ten blocks, online store only, a new store listing 68 days ago, revenue unknown, no contact named; founder review: claim-borderline.</t>
        </is>
      </c>
      <c r="M223" t="inlineStr">
        <is>
          <t>none found within ten blocks</t>
        </is>
      </c>
      <c r="N223" t="inlineStr">
        <is>
          <t>unverified</t>
        </is>
      </c>
      <c r="O223" t="inlineStr">
        <is>
          <t>Launched Protein Treats on brand store, Aug 2026</t>
        </is>
      </c>
      <c r="P223" t="inlineStr">
        <is>
          <t>https://www.eatblakes.com/</t>
        </is>
      </c>
      <c r="Q223" t="inlineStr">
        <is>
          <t>2026-08-17</t>
        </is>
      </c>
      <c r="R223" t="inlineStr">
        <is>
          <t>N</t>
        </is>
      </c>
      <c r="S223" t="inlineStr">
        <is>
          <t>unknown</t>
        </is>
      </c>
      <c r="T223" t="inlineStr">
        <is>
          <t>N</t>
        </is>
      </c>
      <c r="U223" t="inlineStr">
        <is>
          <t>new</t>
        </is>
      </c>
      <c r="V223" t="inlineStr">
        <is>
          <t>https://www.eatblakes.com/pages/our-story</t>
        </is>
      </c>
      <c r="W223" t="inlineStr">
        <is>
          <t>2026-10-23</t>
        </is>
      </c>
      <c r="X223" t="inlineStr">
        <is>
          <t>brand</t>
        </is>
      </c>
      <c r="Y223">
        <f>IF(EB223&lt;&gt;"Y","",COUNTIFS($EB$2:$EB$1000,"Y",$J$2:$J$1000,"&gt;"&amp;J223)+COUNTIFS($EB$2:$EB$1000,"Y",$J$2:$J$1000,J223,$ED$2:$ED$1000,"&lt;"&amp;ED223)+1)</f>
        <v/>
      </c>
      <c r="Z223" t="n">
        <v>222</v>
      </c>
      <c r="AA223" t="inlineStr">
        <is>
          <t>N</t>
        </is>
      </c>
      <c r="AB223" t="inlineStr">
        <is>
          <t>no person named on an opened page: not ready; founder review (claim-borderline): read founder_review_reason first</t>
        </is>
      </c>
      <c r="AD223" t="inlineStr">
        <is>
          <t>none</t>
        </is>
      </c>
      <c r="AH223" t="inlineStr">
        <is>
          <t>Crispy Treats seed-based snack bars; Protein Treats</t>
        </is>
      </c>
      <c r="AI223" t="inlineStr">
        <is>
          <t>bars</t>
        </is>
      </c>
      <c r="AJ223" t="inlineStr">
        <is>
          <t>Bloomington</t>
        </is>
      </c>
      <c r="AK223" t="inlineStr">
        <is>
          <t>https://www.eatblakes.com</t>
        </is>
      </c>
      <c r="AL223" t="inlineStr">
        <is>
          <t>Y</t>
        </is>
      </c>
      <c r="AM223" t="inlineStr">
        <is>
          <t>Kids/classroom allergy-free positioning; '5g plant protein, 3g sugar' nutrient claims; 60-day shelf life not stated</t>
        </is>
      </c>
      <c r="AN223" t="inlineStr">
        <is>
          <t>AB-102</t>
        </is>
      </c>
      <c r="AO223" t="inlineStr">
        <is>
          <t>N</t>
        </is>
      </c>
      <c r="AR223">
        <f>IF(AND(AU223="pass",AO223&lt;&gt;"Y",C223&lt;&gt;""),"Y","N")</f>
        <v/>
      </c>
      <c r="AS223">
        <f>_xlfn.TEXTJOIN("; ",TRUE,IF(AU223&lt;&gt;"pass","gated out",""),IF(AO223="Y","on hold: "&amp;AP223,""),IF(C223="","no contact named on an opened page",""))</f>
        <v/>
      </c>
      <c r="AU223" t="inlineStr">
        <is>
          <t>pass</t>
        </is>
      </c>
      <c r="AW223" t="inlineStr">
        <is>
          <t>passes all hard gates</t>
        </is>
      </c>
      <c r="AX223" t="inlineStr">
        <is>
          <t>claim-borderline</t>
        </is>
      </c>
      <c r="AY223" t="inlineStr">
        <is>
          <t>https://www.eatblakes.com</t>
        </is>
      </c>
      <c r="AZ223" t="inlineStr">
        <is>
          <t>IN</t>
        </is>
      </c>
      <c r="BA223" t="inlineStr">
        <is>
          <t>elsewhere</t>
        </is>
      </c>
      <c r="BB223" t="inlineStr">
        <is>
          <t>unknown</t>
        </is>
      </c>
      <c r="BD223" t="inlineStr">
        <is>
          <t>likely</t>
        </is>
      </c>
      <c r="BE223" t="inlineStr">
        <is>
          <t>Wrapped bars sold in grocery; shelf-life figure not found</t>
        </is>
      </c>
      <c r="BF223" t="inlineStr">
        <is>
          <t>Y</t>
        </is>
      </c>
      <c r="BG223" t="inlineStr">
        <is>
          <t>Y</t>
        </is>
      </c>
      <c r="BH223" t="inlineStr">
        <is>
          <t>unknown</t>
        </is>
      </c>
      <c r="BJ223" t="inlineStr">
        <is>
          <t>unknown</t>
        </is>
      </c>
      <c r="BK223" t="inlineStr">
        <is>
          <t>N</t>
        </is>
      </c>
      <c r="BL223" t="inlineStr">
        <is>
          <t>N</t>
        </is>
      </c>
      <c r="BO223" t="inlineStr">
        <is>
          <t>N</t>
        </is>
      </c>
      <c r="BP223" t="n">
        <v>0</v>
      </c>
      <c r="BS223" t="inlineStr">
        <is>
          <t>Over 3,000 stores nationwide (brand home page)</t>
        </is>
      </c>
      <c r="BT223" t="inlineStr">
        <is>
          <t>https://www.wholefoodsmarket.com/api/search?text=blakes%20seed%20based&amp;store=10162&amp;limit=60&amp;offset=0</t>
        </is>
      </c>
      <c r="BU223" t="inlineStr">
        <is>
          <t>listing</t>
        </is>
      </c>
      <c r="BV223" t="n">
        <v>68</v>
      </c>
      <c r="CF223" t="inlineStr">
        <is>
          <t>none</t>
        </is>
      </c>
      <c r="CK223" t="inlineStr">
        <is>
          <t>none</t>
        </is>
      </c>
      <c r="CL223" t="n">
        <v>26</v>
      </c>
      <c r="CM223" t="n">
        <v>6</v>
      </c>
      <c r="CN223" t="n">
        <v>3</v>
      </c>
      <c r="CO223" t="n">
        <v>8</v>
      </c>
      <c r="CP223" t="n">
        <v>5</v>
      </c>
      <c r="CQ223" t="n">
        <v>8</v>
      </c>
      <c r="CR223" t="n">
        <v>0</v>
      </c>
      <c r="CS223">
        <f>IF(R223="Y",10,0)</f>
        <v/>
      </c>
      <c r="CT223" t="n">
        <v>-4</v>
      </c>
      <c r="CU223" t="inlineStr">
        <is>
          <t>https://www.instagram.com/eatblakes/</t>
        </is>
      </c>
      <c r="CV223" t="inlineStr">
        <is>
          <t>BR2</t>
        </is>
      </c>
      <c r="CW223" t="inlineStr">
        <is>
          <t>BR2:40</t>
        </is>
      </c>
      <c r="CX223" t="inlineStr">
        <is>
          <t>Top allergen-free (nut-free, gluten-free, dairy-free). Storemapper locator ID not readable. Not in WFM cluster catalogs. Why-now date from Shopify publish date.</t>
        </is>
      </c>
      <c r="CY223" t="inlineStr">
        <is>
          <t xml:space="preserve">hq_city &lt;- https://www.eatblakes.com/policies/terms-of-service (2026-10-24, opened); hq_state &lt;- https://www.eatblakes.com/policies/terms-of-service (2026-10-24, opened); </t>
        </is>
      </c>
      <c r="DA223" t="inlineStr">
        <is>
          <t>stage 1 only</t>
        </is>
      </c>
      <c r="DY223">
        <f>IF(ISNUMBER(MATCH(U223,{"queued","contacted","replied","call_booked","call_done","yes_in_principle","materials_sent"},0)),"Y","N")</f>
        <v/>
      </c>
      <c r="DZ223">
        <f>IF(COUNTIFS($AN$2:$AN$1000,AN223,$DY$2:$DY$1000,"Y")+COUNTIFS($AN$2:$AN$1000,AN223,$T$2:$T$1000,"Y")&gt;0,"Y","N")</f>
        <v/>
      </c>
      <c r="EA223">
        <f>IF(AND(U223="new",T223="N",AR223="Y",AQ223="",DZ223="N"),"Y","N")</f>
        <v/>
      </c>
      <c r="EB223">
        <f>IF(EA223&lt;&gt;"Y","N",IF(COUNTIFS($AN$2:$AN$1000,AN223,$EA$2:$EA$1000,"Y",$J$2:$J$1000,"&gt;"&amp;J223)+COUNTIFS($AN$2:$AN$1000,AN223,$EA$2:$EA$1000,"Y",$J$2:$J$1000,J223,$ED$2:$ED$1000,"&lt;"&amp;ED223)=0,"Y","N"))</f>
        <v/>
      </c>
      <c r="EC223">
        <f>IF(Y223="","N",IF(Y223&lt;=10,"Y","N"))</f>
        <v/>
      </c>
      <c r="ED223">
        <f>ROW()-1</f>
        <v/>
      </c>
    </row>
    <row r="224">
      <c r="A224" t="inlineStr">
        <is>
          <t>AB-177</t>
        </is>
      </c>
      <c r="B224" t="inlineStr">
        <is>
          <t>Neat Soda</t>
        </is>
      </c>
      <c r="H224" t="inlineStr">
        <is>
          <t>none</t>
        </is>
      </c>
      <c r="J224">
        <f>IF(AU224="pass",CM224+CN224+CO224+CP224+CQ224+CR224+CS224+CT224,0)</f>
        <v/>
      </c>
      <c r="K224" t="inlineStr">
        <is>
          <t>HQ unknown, no graded store within ten blocks, online store only, a new store listing 115 days ago, revenue unknown, no contact named; founder review: claim-borderline.</t>
        </is>
      </c>
      <c r="M224" t="inlineStr">
        <is>
          <t>none found within ten blocks</t>
        </is>
      </c>
      <c r="N224" t="inlineStr">
        <is>
          <t>unverified</t>
        </is>
      </c>
      <c r="O224" t="inlineStr">
        <is>
          <t>Added to Pop Up Grocer NYC Flagship directory</t>
        </is>
      </c>
      <c r="P224" t="inlineStr">
        <is>
          <t>https://popupgrocer.com/products/neat-soda</t>
        </is>
      </c>
      <c r="Q224" t="inlineStr">
        <is>
          <t>2026-07-01</t>
        </is>
      </c>
      <c r="R224" t="inlineStr">
        <is>
          <t>N</t>
        </is>
      </c>
      <c r="S224" t="inlineStr">
        <is>
          <t>unknown</t>
        </is>
      </c>
      <c r="T224" t="inlineStr">
        <is>
          <t>N</t>
        </is>
      </c>
      <c r="U224" t="inlineStr">
        <is>
          <t>new</t>
        </is>
      </c>
      <c r="V224" t="inlineStr">
        <is>
          <t>https://neatsoda.com</t>
        </is>
      </c>
      <c r="W224" t="inlineStr">
        <is>
          <t>2026-10-23</t>
        </is>
      </c>
      <c r="X224" t="inlineStr">
        <is>
          <t>brand</t>
        </is>
      </c>
      <c r="Y224">
        <f>IF(EB224&lt;&gt;"Y","",COUNTIFS($EB$2:$EB$1000,"Y",$J$2:$J$1000,"&gt;"&amp;J224)+COUNTIFS($EB$2:$EB$1000,"Y",$J$2:$J$1000,J224,$ED$2:$ED$1000,"&lt;"&amp;ED224)+1)</f>
        <v/>
      </c>
      <c r="Z224" t="n">
        <v>223</v>
      </c>
      <c r="AA224" t="inlineStr">
        <is>
          <t>N</t>
        </is>
      </c>
      <c r="AB224" t="inlineStr">
        <is>
          <t>no person named on an opened page: not ready; founder review (claim-borderline): read founder_review_reason first</t>
        </is>
      </c>
      <c r="AD224" t="inlineStr">
        <is>
          <t>none</t>
        </is>
      </c>
      <c r="AH224" t="inlineStr">
        <is>
          <t>Neat Cola / Dr. Neat / Lemon Lime lower-sugar soda, 12 oz can</t>
        </is>
      </c>
      <c r="AI224" t="inlineStr">
        <is>
          <t>sparkling-soda</t>
        </is>
      </c>
      <c r="AJ224" t="inlineStr">
        <is>
          <t>unknown</t>
        </is>
      </c>
      <c r="AK224" t="inlineStr">
        <is>
          <t>https://neatsoda.com</t>
        </is>
      </c>
      <c r="AL224" t="inlineStr">
        <is>
          <t>Y</t>
        </is>
      </c>
      <c r="AM224" t="inlineStr">
        <is>
          <t>Founder, HQ and size unknown; 'less sugar' is a nutrient-content claim. Pop Up Grocer listing is brand-level; 60-day shelf life not stated</t>
        </is>
      </c>
      <c r="AN224" t="inlineStr">
        <is>
          <t>AB-177</t>
        </is>
      </c>
      <c r="AO224" t="inlineStr">
        <is>
          <t>N</t>
        </is>
      </c>
      <c r="AR224">
        <f>IF(AND(AU224="pass",AO224&lt;&gt;"Y",C224&lt;&gt;""),"Y","N")</f>
        <v/>
      </c>
      <c r="AS224">
        <f>_xlfn.TEXTJOIN("; ",TRUE,IF(AU224&lt;&gt;"pass","gated out",""),IF(AO224="Y","on hold: "&amp;AP224,""),IF(C224="","no contact named on an opened page",""))</f>
        <v/>
      </c>
      <c r="AU224" t="inlineStr">
        <is>
          <t>pass</t>
        </is>
      </c>
      <c r="AW224" t="inlineStr">
        <is>
          <t>passes all hard gates</t>
        </is>
      </c>
      <c r="AX224" t="inlineStr">
        <is>
          <t>claim-borderline</t>
        </is>
      </c>
      <c r="AY224" t="inlineStr">
        <is>
          <t>https://neatsoda.com</t>
        </is>
      </c>
      <c r="AZ224" t="inlineStr">
        <is>
          <t>unknown</t>
        </is>
      </c>
      <c r="BA224" t="inlineStr">
        <is>
          <t>unknown</t>
        </is>
      </c>
      <c r="BB224" t="inlineStr">
        <is>
          <t>unknown</t>
        </is>
      </c>
      <c r="BD224" t="inlineStr">
        <is>
          <t>unknown</t>
        </is>
      </c>
      <c r="BE224" t="inlineStr">
        <is>
          <t>No storage statement found</t>
        </is>
      </c>
      <c r="BF224" t="inlineStr">
        <is>
          <t>Y</t>
        </is>
      </c>
      <c r="BG224" t="inlineStr">
        <is>
          <t>Y</t>
        </is>
      </c>
      <c r="BH224" t="inlineStr">
        <is>
          <t>unknown</t>
        </is>
      </c>
      <c r="BJ224" t="inlineStr">
        <is>
          <t>No public sales figure found</t>
        </is>
      </c>
      <c r="BK224" t="inlineStr">
        <is>
          <t>N</t>
        </is>
      </c>
      <c r="BL224" t="inlineStr">
        <is>
          <t>N</t>
        </is>
      </c>
      <c r="BO224" t="inlineStr">
        <is>
          <t>N</t>
        </is>
      </c>
      <c r="BP224" t="n">
        <v>0</v>
      </c>
      <c r="BR224" t="inlineStr">
        <is>
          <t>Pop Up Grocer (brand_claim, unplaced)</t>
        </is>
      </c>
      <c r="BS224" t="inlineStr">
        <is>
          <t>Pop Up Grocer NYC Flagship, 205 Bleecker St (retailer directory)</t>
        </is>
      </c>
      <c r="BT224" t="inlineStr">
        <is>
          <t>https://popupgrocer.com/products/neat-soda</t>
        </is>
      </c>
      <c r="BU224" t="inlineStr">
        <is>
          <t>listing</t>
        </is>
      </c>
      <c r="BV224" t="n">
        <v>115</v>
      </c>
      <c r="CF224" t="inlineStr">
        <is>
          <t>none</t>
        </is>
      </c>
      <c r="CK224" t="inlineStr">
        <is>
          <t>none</t>
        </is>
      </c>
      <c r="CL224" t="n">
        <v>26</v>
      </c>
      <c r="CM224" t="n">
        <v>6</v>
      </c>
      <c r="CN224" t="n">
        <v>4</v>
      </c>
      <c r="CO224" t="n">
        <v>8</v>
      </c>
      <c r="CP224" t="n">
        <v>5</v>
      </c>
      <c r="CQ224" t="n">
        <v>7</v>
      </c>
      <c r="CR224" t="n">
        <v>0</v>
      </c>
      <c r="CS224">
        <f>IF(R224="Y",10,0)</f>
        <v/>
      </c>
      <c r="CT224" t="n">
        <v>-4</v>
      </c>
      <c r="CU224" t="inlineStr">
        <is>
          <t>unknown</t>
        </is>
      </c>
      <c r="CV224" t="inlineStr">
        <is>
          <t>BR3</t>
        </is>
      </c>
      <c r="CW224" t="inlineStr">
        <is>
          <t>BR3:51</t>
        </is>
      </c>
      <c r="CX224" t="inlineStr">
        <is>
          <t>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is>
      </c>
      <c r="CY224" t="inlineStr">
        <is>
          <t xml:space="preserve">notes &lt;- https://neatsoda.com/policies/privacy-policy (2026-10-24, opened); </t>
        </is>
      </c>
      <c r="DA224" t="inlineStr">
        <is>
          <t>stage 1 only</t>
        </is>
      </c>
      <c r="DY224">
        <f>IF(ISNUMBER(MATCH(U224,{"queued","contacted","replied","call_booked","call_done","yes_in_principle","materials_sent"},0)),"Y","N")</f>
        <v/>
      </c>
      <c r="DZ224">
        <f>IF(COUNTIFS($AN$2:$AN$1000,AN224,$DY$2:$DY$1000,"Y")+COUNTIFS($AN$2:$AN$1000,AN224,$T$2:$T$1000,"Y")&gt;0,"Y","N")</f>
        <v/>
      </c>
      <c r="EA224">
        <f>IF(AND(U224="new",T224="N",AR224="Y",AQ224="",DZ224="N"),"Y","N")</f>
        <v/>
      </c>
      <c r="EB224">
        <f>IF(EA224&lt;&gt;"Y","N",IF(COUNTIFS($AN$2:$AN$1000,AN224,$EA$2:$EA$1000,"Y",$J$2:$J$1000,"&gt;"&amp;J224)+COUNTIFS($AN$2:$AN$1000,AN224,$EA$2:$EA$1000,"Y",$J$2:$J$1000,J224,$ED$2:$ED$1000,"&lt;"&amp;ED224)=0,"Y","N"))</f>
        <v/>
      </c>
      <c r="EC224">
        <f>IF(Y224="","N",IF(Y224&lt;=10,"Y","N"))</f>
        <v/>
      </c>
      <c r="ED224">
        <f>ROW()-1</f>
        <v/>
      </c>
    </row>
    <row r="225">
      <c r="A225" t="inlineStr">
        <is>
          <t>AB-181</t>
        </is>
      </c>
      <c r="B225" t="inlineStr">
        <is>
          <t>COUP'd</t>
        </is>
      </c>
      <c r="H225" t="inlineStr">
        <is>
          <t>none</t>
        </is>
      </c>
      <c r="J225">
        <f>IF(AU225="pass",CM225+CN225+CO225+CP225+CQ225+CR225+CS225+CT225,0)</f>
        <v/>
      </c>
      <c r="K225" t="inlineStr">
        <is>
          <t>Brand based outside the Northeast, no graded store within ten blocks, online store only, a new store listing 25 days ago, revenue unknown, no contact named; founder review: format.</t>
        </is>
      </c>
      <c r="M225" t="inlineStr">
        <is>
          <t>none found within ten blocks</t>
        </is>
      </c>
      <c r="N225" t="inlineStr">
        <is>
          <t>unverified</t>
        </is>
      </c>
      <c r="O225" t="inlineStr">
        <is>
          <t>Added to Pop Up Grocer NYC Flagship directory; COUP'd Up Duo listed 2026-04-29</t>
        </is>
      </c>
      <c r="P225" t="inlineStr">
        <is>
          <t>https://popupgrocer.com/products/coupd</t>
        </is>
      </c>
      <c r="Q225" t="inlineStr">
        <is>
          <t>2026-09-29</t>
        </is>
      </c>
      <c r="R225" t="inlineStr">
        <is>
          <t>N</t>
        </is>
      </c>
      <c r="S225" t="inlineStr">
        <is>
          <t>unknown</t>
        </is>
      </c>
      <c r="T225" t="inlineStr">
        <is>
          <t>N</t>
        </is>
      </c>
      <c r="U225" t="inlineStr">
        <is>
          <t>new</t>
        </is>
      </c>
      <c r="V225" t="inlineStr">
        <is>
          <t>https://getcoupd.com/products.json</t>
        </is>
      </c>
      <c r="W225" t="inlineStr">
        <is>
          <t>2026-10-23</t>
        </is>
      </c>
      <c r="X225" t="inlineStr">
        <is>
          <t>brand</t>
        </is>
      </c>
      <c r="Y225">
        <f>IF(EB225&lt;&gt;"Y","",COUNTIFS($EB$2:$EB$1000,"Y",$J$2:$J$1000,"&gt;"&amp;J225)+COUNTIFS($EB$2:$EB$1000,"Y",$J$2:$J$1000,J225,$ED$2:$ED$1000,"&lt;"&amp;ED225)+1)</f>
        <v/>
      </c>
      <c r="Z225" t="n">
        <v>224</v>
      </c>
      <c r="AA225" t="inlineStr">
        <is>
          <t>N</t>
        </is>
      </c>
      <c r="AB225" t="inlineStr">
        <is>
          <t>no person named on an opened page: not ready; founder review (format): read founder_review_reason first</t>
        </is>
      </c>
      <c r="AD225" t="inlineStr">
        <is>
          <t>none</t>
        </is>
      </c>
      <c r="AH225" t="inlineStr">
        <is>
          <t>COUP'd Lemon Ginger non-alcoholic aperitif and mixer, bottle</t>
        </is>
      </c>
      <c r="AI225" t="inlineStr">
        <is>
          <t>other-drink</t>
        </is>
      </c>
      <c r="AJ225" t="inlineStr">
        <is>
          <t>Greenville</t>
        </is>
      </c>
      <c r="AK225" t="inlineStr">
        <is>
          <t>https://getcoupd.com</t>
        </is>
      </c>
      <c r="AL225" t="inlineStr">
        <is>
          <t>Y</t>
        </is>
      </c>
      <c r="AM225" t="inlineStr">
        <is>
          <t>Multi-serve mixer bottle meant to be diluted, so it likely fails 'individually packaged' and 'no preparation'; keep only if a single-serve RTD exists</t>
        </is>
      </c>
      <c r="AN225" t="inlineStr">
        <is>
          <t>AB-181</t>
        </is>
      </c>
      <c r="AO225" t="inlineStr">
        <is>
          <t>N</t>
        </is>
      </c>
      <c r="AR225">
        <f>IF(AND(AU225="pass",AO225&lt;&gt;"Y",C225&lt;&gt;""),"Y","N")</f>
        <v/>
      </c>
      <c r="AS225">
        <f>_xlfn.TEXTJOIN("; ",TRUE,IF(AU225&lt;&gt;"pass","gated out",""),IF(AO225="Y","on hold: "&amp;AP225,""),IF(C225="","no contact named on an opened page",""))</f>
        <v/>
      </c>
      <c r="AU225" t="inlineStr">
        <is>
          <t>pass</t>
        </is>
      </c>
      <c r="AW225" t="inlineStr">
        <is>
          <t>passes all hard gates</t>
        </is>
      </c>
      <c r="AX225" t="inlineStr">
        <is>
          <t>format</t>
        </is>
      </c>
      <c r="AY225" t="inlineStr">
        <is>
          <t>https://getcoupd.com</t>
        </is>
      </c>
      <c r="AZ225" t="inlineStr">
        <is>
          <t>MS</t>
        </is>
      </c>
      <c r="BA225" t="inlineStr">
        <is>
          <t>elsewhere</t>
        </is>
      </c>
      <c r="BB225" t="inlineStr">
        <is>
          <t>unknown</t>
        </is>
      </c>
      <c r="BD225" t="inlineStr">
        <is>
          <t>Y</t>
        </is>
      </c>
      <c r="BE225" t="inlineStr">
        <is>
          <t>Brand FAQ: heat-pasteurized, lasts up to 1 year unopened in a cool, dry space (getcoupd.com/pages/frequently-asked-questions, opened 2026-10-24)</t>
        </is>
      </c>
      <c r="BF225" t="inlineStr">
        <is>
          <t>N</t>
        </is>
      </c>
      <c r="BG225" t="inlineStr">
        <is>
          <t>Y</t>
        </is>
      </c>
      <c r="BH225" t="inlineStr">
        <is>
          <t>unknown</t>
        </is>
      </c>
      <c r="BJ225" t="inlineStr">
        <is>
          <t>No public sales figure found</t>
        </is>
      </c>
      <c r="BK225" t="inlineStr">
        <is>
          <t>N</t>
        </is>
      </c>
      <c r="BL225" t="inlineStr">
        <is>
          <t>N</t>
        </is>
      </c>
      <c r="BO225" t="inlineStr">
        <is>
          <t>N</t>
        </is>
      </c>
      <c r="BP225" t="n">
        <v>0</v>
      </c>
      <c r="BR225" t="inlineStr">
        <is>
          <t>Pop Up Grocer (brand_claim, unplaced)</t>
        </is>
      </c>
      <c r="BS225" t="inlineStr">
        <is>
          <t>Pop Up Grocer NYC Flagship, 205 Bleecker St (retailer directory)</t>
        </is>
      </c>
      <c r="BT225" t="inlineStr">
        <is>
          <t>https://popupgrocer.com/products/coupd</t>
        </is>
      </c>
      <c r="BU225" t="inlineStr">
        <is>
          <t>listing</t>
        </is>
      </c>
      <c r="BV225" t="n">
        <v>25</v>
      </c>
      <c r="CF225" t="inlineStr">
        <is>
          <t>none</t>
        </is>
      </c>
      <c r="CK225" t="inlineStr">
        <is>
          <t>none</t>
        </is>
      </c>
      <c r="CL225" t="n">
        <v>25</v>
      </c>
      <c r="CM225" t="n">
        <v>6</v>
      </c>
      <c r="CN225" t="n">
        <v>3</v>
      </c>
      <c r="CO225" t="n">
        <v>8</v>
      </c>
      <c r="CP225" t="n">
        <v>5</v>
      </c>
      <c r="CQ225" t="n">
        <v>7</v>
      </c>
      <c r="CR225" t="n">
        <v>0</v>
      </c>
      <c r="CS225">
        <f>IF(R225="Y",10,0)</f>
        <v/>
      </c>
      <c r="CT225" t="n">
        <v>-4</v>
      </c>
      <c r="CU225" t="inlineStr">
        <is>
          <t>unknown</t>
        </is>
      </c>
      <c r="CV225" t="inlineStr">
        <is>
          <t>BR3</t>
        </is>
      </c>
      <c r="CW225" t="inlineStr">
        <is>
          <t>BR3:55</t>
        </is>
      </c>
      <c r="CX225" t="inlineStr">
        <is>
          <t>Made from whole produce; women-owned per Pop Up Grocer. $24 per bottle.</t>
        </is>
      </c>
      <c r="CY225" t="inlineStr">
        <is>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is>
      </c>
      <c r="DA225" t="inlineStr">
        <is>
          <t>stage 1 only</t>
        </is>
      </c>
      <c r="DY225">
        <f>IF(ISNUMBER(MATCH(U225,{"queued","contacted","replied","call_booked","call_done","yes_in_principle","materials_sent"},0)),"Y","N")</f>
        <v/>
      </c>
      <c r="DZ225">
        <f>IF(COUNTIFS($AN$2:$AN$1000,AN225,$DY$2:$DY$1000,"Y")+COUNTIFS($AN$2:$AN$1000,AN225,$T$2:$T$1000,"Y")&gt;0,"Y","N")</f>
        <v/>
      </c>
      <c r="EA225">
        <f>IF(AND(U225="new",T225="N",AR225="Y",AQ225="",DZ225="N"),"Y","N")</f>
        <v/>
      </c>
      <c r="EB225">
        <f>IF(EA225&lt;&gt;"Y","N",IF(COUNTIFS($AN$2:$AN$1000,AN225,$EA$2:$EA$1000,"Y",$J$2:$J$1000,"&gt;"&amp;J225)+COUNTIFS($AN$2:$AN$1000,AN225,$EA$2:$EA$1000,"Y",$J$2:$J$1000,J225,$ED$2:$ED$1000,"&lt;"&amp;ED225)=0,"Y","N"))</f>
        <v/>
      </c>
      <c r="EC225">
        <f>IF(Y225="","N",IF(Y225&lt;=10,"Y","N"))</f>
        <v/>
      </c>
      <c r="ED225">
        <f>ROW()-1</f>
        <v/>
      </c>
    </row>
    <row r="226">
      <c r="A226" t="inlineStr">
        <is>
          <t>AB-013</t>
        </is>
      </c>
      <c r="B226" t="inlineStr">
        <is>
          <t>Pa's Peanuts</t>
        </is>
      </c>
      <c r="H226" t="inlineStr">
        <is>
          <t>none</t>
        </is>
      </c>
      <c r="J226">
        <f>IF(AU226="pass",CM226+CN226+CO226+CP226+CQ226+CR226+CS226+CT226,0)</f>
        <v/>
      </c>
      <c r="K226" t="inlineStr">
        <is>
          <t>Brand based outside the Northeast, no graded store within ten blocks, online store only, a new store listing 22 days ago, revenue unknown, no contact named; founder review: format.</t>
        </is>
      </c>
      <c r="M226" t="inlineStr">
        <is>
          <t>none found within ten blocks</t>
        </is>
      </c>
      <c r="N226" t="inlineStr">
        <is>
          <t>unverified</t>
        </is>
      </c>
      <c r="O226" t="inlineStr">
        <is>
          <t>Low Sodium 8 oz resealable pouch added to brand store</t>
        </is>
      </c>
      <c r="P226" t="inlineStr">
        <is>
          <t>https://paspeanuts.com/products/pas-peanuts-low-sodium-8oz-resealable-pouch</t>
        </is>
      </c>
      <c r="Q226" t="inlineStr">
        <is>
          <t>2026-10-02</t>
        </is>
      </c>
      <c r="R226" t="inlineStr">
        <is>
          <t>N</t>
        </is>
      </c>
      <c r="S226" t="inlineStr">
        <is>
          <t>unknown</t>
        </is>
      </c>
      <c r="T226" t="inlineStr">
        <is>
          <t>N</t>
        </is>
      </c>
      <c r="U226" t="inlineStr">
        <is>
          <t>new</t>
        </is>
      </c>
      <c r="V226" t="inlineStr">
        <is>
          <t>https://paspeanuts.com/policies/contact-information</t>
        </is>
      </c>
      <c r="W226" t="inlineStr">
        <is>
          <t>2026-10-23</t>
        </is>
      </c>
      <c r="X226" t="inlineStr">
        <is>
          <t>brand</t>
        </is>
      </c>
      <c r="Y226">
        <f>IF(EB226&lt;&gt;"Y","",COUNTIFS($EB$2:$EB$1000,"Y",$J$2:$J$1000,"&gt;"&amp;J226)+COUNTIFS($EB$2:$EB$1000,"Y",$J$2:$J$1000,J226,$ED$2:$ED$1000,"&lt;"&amp;ED226)+1)</f>
        <v/>
      </c>
      <c r="Z226" t="n">
        <v>225</v>
      </c>
      <c r="AA226" t="inlineStr">
        <is>
          <t>N</t>
        </is>
      </c>
      <c r="AB226" t="inlineStr">
        <is>
          <t>no person named on an opened page: not ready; founder review (format): read founder_review_reason first</t>
        </is>
      </c>
      <c r="AD226" t="inlineStr">
        <is>
          <t>none</t>
        </is>
      </c>
      <c r="AH226" t="inlineStr">
        <is>
          <t>Pa's Peanuts Original, 8 oz resealable pouch</t>
        </is>
      </c>
      <c r="AI226" t="inlineStr">
        <is>
          <t>nuts-seeds-trail</t>
        </is>
      </c>
      <c r="AJ226" t="inlineStr">
        <is>
          <t>Sarasota</t>
        </is>
      </c>
      <c r="AK226" t="inlineStr">
        <is>
          <t>https://paspeanuts.com</t>
        </is>
      </c>
      <c r="AL226" t="inlineStr">
        <is>
          <t>Y</t>
        </is>
      </c>
      <c r="AM226" t="inlineStr">
        <is>
          <t>Only 8 oz pouches and jars found; no single-serve unit; very early-stage local brand</t>
        </is>
      </c>
      <c r="AN226" t="inlineStr">
        <is>
          <t>AB-013</t>
        </is>
      </c>
      <c r="AO226" t="inlineStr">
        <is>
          <t>N</t>
        </is>
      </c>
      <c r="AR226">
        <f>IF(AND(AU226="pass",AO226&lt;&gt;"Y",C226&lt;&gt;""),"Y","N")</f>
        <v/>
      </c>
      <c r="AS226">
        <f>_xlfn.TEXTJOIN("; ",TRUE,IF(AU226&lt;&gt;"pass","gated out",""),IF(AO226="Y","on hold: "&amp;AP226,""),IF(C226="","no contact named on an opened page",""))</f>
        <v/>
      </c>
      <c r="AU226" t="inlineStr">
        <is>
          <t>pass</t>
        </is>
      </c>
      <c r="AW226" t="inlineStr">
        <is>
          <t>passes all hard gates</t>
        </is>
      </c>
      <c r="AX226" t="inlineStr">
        <is>
          <t>format</t>
        </is>
      </c>
      <c r="AY226" t="inlineStr">
        <is>
          <t>https://paspeanuts.com</t>
        </is>
      </c>
      <c r="AZ226" t="inlineStr">
        <is>
          <t>FL</t>
        </is>
      </c>
      <c r="BA226" t="inlineStr">
        <is>
          <t>elsewhere</t>
        </is>
      </c>
      <c r="BB226" t="inlineStr">
        <is>
          <t>unknown</t>
        </is>
      </c>
      <c r="BD226" t="inlineStr">
        <is>
          <t>Y</t>
        </is>
      </c>
      <c r="BE226" t="inlineStr">
        <is>
          <t>Roasted peanuts in resealable pouch and glass jar, ambient</t>
        </is>
      </c>
      <c r="BF226" t="inlineStr">
        <is>
          <t>N</t>
        </is>
      </c>
      <c r="BG226" t="inlineStr">
        <is>
          <t>Y</t>
        </is>
      </c>
      <c r="BH226" t="inlineStr">
        <is>
          <t>unknown</t>
        </is>
      </c>
      <c r="BJ226" t="inlineStr">
        <is>
          <t>unknown</t>
        </is>
      </c>
      <c r="BK226" t="inlineStr">
        <is>
          <t>N</t>
        </is>
      </c>
      <c r="BL226" t="inlineStr">
        <is>
          <t>N</t>
        </is>
      </c>
      <c r="BO226" t="inlineStr">
        <is>
          <t>N</t>
        </is>
      </c>
      <c r="BP226" t="n">
        <v>0</v>
      </c>
      <c r="BR226" t="inlineStr">
        <is>
          <t>PopUp Grocer (brand_claim, unplaced)</t>
        </is>
      </c>
      <c r="BS226" t="inlineStr">
        <is>
          <t>PopUp Grocer (NYC); Bread Bandits and Siesta Key Farmers Market (Sarasota FL)</t>
        </is>
      </c>
      <c r="BT226" t="inlineStr">
        <is>
          <t>https://popupgrocer.com/pages/directory (availability 'NYC Flagship', 2026-10-23); https://popupgrocer.com/products/pas-peanuts</t>
        </is>
      </c>
      <c r="BU226" t="inlineStr">
        <is>
          <t>listing</t>
        </is>
      </c>
      <c r="BV226" t="n">
        <v>22</v>
      </c>
      <c r="CF226" t="inlineStr">
        <is>
          <t>none</t>
        </is>
      </c>
      <c r="CK226" t="inlineStr">
        <is>
          <t>none</t>
        </is>
      </c>
      <c r="CL226" t="n">
        <v>25</v>
      </c>
      <c r="CM226" t="n">
        <v>6</v>
      </c>
      <c r="CN226" t="n">
        <v>3</v>
      </c>
      <c r="CO226" t="n">
        <v>8</v>
      </c>
      <c r="CP226" t="n">
        <v>5</v>
      </c>
      <c r="CQ226" t="n">
        <v>7</v>
      </c>
      <c r="CR226" t="n">
        <v>0</v>
      </c>
      <c r="CS226">
        <f>IF(R226="Y",10,0)</f>
        <v/>
      </c>
      <c r="CT226" t="n">
        <v>-4</v>
      </c>
      <c r="CU226" t="inlineStr">
        <is>
          <t>https://instagram.com/paspeanuts</t>
        </is>
      </c>
      <c r="CV226" t="inlineStr">
        <is>
          <t>BR1</t>
        </is>
      </c>
      <c r="CW226" t="inlineStr">
        <is>
          <t>BR1:14</t>
        </is>
      </c>
      <c r="CX226" t="inlineStr">
        <is>
          <t>Business city from Shopify contact-information page. Low fit for single-serve office drops unless a snack pack exists.</t>
        </is>
      </c>
      <c r="DA226" t="inlineStr">
        <is>
          <t>stage 1 only</t>
        </is>
      </c>
      <c r="DY226">
        <f>IF(ISNUMBER(MATCH(U226,{"queued","contacted","replied","call_booked","call_done","yes_in_principle","materials_sent"},0)),"Y","N")</f>
        <v/>
      </c>
      <c r="DZ226">
        <f>IF(COUNTIFS($AN$2:$AN$1000,AN226,$DY$2:$DY$1000,"Y")+COUNTIFS($AN$2:$AN$1000,AN226,$T$2:$T$1000,"Y")&gt;0,"Y","N")</f>
        <v/>
      </c>
      <c r="EA226">
        <f>IF(AND(U226="new",T226="N",AR226="Y",AQ226="",DZ226="N"),"Y","N")</f>
        <v/>
      </c>
      <c r="EB226">
        <f>IF(EA226&lt;&gt;"Y","N",IF(COUNTIFS($AN$2:$AN$1000,AN226,$EA$2:$EA$1000,"Y",$J$2:$J$1000,"&gt;"&amp;J226)+COUNTIFS($AN$2:$AN$1000,AN226,$EA$2:$EA$1000,"Y",$J$2:$J$1000,J226,$ED$2:$ED$1000,"&lt;"&amp;ED226)=0,"Y","N"))</f>
        <v/>
      </c>
      <c r="EC226">
        <f>IF(Y226="","N",IF(Y226&lt;=10,"Y","N"))</f>
        <v/>
      </c>
      <c r="ED226">
        <f>ROW()-1</f>
        <v/>
      </c>
    </row>
    <row r="227">
      <c r="A227" t="inlineStr">
        <is>
          <t>AB-040</t>
        </is>
      </c>
      <c r="B227" t="inlineStr">
        <is>
          <t>WILDE (Wilde Brands)</t>
        </is>
      </c>
      <c r="C227" t="inlineStr">
        <is>
          <t>Jason</t>
        </is>
      </c>
      <c r="D227" t="inlineStr">
        <is>
          <t>Wright</t>
        </is>
      </c>
      <c r="E227" t="inlineStr">
        <is>
          <t>Founder and CEO</t>
        </is>
      </c>
      <c r="H227" t="inlineStr">
        <is>
          <t>none</t>
        </is>
      </c>
      <c r="I227" t="inlineStr">
        <is>
          <t>linkedin</t>
        </is>
      </c>
      <c r="J227">
        <f>IF(AU227="pass",CM227+CN227+CO227+CP227+CQ227+CR227+CS227+CT227,0)</f>
        <v/>
      </c>
      <c r="K227" t="inlineStr">
        <is>
          <t>Brand based outside the Northeast, store page shows Whole Foods Market NoMad inside the cluster, news 2 days ago, revenue over $10M, contact named; founder review: scale-reported, scale, claim-borderline.</t>
        </is>
      </c>
      <c r="M227" t="inlineStr">
        <is>
          <t>Whole Foods Market NoMad, 63 Madison Ave</t>
        </is>
      </c>
      <c r="N227" t="inlineStr">
        <is>
          <t>store_selector</t>
        </is>
      </c>
      <c r="O227" t="inlineStr">
        <is>
          <t>Received $40M investment from S2G; launched Protein Crackers; opened 130,000 sq ft facility</t>
        </is>
      </c>
      <c r="P227" t="inlineStr">
        <is>
          <t>https://www.snackandbakery.com/articles/116528-chicken-cracker-brand-wilde-receives-40m-investment</t>
        </is>
      </c>
      <c r="Q227" t="inlineStr">
        <is>
          <t>2026-10-22</t>
        </is>
      </c>
      <c r="R227" t="inlineStr">
        <is>
          <t>N</t>
        </is>
      </c>
      <c r="S227" t="inlineStr">
        <is>
          <t>unknown</t>
        </is>
      </c>
      <c r="T227" t="inlineStr">
        <is>
          <t>N</t>
        </is>
      </c>
      <c r="U227" t="inlineStr">
        <is>
          <t>new</t>
        </is>
      </c>
      <c r="V227" t="inlineStr">
        <is>
          <t>https://www.wildebrands.com/pages/about</t>
        </is>
      </c>
      <c r="W227" t="inlineStr">
        <is>
          <t>2026-10-23</t>
        </is>
      </c>
      <c r="X227" t="inlineStr">
        <is>
          <t>brand</t>
        </is>
      </c>
      <c r="Y227">
        <f>IF(EB227&lt;&gt;"Y","",COUNTIFS($EB$2:$EB$1000,"Y",$J$2:$J$1000,"&gt;"&amp;J227)+COUNTIFS($EB$2:$EB$1000,"Y",$J$2:$J$1000,J227,$ED$2:$ED$1000,"&lt;"&amp;ED227)+1)</f>
        <v/>
      </c>
      <c r="Z227" t="n">
        <v>226</v>
      </c>
      <c r="AA227" t="inlineStr">
        <is>
          <t>N</t>
        </is>
      </c>
      <c r="AB227" t="inlineStr">
        <is>
          <t>find Jason Wright at WILDE (Wilde Brands) on LinkedIn and paste the profile URL; before using the retailer line, check Whole Foods Market NoMad still lists it: https://www.wholefoodsmarket.com/search?text=WILDE with your store set to NoMad (catalogs change daily); founder review (scale-reported, scale, claim-borderline): read founder_review_reason first</t>
        </is>
      </c>
      <c r="AC227" t="inlineStr">
        <is>
          <t>founder</t>
        </is>
      </c>
      <c r="AD227" t="inlineStr">
        <is>
          <t>verified-page</t>
        </is>
      </c>
      <c r="AE227" t="inlineStr">
        <is>
          <t>press, event or podcast page</t>
        </is>
      </c>
      <c r="AF227" t="inlineStr">
        <is>
          <t>https://www.snackandbakery.com/articles/116528-chicken-cracker-brand-wilde-receives-40m-investment</t>
        </is>
      </c>
      <c r="AG227" t="inlineStr">
        <is>
          <t>2026-10-23</t>
        </is>
      </c>
      <c r="AH227" t="inlineStr">
        <is>
          <t>WILDE Buffalo Chicken Protein Chips, 4 oz; multipack 5.4 oz</t>
        </is>
      </c>
      <c r="AI227" t="inlineStr">
        <is>
          <t>chips-crisps</t>
        </is>
      </c>
      <c r="AJ227" t="inlineStr">
        <is>
          <t>Boulder</t>
        </is>
      </c>
      <c r="AK227" t="inlineStr">
        <is>
          <t>https://www.wildebrands.com</t>
        </is>
      </c>
      <c r="AL227" t="inlineStr">
        <is>
          <t>Y</t>
        </is>
      </c>
      <c r="AM227" t="inlineStr">
        <is>
          <t>Revenue above $100M (well over the band); protein-first positioning; $600 campaign likely too small for their budget process</t>
        </is>
      </c>
      <c r="AN227" t="inlineStr">
        <is>
          <t>AB-040</t>
        </is>
      </c>
      <c r="AO227" t="inlineStr">
        <is>
          <t>N</t>
        </is>
      </c>
      <c r="AR227">
        <f>IF(AND(AU227="pass",AO227&lt;&gt;"Y",C227&lt;&gt;""),"Y","N")</f>
        <v/>
      </c>
      <c r="AS227">
        <f>_xlfn.TEXTJOIN("; ",TRUE,IF(AU227&lt;&gt;"pass","gated out",""),IF(AO227="Y","on hold: "&amp;AP227,""),IF(C227="","no contact named on an opened page",""))</f>
        <v/>
      </c>
      <c r="AU227" t="inlineStr">
        <is>
          <t>pass</t>
        </is>
      </c>
      <c r="AW227" t="inlineStr">
        <is>
          <t>passes all hard gates</t>
        </is>
      </c>
      <c r="AX227" t="inlineStr">
        <is>
          <t>scale-reported;scale;claim-borderline</t>
        </is>
      </c>
      <c r="AY227" t="inlineStr">
        <is>
          <t>https://www.wildebrands.com</t>
        </is>
      </c>
      <c r="AZ227" t="inlineStr">
        <is>
          <t>CO</t>
        </is>
      </c>
      <c r="BA227" t="inlineStr">
        <is>
          <t>elsewhere</t>
        </is>
      </c>
      <c r="BB227" t="inlineStr">
        <is>
          <t>growth ($40M from S2G Investments, Oct 2026)</t>
        </is>
      </c>
      <c r="BC227" t="inlineStr">
        <is>
          <t>https://www.snackandbakery.com/articles/116528-chicken-cracker-brand-wilde-receives-40m-investment</t>
        </is>
      </c>
      <c r="BD227" t="inlineStr">
        <is>
          <t>Y</t>
        </is>
      </c>
      <c r="BE227" t="inlineStr">
        <is>
          <t>Shelf-stable chips made from chicken breast; produced in a USDA-regulated salty-snack facility (trade press)</t>
        </is>
      </c>
      <c r="BF227" t="inlineStr">
        <is>
          <t>Y</t>
        </is>
      </c>
      <c r="BG227" t="inlineStr">
        <is>
          <t>Y</t>
        </is>
      </c>
      <c r="BH227" t="inlineStr">
        <is>
          <t>over-10m</t>
        </is>
      </c>
      <c r="BI227" t="inlineStr">
        <is>
          <t>reported</t>
        </is>
      </c>
      <c r="BJ227" t="inlineStr">
        <is>
          <t>Snack Food &amp; Wholesale Bakery, 2026-10-22: company has surpassed $100 million in sales</t>
        </is>
      </c>
      <c r="BK227" t="inlineStr">
        <is>
          <t>N</t>
        </is>
      </c>
      <c r="BL227" t="inlineStr">
        <is>
          <t>N</t>
        </is>
      </c>
      <c r="BN227" t="n">
        <v>0</v>
      </c>
      <c r="BO227" t="inlineStr">
        <is>
          <t>Y</t>
        </is>
      </c>
      <c r="BP227" t="n">
        <v>3</v>
      </c>
      <c r="BQ227" t="inlineStr">
        <is>
          <t>Whole Foods Market NoMad, 63 Madison Ave (store_selector, inside);Whole Foods Market Union Square, 4 Union Sq S (store_selector, inside);Whole Foods Market Chelsea, 250 7th Ave (store_selector, 3.0 blocks out)</t>
        </is>
      </c>
      <c r="BS227" t="inlineStr">
        <is>
          <t>35,000+ retail locations; Whole Foods Market</t>
        </is>
      </c>
      <c r="BT227" t="inlineStr">
        <is>
          <t>https://www.wholefoodsmarket.com/search?text=wilde%20protein%20chips (Union Square, NoMad, Chelsea contexts IN_STOCK 2026-10-23)</t>
        </is>
      </c>
      <c r="BU227" t="inlineStr">
        <is>
          <t>press</t>
        </is>
      </c>
      <c r="BV227" t="n">
        <v>2</v>
      </c>
      <c r="BX227" t="inlineStr">
        <is>
          <t>Jason Wright</t>
        </is>
      </c>
      <c r="CF227" t="inlineStr">
        <is>
          <t>none</t>
        </is>
      </c>
      <c r="CK227" t="inlineStr">
        <is>
          <t>none</t>
        </is>
      </c>
      <c r="CL227" t="n">
        <v>24</v>
      </c>
      <c r="CM227" t="n">
        <v>25</v>
      </c>
      <c r="CN227" t="n">
        <v>3</v>
      </c>
      <c r="CO227" t="n">
        <v>15</v>
      </c>
      <c r="CP227" t="n">
        <v>0</v>
      </c>
      <c r="CQ227" t="n">
        <v>10</v>
      </c>
      <c r="CR227" t="n">
        <v>6</v>
      </c>
      <c r="CS227">
        <f>IF(R227="Y",10,0)</f>
        <v/>
      </c>
      <c r="CT227" t="n">
        <v>-35</v>
      </c>
      <c r="CU227" t="inlineStr">
        <is>
          <t>unknown</t>
        </is>
      </c>
      <c r="CV227" t="inlineStr">
        <is>
          <t>BR1</t>
        </is>
      </c>
      <c r="CW227" t="inlineStr">
        <is>
          <t>BR1:41</t>
        </is>
      </c>
      <c r="CX227" t="inlineStr">
        <is>
          <t>Recorded because it is on NYC shelves and in the news; out of the revenue band.</t>
        </is>
      </c>
      <c r="CY227" t="inlineStr">
        <is>
          <t xml:space="preserve">hq_city &lt;- https://www.wildebrands.com/policies/terms-of-service (2026-10-24, opened); hq_state &lt;- https://www.wildebrands.com/policies/terms-of-service (2026-10-24, opened); </t>
        </is>
      </c>
      <c r="DA227" t="inlineStr">
        <is>
          <t>stage 1 only</t>
        </is>
      </c>
      <c r="DY227">
        <f>IF(ISNUMBER(MATCH(U227,{"queued","contacted","replied","call_booked","call_done","yes_in_principle","materials_sent"},0)),"Y","N")</f>
        <v/>
      </c>
      <c r="DZ227">
        <f>IF(COUNTIFS($AN$2:$AN$1000,AN227,$DY$2:$DY$1000,"Y")+COUNTIFS($AN$2:$AN$1000,AN227,$T$2:$T$1000,"Y")&gt;0,"Y","N")</f>
        <v/>
      </c>
      <c r="EA227">
        <f>IF(AND(U227="new",T227="N",AR227="Y",AQ227="",DZ227="N"),"Y","N")</f>
        <v/>
      </c>
      <c r="EB227">
        <f>IF(EA227&lt;&gt;"Y","N",IF(COUNTIFS($AN$2:$AN$1000,AN227,$EA$2:$EA$1000,"Y",$J$2:$J$1000,"&gt;"&amp;J227)+COUNTIFS($AN$2:$AN$1000,AN227,$EA$2:$EA$1000,"Y",$J$2:$J$1000,J227,$ED$2:$ED$1000,"&lt;"&amp;ED227)=0,"Y","N"))</f>
        <v/>
      </c>
      <c r="EC227">
        <f>IF(Y227="","N",IF(Y227&lt;=10,"Y","N"))</f>
        <v/>
      </c>
      <c r="ED227">
        <f>ROW()-1</f>
        <v/>
      </c>
    </row>
    <row r="228">
      <c r="A228" t="inlineStr">
        <is>
          <t>AB-154</t>
        </is>
      </c>
      <c r="B228" t="inlineStr">
        <is>
          <t>Hank's Gourmet Beverages</t>
        </is>
      </c>
      <c r="H228" t="inlineStr">
        <is>
          <t>none</t>
        </is>
      </c>
      <c r="J228">
        <f>IF(AU228="pass",CM228+CN228+CO228+CP228+CQ228+CR228+CS228+CT228,0)</f>
        <v/>
      </c>
      <c r="K228" t="inlineStr">
        <is>
          <t>Northeast brand, no graded store within ten blocks, online store only, no dated why-now in the last 12 months, revenue unknown, no contact named; founder review: other.</t>
        </is>
      </c>
      <c r="M228" t="inlineStr">
        <is>
          <t>none found within ten blocks</t>
        </is>
      </c>
      <c r="N228" t="inlineStr">
        <is>
          <t>unverified</t>
        </is>
      </c>
      <c r="R228" t="inlineStr">
        <is>
          <t>N</t>
        </is>
      </c>
      <c r="S228" t="inlineStr">
        <is>
          <t>unknown</t>
        </is>
      </c>
      <c r="T228" t="inlineStr">
        <is>
          <t>N</t>
        </is>
      </c>
      <c r="U228" t="inlineStr">
        <is>
          <t>new</t>
        </is>
      </c>
      <c r="V228" t="inlineStr">
        <is>
          <t>https://hanksbeverages.com/about/</t>
        </is>
      </c>
      <c r="W228" t="inlineStr">
        <is>
          <t>2026-10-23</t>
        </is>
      </c>
      <c r="X228" t="inlineStr">
        <is>
          <t>brand</t>
        </is>
      </c>
      <c r="Y228">
        <f>IF(EB228&lt;&gt;"Y","",COUNTIFS($EB$2:$EB$1000,"Y",$J$2:$J$1000,"&gt;"&amp;J228)+COUNTIFS($EB$2:$EB$1000,"Y",$J$2:$J$1000,J228,$ED$2:$ED$1000,"&lt;"&amp;ED228)+1)</f>
        <v/>
      </c>
      <c r="Z228" t="n">
        <v>227</v>
      </c>
      <c r="AA228" t="inlineStr">
        <is>
          <t>N</t>
        </is>
      </c>
      <c r="AB228" t="inlineStr">
        <is>
          <t>no person named on an opened page: not ready; founder review (other): read founder_review_reason first</t>
        </is>
      </c>
      <c r="AD228" t="inlineStr">
        <is>
          <t>none</t>
        </is>
      </c>
      <c r="AH228" t="inlineStr">
        <is>
          <t>Hank's Root Beer, 12 oz glass bottle</t>
        </is>
      </c>
      <c r="AI228" t="inlineStr">
        <is>
          <t>sparkling-soda</t>
        </is>
      </c>
      <c r="AJ228" t="inlineStr">
        <is>
          <t>Southampton</t>
        </is>
      </c>
      <c r="AK228" t="inlineStr">
        <is>
          <t>https://hanksbeverages.com/products/hanks-root-beer</t>
        </is>
      </c>
      <c r="AL228" t="inlineStr">
        <is>
          <t>Y</t>
        </is>
      </c>
      <c r="AM228" t="inlineStr">
        <is>
          <t>Established regional craft soda (40+ years in beverage), not emerging; NYC retail not found; 60-day shelf life not stated</t>
        </is>
      </c>
      <c r="AN228" t="inlineStr">
        <is>
          <t>AB-154</t>
        </is>
      </c>
      <c r="AO228" t="inlineStr">
        <is>
          <t>N</t>
        </is>
      </c>
      <c r="AR228">
        <f>IF(AND(AU228="pass",AO228&lt;&gt;"Y",C228&lt;&gt;""),"Y","N")</f>
        <v/>
      </c>
      <c r="AS228">
        <f>_xlfn.TEXTJOIN("; ",TRUE,IF(AU228&lt;&gt;"pass","gated out",""),IF(AO228="Y","on hold: "&amp;AP228,""),IF(C228="","no contact named on an opened page",""))</f>
        <v/>
      </c>
      <c r="AU228" t="inlineStr">
        <is>
          <t>pass</t>
        </is>
      </c>
      <c r="AW228" t="inlineStr">
        <is>
          <t>passes all hard gates</t>
        </is>
      </c>
      <c r="AX228" t="inlineStr">
        <is>
          <t>other</t>
        </is>
      </c>
      <c r="AY228" t="inlineStr">
        <is>
          <t>https://hanksbeverages.com</t>
        </is>
      </c>
      <c r="AZ228" t="inlineStr">
        <is>
          <t>PA</t>
        </is>
      </c>
      <c r="BA228" t="inlineStr">
        <is>
          <t>northeast</t>
        </is>
      </c>
      <c r="BB228" t="inlineStr">
        <is>
          <t>family-owned</t>
        </is>
      </c>
      <c r="BC228" t="inlineStr">
        <is>
          <t>https://hanksbeverages.com/about/</t>
        </is>
      </c>
      <c r="BD228" t="inlineStr">
        <is>
          <t>unknown</t>
        </is>
      </c>
      <c r="BE228" t="inlineStr">
        <is>
          <t>No storage statement found</t>
        </is>
      </c>
      <c r="BF228" t="inlineStr">
        <is>
          <t>Y</t>
        </is>
      </c>
      <c r="BG228" t="inlineStr">
        <is>
          <t>Y</t>
        </is>
      </c>
      <c r="BH228" t="inlineStr">
        <is>
          <t>unknown</t>
        </is>
      </c>
      <c r="BJ228" t="inlineStr">
        <is>
          <t>No public sales figure found</t>
        </is>
      </c>
      <c r="BK228" t="inlineStr">
        <is>
          <t>N</t>
        </is>
      </c>
      <c r="BL228" t="inlineStr">
        <is>
          <t>N</t>
        </is>
      </c>
      <c r="BO228" t="inlineStr">
        <is>
          <t>N</t>
        </is>
      </c>
      <c r="BP228" t="n">
        <v>0</v>
      </c>
      <c r="BS228" t="inlineStr">
        <is>
          <t>unknown (find-us page not readable)</t>
        </is>
      </c>
      <c r="BU228" t="inlineStr">
        <is>
          <t>none</t>
        </is>
      </c>
      <c r="CF228" t="inlineStr">
        <is>
          <t>none</t>
        </is>
      </c>
      <c r="CK228" t="inlineStr">
        <is>
          <t>none</t>
        </is>
      </c>
      <c r="CL228" t="n">
        <v>24</v>
      </c>
      <c r="CM228" t="n">
        <v>6</v>
      </c>
      <c r="CN228" t="n">
        <v>8</v>
      </c>
      <c r="CO228" t="n">
        <v>0</v>
      </c>
      <c r="CP228" t="n">
        <v>5</v>
      </c>
      <c r="CQ228" t="n">
        <v>7</v>
      </c>
      <c r="CR228" t="n">
        <v>0</v>
      </c>
      <c r="CS228">
        <f>IF(R228="Y",10,0)</f>
        <v/>
      </c>
      <c r="CT228" t="n">
        <v>-2</v>
      </c>
      <c r="CU228" t="inlineStr">
        <is>
          <t>https://www.instagram.com/hanksgourmetbeverages</t>
        </is>
      </c>
      <c r="CV228" t="inlineStr">
        <is>
          <t>BR3</t>
        </is>
      </c>
      <c r="CW228" t="inlineStr">
        <is>
          <t>BR3:28</t>
        </is>
      </c>
      <c r="CX228" t="inlineStr">
        <is>
          <t>About page: 'family business based in Philadelphia'; distributorship founded 1958 by Frank 'Hank' Salvatore (historical, not a current contact). | Stage 1 online-store check 2026-10-24: WooCommerce product page with add-to-cart (https://hanksbeverages.com/products/hanks-root-beer)</t>
        </is>
      </c>
      <c r="CY228" t="inlineStr">
        <is>
          <t xml:space="preserve">hq_city &lt;- https://hanksbeverages.com/pages/contact (2026-10-24, opened); online_store &lt;- https://hanksbeverages.com/products/hanks-root-beer (2026-10-24, opened, stage 1); </t>
        </is>
      </c>
      <c r="DA228" t="inlineStr">
        <is>
          <t>stage 1 only</t>
        </is>
      </c>
      <c r="DY228">
        <f>IF(ISNUMBER(MATCH(U228,{"queued","contacted","replied","call_booked","call_done","yes_in_principle","materials_sent"},0)),"Y","N")</f>
        <v/>
      </c>
      <c r="DZ228">
        <f>IF(COUNTIFS($AN$2:$AN$1000,AN228,$DY$2:$DY$1000,"Y")+COUNTIFS($AN$2:$AN$1000,AN228,$T$2:$T$1000,"Y")&gt;0,"Y","N")</f>
        <v/>
      </c>
      <c r="EA228">
        <f>IF(AND(U228="new",T228="N",AR228="Y",AQ228="",DZ228="N"),"Y","N")</f>
        <v/>
      </c>
      <c r="EB228">
        <f>IF(EA228&lt;&gt;"Y","N",IF(COUNTIFS($AN$2:$AN$1000,AN228,$EA$2:$EA$1000,"Y",$J$2:$J$1000,"&gt;"&amp;J228)+COUNTIFS($AN$2:$AN$1000,AN228,$EA$2:$EA$1000,"Y",$J$2:$J$1000,J228,$ED$2:$ED$1000,"&lt;"&amp;ED228)=0,"Y","N"))</f>
        <v/>
      </c>
      <c r="EC228">
        <f>IF(Y228="","N",IF(Y228&lt;=10,"Y","N"))</f>
        <v/>
      </c>
      <c r="ED228">
        <f>ROW()-1</f>
        <v/>
      </c>
    </row>
    <row r="229">
      <c r="A229" t="inlineStr">
        <is>
          <t>AB-175</t>
        </is>
      </c>
      <c r="B229" t="inlineStr">
        <is>
          <t>Brause</t>
        </is>
      </c>
      <c r="C229" t="inlineStr">
        <is>
          <t>Amna</t>
        </is>
      </c>
      <c r="D229" t="inlineStr">
        <is>
          <t>Mettmann</t>
        </is>
      </c>
      <c r="E229" t="inlineStr">
        <is>
          <t>Founder</t>
        </is>
      </c>
      <c r="H229" t="inlineStr">
        <is>
          <t>none</t>
        </is>
      </c>
      <c r="I229" t="inlineStr">
        <is>
          <t>linkedin</t>
        </is>
      </c>
      <c r="J229">
        <f>IF(AU229="pass",CM229+CN229+CO229+CP229+CQ229+CR229+CS229+CT229,0)</f>
        <v/>
      </c>
      <c r="K229" t="inlineStr">
        <is>
          <t>Brand based outside the Northeast, no graded store within ten blocks, online store only, no dated why-now in the last 12 months, revenue unknown, contact named; founder review: claim-borderline.</t>
        </is>
      </c>
      <c r="M229" t="inlineStr">
        <is>
          <t>none found within ten blocks</t>
        </is>
      </c>
      <c r="N229" t="inlineStr">
        <is>
          <t>unverified</t>
        </is>
      </c>
      <c r="O229" t="inlineStr">
        <is>
          <t>Launched at Harmons, Central Market and select BevMo stores via UNFI UpNext, joining 700+ doors (unverified, founder to confirm); earlier 2026 expansions to Washington State and US Foods Direct via Mable</t>
        </is>
      </c>
      <c r="P229" t="inlineStr">
        <is>
          <t>https://www.brewbound.com/pr/2026/08/25/brause-launches-at-harmons-central-market-and-select-bevmo-locations-via-unfi-upnext</t>
        </is>
      </c>
      <c r="Q229" t="inlineStr">
        <is>
          <t>2026-08-25</t>
        </is>
      </c>
      <c r="R229" t="inlineStr">
        <is>
          <t>N</t>
        </is>
      </c>
      <c r="S229" t="inlineStr">
        <is>
          <t>Y</t>
        </is>
      </c>
      <c r="T229" t="inlineStr">
        <is>
          <t>N</t>
        </is>
      </c>
      <c r="U229" t="inlineStr">
        <is>
          <t>new</t>
        </is>
      </c>
      <c r="V229" t="inlineStr">
        <is>
          <t>https://drinkbrause.com</t>
        </is>
      </c>
      <c r="W229" t="inlineStr">
        <is>
          <t>2026-10-23</t>
        </is>
      </c>
      <c r="X229" t="inlineStr">
        <is>
          <t>brand</t>
        </is>
      </c>
      <c r="Y229">
        <f>IF(EB229&lt;&gt;"Y","",COUNTIFS($EB$2:$EB$1000,"Y",$J$2:$J$1000,"&gt;"&amp;J229)+COUNTIFS($EB$2:$EB$1000,"Y",$J$2:$J$1000,J229,$ED$2:$ED$1000,"&lt;"&amp;ED229)+1)</f>
        <v/>
      </c>
      <c r="Z229" t="n">
        <v>228</v>
      </c>
      <c r="AA229" t="inlineStr">
        <is>
          <t>N</t>
        </is>
      </c>
      <c r="AB229" t="inlineStr">
        <is>
          <t>find Amna Mettmann at Brause on LinkedIn and paste the profile URL; founder review (claim-borderline): read founder_review_reason first</t>
        </is>
      </c>
      <c r="AC229" t="inlineStr">
        <is>
          <t>founder</t>
        </is>
      </c>
      <c r="AD229" t="inlineStr">
        <is>
          <t>verified-page</t>
        </is>
      </c>
      <c r="AE229" t="inlineStr">
        <is>
          <t>press, event or podcast page</t>
        </is>
      </c>
      <c r="AF229" t="inlineStr">
        <is>
          <t>https://startupcpg.transistor.fm/episodes/founder-feature-amna-mettmann-of-brause</t>
        </is>
      </c>
      <c r="AG229" t="inlineStr">
        <is>
          <t>2026-10-23</t>
        </is>
      </c>
      <c r="AH229" t="inlineStr">
        <is>
          <t>Brause Sparkling Apple / Apple x Malt (German-style craft soda), 12-pack</t>
        </is>
      </c>
      <c r="AI229" t="inlineStr">
        <is>
          <t>sparkling-soda</t>
        </is>
      </c>
      <c r="AJ229" t="inlineStr">
        <is>
          <t>Midway</t>
        </is>
      </c>
      <c r="AK229" t="inlineStr">
        <is>
          <t>https://drinkbrause.com</t>
        </is>
      </c>
      <c r="AL229" t="inlineStr">
        <is>
          <t>Y</t>
        </is>
      </c>
      <c r="AM229" t="inlineStr">
        <is>
          <t>Malt product formerly sold as 'Malt Beer' (NA Malzbier); confirm 0.0% ABV and how offices will read it. 'Health-conscious' positioning. Only one NYC stockist, below Canal St; 60-day shelf life not stated</t>
        </is>
      </c>
      <c r="AN229" t="inlineStr">
        <is>
          <t>AB-175</t>
        </is>
      </c>
      <c r="AO229" t="inlineStr">
        <is>
          <t>N</t>
        </is>
      </c>
      <c r="AR229">
        <f>IF(AND(AU229="pass",AO229&lt;&gt;"Y",C229&lt;&gt;""),"Y","N")</f>
        <v/>
      </c>
      <c r="AS229">
        <f>_xlfn.TEXTJOIN("; ",TRUE,IF(AU229&lt;&gt;"pass","gated out",""),IF(AO229="Y","on hold: "&amp;AP229,""),IF(C229="","no contact named on an opened page",""))</f>
        <v/>
      </c>
      <c r="AU229" t="inlineStr">
        <is>
          <t>pass</t>
        </is>
      </c>
      <c r="AW229" t="inlineStr">
        <is>
          <t>passes all hard gates</t>
        </is>
      </c>
      <c r="AX229" t="inlineStr">
        <is>
          <t>claim-borderline</t>
        </is>
      </c>
      <c r="AY229" t="inlineStr">
        <is>
          <t>https://drinkbrause.com</t>
        </is>
      </c>
      <c r="AZ229" t="inlineStr">
        <is>
          <t>UT</t>
        </is>
      </c>
      <c r="BA229" t="inlineStr">
        <is>
          <t>elsewhere</t>
        </is>
      </c>
      <c r="BB229" t="inlineStr">
        <is>
          <t>unknown</t>
        </is>
      </c>
      <c r="BD229" t="inlineStr">
        <is>
          <t>unknown</t>
        </is>
      </c>
      <c r="BE229" t="inlineStr">
        <is>
          <t>No storage statement found</t>
        </is>
      </c>
      <c r="BF229" t="inlineStr">
        <is>
          <t>Y</t>
        </is>
      </c>
      <c r="BG229" t="inlineStr">
        <is>
          <t>Y</t>
        </is>
      </c>
      <c r="BH229" t="inlineStr">
        <is>
          <t>unknown</t>
        </is>
      </c>
      <c r="BJ229" t="inlineStr">
        <is>
          <t>No public sales figure found</t>
        </is>
      </c>
      <c r="BK229" t="inlineStr">
        <is>
          <t>N</t>
        </is>
      </c>
      <c r="BL229" t="inlineStr">
        <is>
          <t>N</t>
        </is>
      </c>
      <c r="BO229" t="inlineStr">
        <is>
          <t>N</t>
        </is>
      </c>
      <c r="BP229" t="n">
        <v>0</v>
      </c>
      <c r="BR229" t="inlineStr">
        <is>
          <t>Happier Grocery (brand_claim, 22.8 blocks out)</t>
        </is>
      </c>
      <c r="BS229" t="inlineStr">
        <is>
          <t>Happier Grocery, 365 Canal St (brand Stockist locator, only point); Pop Up Grocer (directory)</t>
        </is>
      </c>
      <c r="BT229" t="inlineStr">
        <is>
          <t>https://stockist.co/api/v1/map_r32n7zw3/locations/search?latitude=40.74&amp;longitude=-73.99&amp;distance=50</t>
        </is>
      </c>
      <c r="BU229" t="inlineStr">
        <is>
          <t>unverified</t>
        </is>
      </c>
      <c r="BV229" t="n">
        <v>60</v>
      </c>
      <c r="BW229" t="inlineStr">
        <is>
          <t>https://startupcpg.com/shelfie-awards-2025-meet-the-winners/</t>
        </is>
      </c>
      <c r="BX229" t="inlineStr">
        <is>
          <t>Amna Mettmann</t>
        </is>
      </c>
      <c r="CF229" t="inlineStr">
        <is>
          <t>none</t>
        </is>
      </c>
      <c r="CK229" t="inlineStr">
        <is>
          <t>none</t>
        </is>
      </c>
      <c r="CL229" t="n">
        <v>23</v>
      </c>
      <c r="CM229" t="n">
        <v>6</v>
      </c>
      <c r="CN229" t="n">
        <v>3</v>
      </c>
      <c r="CO229" t="n">
        <v>0</v>
      </c>
      <c r="CP229" t="n">
        <v>5</v>
      </c>
      <c r="CQ229" t="n">
        <v>7</v>
      </c>
      <c r="CR229" t="n">
        <v>6</v>
      </c>
      <c r="CS229">
        <f>IF(R229="Y",10,0)</f>
        <v/>
      </c>
      <c r="CT229" t="n">
        <v>-4</v>
      </c>
      <c r="CU229" t="inlineStr">
        <is>
          <t>https://www.instagram.com/drinkbrause</t>
        </is>
      </c>
      <c r="CV229" t="inlineStr">
        <is>
          <t>BR3</t>
        </is>
      </c>
      <c r="CW229" t="inlineStr">
        <is>
          <t>BR3:49</t>
        </is>
      </c>
      <c r="CX229" t="inlineStr">
        <is>
          <t>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t>
        </is>
      </c>
      <c r="CY229" t="inlineStr">
        <is>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is>
      </c>
      <c r="DA229" t="inlineStr">
        <is>
          <t>stage 1 only</t>
        </is>
      </c>
      <c r="DY229">
        <f>IF(ISNUMBER(MATCH(U229,{"queued","contacted","replied","call_booked","call_done","yes_in_principle","materials_sent"},0)),"Y","N")</f>
        <v/>
      </c>
      <c r="DZ229">
        <f>IF(COUNTIFS($AN$2:$AN$1000,AN229,$DY$2:$DY$1000,"Y")+COUNTIFS($AN$2:$AN$1000,AN229,$T$2:$T$1000,"Y")&gt;0,"Y","N")</f>
        <v/>
      </c>
      <c r="EA229">
        <f>IF(AND(U229="new",T229="N",AR229="Y",AQ229="",DZ229="N"),"Y","N")</f>
        <v/>
      </c>
      <c r="EB229">
        <f>IF(EA229&lt;&gt;"Y","N",IF(COUNTIFS($AN$2:$AN$1000,AN229,$EA$2:$EA$1000,"Y",$J$2:$J$1000,"&gt;"&amp;J229)+COUNTIFS($AN$2:$AN$1000,AN229,$EA$2:$EA$1000,"Y",$J$2:$J$1000,J229,$ED$2:$ED$1000,"&lt;"&amp;ED229)=0,"Y","N"))</f>
        <v/>
      </c>
      <c r="EC229">
        <f>IF(Y229="","N",IF(Y229&lt;=10,"Y","N"))</f>
        <v/>
      </c>
      <c r="ED229">
        <f>ROW()-1</f>
        <v/>
      </c>
    </row>
    <row r="230">
      <c r="A230" t="inlineStr">
        <is>
          <t>AB-163</t>
        </is>
      </c>
      <c r="B230" t="inlineStr">
        <is>
          <t>KACE Tea</t>
        </is>
      </c>
      <c r="C230" t="inlineStr">
        <is>
          <t>Ashley</t>
        </is>
      </c>
      <c r="D230" t="inlineStr">
        <is>
          <t>Yao</t>
        </is>
      </c>
      <c r="E230" t="inlineStr">
        <is>
          <t>Co-founder and CEO</t>
        </is>
      </c>
      <c r="H230" t="inlineStr">
        <is>
          <t>none</t>
        </is>
      </c>
      <c r="I230" t="inlineStr">
        <is>
          <t>linkedin</t>
        </is>
      </c>
      <c r="J230">
        <f>IF(AU230="pass",CM230+CN230+CO230+CP230+CQ230+CR230+CS230+CT230,0)</f>
        <v/>
      </c>
      <c r="K230" t="inlineStr">
        <is>
          <t>Brand based outside the Northeast, no graded store within ten blocks, online store only, no dated why-now in the last 12 months, revenue unknown, contact named; founder review: claim-borderline.</t>
        </is>
      </c>
      <c r="M230" t="inlineStr">
        <is>
          <t>none found within ten blocks</t>
        </is>
      </c>
      <c r="N230" t="inlineStr">
        <is>
          <t>unverified</t>
        </is>
      </c>
      <c r="R230" t="inlineStr">
        <is>
          <t>N</t>
        </is>
      </c>
      <c r="S230" t="inlineStr">
        <is>
          <t>unknown</t>
        </is>
      </c>
      <c r="T230" t="inlineStr">
        <is>
          <t>N</t>
        </is>
      </c>
      <c r="U230" t="inlineStr">
        <is>
          <t>new</t>
        </is>
      </c>
      <c r="V230" t="inlineStr">
        <is>
          <t>https://drinkkace.com/pages/about</t>
        </is>
      </c>
      <c r="W230" t="inlineStr">
        <is>
          <t>2026-10-23</t>
        </is>
      </c>
      <c r="X230" t="inlineStr">
        <is>
          <t>brand</t>
        </is>
      </c>
      <c r="Y230">
        <f>IF(EB230&lt;&gt;"Y","",COUNTIFS($EB$2:$EB$1000,"Y",$J$2:$J$1000,"&gt;"&amp;J230)+COUNTIFS($EB$2:$EB$1000,"Y",$J$2:$J$1000,J230,$ED$2:$ED$1000,"&lt;"&amp;ED230)+1)</f>
        <v/>
      </c>
      <c r="Z230" t="n">
        <v>229</v>
      </c>
      <c r="AA230" t="inlineStr">
        <is>
          <t>N</t>
        </is>
      </c>
      <c r="AB230" t="inlineStr">
        <is>
          <t>find Ashley Yao at KACE Tea on LinkedIn and paste the profile URL; founder review (claim-borderline): read founder_review_reason first</t>
        </is>
      </c>
      <c r="AC230" t="inlineStr">
        <is>
          <t>founder</t>
        </is>
      </c>
      <c r="AD230" t="inlineStr">
        <is>
          <t>verified-page</t>
        </is>
      </c>
      <c r="AE230" t="inlineStr">
        <is>
          <t>press, event or podcast page</t>
        </is>
      </c>
      <c r="AF230" t="inlineStr">
        <is>
          <t>https://www.ricespicemag.com/read/kace-tea</t>
        </is>
      </c>
      <c r="AG230" t="inlineStr">
        <is>
          <t>2026-10-23</t>
        </is>
      </c>
      <c r="AH230" t="inlineStr">
        <is>
          <t>KACE Pineapple Black Tea / Mango Calamansi Green Tea (Taiwanese-style fruit tea), can</t>
        </is>
      </c>
      <c r="AI230" t="inlineStr">
        <is>
          <t>tea-juice</t>
        </is>
      </c>
      <c r="AJ230" t="inlineStr">
        <is>
          <t>San Francisco</t>
        </is>
      </c>
      <c r="AK230" t="inlineStr">
        <is>
          <t>https://drinkkace.com</t>
        </is>
      </c>
      <c r="AL230" t="inlineStr">
        <is>
          <t>Y</t>
        </is>
      </c>
      <c r="AM230" t="inlineStr">
        <is>
          <t>HQ and current NYC retail not confirmed; newest flavors 2025-07 (outside the 12-month window). Contains caffeine (tea); 60-day shelf life not stated</t>
        </is>
      </c>
      <c r="AN230" t="inlineStr">
        <is>
          <t>AB-163</t>
        </is>
      </c>
      <c r="AO230" t="inlineStr">
        <is>
          <t>N</t>
        </is>
      </c>
      <c r="AR230">
        <f>IF(AND(AU230="pass",AO230&lt;&gt;"Y",C230&lt;&gt;""),"Y","N")</f>
        <v/>
      </c>
      <c r="AS230">
        <f>_xlfn.TEXTJOIN("; ",TRUE,IF(AU230&lt;&gt;"pass","gated out",""),IF(AO230="Y","on hold: "&amp;AP230,""),IF(C230="","no contact named on an opened page",""))</f>
        <v/>
      </c>
      <c r="AU230" t="inlineStr">
        <is>
          <t>pass</t>
        </is>
      </c>
      <c r="AW230" t="inlineStr">
        <is>
          <t>passes all hard gates</t>
        </is>
      </c>
      <c r="AX230" t="inlineStr">
        <is>
          <t>claim-borderline</t>
        </is>
      </c>
      <c r="AY230" t="inlineStr">
        <is>
          <t>https://drinkkace.com</t>
        </is>
      </c>
      <c r="AZ230" t="inlineStr">
        <is>
          <t>CA</t>
        </is>
      </c>
      <c r="BA230" t="inlineStr">
        <is>
          <t>elsewhere</t>
        </is>
      </c>
      <c r="BB230" t="inlineStr">
        <is>
          <t>unknown</t>
        </is>
      </c>
      <c r="BD230" t="inlineStr">
        <is>
          <t>unknown</t>
        </is>
      </c>
      <c r="BE230" t="inlineStr">
        <is>
          <t>No storage statement found</t>
        </is>
      </c>
      <c r="BF230" t="inlineStr">
        <is>
          <t>Y</t>
        </is>
      </c>
      <c r="BG230" t="inlineStr">
        <is>
          <t>Y</t>
        </is>
      </c>
      <c r="BH230" t="inlineStr">
        <is>
          <t>unknown</t>
        </is>
      </c>
      <c r="BJ230" t="inlineStr">
        <is>
          <t>No public sales figure found</t>
        </is>
      </c>
      <c r="BK230" t="inlineStr">
        <is>
          <t>N</t>
        </is>
      </c>
      <c r="BL230" t="inlineStr">
        <is>
          <t>N</t>
        </is>
      </c>
      <c r="BO230" t="inlineStr">
        <is>
          <t>N</t>
        </is>
      </c>
      <c r="BP230" t="n">
        <v>0</v>
      </c>
      <c r="BS230" t="inlineStr">
        <is>
          <t>Pop Up Grocer (past brand, directory)</t>
        </is>
      </c>
      <c r="BT230" t="inlineStr">
        <is>
          <t>https://popupgrocer.com/products/kace-tea</t>
        </is>
      </c>
      <c r="BU230" t="inlineStr">
        <is>
          <t>none</t>
        </is>
      </c>
      <c r="BX230" t="inlineStr">
        <is>
          <t>Ashley Yao</t>
        </is>
      </c>
      <c r="CA230" t="inlineStr">
        <is>
          <t>Kyle Gillaspy</t>
        </is>
      </c>
      <c r="CB230" t="inlineStr">
        <is>
          <t>Kyle</t>
        </is>
      </c>
      <c r="CC230" t="inlineStr">
        <is>
          <t>Gillaspy</t>
        </is>
      </c>
      <c r="CD230" t="inlineStr">
        <is>
          <t>co-founder</t>
        </is>
      </c>
      <c r="CE230" t="inlineStr">
        <is>
          <t>co-founder</t>
        </is>
      </c>
      <c r="CF230" t="inlineStr">
        <is>
          <t>verified-page</t>
        </is>
      </c>
      <c r="CK230" t="inlineStr">
        <is>
          <t>none</t>
        </is>
      </c>
      <c r="CL230" t="n">
        <v>23</v>
      </c>
      <c r="CM230" t="n">
        <v>6</v>
      </c>
      <c r="CN230" t="n">
        <v>3</v>
      </c>
      <c r="CO230" t="n">
        <v>0</v>
      </c>
      <c r="CP230" t="n">
        <v>5</v>
      </c>
      <c r="CQ230" t="n">
        <v>7</v>
      </c>
      <c r="CR230" t="n">
        <v>6</v>
      </c>
      <c r="CS230">
        <f>IF(R230="Y",10,0)</f>
        <v/>
      </c>
      <c r="CT230" t="n">
        <v>-4</v>
      </c>
      <c r="CU230" t="inlineStr">
        <is>
          <t>https://www.instagram.com/drinkkace</t>
        </is>
      </c>
      <c r="CV230" t="inlineStr">
        <is>
          <t>BR3</t>
        </is>
      </c>
      <c r="CW230" t="inlineStr">
        <is>
          <t>BR3:37</t>
        </is>
      </c>
      <c r="CX230" t="inlineStr">
        <is>
          <t>About: fruit tea inspired by Taiwanese-style shaken iced tea; Taiwanese and Filipino roots; AAPI and women-owned per Pop Up Grocer. 12-pack $35.99.</t>
        </is>
      </c>
      <c r="CY230" t="inlineStr">
        <is>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is>
      </c>
      <c r="CZ230" t="inlineStr">
        <is>
          <t>https://www.ricespicemag.com/read/kace-tea</t>
        </is>
      </c>
      <c r="DA230" t="inlineStr">
        <is>
          <t>stage 1 only</t>
        </is>
      </c>
      <c r="DC230" t="inlineStr">
        <is>
          <t>press, event or podcast page</t>
        </is>
      </c>
      <c r="DY230">
        <f>IF(ISNUMBER(MATCH(U230,{"queued","contacted","replied","call_booked","call_done","yes_in_principle","materials_sent"},0)),"Y","N")</f>
        <v/>
      </c>
      <c r="DZ230">
        <f>IF(COUNTIFS($AN$2:$AN$1000,AN230,$DY$2:$DY$1000,"Y")+COUNTIFS($AN$2:$AN$1000,AN230,$T$2:$T$1000,"Y")&gt;0,"Y","N")</f>
        <v/>
      </c>
      <c r="EA230">
        <f>IF(AND(U230="new",T230="N",AR230="Y",AQ230="",DZ230="N"),"Y","N")</f>
        <v/>
      </c>
      <c r="EB230">
        <f>IF(EA230&lt;&gt;"Y","N",IF(COUNTIFS($AN$2:$AN$1000,AN230,$EA$2:$EA$1000,"Y",$J$2:$J$1000,"&gt;"&amp;J230)+COUNTIFS($AN$2:$AN$1000,AN230,$EA$2:$EA$1000,"Y",$J$2:$J$1000,J230,$ED$2:$ED$1000,"&lt;"&amp;ED230)=0,"Y","N"))</f>
        <v/>
      </c>
      <c r="EC230">
        <f>IF(Y230="","N",IF(Y230&lt;=10,"Y","N"))</f>
        <v/>
      </c>
      <c r="ED230">
        <f>ROW()-1</f>
        <v/>
      </c>
    </row>
    <row r="231">
      <c r="A231" t="inlineStr">
        <is>
          <t>AB-010</t>
        </is>
      </c>
      <c r="B231" t="inlineStr">
        <is>
          <t>Mamame</t>
        </is>
      </c>
      <c r="H231" t="inlineStr">
        <is>
          <t>none</t>
        </is>
      </c>
      <c r="J231">
        <f>IF(AU231="pass",CM231+CN231+CO231+CP231+CQ231+CR231+CS231+CT231,0)</f>
        <v/>
      </c>
      <c r="K231" t="inlineStr">
        <is>
          <t>Brand based outside the Northeast (HQ unverified), no graded store within ten blocks, online store only, no dated why-now in the last 12 months, revenue unknown, contact seen only in a snippet; founder review: claim-borderline.</t>
        </is>
      </c>
      <c r="M231" t="inlineStr">
        <is>
          <t>Whole Foods Market NoMad, 63 Madison Ave</t>
        </is>
      </c>
      <c r="N231" t="inlineStr">
        <is>
          <t>unverified</t>
        </is>
      </c>
      <c r="O231" t="inlineStr">
        <is>
          <t>Launched its first sweet tempeh chips and new vegan flavors at Expo West 2026 (NOSH press release seen in search results; unverified, founder to confirm)</t>
        </is>
      </c>
      <c r="P231" t="inlineStr">
        <is>
          <t>https://startupcpg.com/14-chip-brands-taking-your-tastebuds-on-a-flavor-tour/</t>
        </is>
      </c>
      <c r="Q231" t="inlineStr">
        <is>
          <t>2026-03-05 (unverified)</t>
        </is>
      </c>
      <c r="R231" t="inlineStr">
        <is>
          <t>N</t>
        </is>
      </c>
      <c r="S231" t="inlineStr">
        <is>
          <t>Y</t>
        </is>
      </c>
      <c r="T231" t="inlineStr">
        <is>
          <t>N</t>
        </is>
      </c>
      <c r="U231" t="inlineStr">
        <is>
          <t>new</t>
        </is>
      </c>
      <c r="V231" t="inlineStr">
        <is>
          <t>https://www.mamamewholefoods.com/pages/our-story</t>
        </is>
      </c>
      <c r="W231" t="inlineStr">
        <is>
          <t>2026-10-23</t>
        </is>
      </c>
      <c r="X231" t="inlineStr">
        <is>
          <t>brand</t>
        </is>
      </c>
      <c r="Y231">
        <f>IF(EB231&lt;&gt;"Y","",COUNTIFS($EB$2:$EB$1000,"Y",$J$2:$J$1000,"&gt;"&amp;J231)+COUNTIFS($EB$2:$EB$1000,"Y",$J$2:$J$1000,J231,$ED$2:$ED$1000,"&lt;"&amp;ED231)+1)</f>
        <v/>
      </c>
      <c r="Z231" t="n">
        <v>230</v>
      </c>
      <c r="AA231" t="inlineStr">
        <is>
          <t>N</t>
        </is>
      </c>
      <c r="AB231" t="inlineStr">
        <is>
          <t>no person named on an opened page: not ready; founder review (claim-borderline): read founder_review_reason first</t>
        </is>
      </c>
      <c r="AC231" t="inlineStr">
        <is>
          <t>founder</t>
        </is>
      </c>
      <c r="AD231" t="inlineStr">
        <is>
          <t>unverified</t>
        </is>
      </c>
      <c r="AE231" t="inlineStr">
        <is>
          <t>employer's own site</t>
        </is>
      </c>
      <c r="AF231" t="inlineStr">
        <is>
          <t>https://www.mamamewholefoods.com/pages/our-story</t>
        </is>
      </c>
      <c r="AG231" t="inlineStr">
        <is>
          <t>2026-10-23</t>
        </is>
      </c>
      <c r="AH231" t="inlineStr">
        <is>
          <t>Mamame Hot Chili Tempeh Chips, 1.8 oz (50g) bag</t>
        </is>
      </c>
      <c r="AI231" t="inlineStr">
        <is>
          <t>chips-crisps</t>
        </is>
      </c>
      <c r="AJ231" t="inlineStr">
        <is>
          <t>Jakarta (search snippets; unverified, founder to confirm)</t>
        </is>
      </c>
      <c r="AK231" t="inlineStr">
        <is>
          <t>https://www.mamamewholefoods.com</t>
        </is>
      </c>
      <c r="AL231" t="inlineStr">
        <is>
          <t>Y</t>
        </is>
      </c>
      <c r="AM231" t="inlineStr">
        <is>
          <t>Startup CPG feature calls the chips 'functional' and tempeh a 'superfood'; check pack for structure/function wording</t>
        </is>
      </c>
      <c r="AN231" t="inlineStr">
        <is>
          <t>AB-010</t>
        </is>
      </c>
      <c r="AO231" t="inlineStr">
        <is>
          <t>N</t>
        </is>
      </c>
      <c r="AR231">
        <f>IF(AND(AU231="pass",AO231&lt;&gt;"Y",C231&lt;&gt;""),"Y","N")</f>
        <v/>
      </c>
      <c r="AS231">
        <f>_xlfn.TEXTJOIN("; ",TRUE,IF(AU231&lt;&gt;"pass","gated out",""),IF(AO231="Y","on hold: "&amp;AP231,""),IF(C231="","no contact named on an opened page",""))</f>
        <v/>
      </c>
      <c r="AU231" t="inlineStr">
        <is>
          <t>pass</t>
        </is>
      </c>
      <c r="AW231" t="inlineStr">
        <is>
          <t>passes all hard gates</t>
        </is>
      </c>
      <c r="AX231" t="inlineStr">
        <is>
          <t>claim-borderline</t>
        </is>
      </c>
      <c r="AY231" t="inlineStr">
        <is>
          <t>https://www.mamamewholefoods.com</t>
        </is>
      </c>
      <c r="AZ231" t="inlineStr">
        <is>
          <t>Indonesia (country; unverified, founder to confirm)</t>
        </is>
      </c>
      <c r="BA231" t="inlineStr">
        <is>
          <t>elsewhere (unverified)</t>
        </is>
      </c>
      <c r="BB231" t="inlineStr">
        <is>
          <t>unknown</t>
        </is>
      </c>
      <c r="BD231" t="inlineStr">
        <is>
          <t>Y</t>
        </is>
      </c>
      <c r="BE231" t="inlineStr">
        <is>
          <t>Brand FAQ: 'Our Tempeh Chips have a shelf life of 12 months when stored in a cool, dry place.' Homepage adds chips are 'tested safe to consume for up to 15 months from production'.</t>
        </is>
      </c>
      <c r="BF231" t="inlineStr">
        <is>
          <t>Y</t>
        </is>
      </c>
      <c r="BG231" t="inlineStr">
        <is>
          <t>Y</t>
        </is>
      </c>
      <c r="BH231" t="inlineStr">
        <is>
          <t>unknown</t>
        </is>
      </c>
      <c r="BJ231" t="inlineStr">
        <is>
          <t>unknown</t>
        </is>
      </c>
      <c r="BK231" t="inlineStr">
        <is>
          <t>N</t>
        </is>
      </c>
      <c r="BL231" t="inlineStr">
        <is>
          <t>N</t>
        </is>
      </c>
      <c r="BN231" t="n">
        <v>0</v>
      </c>
      <c r="BO231" t="inlineStr">
        <is>
          <t>Y</t>
        </is>
      </c>
      <c r="BP231" t="n">
        <v>0</v>
      </c>
      <c r="BQ231" t="inlineStr">
        <is>
          <t>Whole Foods Market NoMad, 63 Madison Ave (unverified, inside);Whole Foods Market Union Square, 4 Union Sq S (unverified, inside)</t>
        </is>
      </c>
      <c r="BS231" t="inlineStr">
        <is>
          <t>Erewhon; Foxtrot; Wegmans and Hy-Vee (coming soon); FreshDirect; Thrive Market; Whole Foods Market; PopUp Grocer</t>
        </is>
      </c>
      <c r="BT231" t="inlineStr">
        <is>
          <t>https://www.wholefoodsmarket.com/search?text=mamame%20tempeh (store context Union Square 10162 and NoMad 10773: Hot Chili Tempeh Chips 1.8 oz IN_STOCK 2026-10-23); https://popupgrocer.com/products/mamame</t>
        </is>
      </c>
      <c r="BU231" t="inlineStr">
        <is>
          <t>unverified</t>
        </is>
      </c>
      <c r="BV231" t="n">
        <v>233</v>
      </c>
      <c r="BW231" t="inlineStr">
        <is>
          <t>https://startupcpg.com/14-chip-brands-taking-your-tastebuds-on-a-flavor-tour/</t>
        </is>
      </c>
      <c r="BX231" t="inlineStr">
        <is>
          <t>Liz Kang</t>
        </is>
      </c>
      <c r="BY231" t="inlineStr">
        <is>
          <t>with her mother Alvina Chun</t>
        </is>
      </c>
      <c r="CF231" t="inlineStr">
        <is>
          <t>none</t>
        </is>
      </c>
      <c r="CK231" t="inlineStr">
        <is>
          <t>none</t>
        </is>
      </c>
      <c r="CL231" t="n">
        <v>23</v>
      </c>
      <c r="CM231" t="n">
        <v>6</v>
      </c>
      <c r="CN231" t="n">
        <v>3</v>
      </c>
      <c r="CO231" t="n">
        <v>0</v>
      </c>
      <c r="CP231" t="n">
        <v>5</v>
      </c>
      <c r="CQ231" t="n">
        <v>10</v>
      </c>
      <c r="CR231" t="n">
        <v>3</v>
      </c>
      <c r="CS231">
        <f>IF(R231="Y",10,0)</f>
        <v/>
      </c>
      <c r="CT231" t="n">
        <v>-4</v>
      </c>
      <c r="CU231" t="inlineStr">
        <is>
          <t>https://instagram.com/mamametempehchips</t>
        </is>
      </c>
      <c r="CV231" t="inlineStr">
        <is>
          <t>BR1</t>
        </is>
      </c>
      <c r="CW231" t="inlineStr">
        <is>
          <t>BR1:11</t>
        </is>
      </c>
      <c r="CX231" t="inlineStr">
        <is>
          <t>Founder name conflict between brand site (Alvina) and Startup CPG feature (Liz Kang); founder to confirm. HQ not stated on site or policies.</t>
        </is>
      </c>
      <c r="CY231" t="inlineStr">
        <is>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is>
      </c>
      <c r="DA231" t="inlineStr">
        <is>
          <t>stage 1 only</t>
        </is>
      </c>
      <c r="DY231">
        <f>IF(ISNUMBER(MATCH(U231,{"queued","contacted","replied","call_booked","call_done","yes_in_principle","materials_sent"},0)),"Y","N")</f>
        <v/>
      </c>
      <c r="DZ231">
        <f>IF(COUNTIFS($AN$2:$AN$1000,AN231,$DY$2:$DY$1000,"Y")+COUNTIFS($AN$2:$AN$1000,AN231,$T$2:$T$1000,"Y")&gt;0,"Y","N")</f>
        <v/>
      </c>
      <c r="EA231">
        <f>IF(AND(U231="new",T231="N",AR231="Y",AQ231="",DZ231="N"),"Y","N")</f>
        <v/>
      </c>
      <c r="EB231">
        <f>IF(EA231&lt;&gt;"Y","N",IF(COUNTIFS($AN$2:$AN$1000,AN231,$EA$2:$EA$1000,"Y",$J$2:$J$1000,"&gt;"&amp;J231)+COUNTIFS($AN$2:$AN$1000,AN231,$EA$2:$EA$1000,"Y",$J$2:$J$1000,J231,$ED$2:$ED$1000,"&lt;"&amp;ED231)=0,"Y","N"))</f>
        <v/>
      </c>
      <c r="EC231">
        <f>IF(Y231="","N",IF(Y231&lt;=10,"Y","N"))</f>
        <v/>
      </c>
      <c r="ED231">
        <f>ROW()-1</f>
        <v/>
      </c>
    </row>
    <row r="232">
      <c r="A232" t="inlineStr">
        <is>
          <t>AB-196</t>
        </is>
      </c>
      <c r="B232" t="inlineStr">
        <is>
          <t>Tilden</t>
        </is>
      </c>
      <c r="C232" t="inlineStr">
        <is>
          <t>Mariah</t>
        </is>
      </c>
      <c r="D232" t="inlineStr">
        <is>
          <t>Hilton Wood</t>
        </is>
      </c>
      <c r="E232" t="inlineStr">
        <is>
          <t>Founder</t>
        </is>
      </c>
      <c r="H232" t="inlineStr">
        <is>
          <t>none</t>
        </is>
      </c>
      <c r="I232" t="inlineStr">
        <is>
          <t>linkedin</t>
        </is>
      </c>
      <c r="J232">
        <f>IF(AU232="pass",CM232+CN232+CO232+CP232+CQ232+CR232+CS232+CT232,0)</f>
        <v/>
      </c>
      <c r="K232" t="inlineStr">
        <is>
          <t>Brand based outside the Northeast, no graded store within ten blocks, online store only, no dated why-now in the last 12 months, revenue unknown, contact named; founder review: format.</t>
        </is>
      </c>
      <c r="M232" t="inlineStr">
        <is>
          <t>none found within ten blocks</t>
        </is>
      </c>
      <c r="N232" t="inlineStr">
        <is>
          <t>unverified</t>
        </is>
      </c>
      <c r="R232" t="inlineStr">
        <is>
          <t>N</t>
        </is>
      </c>
      <c r="S232" t="inlineStr">
        <is>
          <t>unknown</t>
        </is>
      </c>
      <c r="T232" t="inlineStr">
        <is>
          <t>N</t>
        </is>
      </c>
      <c r="U232" t="inlineStr">
        <is>
          <t>new</t>
        </is>
      </c>
      <c r="V232" t="inlineStr">
        <is>
          <t>https://drinktilden.com/pages/our-story</t>
        </is>
      </c>
      <c r="W232" t="inlineStr">
        <is>
          <t>2026-10-23</t>
        </is>
      </c>
      <c r="X232" t="inlineStr">
        <is>
          <t>brand</t>
        </is>
      </c>
      <c r="Y232">
        <f>IF(EB232&lt;&gt;"Y","",COUNTIFS($EB$2:$EB$1000,"Y",$J$2:$J$1000,"&gt;"&amp;J232)+COUNTIFS($EB$2:$EB$1000,"Y",$J$2:$J$1000,J232,$ED$2:$ED$1000,"&lt;"&amp;ED232)+1)</f>
        <v/>
      </c>
      <c r="Z232" t="n">
        <v>231</v>
      </c>
      <c r="AA232" t="inlineStr">
        <is>
          <t>N</t>
        </is>
      </c>
      <c r="AB232" t="inlineStr">
        <is>
          <t>find Mariah Hilton Wood at Tilden on LinkedIn and paste the profile URL; founder review (format): read founder_review_reason first</t>
        </is>
      </c>
      <c r="AC232" t="inlineStr">
        <is>
          <t>founder</t>
        </is>
      </c>
      <c r="AD232" t="inlineStr">
        <is>
          <t>verified-page</t>
        </is>
      </c>
      <c r="AE232" t="inlineStr">
        <is>
          <t>employer's own site</t>
        </is>
      </c>
      <c r="AF232" t="inlineStr">
        <is>
          <t>https://drinktilden.com/pages/our-story</t>
        </is>
      </c>
      <c r="AG232" t="inlineStr">
        <is>
          <t>2026-10-23</t>
        </is>
      </c>
      <c r="AH232" t="inlineStr">
        <is>
          <t>Tilden ready-to-pour non-alcoholic cocktail, bottle</t>
        </is>
      </c>
      <c r="AI232" t="inlineStr">
        <is>
          <t>other-drink</t>
        </is>
      </c>
      <c r="AJ232" t="inlineStr">
        <is>
          <t>Santa Barbara</t>
        </is>
      </c>
      <c r="AK232" t="inlineStr">
        <is>
          <t>https://drinktilden.com</t>
        </is>
      </c>
      <c r="AL232" t="inlineStr">
        <is>
          <t>Y</t>
        </is>
      </c>
      <c r="AM232" t="inlineStr">
        <is>
          <t>Multi-serve ready-to-pour bottles, not individually packaged; NYC points are restaurants, not retail</t>
        </is>
      </c>
      <c r="AN232" t="inlineStr">
        <is>
          <t>AB-196</t>
        </is>
      </c>
      <c r="AO232" t="inlineStr">
        <is>
          <t>N</t>
        </is>
      </c>
      <c r="AR232">
        <f>IF(AND(AU232="pass",AO232&lt;&gt;"Y",C232&lt;&gt;""),"Y","N")</f>
        <v/>
      </c>
      <c r="AS232">
        <f>_xlfn.TEXTJOIN("; ",TRUE,IF(AU232&lt;&gt;"pass","gated out",""),IF(AO232="Y","on hold: "&amp;AP232,""),IF(C232="","no contact named on an opened page",""))</f>
        <v/>
      </c>
      <c r="AU232" t="inlineStr">
        <is>
          <t>pass</t>
        </is>
      </c>
      <c r="AW232" t="inlineStr">
        <is>
          <t>passes all hard gates</t>
        </is>
      </c>
      <c r="AX232" t="inlineStr">
        <is>
          <t>format</t>
        </is>
      </c>
      <c r="AY232" t="inlineStr">
        <is>
          <t>https://drinktilden.com</t>
        </is>
      </c>
      <c r="AZ232" t="inlineStr">
        <is>
          <t>CA</t>
        </is>
      </c>
      <c r="BA232" t="inlineStr">
        <is>
          <t>elsewhere</t>
        </is>
      </c>
      <c r="BB232" t="inlineStr">
        <is>
          <t>unknown</t>
        </is>
      </c>
      <c r="BD232" t="inlineStr">
        <is>
          <t>Y</t>
        </is>
      </c>
      <c r="BE232" t="inlineStr">
        <is>
          <t>FAQ: 'Our cocktails will last unopened for 18 months, but need to be refrigerated once opened' (drinktilden.com/pages/faqs, opened 2026-10-23)</t>
        </is>
      </c>
      <c r="BF232" t="inlineStr">
        <is>
          <t>N</t>
        </is>
      </c>
      <c r="BG232" t="inlineStr">
        <is>
          <t>Y</t>
        </is>
      </c>
      <c r="BH232" t="inlineStr">
        <is>
          <t>unknown</t>
        </is>
      </c>
      <c r="BJ232" t="inlineStr">
        <is>
          <t>No public sales figure found</t>
        </is>
      </c>
      <c r="BK232" t="inlineStr">
        <is>
          <t>N</t>
        </is>
      </c>
      <c r="BL232" t="inlineStr">
        <is>
          <t>N</t>
        </is>
      </c>
      <c r="BO232" t="inlineStr">
        <is>
          <t>N</t>
        </is>
      </c>
      <c r="BP232" t="n">
        <v>0</v>
      </c>
      <c r="BS232" t="inlineStr">
        <is>
          <t>RH Rooftop and RH Guesthouse dining rooms; Ladybird; Carta Wine Bar (brand Stockist locator, 8 points)</t>
        </is>
      </c>
      <c r="BT232" t="inlineStr">
        <is>
          <t>https://stockist.co/api/v1/u15351/locations/search?latitude=40.7400&amp;longitude=-73.9900&amp;distance=3</t>
        </is>
      </c>
      <c r="BU232" t="inlineStr">
        <is>
          <t>none</t>
        </is>
      </c>
      <c r="BX232" t="inlineStr">
        <is>
          <t>Mariah Hilton Wood</t>
        </is>
      </c>
      <c r="CF232" t="inlineStr">
        <is>
          <t>none</t>
        </is>
      </c>
      <c r="CK232" t="inlineStr">
        <is>
          <t>none</t>
        </is>
      </c>
      <c r="CL232" t="n">
        <v>23</v>
      </c>
      <c r="CM232" t="n">
        <v>6</v>
      </c>
      <c r="CN232" t="n">
        <v>3</v>
      </c>
      <c r="CO232" t="n">
        <v>0</v>
      </c>
      <c r="CP232" t="n">
        <v>5</v>
      </c>
      <c r="CQ232" t="n">
        <v>7</v>
      </c>
      <c r="CR232" t="n">
        <v>6</v>
      </c>
      <c r="CS232">
        <f>IF(R232="Y",10,0)</f>
        <v/>
      </c>
      <c r="CT232" t="n">
        <v>-4</v>
      </c>
      <c r="CU232" t="inlineStr">
        <is>
          <t>https://instagram.com/drinktilden</t>
        </is>
      </c>
      <c r="CV232" t="inlineStr">
        <is>
          <t>BR3</t>
        </is>
      </c>
      <c r="CW232" t="inlineStr">
        <is>
          <t>BR3:70</t>
        </is>
      </c>
      <c r="CX232" t="inlineStr">
        <is>
          <t>Began at Harvard Business School (our-story). Low fit for pantry sampling.</t>
        </is>
      </c>
      <c r="CY232" t="inlineStr">
        <is>
          <t xml:space="preserve">hq_city &lt;- https://drinktilden.com/pages/press (2026-10-24, opened); hq_state &lt;- https://drinktilden.com/pages/press (2026-10-24, opened); </t>
        </is>
      </c>
      <c r="DA232" t="inlineStr">
        <is>
          <t>stage 1 only</t>
        </is>
      </c>
      <c r="DY232">
        <f>IF(ISNUMBER(MATCH(U232,{"queued","contacted","replied","call_booked","call_done","yes_in_principle","materials_sent"},0)),"Y","N")</f>
        <v/>
      </c>
      <c r="DZ232">
        <f>IF(COUNTIFS($AN$2:$AN$1000,AN232,$DY$2:$DY$1000,"Y")+COUNTIFS($AN$2:$AN$1000,AN232,$T$2:$T$1000,"Y")&gt;0,"Y","N")</f>
        <v/>
      </c>
      <c r="EA232">
        <f>IF(AND(U232="new",T232="N",AR232="Y",AQ232="",DZ232="N"),"Y","N")</f>
        <v/>
      </c>
      <c r="EB232">
        <f>IF(EA232&lt;&gt;"Y","N",IF(COUNTIFS($AN$2:$AN$1000,AN232,$EA$2:$EA$1000,"Y",$J$2:$J$1000,"&gt;"&amp;J232)+COUNTIFS($AN$2:$AN$1000,AN232,$EA$2:$EA$1000,"Y",$J$2:$J$1000,J232,$ED$2:$ED$1000,"&lt;"&amp;ED232)=0,"Y","N"))</f>
        <v/>
      </c>
      <c r="EC232">
        <f>IF(Y232="","N",IF(Y232&lt;=10,"Y","N"))</f>
        <v/>
      </c>
      <c r="ED232">
        <f>ROW()-1</f>
        <v/>
      </c>
    </row>
    <row r="233">
      <c r="A233" t="inlineStr">
        <is>
          <t>AB-208</t>
        </is>
      </c>
      <c r="B233" t="inlineStr">
        <is>
          <t>Pip's Heirloom Snacks (formerly Pipcorn)</t>
        </is>
      </c>
      <c r="C233" t="inlineStr">
        <is>
          <t>Jen</t>
        </is>
      </c>
      <c r="D233" t="inlineStr">
        <is>
          <t>Martin</t>
        </is>
      </c>
      <c r="E233" t="inlineStr">
        <is>
          <t>Co-founder</t>
        </is>
      </c>
      <c r="H233" t="inlineStr">
        <is>
          <t>none</t>
        </is>
      </c>
      <c r="I233" t="inlineStr">
        <is>
          <t>linkedin</t>
        </is>
      </c>
      <c r="J233">
        <f>IF(AU233="pass",CM233+CN233+CO233+CP233+CQ233+CR233+CS233+CT233,0)</f>
        <v/>
      </c>
      <c r="K233" t="inlineStr">
        <is>
          <t>Northeast brand, no graded store within ten blocks, online store only, a new store listing 115 days ago, revenue unknown, contact named; founder review: owner, scale.</t>
        </is>
      </c>
      <c r="M233" t="inlineStr">
        <is>
          <t>Whole Foods Market NoMad, 63 Madison Ave</t>
        </is>
      </c>
      <c r="N233" t="inlineStr">
        <is>
          <t>unverified</t>
        </is>
      </c>
      <c r="O233" t="inlineStr">
        <is>
          <t>Rolled out Snack Size 24-count cases in 2026 (Cheddar Crunchies, Sea Salt Corn Dippers 1.75 oz) plus new Dill Pickle Balls and Kettle Popcorn; homepage banner says Cheddar Fries and Cheddar Crunchies are now at Whole Foods</t>
        </is>
      </c>
      <c r="P233" t="inlineStr">
        <is>
          <t>https://www.pipsnacks.com/products.json?limit=250</t>
        </is>
      </c>
      <c r="Q233" t="inlineStr">
        <is>
          <t>2026-07-01</t>
        </is>
      </c>
      <c r="R233" t="inlineStr">
        <is>
          <t>N</t>
        </is>
      </c>
      <c r="S233" t="inlineStr">
        <is>
          <t>unknown</t>
        </is>
      </c>
      <c r="T233" t="inlineStr">
        <is>
          <t>N</t>
        </is>
      </c>
      <c r="U233" t="inlineStr">
        <is>
          <t>new</t>
        </is>
      </c>
      <c r="V233" t="inlineStr">
        <is>
          <t>https://www.pipsnacks.com/pages/faq</t>
        </is>
      </c>
      <c r="W233" t="inlineStr">
        <is>
          <t>2026-10-23</t>
        </is>
      </c>
      <c r="X233" t="inlineStr">
        <is>
          <t>brand</t>
        </is>
      </c>
      <c r="Y233">
        <f>IF(EB233&lt;&gt;"Y","",COUNTIFS($EB$2:$EB$1000,"Y",$J$2:$J$1000,"&gt;"&amp;J233)+COUNTIFS($EB$2:$EB$1000,"Y",$J$2:$J$1000,J233,$ED$2:$ED$1000,"&lt;"&amp;ED233)+1)</f>
        <v/>
      </c>
      <c r="Z233" t="n">
        <v>232</v>
      </c>
      <c r="AA233" t="inlineStr">
        <is>
          <t>N</t>
        </is>
      </c>
      <c r="AB233" t="inlineStr">
        <is>
          <t>find Jen Martin at Pip's Heirloom Snacks (formerly Pipcorn) on LinkedIn and paste the profile URL; founder review (owner, scale): read founder_review_reason first</t>
        </is>
      </c>
      <c r="AC233" t="inlineStr">
        <is>
          <t>founder</t>
        </is>
      </c>
      <c r="AD233" t="inlineStr">
        <is>
          <t>verified-page</t>
        </is>
      </c>
      <c r="AE233" t="inlineStr">
        <is>
          <t>employer's own site</t>
        </is>
      </c>
      <c r="AF233" t="inlineStr">
        <is>
          <t>https://www.pipsnacks.com/pages/press</t>
        </is>
      </c>
      <c r="AG233" t="inlineStr">
        <is>
          <t>2026-10-23</t>
        </is>
      </c>
      <c r="AH233" t="inlineStr">
        <is>
          <t>Heirloom Cheddar Cheese Balls 4.5 oz; Fiery Cheddar Fries 5 oz; site has a Snack Size collection</t>
        </is>
      </c>
      <c r="AI233" t="inlineStr">
        <is>
          <t>popcorn-puffs</t>
        </is>
      </c>
      <c r="AJ233" t="inlineStr">
        <is>
          <t>Bethlehem, PA (brand contact page address: 1 East Broad Street, Ste 210; owner UpSnack Brands). Brand founded in NYC.</t>
        </is>
      </c>
      <c r="AK233" t="inlineStr">
        <is>
          <t>https://www.pipsnacks.com</t>
        </is>
      </c>
      <c r="AL233" t="inlineStr">
        <is>
          <t>Y</t>
        </is>
      </c>
      <c r="AM233" t="inlineStr">
        <is>
          <t>Owned by UpSnack Brands platform; 20,000+ doors suggests it may be above the $10M ceiling</t>
        </is>
      </c>
      <c r="AN233" t="inlineStr">
        <is>
          <t>AB-208</t>
        </is>
      </c>
      <c r="AO233" t="inlineStr">
        <is>
          <t>N</t>
        </is>
      </c>
      <c r="AR233">
        <f>IF(AND(AU233="pass",AO233&lt;&gt;"Y",C233&lt;&gt;""),"Y","N")</f>
        <v/>
      </c>
      <c r="AS233">
        <f>_xlfn.TEXTJOIN("; ",TRUE,IF(AU233&lt;&gt;"pass","gated out",""),IF(AO233="Y","on hold: "&amp;AP233,""),IF(C233="","no contact named on an opened page",""))</f>
        <v/>
      </c>
      <c r="AU233" t="inlineStr">
        <is>
          <t>pass</t>
        </is>
      </c>
      <c r="AW233" t="inlineStr">
        <is>
          <t>passes all hard gates</t>
        </is>
      </c>
      <c r="AX233" t="inlineStr">
        <is>
          <t>owner;scale</t>
        </is>
      </c>
      <c r="AY233" t="inlineStr">
        <is>
          <t>https://www.pipsnacks.com</t>
        </is>
      </c>
      <c r="AZ233" t="inlineStr">
        <is>
          <t>PA</t>
        </is>
      </c>
      <c r="BA233" t="inlineStr">
        <is>
          <t>northeast</t>
        </is>
      </c>
      <c r="BB233" t="inlineStr">
        <is>
          <t>acquired (joined UpSnack Brands, Fall 2024)</t>
        </is>
      </c>
      <c r="BC233" t="inlineStr">
        <is>
          <t>https://www.fooddive.com/press-release/20251007-pipcorn-rebrands-as-pips-heirloom-snacks-1/</t>
        </is>
      </c>
      <c r="BD233" t="inlineStr">
        <is>
          <t>Y</t>
        </is>
      </c>
      <c r="BE233" t="inlineStr">
        <is>
          <t>Brand FAQ: 'shelf life for most of our products is 8 months from the date of manufacture'; popcorn 10 or 12 months</t>
        </is>
      </c>
      <c r="BF233" t="inlineStr">
        <is>
          <t>Y</t>
        </is>
      </c>
      <c r="BG233" t="inlineStr">
        <is>
          <t>Y</t>
        </is>
      </c>
      <c r="BH233" t="inlineStr">
        <is>
          <t>unknown</t>
        </is>
      </c>
      <c r="BJ233" t="inlineStr">
        <is>
          <t>Press release says 20,000+ retail locations (store count, not used for band)</t>
        </is>
      </c>
      <c r="BK233" t="inlineStr">
        <is>
          <t>N</t>
        </is>
      </c>
      <c r="BL233" t="inlineStr">
        <is>
          <t>N</t>
        </is>
      </c>
      <c r="BN233" t="n">
        <v>0</v>
      </c>
      <c r="BO233" t="inlineStr">
        <is>
          <t>Y</t>
        </is>
      </c>
      <c r="BP233" t="n">
        <v>0</v>
      </c>
      <c r="BQ233" t="inlineStr">
        <is>
          <t>Whole Foods Market NoMad, 63 Madison Ave (unverified, inside);Whole Foods Market Union Square, 4 Union Sq S (unverified, inside);Whole Foods Market Chelsea, 250 7th Ave (unverified, 3.0 blocks out)</t>
        </is>
      </c>
      <c r="BR233" t="inlineStr">
        <is>
          <t>Whole Foods Market Manhattan West (unverified, 13.8 blocks out)</t>
        </is>
      </c>
      <c r="BS233" t="inlineStr">
        <is>
          <t>Whole Foods Market; Sprouts; Thrive Market; Amazon; 20,000+ locations</t>
        </is>
      </c>
      <c r="BT233" t="inlineStr">
        <is>
          <t>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is>
      </c>
      <c r="BU233" t="inlineStr">
        <is>
          <t>listing</t>
        </is>
      </c>
      <c r="BV233" t="n">
        <v>115</v>
      </c>
      <c r="BX233" t="inlineStr">
        <is>
          <t>Jen  Martin</t>
        </is>
      </c>
      <c r="BY233" t="inlineStr">
        <is>
          <t>Jennifer with Jeff Martin</t>
        </is>
      </c>
      <c r="CA233" t="inlineStr">
        <is>
          <t>Sonia Ortiz</t>
        </is>
      </c>
      <c r="CB233" t="inlineStr">
        <is>
          <t>Sonia</t>
        </is>
      </c>
      <c r="CC233" t="inlineStr">
        <is>
          <t>Ortiz</t>
        </is>
      </c>
      <c r="CD233" t="inlineStr">
        <is>
          <t>Marketing Director</t>
        </is>
      </c>
      <c r="CE233" t="inlineStr">
        <is>
          <t>marketing</t>
        </is>
      </c>
      <c r="CF233" t="inlineStr">
        <is>
          <t>verified-page</t>
        </is>
      </c>
      <c r="CK233" t="inlineStr">
        <is>
          <t>none</t>
        </is>
      </c>
      <c r="CL233" t="n">
        <v>22</v>
      </c>
      <c r="CM233" t="n">
        <v>6</v>
      </c>
      <c r="CN233" t="n">
        <v>8</v>
      </c>
      <c r="CO233" t="n">
        <v>8</v>
      </c>
      <c r="CP233" t="n">
        <v>5</v>
      </c>
      <c r="CQ233" t="n">
        <v>10</v>
      </c>
      <c r="CR233" t="n">
        <v>10</v>
      </c>
      <c r="CS233">
        <f>IF(R233="Y",10,0)</f>
        <v/>
      </c>
      <c r="CT233" t="n">
        <v>-25</v>
      </c>
      <c r="CV233" t="inlineStr">
        <is>
          <t>BR4</t>
        </is>
      </c>
      <c r="CW233" t="inlineStr">
        <is>
          <t>BR4:3</t>
        </is>
      </c>
      <c r="CX233" t="inlineStr">
        <is>
          <t>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is>
      </c>
      <c r="CY233" t="inlineStr">
        <is>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is>
      </c>
      <c r="CZ233" t="inlineStr">
        <is>
          <t>https://www.fooddive.com/press-release/20251007-pipcorn-rebrands-as-pips-heirloom-snacks-1/</t>
        </is>
      </c>
      <c r="DA233" t="inlineStr">
        <is>
          <t>stage 1 only</t>
        </is>
      </c>
      <c r="DC233" t="inlineStr">
        <is>
          <t>press, event or podcast page</t>
        </is>
      </c>
      <c r="DY233">
        <f>IF(ISNUMBER(MATCH(U233,{"queued","contacted","replied","call_booked","call_done","yes_in_principle","materials_sent"},0)),"Y","N")</f>
        <v/>
      </c>
      <c r="DZ233">
        <f>IF(COUNTIFS($AN$2:$AN$1000,AN233,$DY$2:$DY$1000,"Y")+COUNTIFS($AN$2:$AN$1000,AN233,$T$2:$T$1000,"Y")&gt;0,"Y","N")</f>
        <v/>
      </c>
      <c r="EA233">
        <f>IF(AND(U233="new",T233="N",AR233="Y",AQ233="",DZ233="N"),"Y","N")</f>
        <v/>
      </c>
      <c r="EB233">
        <f>IF(EA233&lt;&gt;"Y","N",IF(COUNTIFS($AN$2:$AN$1000,AN233,$EA$2:$EA$1000,"Y",$J$2:$J$1000,"&gt;"&amp;J233)+COUNTIFS($AN$2:$AN$1000,AN233,$EA$2:$EA$1000,"Y",$J$2:$J$1000,J233,$ED$2:$ED$1000,"&lt;"&amp;ED233)=0,"Y","N"))</f>
        <v/>
      </c>
      <c r="EC233">
        <f>IF(Y233="","N",IF(Y233&lt;=10,"Y","N"))</f>
        <v/>
      </c>
      <c r="ED233">
        <f>ROW()-1</f>
        <v/>
      </c>
    </row>
    <row r="234">
      <c r="A234" t="inlineStr">
        <is>
          <t>AB-151</t>
        </is>
      </c>
      <c r="B234" t="inlineStr">
        <is>
          <t>Avery's Beverages</t>
        </is>
      </c>
      <c r="H234" t="inlineStr">
        <is>
          <t>none</t>
        </is>
      </c>
      <c r="J234">
        <f>IF(AU234="pass",CM234+CN234+CO234+CP234+CQ234+CR234+CS234+CT234,0)</f>
        <v/>
      </c>
      <c r="K234" t="inlineStr">
        <is>
          <t>Northeast brand, no graded store within ten blocks, online store only, a new store listing 193 days ago, revenue unknown, no contact named; founder review: not-emerging.</t>
        </is>
      </c>
      <c r="M234" t="inlineStr">
        <is>
          <t>none found within ten blocks</t>
        </is>
      </c>
      <c r="N234" t="inlineStr">
        <is>
          <t>unverified</t>
        </is>
      </c>
      <c r="O234" t="inlineStr">
        <is>
          <t>New Honey Infused line (Sparkling Honey Water, Honey Cream Soda) added to store</t>
        </is>
      </c>
      <c r="P234" t="inlineStr">
        <is>
          <t>https://www.drinkaverys.com/products/sparkling-honey-water</t>
        </is>
      </c>
      <c r="Q234" t="inlineStr">
        <is>
          <t>2026-04-14</t>
        </is>
      </c>
      <c r="R234" t="inlineStr">
        <is>
          <t>N</t>
        </is>
      </c>
      <c r="S234" t="inlineStr">
        <is>
          <t>unknown</t>
        </is>
      </c>
      <c r="T234" t="inlineStr">
        <is>
          <t>N</t>
        </is>
      </c>
      <c r="U234" t="inlineStr">
        <is>
          <t>new</t>
        </is>
      </c>
      <c r="V234" t="inlineStr">
        <is>
          <t>https://www.drinkaverys.com</t>
        </is>
      </c>
      <c r="W234" t="inlineStr">
        <is>
          <t>2026-10-23</t>
        </is>
      </c>
      <c r="X234" t="inlineStr">
        <is>
          <t>brand</t>
        </is>
      </c>
      <c r="Y234">
        <f>IF(EB234&lt;&gt;"Y","",COUNTIFS($EB$2:$EB$1000,"Y",$J$2:$J$1000,"&gt;"&amp;J234)+COUNTIFS($EB$2:$EB$1000,"Y",$J$2:$J$1000,J234,$ED$2:$ED$1000,"&lt;"&amp;ED234)+1)</f>
        <v/>
      </c>
      <c r="Z234" t="n">
        <v>233</v>
      </c>
      <c r="AA234" t="inlineStr">
        <is>
          <t>N</t>
        </is>
      </c>
      <c r="AB234" t="inlineStr">
        <is>
          <t>no person named on an opened page: not ready; founder review (not-emerging): read founder_review_reason first</t>
        </is>
      </c>
      <c r="AD234" t="inlineStr">
        <is>
          <t>none</t>
        </is>
      </c>
      <c r="AH234" t="inlineStr">
        <is>
          <t>Avery's Honey Cream Soda / Sparkling Honey Water, bottle</t>
        </is>
      </c>
      <c r="AI234" t="inlineStr">
        <is>
          <t>sparkling-soda</t>
        </is>
      </c>
      <c r="AJ234" t="inlineStr">
        <is>
          <t>New Britain</t>
        </is>
      </c>
      <c r="AK234" t="inlineStr">
        <is>
          <t>https://www.drinkaverys.com</t>
        </is>
      </c>
      <c r="AL234" t="inlineStr">
        <is>
          <t>Y</t>
        </is>
      </c>
      <c r="AM234" t="inlineStr">
        <is>
          <t>Heritage Connecticut soda maker (since 1904), not emerging; no NYC retail found; HQ city not confirmed on pages read; 60-day shelf life not stated</t>
        </is>
      </c>
      <c r="AN234" t="inlineStr">
        <is>
          <t>AB-151</t>
        </is>
      </c>
      <c r="AO234" t="inlineStr">
        <is>
          <t>N</t>
        </is>
      </c>
      <c r="AR234">
        <f>IF(AND(AU234="pass",AO234&lt;&gt;"Y",C234&lt;&gt;""),"Y","N")</f>
        <v/>
      </c>
      <c r="AS234">
        <f>_xlfn.TEXTJOIN("; ",TRUE,IF(AU234&lt;&gt;"pass","gated out",""),IF(AO234="Y","on hold: "&amp;AP234,""),IF(C234="","no contact named on an opened page",""))</f>
        <v/>
      </c>
      <c r="AU234" t="inlineStr">
        <is>
          <t>pass</t>
        </is>
      </c>
      <c r="AW234" t="inlineStr">
        <is>
          <t>passes all hard gates</t>
        </is>
      </c>
      <c r="AX234" t="inlineStr">
        <is>
          <t>not-emerging</t>
        </is>
      </c>
      <c r="AY234" t="inlineStr">
        <is>
          <t>https://www.drinkaverys.com</t>
        </is>
      </c>
      <c r="AZ234" t="inlineStr">
        <is>
          <t>CT</t>
        </is>
      </c>
      <c r="BA234" t="inlineStr">
        <is>
          <t>northeast</t>
        </is>
      </c>
      <c r="BB234" t="inlineStr">
        <is>
          <t>private (since 1904)</t>
        </is>
      </c>
      <c r="BD234" t="inlineStr">
        <is>
          <t>unknown</t>
        </is>
      </c>
      <c r="BE234" t="inlineStr">
        <is>
          <t>No storage statement found</t>
        </is>
      </c>
      <c r="BF234" t="inlineStr">
        <is>
          <t>Y</t>
        </is>
      </c>
      <c r="BG234" t="inlineStr">
        <is>
          <t>Y</t>
        </is>
      </c>
      <c r="BH234" t="inlineStr">
        <is>
          <t>unknown</t>
        </is>
      </c>
      <c r="BJ234" t="inlineStr">
        <is>
          <t>No public sales figure found</t>
        </is>
      </c>
      <c r="BK234" t="inlineStr">
        <is>
          <t>N</t>
        </is>
      </c>
      <c r="BL234" t="inlineStr">
        <is>
          <t>N</t>
        </is>
      </c>
      <c r="BO234" t="inlineStr">
        <is>
          <t>N</t>
        </is>
      </c>
      <c r="BP234" t="n">
        <v>0</v>
      </c>
      <c r="BS234" t="inlineStr">
        <is>
          <t>unknown</t>
        </is>
      </c>
      <c r="BU234" t="inlineStr">
        <is>
          <t>listing</t>
        </is>
      </c>
      <c r="BV234" t="n">
        <v>193</v>
      </c>
      <c r="CF234" t="inlineStr">
        <is>
          <t>none</t>
        </is>
      </c>
      <c r="CK234" t="inlineStr">
        <is>
          <t>none</t>
        </is>
      </c>
      <c r="CL234" t="n">
        <v>20</v>
      </c>
      <c r="CM234" t="n">
        <v>6</v>
      </c>
      <c r="CN234" t="n">
        <v>8</v>
      </c>
      <c r="CO234" t="n">
        <v>4</v>
      </c>
      <c r="CP234" t="n">
        <v>5</v>
      </c>
      <c r="CQ234" t="n">
        <v>7</v>
      </c>
      <c r="CR234" t="n">
        <v>0</v>
      </c>
      <c r="CS234">
        <f>IF(R234="Y",10,0)</f>
        <v/>
      </c>
      <c r="CT234" t="n">
        <v>-10</v>
      </c>
      <c r="CU234" t="inlineStr">
        <is>
          <t>https://www.instagram.com/drinkaverys</t>
        </is>
      </c>
      <c r="CV234" t="inlineStr">
        <is>
          <t>BR3</t>
        </is>
      </c>
      <c r="CW234" t="inlineStr">
        <is>
          <t>BR3:25</t>
        </is>
      </c>
      <c r="CX234" t="inlineStr">
        <is>
          <t>Homepage: 'Real Cane Sugar. Since 1904.' HQ not stated on pages read (founder to confirm). Date is Shopify publish date.</t>
        </is>
      </c>
      <c r="CY234" t="inlineStr">
        <is>
          <t xml:space="preserve">hq_city &lt;- https://www.drinkaverys.com/pages/contact (2026-10-24, opened); hq_state &lt;- https://www.drinkaverys.com/pages/contact (2026-10-24, opened); </t>
        </is>
      </c>
      <c r="DA234" t="inlineStr">
        <is>
          <t>stage 1 only</t>
        </is>
      </c>
      <c r="DY234">
        <f>IF(ISNUMBER(MATCH(U234,{"queued","contacted","replied","call_booked","call_done","yes_in_principle","materials_sent"},0)),"Y","N")</f>
        <v/>
      </c>
      <c r="DZ234">
        <f>IF(COUNTIFS($AN$2:$AN$1000,AN234,$DY$2:$DY$1000,"Y")+COUNTIFS($AN$2:$AN$1000,AN234,$T$2:$T$1000,"Y")&gt;0,"Y","N")</f>
        <v/>
      </c>
      <c r="EA234">
        <f>IF(AND(U234="new",T234="N",AR234="Y",AQ234="",DZ234="N"),"Y","N")</f>
        <v/>
      </c>
      <c r="EB234">
        <f>IF(EA234&lt;&gt;"Y","N",IF(COUNTIFS($AN$2:$AN$1000,AN234,$EA$2:$EA$1000,"Y",$J$2:$J$1000,"&gt;"&amp;J234)+COUNTIFS($AN$2:$AN$1000,AN234,$EA$2:$EA$1000,"Y",$J$2:$J$1000,J234,$ED$2:$ED$1000,"&lt;"&amp;ED234)=0,"Y","N"))</f>
        <v/>
      </c>
      <c r="EC234">
        <f>IF(Y234="","N",IF(Y234&lt;=10,"Y","N"))</f>
        <v/>
      </c>
      <c r="ED234">
        <f>ROW()-1</f>
        <v/>
      </c>
    </row>
    <row r="235">
      <c r="A235" t="inlineStr">
        <is>
          <t>AB-168</t>
        </is>
      </c>
      <c r="B235" t="inlineStr">
        <is>
          <t>Steaz</t>
        </is>
      </c>
      <c r="C235" t="inlineStr">
        <is>
          <t>Mike</t>
        </is>
      </c>
      <c r="D235" t="inlineStr">
        <is>
          <t>Fransz</t>
        </is>
      </c>
      <c r="E235" t="inlineStr">
        <is>
          <t>Director of Marketing, Tipp Distributors Inc. dba Novamex</t>
        </is>
      </c>
      <c r="H235" t="inlineStr">
        <is>
          <t>none</t>
        </is>
      </c>
      <c r="I235" t="inlineStr">
        <is>
          <t>linkedin</t>
        </is>
      </c>
      <c r="J235">
        <f>IF(AU235="pass",CM235+CN235+CO235+CP235+CQ235+CR235+CS235+CT235,0)</f>
        <v/>
      </c>
      <c r="K235" t="inlineStr">
        <is>
          <t>HQ unknown, no graded store within ten blocks, online store only, no dated why-now in the last 12 months, revenue unknown, contact named; founder review: scale, claim-borderline.</t>
        </is>
      </c>
      <c r="M235" t="inlineStr">
        <is>
          <t>none found within ten blocks</t>
        </is>
      </c>
      <c r="N235" t="inlineStr">
        <is>
          <t>unverified</t>
        </is>
      </c>
      <c r="O235" t="inlineStr">
        <is>
          <t>Rebrand and new Antioxidant Brew Unsweetened and Yerba Mate flavors (press page cites BevNET, FoodBev, Drug Store News; articles not opened, dates unverified)</t>
        </is>
      </c>
      <c r="P235" t="inlineStr">
        <is>
          <t>https://drinksteaz.com/pages/press-media</t>
        </is>
      </c>
      <c r="R235" t="inlineStr">
        <is>
          <t>N</t>
        </is>
      </c>
      <c r="S235" t="inlineStr">
        <is>
          <t>unknown</t>
        </is>
      </c>
      <c r="T235" t="inlineStr">
        <is>
          <t>N</t>
        </is>
      </c>
      <c r="U235" t="inlineStr">
        <is>
          <t>new</t>
        </is>
      </c>
      <c r="V235" t="inlineStr">
        <is>
          <t>https://drinksteaz.com/pages/our-story</t>
        </is>
      </c>
      <c r="W235" t="inlineStr">
        <is>
          <t>2026-10-23</t>
        </is>
      </c>
      <c r="X235" t="inlineStr">
        <is>
          <t>brand</t>
        </is>
      </c>
      <c r="Y235">
        <f>IF(EB235&lt;&gt;"Y","",COUNTIFS($EB$2:$EB$1000,"Y",$J$2:$J$1000,"&gt;"&amp;J235)+COUNTIFS($EB$2:$EB$1000,"Y",$J$2:$J$1000,J235,$ED$2:$ED$1000,"&lt;"&amp;ED235)+1)</f>
        <v/>
      </c>
      <c r="Z235" t="n">
        <v>234</v>
      </c>
      <c r="AA235" t="inlineStr">
        <is>
          <t>N</t>
        </is>
      </c>
      <c r="AB235" t="inlineStr">
        <is>
          <t>find Mike Fransz at Steaz on LinkedIn and paste the profile URL; founder review (scale, claim-borderline): read founder_review_reason first</t>
        </is>
      </c>
      <c r="AC235" t="inlineStr">
        <is>
          <t>marketing</t>
        </is>
      </c>
      <c r="AD235" t="inlineStr">
        <is>
          <t>verified-page</t>
        </is>
      </c>
      <c r="AE235" t="inlineStr">
        <is>
          <t>press, event or podcast page</t>
        </is>
      </c>
      <c r="AF235" t="inlineStr">
        <is>
          <t>https://attend.expowest.com/event/natural-products-expo-west-2026/exhibitor/RXhoaWJpdG9yXzI0MDgxODU=</t>
        </is>
      </c>
      <c r="AG235" t="inlineStr">
        <is>
          <t>2026-10-23</t>
        </is>
      </c>
      <c r="AH235" t="inlineStr">
        <is>
          <t>Steaz Zero Sugar organic iced tea, can; Steaz Antioxidant Brew / Yerba Mate (165 mg caffeine)</t>
        </is>
      </c>
      <c r="AI235" t="inlineStr">
        <is>
          <t>tea-juice</t>
        </is>
      </c>
      <c r="AJ235" t="inlineStr">
        <is>
          <t>unknown</t>
        </is>
      </c>
      <c r="AK235" t="inlineStr">
        <is>
          <t>https://drinksteaz.com</t>
        </is>
      </c>
      <c r="AL235" t="inlineStr">
        <is>
          <t>Y</t>
        </is>
      </c>
      <c r="AM235" t="inlineStr">
        <is>
          <t>'Antioxidant Brew' and energy lines with 165 mg caffeine and vitamin C (functional/nutrient positioning); established brand since 2002, likely above $10M; only the plain iced teas are a clean fit; 60-day shelf life not stated</t>
        </is>
      </c>
      <c r="AN235" t="inlineStr">
        <is>
          <t>AB-168</t>
        </is>
      </c>
      <c r="AO235" t="inlineStr">
        <is>
          <t>N</t>
        </is>
      </c>
      <c r="AR235">
        <f>IF(AND(AU235="pass",AO235&lt;&gt;"Y",C235&lt;&gt;""),"Y","N")</f>
        <v/>
      </c>
      <c r="AS235">
        <f>_xlfn.TEXTJOIN("; ",TRUE,IF(AU235&lt;&gt;"pass","gated out",""),IF(AO235="Y","on hold: "&amp;AP235,""),IF(C235="","no contact named on an opened page",""))</f>
        <v/>
      </c>
      <c r="AU235" t="inlineStr">
        <is>
          <t>pass</t>
        </is>
      </c>
      <c r="AW235" t="inlineStr">
        <is>
          <t>passes all hard gates</t>
        </is>
      </c>
      <c r="AX235" t="inlineStr">
        <is>
          <t>scale;claim-borderline</t>
        </is>
      </c>
      <c r="AY235" t="inlineStr">
        <is>
          <t>https://drinksteaz.com</t>
        </is>
      </c>
      <c r="AZ235" t="inlineStr">
        <is>
          <t>unknown</t>
        </is>
      </c>
      <c r="BA235" t="inlineStr">
        <is>
          <t>unknown</t>
        </is>
      </c>
      <c r="BB235" t="inlineStr">
        <is>
          <t>unknown</t>
        </is>
      </c>
      <c r="BD235" t="inlineStr">
        <is>
          <t>unknown</t>
        </is>
      </c>
      <c r="BE235" t="inlineStr">
        <is>
          <t>No storage statement read</t>
        </is>
      </c>
      <c r="BF235" t="inlineStr">
        <is>
          <t>Y</t>
        </is>
      </c>
      <c r="BG235" t="inlineStr">
        <is>
          <t>Y</t>
        </is>
      </c>
      <c r="BH235" t="inlineStr">
        <is>
          <t>unknown</t>
        </is>
      </c>
      <c r="BJ235" t="inlineStr">
        <is>
          <t>No public sales figure found</t>
        </is>
      </c>
      <c r="BK235" t="inlineStr">
        <is>
          <t>Y</t>
        </is>
      </c>
      <c r="BL235" t="inlineStr">
        <is>
          <t>N</t>
        </is>
      </c>
      <c r="BO235" t="inlineStr">
        <is>
          <t>N</t>
        </is>
      </c>
      <c r="BP235" t="n">
        <v>0</v>
      </c>
      <c r="BS235" t="inlineStr">
        <is>
          <t>unknown (GoToAisle locator not readable)</t>
        </is>
      </c>
      <c r="BU235" t="inlineStr">
        <is>
          <t>none</t>
        </is>
      </c>
      <c r="BX235" t="inlineStr">
        <is>
          <t>Mike Fransz</t>
        </is>
      </c>
      <c r="CF235" t="inlineStr">
        <is>
          <t>none</t>
        </is>
      </c>
      <c r="CK235" t="inlineStr">
        <is>
          <t>none</t>
        </is>
      </c>
      <c r="CL235" t="n">
        <v>20</v>
      </c>
      <c r="CM235" t="n">
        <v>6</v>
      </c>
      <c r="CN235" t="n">
        <v>4</v>
      </c>
      <c r="CO235" t="n">
        <v>0</v>
      </c>
      <c r="CP235" t="n">
        <v>5</v>
      </c>
      <c r="CQ235" t="n">
        <v>7</v>
      </c>
      <c r="CR235" t="n">
        <v>10</v>
      </c>
      <c r="CS235">
        <f>IF(R235="Y",10,0)</f>
        <v/>
      </c>
      <c r="CT235" t="n">
        <v>-12</v>
      </c>
      <c r="CU235" t="inlineStr">
        <is>
          <t>https://www.instagram.com/steaz</t>
        </is>
      </c>
      <c r="CV235" t="inlineStr">
        <is>
          <t>BR3</t>
        </is>
      </c>
      <c r="CW235" t="inlineStr">
        <is>
          <t>BR3:42</t>
        </is>
      </c>
      <c r="CX235" t="inlineStr">
        <is>
          <t>Our-story: founded 2002 as the first certified organic tea brand. Zero Sugar SKUs listed 2025-10-01 (just outside the 12-month window).</t>
        </is>
      </c>
      <c r="CY235" t="inlineStr">
        <is>
          <t xml:space="preserve">marketing_name &lt;- https://attend.expowest.com/event/natural-products-expo-west-2026/exhibitor/RXhoaWJpdG9yXzI0MDgxODU= (2026-10-24, opened); marketing_title &lt;- https://attend.expowest.com/event/natural-products-expo-west-2026/exhibitor/RXhoaWJpdG9yXzI0MDgxODU= (2026-10-24, opened); </t>
        </is>
      </c>
      <c r="DA235" t="inlineStr">
        <is>
          <t>stage 1 only</t>
        </is>
      </c>
      <c r="DY235">
        <f>IF(ISNUMBER(MATCH(U235,{"queued","contacted","replied","call_booked","call_done","yes_in_principle","materials_sent"},0)),"Y","N")</f>
        <v/>
      </c>
      <c r="DZ235">
        <f>IF(COUNTIFS($AN$2:$AN$1000,AN235,$DY$2:$DY$1000,"Y")+COUNTIFS($AN$2:$AN$1000,AN235,$T$2:$T$1000,"Y")&gt;0,"Y","N")</f>
        <v/>
      </c>
      <c r="EA235">
        <f>IF(AND(U235="new",T235="N",AR235="Y",AQ235="",DZ235="N"),"Y","N")</f>
        <v/>
      </c>
      <c r="EB235">
        <f>IF(EA235&lt;&gt;"Y","N",IF(COUNTIFS($AN$2:$AN$1000,AN235,$EA$2:$EA$1000,"Y",$J$2:$J$1000,"&gt;"&amp;J235)+COUNTIFS($AN$2:$AN$1000,AN235,$EA$2:$EA$1000,"Y",$J$2:$J$1000,J235,$ED$2:$ED$1000,"&lt;"&amp;ED235)=0,"Y","N"))</f>
        <v/>
      </c>
      <c r="EC235">
        <f>IF(Y235="","N",IF(Y235&lt;=10,"Y","N"))</f>
        <v/>
      </c>
      <c r="ED235">
        <f>ROW()-1</f>
        <v/>
      </c>
    </row>
    <row r="236">
      <c r="A236" t="inlineStr">
        <is>
          <t>AB-110</t>
        </is>
      </c>
      <c r="B236" t="inlineStr">
        <is>
          <t>Thunderbird</t>
        </is>
      </c>
      <c r="H236" t="inlineStr">
        <is>
          <t>none</t>
        </is>
      </c>
      <c r="J236">
        <f>IF(AU236="pass",CM236+CN236+CO236+CP236+CQ236+CR236+CS236+CT236,0)</f>
        <v/>
      </c>
      <c r="K236" t="inlineStr">
        <is>
          <t>Brand based outside the Northeast, no graded store within ten blocks, online store only, no dated why-now in the last 12 months, revenue unknown, no contact named; founder review: other.</t>
        </is>
      </c>
      <c r="M236" t="inlineStr">
        <is>
          <t>none found within ten blocks</t>
        </is>
      </c>
      <c r="N236" t="inlineStr">
        <is>
          <t>unverified</t>
        </is>
      </c>
      <c r="R236" t="inlineStr">
        <is>
          <t>N</t>
        </is>
      </c>
      <c r="S236" t="inlineStr">
        <is>
          <t>unknown</t>
        </is>
      </c>
      <c r="T236" t="inlineStr">
        <is>
          <t>N</t>
        </is>
      </c>
      <c r="U236" t="inlineStr">
        <is>
          <t>new</t>
        </is>
      </c>
      <c r="V236" t="inlineStr">
        <is>
          <t>https://www.thunderbirdbar.com/pages/about</t>
        </is>
      </c>
      <c r="W236" t="inlineStr">
        <is>
          <t>2026-10-23</t>
        </is>
      </c>
      <c r="X236" t="inlineStr">
        <is>
          <t>brand</t>
        </is>
      </c>
      <c r="Y236">
        <f>IF(EB236&lt;&gt;"Y","",COUNTIFS($EB$2:$EB$1000,"Y",$J$2:$J$1000,"&gt;"&amp;J236)+COUNTIFS($EB$2:$EB$1000,"Y",$J$2:$J$1000,J236,$ED$2:$ED$1000,"&lt;"&amp;ED236)+1)</f>
        <v/>
      </c>
      <c r="Z236" t="n">
        <v>235</v>
      </c>
      <c r="AA236" t="inlineStr">
        <is>
          <t>N</t>
        </is>
      </c>
      <c r="AB236" t="inlineStr">
        <is>
          <t>no person named on an opened page: not ready; founder review (other): read founder_review_reason first</t>
        </is>
      </c>
      <c r="AD236" t="inlineStr">
        <is>
          <t>none</t>
        </is>
      </c>
      <c r="AH236" t="inlineStr">
        <is>
          <t>Thunderbird real food energy bar</t>
        </is>
      </c>
      <c r="AI236" t="inlineStr">
        <is>
          <t>bars</t>
        </is>
      </c>
      <c r="AJ236" t="inlineStr">
        <is>
          <t>Austin</t>
        </is>
      </c>
      <c r="AK236" t="inlineStr">
        <is>
          <t>https://www.thunderbirdbar.com/collections/all</t>
        </is>
      </c>
      <c r="AL236" t="inlineStr">
        <is>
          <t>Y</t>
        </is>
      </c>
      <c r="AM236" t="inlineStr">
        <is>
          <t>No cluster retailer found and online store not confirmed; may fail the buy-path gate; 60-day shelf life not stated</t>
        </is>
      </c>
      <c r="AN236" t="inlineStr">
        <is>
          <t>AB-110</t>
        </is>
      </c>
      <c r="AO236" t="inlineStr">
        <is>
          <t>N</t>
        </is>
      </c>
      <c r="AR236">
        <f>IF(AND(AU236="pass",AO236&lt;&gt;"Y",C236&lt;&gt;""),"Y","N")</f>
        <v/>
      </c>
      <c r="AS236">
        <f>_xlfn.TEXTJOIN("; ",TRUE,IF(AU236&lt;&gt;"pass","gated out",""),IF(AO236="Y","on hold: "&amp;AP236,""),IF(C236="","no contact named on an opened page",""))</f>
        <v/>
      </c>
      <c r="AU236" t="inlineStr">
        <is>
          <t>pass</t>
        </is>
      </c>
      <c r="AW236" t="inlineStr">
        <is>
          <t>passes all hard gates</t>
        </is>
      </c>
      <c r="AX236" t="inlineStr">
        <is>
          <t>other</t>
        </is>
      </c>
      <c r="AY236" t="inlineStr">
        <is>
          <t>https://www.thunderbirdbar.com</t>
        </is>
      </c>
      <c r="AZ236" t="inlineStr">
        <is>
          <t>TX</t>
        </is>
      </c>
      <c r="BA236" t="inlineStr">
        <is>
          <t>elsewhere</t>
        </is>
      </c>
      <c r="BB236" t="inlineStr">
        <is>
          <t>unknown</t>
        </is>
      </c>
      <c r="BD236" t="inlineStr">
        <is>
          <t>likely</t>
        </is>
      </c>
      <c r="BE236" t="inlineStr">
        <is>
          <t>Wrapped fruit-and-nut bars; shelf-life figure not found</t>
        </is>
      </c>
      <c r="BF236" t="inlineStr">
        <is>
          <t>Y</t>
        </is>
      </c>
      <c r="BG236" t="inlineStr">
        <is>
          <t>Y</t>
        </is>
      </c>
      <c r="BH236" t="inlineStr">
        <is>
          <t>unknown</t>
        </is>
      </c>
      <c r="BJ236" t="inlineStr">
        <is>
          <t>unknown</t>
        </is>
      </c>
      <c r="BK236" t="inlineStr">
        <is>
          <t>N</t>
        </is>
      </c>
      <c r="BL236" t="inlineStr">
        <is>
          <t>N</t>
        </is>
      </c>
      <c r="BO236" t="inlineStr">
        <is>
          <t>N</t>
        </is>
      </c>
      <c r="BP236" t="n">
        <v>0</v>
      </c>
      <c r="BS236" t="inlineStr">
        <is>
          <t>Store locator (not machine-read)</t>
        </is>
      </c>
      <c r="BT236" t="inlineStr">
        <is>
          <t>https://www.wholefoodsmarket.com/api/search?text=thunderbird%20bar&amp;store=10162&amp;limit=60&amp;offset=0</t>
        </is>
      </c>
      <c r="BU236" t="inlineStr">
        <is>
          <t>none</t>
        </is>
      </c>
      <c r="CF236" t="inlineStr">
        <is>
          <t>none</t>
        </is>
      </c>
      <c r="CK236" t="inlineStr">
        <is>
          <t>none</t>
        </is>
      </c>
      <c r="CL236" t="n">
        <v>20</v>
      </c>
      <c r="CM236" t="n">
        <v>6</v>
      </c>
      <c r="CN236" t="n">
        <v>3</v>
      </c>
      <c r="CO236" t="n">
        <v>0</v>
      </c>
      <c r="CP236" t="n">
        <v>5</v>
      </c>
      <c r="CQ236" t="n">
        <v>8</v>
      </c>
      <c r="CR236" t="n">
        <v>0</v>
      </c>
      <c r="CS236">
        <f>IF(R236="Y",10,0)</f>
        <v/>
      </c>
      <c r="CT236" t="n">
        <v>-2</v>
      </c>
      <c r="CU236" t="inlineStr">
        <is>
          <t>https://www.instagram.com/thunderbirdbar/</t>
        </is>
      </c>
      <c r="CV236" t="inlineStr">
        <is>
          <t>BR2</t>
        </is>
      </c>
      <c r="CW236" t="inlineStr">
        <is>
          <t>BR2:48</t>
        </is>
      </c>
      <c r="CX236" t="inlineStr">
        <is>
          <t>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is>
      </c>
      <c r="CY236" t="inlineStr">
        <is>
          <t xml:space="preserve">hq_city &lt;- https://www.thunderbirdbar.com/policies/refund-policy (2026-10-24, opened); notes &lt;- https://www.thunderbirdbar.com/pages/about (2026-10-24, opened); online_store &lt;- https://www.thunderbirdbar.com (2026-10-24, opened, stage 1); </t>
        </is>
      </c>
      <c r="DA236" t="inlineStr">
        <is>
          <t>stage 1 only</t>
        </is>
      </c>
      <c r="DY236">
        <f>IF(ISNUMBER(MATCH(U236,{"queued","contacted","replied","call_booked","call_done","yes_in_principle","materials_sent"},0)),"Y","N")</f>
        <v/>
      </c>
      <c r="DZ236">
        <f>IF(COUNTIFS($AN$2:$AN$1000,AN236,$DY$2:$DY$1000,"Y")+COUNTIFS($AN$2:$AN$1000,AN236,$T$2:$T$1000,"Y")&gt;0,"Y","N")</f>
        <v/>
      </c>
      <c r="EA236">
        <f>IF(AND(U236="new",T236="N",AR236="Y",AQ236="",DZ236="N"),"Y","N")</f>
        <v/>
      </c>
      <c r="EB236">
        <f>IF(EA236&lt;&gt;"Y","N",IF(COUNTIFS($AN$2:$AN$1000,AN236,$EA$2:$EA$1000,"Y",$J$2:$J$1000,"&gt;"&amp;J236)+COUNTIFS($AN$2:$AN$1000,AN236,$EA$2:$EA$1000,"Y",$J$2:$J$1000,J236,$ED$2:$ED$1000,"&lt;"&amp;ED236)=0,"Y","N"))</f>
        <v/>
      </c>
      <c r="EC236">
        <f>IF(Y236="","N",IF(Y236&lt;=10,"Y","N"))</f>
        <v/>
      </c>
      <c r="ED236">
        <f>ROW()-1</f>
        <v/>
      </c>
    </row>
    <row r="237">
      <c r="A237" t="inlineStr">
        <is>
          <t>AB-125</t>
        </is>
      </c>
      <c r="B237" t="inlineStr">
        <is>
          <t>KIND Snacks</t>
        </is>
      </c>
      <c r="H237" t="inlineStr">
        <is>
          <t>none</t>
        </is>
      </c>
      <c r="J237">
        <f>IF(AU237="pass",CM237+CN237+CO237+CP237+CQ237+CR237+CS237+CT237,0)</f>
        <v/>
      </c>
      <c r="K237" t="inlineStr">
        <is>
          <t>HQ unknown, store page shows Whole Foods Market Union Square inside the cluster, no dated why-now in the last 12 months, revenue unknown, no contact named; founder review: owner.</t>
        </is>
      </c>
      <c r="M237" t="inlineStr">
        <is>
          <t>Whole Foods Market Union Square, 4 Union Sq S</t>
        </is>
      </c>
      <c r="N237" t="inlineStr">
        <is>
          <t>store_selector</t>
        </is>
      </c>
      <c r="R237" t="inlineStr">
        <is>
          <t>N</t>
        </is>
      </c>
      <c r="S237" t="inlineStr">
        <is>
          <t>unknown</t>
        </is>
      </c>
      <c r="T237" t="inlineStr">
        <is>
          <t>N</t>
        </is>
      </c>
      <c r="U237" t="inlineStr">
        <is>
          <t>new</t>
        </is>
      </c>
      <c r="V237" t="inlineStr">
        <is>
          <t>https://www.kindsnacks.com/</t>
        </is>
      </c>
      <c r="W237" t="inlineStr">
        <is>
          <t>2026-10-23</t>
        </is>
      </c>
      <c r="X237" t="inlineStr">
        <is>
          <t>brand</t>
        </is>
      </c>
      <c r="Y237">
        <f>IF(EB237&lt;&gt;"Y","",COUNTIFS($EB$2:$EB$1000,"Y",$J$2:$J$1000,"&gt;"&amp;J237)+COUNTIFS($EB$2:$EB$1000,"Y",$J$2:$J$1000,J237,$ED$2:$ED$1000,"&lt;"&amp;ED237)+1)</f>
        <v/>
      </c>
      <c r="Z237" t="n">
        <v>236</v>
      </c>
      <c r="AA237" t="inlineStr">
        <is>
          <t>N</t>
        </is>
      </c>
      <c r="AB237" t="inlineStr">
        <is>
          <t>no person named on an opened page: not ready; before using the retailer line, check Whole Foods Market Union Square still lists it: https://www.wholefoodsmarket.com/search?text=KIND%20Snacks with your store set to Union Square (catalogs change daily); founder review (owner): read founder_review_reason first</t>
        </is>
      </c>
      <c r="AD237" t="inlineStr">
        <is>
          <t>none</t>
        </is>
      </c>
      <c r="AH237" t="inlineStr">
        <is>
          <t>Dark Chocolate &amp; Cherry Cashew Bar 1.4 oz</t>
        </is>
      </c>
      <c r="AI237" t="inlineStr">
        <is>
          <t>bars</t>
        </is>
      </c>
      <c r="AJ237" t="inlineStr">
        <is>
          <t>unknown</t>
        </is>
      </c>
      <c r="AK237" t="inlineStr">
        <is>
          <t>https://www.kindsnacks.com</t>
        </is>
      </c>
      <c r="AL237" t="inlineStr">
        <is>
          <t>Y</t>
        </is>
      </c>
      <c r="AM237" t="inlineStr">
        <is>
          <t>Big-brand ownership (Mars); far outside the emerging-brand profile; recorded only to prevent re-research; 60-day shelf life not stated</t>
        </is>
      </c>
      <c r="AN237" t="inlineStr">
        <is>
          <t>AB-125</t>
        </is>
      </c>
      <c r="AO237" t="inlineStr">
        <is>
          <t>N</t>
        </is>
      </c>
      <c r="AR237">
        <f>IF(AND(AU237="pass",AO237&lt;&gt;"Y",C237&lt;&gt;""),"Y","N")</f>
        <v/>
      </c>
      <c r="AS237">
        <f>_xlfn.TEXTJOIN("; ",TRUE,IF(AU237&lt;&gt;"pass","gated out",""),IF(AO237="Y","on hold: "&amp;AP237,""),IF(C237="","no contact named on an opened page",""))</f>
        <v/>
      </c>
      <c r="AU237" t="inlineStr">
        <is>
          <t>pass</t>
        </is>
      </c>
      <c r="AW237" t="inlineStr">
        <is>
          <t>passes all hard gates</t>
        </is>
      </c>
      <c r="AX237" t="inlineStr">
        <is>
          <t>owner</t>
        </is>
      </c>
      <c r="AY237" t="inlineStr">
        <is>
          <t>https://www.kindsnacks.com</t>
        </is>
      </c>
      <c r="AZ237" t="inlineStr">
        <is>
          <t>unknown</t>
        </is>
      </c>
      <c r="BA237" t="inlineStr">
        <is>
          <t>unknown</t>
        </is>
      </c>
      <c r="BB237" t="inlineStr">
        <is>
          <t>owned by Mars (site footer: 'Copyright Mars 2026')</t>
        </is>
      </c>
      <c r="BC237" t="inlineStr">
        <is>
          <t>https://www.kindsnacks.com/</t>
        </is>
      </c>
      <c r="BD237" t="inlineStr">
        <is>
          <t>likely</t>
        </is>
      </c>
      <c r="BE237" t="inlineStr">
        <is>
          <t>Wrapped bars sold ambient at Whole Foods</t>
        </is>
      </c>
      <c r="BF237" t="inlineStr">
        <is>
          <t>Y</t>
        </is>
      </c>
      <c r="BG237" t="inlineStr">
        <is>
          <t>Y</t>
        </is>
      </c>
      <c r="BH237" t="inlineStr">
        <is>
          <t>unknown</t>
        </is>
      </c>
      <c r="BJ237" t="inlineStr">
        <is>
          <t>unknown</t>
        </is>
      </c>
      <c r="BK237" t="inlineStr">
        <is>
          <t>N</t>
        </is>
      </c>
      <c r="BL237" t="inlineStr">
        <is>
          <t>N</t>
        </is>
      </c>
      <c r="BN237" t="n">
        <v>0</v>
      </c>
      <c r="BO237" t="inlineStr">
        <is>
          <t>Y</t>
        </is>
      </c>
      <c r="BP237" t="n">
        <v>1</v>
      </c>
      <c r="BQ237" t="inlineStr">
        <is>
          <t>Whole Foods Market Union Square, 4 Union Sq S (store_selector, inside)</t>
        </is>
      </c>
      <c r="BS237" t="inlineStr">
        <is>
          <t>Whole Foods</t>
        </is>
      </c>
      <c r="BT237" t="inlineStr">
        <is>
          <t>https://www.wholefoodsmarket.com/api/search?text=kind%20bar&amp;store=10162&amp;limit=60&amp;offset=0</t>
        </is>
      </c>
      <c r="BU237" t="inlineStr">
        <is>
          <t>none</t>
        </is>
      </c>
      <c r="CF237" t="inlineStr">
        <is>
          <t>none</t>
        </is>
      </c>
      <c r="CK237" t="inlineStr">
        <is>
          <t>none</t>
        </is>
      </c>
      <c r="CL237" t="n">
        <v>17</v>
      </c>
      <c r="CM237" t="n">
        <v>25</v>
      </c>
      <c r="CN237" t="n">
        <v>4</v>
      </c>
      <c r="CO237" t="n">
        <v>0</v>
      </c>
      <c r="CP237" t="n">
        <v>5</v>
      </c>
      <c r="CQ237" t="n">
        <v>8</v>
      </c>
      <c r="CR237" t="n">
        <v>0</v>
      </c>
      <c r="CS237">
        <f>IF(R237="Y",10,0)</f>
        <v/>
      </c>
      <c r="CT237" t="n">
        <v>-25</v>
      </c>
      <c r="CU237" t="inlineStr">
        <is>
          <t>https://www.instagram.com/kindsnacks/</t>
        </is>
      </c>
      <c r="CV237" t="inlineStr">
        <is>
          <t>BR2</t>
        </is>
      </c>
      <c r="CW237" t="inlineStr">
        <is>
          <t>BR2:63</t>
        </is>
      </c>
      <c r="CX237" t="inlineStr">
        <is>
          <t>Not a prospect.</t>
        </is>
      </c>
      <c r="DA237" t="inlineStr">
        <is>
          <t>stage 1 only</t>
        </is>
      </c>
      <c r="DY237">
        <f>IF(ISNUMBER(MATCH(U237,{"queued","contacted","replied","call_booked","call_done","yes_in_principle","materials_sent"},0)),"Y","N")</f>
        <v/>
      </c>
      <c r="DZ237">
        <f>IF(COUNTIFS($AN$2:$AN$1000,AN237,$DY$2:$DY$1000,"Y")+COUNTIFS($AN$2:$AN$1000,AN237,$T$2:$T$1000,"Y")&gt;0,"Y","N")</f>
        <v/>
      </c>
      <c r="EA237">
        <f>IF(AND(U237="new",T237="N",AR237="Y",AQ237="",DZ237="N"),"Y","N")</f>
        <v/>
      </c>
      <c r="EB237">
        <f>IF(EA237&lt;&gt;"Y","N",IF(COUNTIFS($AN$2:$AN$1000,AN237,$EA$2:$EA$1000,"Y",$J$2:$J$1000,"&gt;"&amp;J237)+COUNTIFS($AN$2:$AN$1000,AN237,$EA$2:$EA$1000,"Y",$J$2:$J$1000,J237,$ED$2:$ED$1000,"&lt;"&amp;ED237)=0,"Y","N"))</f>
        <v/>
      </c>
      <c r="EC237">
        <f>IF(Y237="","N",IF(Y237&lt;=10,"Y","N"))</f>
        <v/>
      </c>
      <c r="ED237">
        <f>ROW()-1</f>
        <v/>
      </c>
    </row>
    <row r="238">
      <c r="A238" t="inlineStr">
        <is>
          <t>AB-200</t>
        </is>
      </c>
      <c r="B238" t="inlineStr">
        <is>
          <t>Good Twin</t>
        </is>
      </c>
      <c r="C238" t="inlineStr">
        <is>
          <t>Mark</t>
        </is>
      </c>
      <c r="D238" t="inlineStr">
        <is>
          <t>Thomas Lynn</t>
        </is>
      </c>
      <c r="E238" t="inlineStr">
        <is>
          <t>Founder and CEO, AMASS Brands</t>
        </is>
      </c>
      <c r="H238" t="inlineStr">
        <is>
          <t>none</t>
        </is>
      </c>
      <c r="I238" t="inlineStr">
        <is>
          <t>linkedin</t>
        </is>
      </c>
      <c r="J238">
        <f>IF(AU238="pass",CM238+CN238+CO238+CP238+CQ238+CR238+CS238+CT238,0)</f>
        <v/>
      </c>
      <c r="K238" t="inlineStr">
        <is>
          <t>Brand based outside the Northeast, no graded store within ten blocks, online store only, news 39 days ago, revenue unknown, contact named; founder review: owner, scale.</t>
        </is>
      </c>
      <c r="M238" t="inlineStr">
        <is>
          <t>none found within ten blocks</t>
        </is>
      </c>
      <c r="N238" t="inlineStr">
        <is>
          <t>unverified</t>
        </is>
      </c>
      <c r="O238" t="inlineStr">
        <is>
          <t>AMASS release: Good Twin retail sales up 136% year over year (four weeks to 2026-08-08, NielsenIQ), sold at Whole Foods, Erewhon, Safeway, Costco and Gelson's; DTC shipping expanded to 47 states</t>
        </is>
      </c>
      <c r="P238" t="inlineStr">
        <is>
          <t>https://finviz.com/news/392149/amass-brands-groups-good-twin-retail-sales-accelerate-136-nearly-8x-the-growth-rate-of-the-us-non-alcoholic-wine-category</t>
        </is>
      </c>
      <c r="Q238" t="inlineStr">
        <is>
          <t>2026-09-15</t>
        </is>
      </c>
      <c r="R238" t="inlineStr">
        <is>
          <t>N</t>
        </is>
      </c>
      <c r="S238" t="inlineStr">
        <is>
          <t>unknown</t>
        </is>
      </c>
      <c r="T238" t="inlineStr">
        <is>
          <t>N</t>
        </is>
      </c>
      <c r="U238" t="inlineStr">
        <is>
          <t>new</t>
        </is>
      </c>
      <c r="V238" t="inlineStr">
        <is>
          <t>https://drinkgoodtwin.com/pages/about</t>
        </is>
      </c>
      <c r="W238" t="inlineStr">
        <is>
          <t>2026-10-23</t>
        </is>
      </c>
      <c r="X238" t="inlineStr">
        <is>
          <t>brand</t>
        </is>
      </c>
      <c r="Y238">
        <f>IF(EB238&lt;&gt;"Y","",COUNTIFS($EB$2:$EB$1000,"Y",$J$2:$J$1000,"&gt;"&amp;J238)+COUNTIFS($EB$2:$EB$1000,"Y",$J$2:$J$1000,J238,$ED$2:$ED$1000,"&lt;"&amp;ED238)+1)</f>
        <v/>
      </c>
      <c r="Z238" t="n">
        <v>237</v>
      </c>
      <c r="AA238" t="inlineStr">
        <is>
          <t>N</t>
        </is>
      </c>
      <c r="AB238" t="inlineStr">
        <is>
          <t>find Mark Thomas Lynn at Good Twin on LinkedIn and paste the profile URL; founder review (owner, scale): read founder_review_reason first</t>
        </is>
      </c>
      <c r="AC238" t="inlineStr">
        <is>
          <t>founder</t>
        </is>
      </c>
      <c r="AD238" t="inlineStr">
        <is>
          <t>verified-page</t>
        </is>
      </c>
      <c r="AE238" t="inlineStr">
        <is>
          <t>press, event or podcast page</t>
        </is>
      </c>
      <c r="AF238" t="inlineStr">
        <is>
          <t>https://finviz.com/news/392149/amass-brands-groups-good-twin-retail-sales-accelerate-136-nearly-8x-the-growth-rate-of-the-us-non-alcoholic-wine-category</t>
        </is>
      </c>
      <c r="AG238" t="inlineStr">
        <is>
          <t>2026-10-23</t>
        </is>
      </c>
      <c r="AH238" t="inlineStr">
        <is>
          <t>Good Twin Single Serve organic non-alcoholic sparkling wine (Blanc, Rose)</t>
        </is>
      </c>
      <c r="AI238" t="inlineStr">
        <is>
          <t>other-drink</t>
        </is>
      </c>
      <c r="AJ238" t="inlineStr">
        <is>
          <t>Santa Maria (AMASS dateline and privacy policy; terms page also lists a Los Angeles address)</t>
        </is>
      </c>
      <c r="AK238" t="inlineStr">
        <is>
          <t>https://drinkgoodtwin.com</t>
        </is>
      </c>
      <c r="AL238" t="inlineStr">
        <is>
          <t>Y</t>
        </is>
      </c>
      <c r="AM238" t="inlineStr">
        <is>
          <t>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is>
      </c>
      <c r="AN238" t="inlineStr">
        <is>
          <t>AB-200</t>
        </is>
      </c>
      <c r="AO238" t="inlineStr">
        <is>
          <t>N</t>
        </is>
      </c>
      <c r="AR238">
        <f>IF(AND(AU238="pass",AO238&lt;&gt;"Y",C238&lt;&gt;""),"Y","N")</f>
        <v/>
      </c>
      <c r="AS238">
        <f>_xlfn.TEXTJOIN("; ",TRUE,IF(AU238&lt;&gt;"pass","gated out",""),IF(AO238="Y","on hold: "&amp;AP238,""),IF(C238="","no contact named on an opened page",""))</f>
        <v/>
      </c>
      <c r="AU238" t="inlineStr">
        <is>
          <t>pass</t>
        </is>
      </c>
      <c r="AW238" t="inlineStr">
        <is>
          <t>passes all hard gates</t>
        </is>
      </c>
      <c r="AX238" t="inlineStr">
        <is>
          <t>owner;scale</t>
        </is>
      </c>
      <c r="AY238" t="inlineStr">
        <is>
          <t>https://drinkgoodtwin.com</t>
        </is>
      </c>
      <c r="AZ238" t="inlineStr">
        <is>
          <t>CA</t>
        </is>
      </c>
      <c r="BA238" t="inlineStr">
        <is>
          <t>elsewhere</t>
        </is>
      </c>
      <c r="BB238" t="inlineStr">
        <is>
          <t>unknown</t>
        </is>
      </c>
      <c r="BD238" t="inlineStr">
        <is>
          <t>unknown</t>
        </is>
      </c>
      <c r="BE238" t="inlineStr">
        <is>
          <t>No storage statement read</t>
        </is>
      </c>
      <c r="BF238" t="inlineStr">
        <is>
          <t>Y</t>
        </is>
      </c>
      <c r="BG238" t="inlineStr">
        <is>
          <t>Y</t>
        </is>
      </c>
      <c r="BH238" t="inlineStr">
        <is>
          <t>unknown</t>
        </is>
      </c>
      <c r="BJ238" t="inlineStr">
        <is>
          <t>Parent AMASS Brands Group headline: preliminary Q3 2026 net revenue about 5.3M, company-wide across brands (unverified, founder to confirm); no Good Twin-only revenue figure</t>
        </is>
      </c>
      <c r="BK238" t="inlineStr">
        <is>
          <t>N</t>
        </is>
      </c>
      <c r="BL238" t="inlineStr">
        <is>
          <t>N</t>
        </is>
      </c>
      <c r="BO238" t="inlineStr">
        <is>
          <t>N</t>
        </is>
      </c>
      <c r="BP238" t="n">
        <v>0</v>
      </c>
      <c r="BS238" t="inlineStr">
        <is>
          <t>Pop Up Grocer (past brand, directory); VTInfo locator not readable</t>
        </is>
      </c>
      <c r="BT238" t="inlineStr">
        <is>
          <t>https://popupgrocer.com/products/good-twin</t>
        </is>
      </c>
      <c r="BU238" t="inlineStr">
        <is>
          <t>press</t>
        </is>
      </c>
      <c r="BV238" t="n">
        <v>39</v>
      </c>
      <c r="BX238" t="inlineStr">
        <is>
          <t>Mark Thomas Lynn</t>
        </is>
      </c>
      <c r="CF238" t="inlineStr">
        <is>
          <t>none</t>
        </is>
      </c>
      <c r="CK238" t="inlineStr">
        <is>
          <t>none</t>
        </is>
      </c>
      <c r="CL238" t="n">
        <v>17</v>
      </c>
      <c r="CM238" t="n">
        <v>6</v>
      </c>
      <c r="CN238" t="n">
        <v>3</v>
      </c>
      <c r="CO238" t="n">
        <v>15</v>
      </c>
      <c r="CP238" t="n">
        <v>5</v>
      </c>
      <c r="CQ238" t="n">
        <v>7</v>
      </c>
      <c r="CR238" t="n">
        <v>6</v>
      </c>
      <c r="CS238">
        <f>IF(R238="Y",10,0)</f>
        <v/>
      </c>
      <c r="CT238" t="n">
        <v>-25</v>
      </c>
      <c r="CU238" t="inlineStr">
        <is>
          <t>unknown</t>
        </is>
      </c>
      <c r="CV238" t="inlineStr">
        <is>
          <t>BR3</t>
        </is>
      </c>
      <c r="CW238" t="inlineStr">
        <is>
          <t>BR3:74</t>
        </is>
      </c>
      <c r="CX238" t="inlineStr">
        <is>
          <t>About: 'Organic non-alcoholic sparkling wine from Italy'. Pop Up Grocer describes it as made from Prosecco grapes. Dates are Shopify publish dates.</t>
        </is>
      </c>
      <c r="CY238" t="inlineStr">
        <is>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is>
      </c>
      <c r="DA238" t="inlineStr">
        <is>
          <t>stage 1 only</t>
        </is>
      </c>
      <c r="DY238">
        <f>IF(ISNUMBER(MATCH(U238,{"queued","contacted","replied","call_booked","call_done","yes_in_principle","materials_sent"},0)),"Y","N")</f>
        <v/>
      </c>
      <c r="DZ238">
        <f>IF(COUNTIFS($AN$2:$AN$1000,AN238,$DY$2:$DY$1000,"Y")+COUNTIFS($AN$2:$AN$1000,AN238,$T$2:$T$1000,"Y")&gt;0,"Y","N")</f>
        <v/>
      </c>
      <c r="EA238">
        <f>IF(AND(U238="new",T238="N",AR238="Y",AQ238="",DZ238="N"),"Y","N")</f>
        <v/>
      </c>
      <c r="EB238">
        <f>IF(EA238&lt;&gt;"Y","N",IF(COUNTIFS($AN$2:$AN$1000,AN238,$EA$2:$EA$1000,"Y",$J$2:$J$1000,"&gt;"&amp;J238)+COUNTIFS($AN$2:$AN$1000,AN238,$EA$2:$EA$1000,"Y",$J$2:$J$1000,J238,$ED$2:$ED$1000,"&lt;"&amp;ED238)=0,"Y","N"))</f>
        <v/>
      </c>
      <c r="EC238">
        <f>IF(Y238="","N",IF(Y238&lt;=10,"Y","N"))</f>
        <v/>
      </c>
      <c r="ED238">
        <f>ROW()-1</f>
        <v/>
      </c>
    </row>
    <row r="239">
      <c r="A239" t="inlineStr">
        <is>
          <t>AB-152</t>
        </is>
      </c>
      <c r="B239" t="inlineStr">
        <is>
          <t>Foxon Park Beverages</t>
        </is>
      </c>
      <c r="H239" t="inlineStr">
        <is>
          <t>none</t>
        </is>
      </c>
      <c r="J239">
        <f>IF(AU239="pass",CM239+CN239+CO239+CP239+CQ239+CR239+CS239+CT239,0)</f>
        <v/>
      </c>
      <c r="K239" t="inlineStr">
        <is>
          <t>Northeast brand, no graded store within ten blocks, online store only, no dated why-now in the last 12 months, revenue unknown, no contact named; founder review: not-emerging.</t>
        </is>
      </c>
      <c r="M239" t="inlineStr">
        <is>
          <t>none found within ten blocks</t>
        </is>
      </c>
      <c r="N239" t="inlineStr">
        <is>
          <t>unverified</t>
        </is>
      </c>
      <c r="R239" t="inlineStr">
        <is>
          <t>N</t>
        </is>
      </c>
      <c r="S239" t="inlineStr">
        <is>
          <t>unknown</t>
        </is>
      </c>
      <c r="T239" t="inlineStr">
        <is>
          <t>N</t>
        </is>
      </c>
      <c r="U239" t="inlineStr">
        <is>
          <t>new</t>
        </is>
      </c>
      <c r="V239" t="inlineStr">
        <is>
          <t>https://foxonpark.com</t>
        </is>
      </c>
      <c r="W239" t="inlineStr">
        <is>
          <t>2026-10-23</t>
        </is>
      </c>
      <c r="X239" t="inlineStr">
        <is>
          <t>brand</t>
        </is>
      </c>
      <c r="Y239">
        <f>IF(EB239&lt;&gt;"Y","",COUNTIFS($EB$2:$EB$1000,"Y",$J$2:$J$1000,"&gt;"&amp;J239)+COUNTIFS($EB$2:$EB$1000,"Y",$J$2:$J$1000,J239,$ED$2:$ED$1000,"&lt;"&amp;ED239)+1)</f>
        <v/>
      </c>
      <c r="Z239" t="n">
        <v>238</v>
      </c>
      <c r="AA239" t="inlineStr">
        <is>
          <t>N</t>
        </is>
      </c>
      <c r="AB239" t="inlineStr">
        <is>
          <t>no person named on an opened page: not ready; founder review (not-emerging): read founder_review_reason first</t>
        </is>
      </c>
      <c r="AD239" t="inlineStr">
        <is>
          <t>none</t>
        </is>
      </c>
      <c r="AH239" t="inlineStr">
        <is>
          <t>Foxon Park Iron Brew soda, 12 oz bottle</t>
        </is>
      </c>
      <c r="AI239" t="inlineStr">
        <is>
          <t>sparkling-soda</t>
        </is>
      </c>
      <c r="AJ239" t="inlineStr">
        <is>
          <t>East Haven</t>
        </is>
      </c>
      <c r="AK239" t="inlineStr">
        <is>
          <t>https://foxonpark.com</t>
        </is>
      </c>
      <c r="AL239" t="inlineStr">
        <is>
          <t>Y</t>
        </is>
      </c>
      <c r="AM239" t="inlineStr">
        <is>
          <t>Heritage family soda maker (est. 1922), not emerging; newest store listings 2023-2024; no NYC retail found; 60-day shelf life not stated</t>
        </is>
      </c>
      <c r="AN239" t="inlineStr">
        <is>
          <t>AB-152</t>
        </is>
      </c>
      <c r="AO239" t="inlineStr">
        <is>
          <t>N</t>
        </is>
      </c>
      <c r="AR239">
        <f>IF(AND(AU239="pass",AO239&lt;&gt;"Y",C239&lt;&gt;""),"Y","N")</f>
        <v/>
      </c>
      <c r="AS239">
        <f>_xlfn.TEXTJOIN("; ",TRUE,IF(AU239&lt;&gt;"pass","gated out",""),IF(AO239="Y","on hold: "&amp;AP239,""),IF(C239="","no contact named on an opened page",""))</f>
        <v/>
      </c>
      <c r="AU239" t="inlineStr">
        <is>
          <t>pass</t>
        </is>
      </c>
      <c r="AW239" t="inlineStr">
        <is>
          <t>passes all hard gates</t>
        </is>
      </c>
      <c r="AX239" t="inlineStr">
        <is>
          <t>not-emerging</t>
        </is>
      </c>
      <c r="AY239" t="inlineStr">
        <is>
          <t>https://foxonpark.com</t>
        </is>
      </c>
      <c r="AZ239" t="inlineStr">
        <is>
          <t>CT</t>
        </is>
      </c>
      <c r="BA239" t="inlineStr">
        <is>
          <t>northeast</t>
        </is>
      </c>
      <c r="BB239" t="inlineStr">
        <is>
          <t>family-owned (est. 1922)</t>
        </is>
      </c>
      <c r="BC239" t="inlineStr">
        <is>
          <t>https://foxonpark.com</t>
        </is>
      </c>
      <c r="BD239" t="inlineStr">
        <is>
          <t>unknown</t>
        </is>
      </c>
      <c r="BE239" t="inlineStr">
        <is>
          <t>No storage statement found</t>
        </is>
      </c>
      <c r="BF239" t="inlineStr">
        <is>
          <t>Y</t>
        </is>
      </c>
      <c r="BG239" t="inlineStr">
        <is>
          <t>Y</t>
        </is>
      </c>
      <c r="BH239" t="inlineStr">
        <is>
          <t>unknown</t>
        </is>
      </c>
      <c r="BJ239" t="inlineStr">
        <is>
          <t>No public sales figure found</t>
        </is>
      </c>
      <c r="BK239" t="inlineStr">
        <is>
          <t>N</t>
        </is>
      </c>
      <c r="BL239" t="inlineStr">
        <is>
          <t>N</t>
        </is>
      </c>
      <c r="BO239" t="inlineStr">
        <is>
          <t>N</t>
        </is>
      </c>
      <c r="BP239" t="n">
        <v>0</v>
      </c>
      <c r="BS239" t="inlineStr">
        <is>
          <t>unknown</t>
        </is>
      </c>
      <c r="BU239" t="inlineStr">
        <is>
          <t>none</t>
        </is>
      </c>
      <c r="CF239" t="inlineStr">
        <is>
          <t>none</t>
        </is>
      </c>
      <c r="CK239" t="inlineStr">
        <is>
          <t>none</t>
        </is>
      </c>
      <c r="CL239" t="n">
        <v>16</v>
      </c>
      <c r="CM239" t="n">
        <v>6</v>
      </c>
      <c r="CN239" t="n">
        <v>8</v>
      </c>
      <c r="CO239" t="n">
        <v>0</v>
      </c>
      <c r="CP239" t="n">
        <v>5</v>
      </c>
      <c r="CQ239" t="n">
        <v>7</v>
      </c>
      <c r="CR239" t="n">
        <v>0</v>
      </c>
      <c r="CS239">
        <f>IF(R239="Y",10,0)</f>
        <v/>
      </c>
      <c r="CT239" t="n">
        <v>-10</v>
      </c>
      <c r="CU239" t="inlineStr">
        <is>
          <t>unknown</t>
        </is>
      </c>
      <c r="CV239" t="inlineStr">
        <is>
          <t>BR3</t>
        </is>
      </c>
      <c r="CW239" t="inlineStr">
        <is>
          <t>BR3:26</t>
        </is>
      </c>
      <c r="CX239" t="inlineStr">
        <is>
          <t>Homepage: 'family owned and operated business located in East Haven, Connecticut for over 100 years'. Low priority.</t>
        </is>
      </c>
      <c r="DA239" t="inlineStr">
        <is>
          <t>stage 1 only</t>
        </is>
      </c>
      <c r="DY239">
        <f>IF(ISNUMBER(MATCH(U239,{"queued","contacted","replied","call_booked","call_done","yes_in_principle","materials_sent"},0)),"Y","N")</f>
        <v/>
      </c>
      <c r="DZ239">
        <f>IF(COUNTIFS($AN$2:$AN$1000,AN239,$DY$2:$DY$1000,"Y")+COUNTIFS($AN$2:$AN$1000,AN239,$T$2:$T$1000,"Y")&gt;0,"Y","N")</f>
        <v/>
      </c>
      <c r="EA239">
        <f>IF(AND(U239="new",T239="N",AR239="Y",AQ239="",DZ239="N"),"Y","N")</f>
        <v/>
      </c>
      <c r="EB239">
        <f>IF(EA239&lt;&gt;"Y","N",IF(COUNTIFS($AN$2:$AN$1000,AN239,$EA$2:$EA$1000,"Y",$J$2:$J$1000,"&gt;"&amp;J239)+COUNTIFS($AN$2:$AN$1000,AN239,$EA$2:$EA$1000,"Y",$J$2:$J$1000,J239,$ED$2:$ED$1000,"&lt;"&amp;ED239)=0,"Y","N"))</f>
        <v/>
      </c>
      <c r="EC239">
        <f>IF(Y239="","N",IF(Y239&lt;=10,"Y","N"))</f>
        <v/>
      </c>
      <c r="ED239">
        <f>ROW()-1</f>
        <v/>
      </c>
    </row>
    <row r="240">
      <c r="A240" t="inlineStr">
        <is>
          <t>AB-021</t>
        </is>
      </c>
      <c r="B240" t="inlineStr">
        <is>
          <t>Tierra Farm</t>
        </is>
      </c>
      <c r="C240" t="inlineStr">
        <is>
          <t>Gunther</t>
        </is>
      </c>
      <c r="D240" t="inlineStr">
        <is>
          <t>Fishgold</t>
        </is>
      </c>
      <c r="E240" t="inlineStr">
        <is>
          <t>Founder</t>
        </is>
      </c>
      <c r="H240" t="inlineStr">
        <is>
          <t>none</t>
        </is>
      </c>
      <c r="I240" t="inlineStr">
        <is>
          <t>linkedin</t>
        </is>
      </c>
      <c r="J240">
        <f>IF(AU240="pass",CM240+CN240+CO240+CP240+CQ240+CR240+CS240+CT240,0)</f>
        <v/>
      </c>
      <c r="K240" t="inlineStr">
        <is>
          <t>New York State brand, no graded store within ten blocks, online store only, a new store listing 40 days ago, revenue over $10M, contact named; founder review: scale-reported.</t>
        </is>
      </c>
      <c r="M240" t="inlineStr">
        <is>
          <t>none found within ten blocks</t>
        </is>
      </c>
      <c r="N240" t="inlineStr">
        <is>
          <t>unverified</t>
        </is>
      </c>
      <c r="O240" t="inlineStr">
        <is>
          <t>Launched The Tierra Bar chocolate line (70% dark chocolate + macadamia / hazelnut) on brand store</t>
        </is>
      </c>
      <c r="P240" t="inlineStr">
        <is>
          <t>https://www.tierrafarm.com/products/the-tierra-bar-br-70-dark-chocolate-macadamia-nut</t>
        </is>
      </c>
      <c r="Q240" t="inlineStr">
        <is>
          <t>2026-09-14</t>
        </is>
      </c>
      <c r="R240" t="inlineStr">
        <is>
          <t>N</t>
        </is>
      </c>
      <c r="S240" t="inlineStr">
        <is>
          <t>unknown</t>
        </is>
      </c>
      <c r="T240" t="inlineStr">
        <is>
          <t>N</t>
        </is>
      </c>
      <c r="U240" t="inlineStr">
        <is>
          <t>new</t>
        </is>
      </c>
      <c r="V240" t="inlineStr">
        <is>
          <t>https://www.tierrafarm.com/pages/about-us</t>
        </is>
      </c>
      <c r="W240" t="inlineStr">
        <is>
          <t>2026-10-23</t>
        </is>
      </c>
      <c r="X240" t="inlineStr">
        <is>
          <t>brand</t>
        </is>
      </c>
      <c r="Y240">
        <f>IF(EB240&lt;&gt;"Y","",COUNTIFS($EB$2:$EB$1000,"Y",$J$2:$J$1000,"&gt;"&amp;J240)+COUNTIFS($EB$2:$EB$1000,"Y",$J$2:$J$1000,J240,$ED$2:$ED$1000,"&lt;"&amp;ED240)+1)</f>
        <v/>
      </c>
      <c r="Z240" t="n">
        <v>239</v>
      </c>
      <c r="AA240" t="inlineStr">
        <is>
          <t>N</t>
        </is>
      </c>
      <c r="AB240" t="inlineStr">
        <is>
          <t>find Gunther Fishgold at Tierra Farm on LinkedIn and paste the profile URL; founder review (scale-reported): read founder_review_reason first</t>
        </is>
      </c>
      <c r="AC240" t="inlineStr">
        <is>
          <t>founder</t>
        </is>
      </c>
      <c r="AD240" t="inlineStr">
        <is>
          <t>verified-page</t>
        </is>
      </c>
      <c r="AE240" t="inlineStr">
        <is>
          <t>press, event or podcast page</t>
        </is>
      </c>
      <c r="AF240" t="inlineStr">
        <is>
          <t>https://mainstreetmag.com/keeping-it-simple/</t>
        </is>
      </c>
      <c r="AG240" t="inlineStr">
        <is>
          <t>2026-10-23</t>
        </is>
      </c>
      <c r="AH240" t="inlineStr">
        <is>
          <t>Tierra Farm Organic Roasted Jalapeño Rosemary Almonds (bagged)</t>
        </is>
      </c>
      <c r="AI240" t="inlineStr">
        <is>
          <t>nuts-seeds-trail</t>
        </is>
      </c>
      <c r="AJ240" t="inlineStr">
        <is>
          <t>Valatie</t>
        </is>
      </c>
      <c r="AK240" t="inlineStr">
        <is>
          <t>https://www.tierrafarm.com</t>
        </is>
      </c>
      <c r="AL240" t="inlineStr">
        <is>
          <t>Y</t>
        </is>
      </c>
      <c r="AM240" t="inlineStr">
        <is>
          <t>Manufacturer/distributor selling mainly to independent and co-op grocers; single-serve format and NYC shelf presence not confirmed; budget owner unclear</t>
        </is>
      </c>
      <c r="AN240" t="inlineStr">
        <is>
          <t>AB-021</t>
        </is>
      </c>
      <c r="AO240" t="inlineStr">
        <is>
          <t>N</t>
        </is>
      </c>
      <c r="AR240">
        <f>IF(AND(AU240="pass",AO240&lt;&gt;"Y",C240&lt;&gt;""),"Y","N")</f>
        <v/>
      </c>
      <c r="AS240">
        <f>_xlfn.TEXTJOIN("; ",TRUE,IF(AU240&lt;&gt;"pass","gated out",""),IF(AO240="Y","on hold: "&amp;AP240,""),IF(C240="","no contact named on an opened page",""))</f>
        <v/>
      </c>
      <c r="AU240" t="inlineStr">
        <is>
          <t>pass</t>
        </is>
      </c>
      <c r="AW240" t="inlineStr">
        <is>
          <t>passes all hard gates</t>
        </is>
      </c>
      <c r="AX240" t="inlineStr">
        <is>
          <t>scale-reported</t>
        </is>
      </c>
      <c r="AY240" t="inlineStr">
        <is>
          <t>https://www.tierrafarm.com</t>
        </is>
      </c>
      <c r="AZ240" t="inlineStr">
        <is>
          <t>NY</t>
        </is>
      </c>
      <c r="BA240" t="inlineStr">
        <is>
          <t>nys</t>
        </is>
      </c>
      <c r="BB240" t="inlineStr">
        <is>
          <t>unknown (family-run farm business per about page)</t>
        </is>
      </c>
      <c r="BD240" t="inlineStr">
        <is>
          <t>Y</t>
        </is>
      </c>
      <c r="BE240" t="inlineStr">
        <is>
          <t>Certified-organic roasted nuts and trail mixes in sealed (many compostable) bags, ambient</t>
        </is>
      </c>
      <c r="BF240" t="inlineStr">
        <is>
          <t>unknown</t>
        </is>
      </c>
      <c r="BG240" t="inlineStr">
        <is>
          <t>Y</t>
        </is>
      </c>
      <c r="BH240" t="inlineStr">
        <is>
          <t>over-10m</t>
        </is>
      </c>
      <c r="BI240" t="inlineStr">
        <is>
          <t>press quote from 2021 (over 24 months old)</t>
        </is>
      </c>
      <c r="BJ240" t="inlineStr">
        <is>
          <t>Founder interview, Main Street Magazine, 2021-06-29: 'Our revenues are now approaching $30 million a year.'</t>
        </is>
      </c>
      <c r="BK240" t="inlineStr">
        <is>
          <t>N</t>
        </is>
      </c>
      <c r="BL240" t="inlineStr">
        <is>
          <t>N</t>
        </is>
      </c>
      <c r="BO240" t="inlineStr">
        <is>
          <t>N</t>
        </is>
      </c>
      <c r="BP240" t="n">
        <v>0</v>
      </c>
      <c r="BS240" t="inlineStr">
        <is>
          <t>Independent and cooperative grocery stores (about page); farm store in Valatie NY</t>
        </is>
      </c>
      <c r="BT240" t="inlineStr">
        <is>
          <t>https://www.wholefoodsmarket.com/search?text=tierra%20farm (no results in Union Square, NoMad or Chelsea context, 2026-10-23)</t>
        </is>
      </c>
      <c r="BU240" t="inlineStr">
        <is>
          <t>listing</t>
        </is>
      </c>
      <c r="BV240" t="n">
        <v>40</v>
      </c>
      <c r="BX240" t="inlineStr">
        <is>
          <t>Gunther Fishgold</t>
        </is>
      </c>
      <c r="CF240" t="inlineStr">
        <is>
          <t>none</t>
        </is>
      </c>
      <c r="CK240" t="inlineStr">
        <is>
          <t>none</t>
        </is>
      </c>
      <c r="CL240" t="n">
        <v>6</v>
      </c>
      <c r="CM240" t="n">
        <v>6</v>
      </c>
      <c r="CN240" t="n">
        <v>13</v>
      </c>
      <c r="CO240" t="n">
        <v>8</v>
      </c>
      <c r="CP240" t="n">
        <v>0</v>
      </c>
      <c r="CQ240" t="n">
        <v>8</v>
      </c>
      <c r="CR240" t="n">
        <v>6</v>
      </c>
      <c r="CS240">
        <f>IF(R240="Y",10,0)</f>
        <v/>
      </c>
      <c r="CT240" t="n">
        <v>-35</v>
      </c>
      <c r="CU240" t="inlineStr">
        <is>
          <t>unknown</t>
        </is>
      </c>
      <c r="CV240" t="inlineStr">
        <is>
          <t>BR1</t>
        </is>
      </c>
      <c r="CW240" t="inlineStr">
        <is>
          <t>BR1:22</t>
        </is>
      </c>
      <c r="CX240" t="inlineStr">
        <is>
          <t>Certified-organic nut and dried fruit maker 20 miles south of Albany NY; started as an organic vegetable farm in the Finger Lakes, nuts since 1999. 100+ products in compostable bags. why_now date is Shopify published_at.</t>
        </is>
      </c>
      <c r="CY240" t="inlineStr">
        <is>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t>
        </is>
      </c>
      <c r="DA240" t="inlineStr">
        <is>
          <t>stage 1 only</t>
        </is>
      </c>
      <c r="DY240">
        <f>IF(ISNUMBER(MATCH(U240,{"queued","contacted","replied","call_booked","call_done","yes_in_principle","materials_sent"},0)),"Y","N")</f>
        <v/>
      </c>
      <c r="DZ240">
        <f>IF(COUNTIFS($AN$2:$AN$1000,AN240,$DY$2:$DY$1000,"Y")+COUNTIFS($AN$2:$AN$1000,AN240,$T$2:$T$1000,"Y")&gt;0,"Y","N")</f>
        <v/>
      </c>
      <c r="EA240">
        <f>IF(AND(U240="new",T240="N",AR240="Y",AQ240="",DZ240="N"),"Y","N")</f>
        <v/>
      </c>
      <c r="EB240">
        <f>IF(EA240&lt;&gt;"Y","N",IF(COUNTIFS($AN$2:$AN$1000,AN240,$EA$2:$EA$1000,"Y",$J$2:$J$1000,"&gt;"&amp;J240)+COUNTIFS($AN$2:$AN$1000,AN240,$EA$2:$EA$1000,"Y",$J$2:$J$1000,J240,$ED$2:$ED$1000,"&lt;"&amp;ED240)=0,"Y","N"))</f>
        <v/>
      </c>
      <c r="EC240">
        <f>IF(Y240="","N",IF(Y240&lt;=10,"Y","N"))</f>
        <v/>
      </c>
      <c r="ED240">
        <f>ROW()-1</f>
        <v/>
      </c>
    </row>
    <row r="241">
      <c r="A241" t="inlineStr">
        <is>
          <t>AB-231</t>
        </is>
      </c>
      <c r="B241" t="inlineStr">
        <is>
          <t>Chlorophyll Water</t>
        </is>
      </c>
      <c r="C241" t="inlineStr">
        <is>
          <t>Matt</t>
        </is>
      </c>
      <c r="D241" t="inlineStr">
        <is>
          <t>Levine</t>
        </is>
      </c>
      <c r="E241" t="inlineStr">
        <is>
          <t>Founder</t>
        </is>
      </c>
      <c r="H241" t="inlineStr">
        <is>
          <t>none</t>
        </is>
      </c>
      <c r="I241" t="inlineStr">
        <is>
          <t>linkedin</t>
        </is>
      </c>
      <c r="J241">
        <f>IF(AU241="pass",CM241+CN241+CO241+CP241+CQ241+CR241+CS241+CT241,0)</f>
        <v/>
      </c>
      <c r="K241" t="inlineStr">
        <is>
          <t>Gated out: health-claim: Health-claim wording: site title 'Detox, Hydrate &amp; Energize Drink'; vitamin-fortified functional water.</t>
        </is>
      </c>
      <c r="M241" t="inlineStr">
        <is>
          <t>Whole Foods Market NoMad, 63 Madison Ave</t>
        </is>
      </c>
      <c r="N241" t="inlineStr">
        <is>
          <t>store_selector</t>
        </is>
      </c>
      <c r="O241" t="inlineStr">
        <is>
          <t>First bottled water brand at Misfits Market, in new 16 oz aluminum cans</t>
        </is>
      </c>
      <c r="P241" t="inlineStr">
        <is>
          <t>https://startupcpg.com/startup-cpg-newswire-chlorophyll-water-makes-history-at-misfits-market/</t>
        </is>
      </c>
      <c r="Q241" t="inlineStr">
        <is>
          <t>2026-10-09</t>
        </is>
      </c>
      <c r="R241" t="inlineStr">
        <is>
          <t>N</t>
        </is>
      </c>
      <c r="S241" t="inlineStr">
        <is>
          <t>Y</t>
        </is>
      </c>
      <c r="T241" t="inlineStr">
        <is>
          <t>N</t>
        </is>
      </c>
      <c r="U241" t="inlineStr">
        <is>
          <t>new</t>
        </is>
      </c>
      <c r="V241" t="inlineStr">
        <is>
          <t>https://chlorophyllwater.com/</t>
        </is>
      </c>
      <c r="W241" t="inlineStr">
        <is>
          <t>2026-10-23</t>
        </is>
      </c>
      <c r="X241" t="inlineStr">
        <is>
          <t>brand</t>
        </is>
      </c>
      <c r="Y241">
        <f>IF(EB241&lt;&gt;"Y","",COUNTIFS($EB$2:$EB$1000,"Y",$J$2:$J$1000,"&gt;"&amp;J241)+COUNTIFS($EB$2:$EB$1000,"Y",$J$2:$J$1000,J241,$ED$2:$ED$1000,"&lt;"&amp;ED241)+1)</f>
        <v/>
      </c>
      <c r="AA241" t="inlineStr">
        <is>
          <t>N</t>
        </is>
      </c>
      <c r="AC241" t="inlineStr">
        <is>
          <t>founder</t>
        </is>
      </c>
      <c r="AD241" t="inlineStr">
        <is>
          <t>verified-page</t>
        </is>
      </c>
      <c r="AE241" t="inlineStr">
        <is>
          <t>press, event or podcast page</t>
        </is>
      </c>
      <c r="AF241" t="inlineStr">
        <is>
          <t>https://startupcpg.com/startup-cpg-newswire-chlorophyll-water-makes-history-at-misfits-market/</t>
        </is>
      </c>
      <c r="AG241" t="inlineStr">
        <is>
          <t>2026-10-23</t>
        </is>
      </c>
      <c r="AH241" t="inlineStr">
        <is>
          <t>Chlorophyll Water 16 oz aluminum can; Nature Enhanced Purified Water 16.9 fl oz bottle</t>
        </is>
      </c>
      <c r="AI241" t="inlineStr">
        <is>
          <t>other-drink</t>
        </is>
      </c>
      <c r="AJ241" t="inlineStr">
        <is>
          <t>New York (releases datelined Brooklyn, NY in 2025 and New York, NY in 2026)</t>
        </is>
      </c>
      <c r="AK241" t="inlineStr">
        <is>
          <t>https://chlorophyllwater.com</t>
        </is>
      </c>
      <c r="AL241" t="inlineStr">
        <is>
          <t>Y</t>
        </is>
      </c>
      <c r="AM241" t="inlineStr">
        <is>
          <t>'Detox' and 'Energize' are on the website title, not confirmed on pack; founder decides whether this trips the health-claim gate</t>
        </is>
      </c>
      <c r="AN241" t="inlineStr">
        <is>
          <t>AB-231</t>
        </is>
      </c>
      <c r="AO241" t="inlineStr">
        <is>
          <t>N</t>
        </is>
      </c>
      <c r="AR241">
        <f>IF(AND(AU241="pass",AO241&lt;&gt;"Y",C241&lt;&gt;""),"Y","N")</f>
        <v/>
      </c>
      <c r="AS241">
        <f>_xlfn.TEXTJOIN("; ",TRUE,IF(AU241&lt;&gt;"pass","gated out",""),IF(AO241="Y","on hold: "&amp;AP241,""),IF(C241="","no contact named on an opened page",""))</f>
        <v/>
      </c>
      <c r="AU241" t="inlineStr">
        <is>
          <t>fail</t>
        </is>
      </c>
      <c r="AV241" t="inlineStr">
        <is>
          <t>health-claim</t>
        </is>
      </c>
      <c r="AW241" t="inlineStr">
        <is>
          <t>health-claim: Health-claim wording: site title 'Detox, Hydrate &amp; Energize Drink'; vitamin-fortified functional water</t>
        </is>
      </c>
      <c r="AX241" t="inlineStr">
        <is>
          <t>claim-borderline</t>
        </is>
      </c>
      <c r="AY241" t="inlineStr">
        <is>
          <t>https://chlorophyllwater.com</t>
        </is>
      </c>
      <c r="AZ241" t="inlineStr">
        <is>
          <t>NY</t>
        </is>
      </c>
      <c r="BA241" t="inlineStr">
        <is>
          <t>nyc</t>
        </is>
      </c>
      <c r="BB241" t="inlineStr">
        <is>
          <t>first institutional investment (April 2026, Startup CPG Newswire headline; amount not checked)</t>
        </is>
      </c>
      <c r="BD241" t="inlineStr">
        <is>
          <t>Y</t>
        </is>
      </c>
      <c r="BE241" t="inlineStr">
        <is>
          <t>Bottled/canned purified water sold ambient in WFM catalog; no shelf-life figure published, founder to confirm</t>
        </is>
      </c>
      <c r="BF241" t="inlineStr">
        <is>
          <t>Y</t>
        </is>
      </c>
      <c r="BG241" t="inlineStr">
        <is>
          <t>Y</t>
        </is>
      </c>
      <c r="BH241" t="inlineStr">
        <is>
          <t>unknown</t>
        </is>
      </c>
      <c r="BJ241" t="inlineStr">
        <is>
          <t>unknown</t>
        </is>
      </c>
      <c r="BK241" t="inlineStr">
        <is>
          <t>Y</t>
        </is>
      </c>
      <c r="BL241" t="inlineStr">
        <is>
          <t>Y</t>
        </is>
      </c>
      <c r="BM241" t="inlineStr">
        <is>
          <t>Health-claim wording: site title 'Detox, Hydrate &amp; Energize Drink'; vitamin-fortified functional water</t>
        </is>
      </c>
      <c r="BN241" t="n">
        <v>0</v>
      </c>
      <c r="BO241" t="inlineStr">
        <is>
          <t>Y</t>
        </is>
      </c>
      <c r="BP241" t="n">
        <v>3</v>
      </c>
      <c r="BQ241" t="inlineStr">
        <is>
          <t>Whole Foods Market NoMad, 63 Madison Ave (store_selector, inside);Whole Foods Market Union Square, 4 Union Sq S (store_selector, inside);Whole Foods Market Chelsea, 250 7th Ave (store_selector, 3.0 blocks out)</t>
        </is>
      </c>
      <c r="BR241" t="inlineStr">
        <is>
          <t>Whole Foods Market Manhattan West (store_selector, 13.8 blocks out)</t>
        </is>
      </c>
      <c r="BS241" t="inlineStr">
        <is>
          <t>Whole Foods Market; Walmart (select stores, Golden Ticket 2025); The Fresh Market; Hy-Vee; Winn-Dixie; Misfits Market</t>
        </is>
      </c>
      <c r="BT241" t="inlineStr">
        <is>
          <t>https://www.wholefoodsmarket.com/api/search?text=chlorophyll%20water&amp;store=10773&amp;limit=60&amp;offset=0; https://www.wholefoodsmarket.com/api/search?text=chlorophyll%20water&amp;store=10162&amp;limit=60&amp;offset=0</t>
        </is>
      </c>
      <c r="BU241" t="inlineStr">
        <is>
          <t>press</t>
        </is>
      </c>
      <c r="BV241" t="n">
        <v>15</v>
      </c>
      <c r="BW241" t="inlineStr">
        <is>
          <t>https://startupcpg.com/startup-cpg-shelfie-finalists-2026/</t>
        </is>
      </c>
      <c r="BX241" t="inlineStr">
        <is>
          <t>Matt Levine</t>
        </is>
      </c>
      <c r="CF241" t="inlineStr">
        <is>
          <t>none</t>
        </is>
      </c>
      <c r="CK241" t="inlineStr">
        <is>
          <t>none</t>
        </is>
      </c>
      <c r="CL241" t="n">
        <v>77</v>
      </c>
      <c r="CM241" t="n">
        <v>25</v>
      </c>
      <c r="CN241" t="n">
        <v>20</v>
      </c>
      <c r="CO241" t="n">
        <v>15</v>
      </c>
      <c r="CP241" t="n">
        <v>5</v>
      </c>
      <c r="CQ241" t="n">
        <v>10</v>
      </c>
      <c r="CR241" t="n">
        <v>6</v>
      </c>
      <c r="CS241">
        <f>IF(R241="Y",10,0)</f>
        <v/>
      </c>
      <c r="CT241" t="n">
        <v>-4</v>
      </c>
      <c r="CV241" t="inlineStr">
        <is>
          <t>BR4</t>
        </is>
      </c>
      <c r="CW241" t="inlineStr">
        <is>
          <t>BR4:26</t>
        </is>
      </c>
      <c r="CX241" t="inlineStr">
        <is>
          <t>2026 Shelfie finalist (Beverage with Benefits). Ten-plus Startup CPG Newswire releases in 2025-2026 (Walmart, Fresh Market, Hy-Vee, Winn-Dixie). Named Mark Ellis VP of Sales (Feb 2026 headline, not opened). Contains vitamins A, B12, C and D (release).</t>
        </is>
      </c>
      <c r="DA241" t="inlineStr">
        <is>
          <t>stage 1 only</t>
        </is>
      </c>
      <c r="DY241">
        <f>IF(ISNUMBER(MATCH(U241,{"queued","contacted","replied","call_booked","call_done","yes_in_principle","materials_sent"},0)),"Y","N")</f>
        <v/>
      </c>
      <c r="DZ241">
        <f>IF(COUNTIFS($AN$2:$AN$1000,AN241,$DY$2:$DY$1000,"Y")+COUNTIFS($AN$2:$AN$1000,AN241,$T$2:$T$1000,"Y")&gt;0,"Y","N")</f>
        <v/>
      </c>
      <c r="EA241">
        <f>IF(AND(U241="new",T241="N",AR241="Y",AQ241="",DZ241="N"),"Y","N")</f>
        <v/>
      </c>
      <c r="EB241">
        <f>IF(EA241&lt;&gt;"Y","N",IF(COUNTIFS($AN$2:$AN$1000,AN241,$EA$2:$EA$1000,"Y",$J$2:$J$1000,"&gt;"&amp;J241)+COUNTIFS($AN$2:$AN$1000,AN241,$EA$2:$EA$1000,"Y",$J$2:$J$1000,J241,$ED$2:$ED$1000,"&lt;"&amp;ED241)=0,"Y","N"))</f>
        <v/>
      </c>
      <c r="EC241">
        <f>IF(Y241="","N",IF(Y241&lt;=10,"Y","N"))</f>
        <v/>
      </c>
      <c r="ED241">
        <f>ROW()-1</f>
        <v/>
      </c>
    </row>
    <row r="242">
      <c r="A242" t="inlineStr">
        <is>
          <t>AB-092</t>
        </is>
      </c>
      <c r="B242" t="inlineStr">
        <is>
          <t>Mid-Day Squares</t>
        </is>
      </c>
      <c r="H242" t="inlineStr">
        <is>
          <t>none</t>
        </is>
      </c>
      <c r="J242">
        <f>IF(AU242="pass",CM242+CN242+CO242+CP242+CQ242+CR242+CS242+CT242,0)</f>
        <v/>
      </c>
      <c r="K242" t="inlineStr">
        <is>
          <t>Gated out: health-claim: Refrigeration recommended: brand FAQ says store in the fridge, 5 days on the go; WFM lists a 'Functional Bar' SKU.</t>
        </is>
      </c>
      <c r="M242" t="inlineStr">
        <is>
          <t>Whole Foods Market NoMad, 63 Madison Ave</t>
        </is>
      </c>
      <c r="N242" t="inlineStr">
        <is>
          <t>store_selector</t>
        </is>
      </c>
      <c r="O242" t="inlineStr">
        <is>
          <t>Launched PB&amp;J Apple flavor (Sept 2026) after Grape and Strawberry earlier in 2026</t>
        </is>
      </c>
      <c r="P242" t="inlineStr">
        <is>
          <t>https://www.middaysquares.com/</t>
        </is>
      </c>
      <c r="Q242" t="inlineStr">
        <is>
          <t>2026-09-23</t>
        </is>
      </c>
      <c r="R242" t="inlineStr">
        <is>
          <t>N</t>
        </is>
      </c>
      <c r="S242" t="inlineStr">
        <is>
          <t>unknown</t>
        </is>
      </c>
      <c r="T242" t="inlineStr">
        <is>
          <t>N</t>
        </is>
      </c>
      <c r="U242" t="inlineStr">
        <is>
          <t>new</t>
        </is>
      </c>
      <c r="V242" t="inlineStr">
        <is>
          <t>https://www.middaysquares.com/pages/faq</t>
        </is>
      </c>
      <c r="W242" t="inlineStr">
        <is>
          <t>2026-10-23</t>
        </is>
      </c>
      <c r="X242" t="inlineStr">
        <is>
          <t>brand</t>
        </is>
      </c>
      <c r="Y242">
        <f>IF(EB242&lt;&gt;"Y","",COUNTIFS($EB$2:$EB$1000,"Y",$J$2:$J$1000,"&gt;"&amp;J242)+COUNTIFS($EB$2:$EB$1000,"Y",$J$2:$J$1000,J242,$ED$2:$ED$1000,"&lt;"&amp;ED242)+1)</f>
        <v/>
      </c>
      <c r="AA242" t="inlineStr">
        <is>
          <t>N</t>
        </is>
      </c>
      <c r="AD242" t="inlineStr">
        <is>
          <t>none</t>
        </is>
      </c>
      <c r="AH242" t="inlineStr">
        <is>
          <t>Cookie Dough chocolate bar 1.16 oz; PB&amp;J Apple</t>
        </is>
      </c>
      <c r="AI242" t="inlineStr">
        <is>
          <t>chocolate-candy</t>
        </is>
      </c>
      <c r="AJ242" t="inlineStr">
        <is>
          <t>Montreal</t>
        </is>
      </c>
      <c r="AK242" t="inlineStr">
        <is>
          <t>https://www.middaysquares.com</t>
        </is>
      </c>
      <c r="AL242" t="inlineStr">
        <is>
          <t>N</t>
        </is>
      </c>
      <c r="AN242" t="inlineStr">
        <is>
          <t>AB-092</t>
        </is>
      </c>
      <c r="AO242" t="inlineStr">
        <is>
          <t>N</t>
        </is>
      </c>
      <c r="AR242">
        <f>IF(AND(AU242="pass",AO242&lt;&gt;"Y",C242&lt;&gt;""),"Y","N")</f>
        <v/>
      </c>
      <c r="AS242">
        <f>_xlfn.TEXTJOIN("; ",TRUE,IF(AU242&lt;&gt;"pass","gated out",""),IF(AO242="Y","on hold: "&amp;AP242,""),IF(C242="","no contact named on an opened page",""))</f>
        <v/>
      </c>
      <c r="AU242" t="inlineStr">
        <is>
          <t>fail</t>
        </is>
      </c>
      <c r="AV242" t="inlineStr">
        <is>
          <t>health-claim;not-shelf-stable</t>
        </is>
      </c>
      <c r="AW242" t="inlineStr">
        <is>
          <t>health-claim: Refrigeration recommended: brand FAQ says store in the fridge, 5 days on the go; WFM lists a 'Functional Bar' SKU | not-shelf-stable: Refrigeration recommended: brand FAQ says store in the fridge, 5 days on the go; WFM lists a 'Functional Bar' SKU</t>
        </is>
      </c>
      <c r="AY242" t="inlineStr">
        <is>
          <t>https://www.middaysquares.com</t>
        </is>
      </c>
      <c r="AZ242" t="inlineStr">
        <is>
          <t>QC (Canada)</t>
        </is>
      </c>
      <c r="BA242" t="inlineStr">
        <is>
          <t>elsewhere</t>
        </is>
      </c>
      <c r="BB242" t="inlineStr">
        <is>
          <t>unknown</t>
        </is>
      </c>
      <c r="BD242" t="inlineStr">
        <is>
          <t>N</t>
        </is>
      </c>
      <c r="BE242" t="inlineStr">
        <is>
          <t>Brand FAQ: 'STORE IN THE FRIDGE. TAKE ON THE GO FOR 5 DAYS.'</t>
        </is>
      </c>
      <c r="BF242" t="inlineStr">
        <is>
          <t>Y</t>
        </is>
      </c>
      <c r="BG242" t="inlineStr">
        <is>
          <t>Y</t>
        </is>
      </c>
      <c r="BH242" t="inlineStr">
        <is>
          <t>unknown</t>
        </is>
      </c>
      <c r="BJ242" t="inlineStr">
        <is>
          <t>unknown</t>
        </is>
      </c>
      <c r="BK242" t="inlineStr">
        <is>
          <t>N</t>
        </is>
      </c>
      <c r="BL242" t="inlineStr">
        <is>
          <t>Y</t>
        </is>
      </c>
      <c r="BM242" t="inlineStr">
        <is>
          <t>Refrigeration recommended: brand FAQ says store in the fridge, 5 days on the go; WFM lists a 'Functional Bar' SKU</t>
        </is>
      </c>
      <c r="BN242" t="n">
        <v>0</v>
      </c>
      <c r="BO242" t="inlineStr">
        <is>
          <t>Y</t>
        </is>
      </c>
      <c r="BP242" t="n">
        <v>3</v>
      </c>
      <c r="BQ242" t="inlineStr">
        <is>
          <t>Whole Foods Market NoMad, 63 Madison Ave (store_selector, inside);Whole Foods Market Union Square, 4 Union Sq S (store_selector, inside);Whole Foods Market Chelsea, 250 7th Ave (store_selector, 3.0 blocks out)</t>
        </is>
      </c>
      <c r="BS242" t="inlineStr">
        <is>
          <t>Walmart; Whole Foods; retailer list page</t>
        </is>
      </c>
      <c r="BT242" t="inlineStr">
        <is>
          <t>https://www.wholefoodsmarket.com/api/search?text=mid-day%20squares&amp;store=10162&amp;limit=60&amp;offset=0; https://www.wholefoodsmarket.com/api/search?text=mid-day%20squares&amp;store=10773&amp;limit=60&amp;offset=0; https://www.wholefoodsmarket.com/api/search?text=mid-day%20squares&amp;store=10131&amp;limit=60&amp;offset=0</t>
        </is>
      </c>
      <c r="BU242" t="inlineStr">
        <is>
          <t>listing</t>
        </is>
      </c>
      <c r="BV242" t="n">
        <v>31</v>
      </c>
      <c r="CF242" t="inlineStr">
        <is>
          <t>none</t>
        </is>
      </c>
      <c r="CK242" t="inlineStr">
        <is>
          <t>none</t>
        </is>
      </c>
      <c r="CL242" t="n">
        <v>47</v>
      </c>
      <c r="CM242" t="n">
        <v>25</v>
      </c>
      <c r="CN242" t="n">
        <v>3</v>
      </c>
      <c r="CO242" t="n">
        <v>8</v>
      </c>
      <c r="CP242" t="n">
        <v>5</v>
      </c>
      <c r="CQ242" t="n">
        <v>6</v>
      </c>
      <c r="CR242" t="n">
        <v>0</v>
      </c>
      <c r="CS242">
        <f>IF(R242="Y",10,0)</f>
        <v/>
      </c>
      <c r="CT242" t="n">
        <v>0</v>
      </c>
      <c r="CU242" t="inlineStr">
        <is>
          <t>https://www.instagram.com/middaysquares/</t>
        </is>
      </c>
      <c r="CV242" t="inlineStr">
        <is>
          <t>BR2</t>
        </is>
      </c>
      <c r="CW242" t="inlineStr">
        <is>
          <t>BR2:29</t>
        </is>
      </c>
      <c r="CX242" t="inlineStr">
        <is>
          <t>'Made with love in Montreal' footer. Excluded on the refrigeration rule; founder may overrule if 5-day ambient window is acceptable for a 5-day drop. Why-now date from Shopify publish date.</t>
        </is>
      </c>
      <c r="DA242" t="inlineStr">
        <is>
          <t>stage 1 only</t>
        </is>
      </c>
      <c r="DY242">
        <f>IF(ISNUMBER(MATCH(U242,{"queued","contacted","replied","call_booked","call_done","yes_in_principle","materials_sent"},0)),"Y","N")</f>
        <v/>
      </c>
      <c r="DZ242">
        <f>IF(COUNTIFS($AN$2:$AN$1000,AN242,$DY$2:$DY$1000,"Y")+COUNTIFS($AN$2:$AN$1000,AN242,$T$2:$T$1000,"Y")&gt;0,"Y","N")</f>
        <v/>
      </c>
      <c r="EA242">
        <f>IF(AND(U242="new",T242="N",AR242="Y",AQ242="",DZ242="N"),"Y","N")</f>
        <v/>
      </c>
      <c r="EB242">
        <f>IF(EA242&lt;&gt;"Y","N",IF(COUNTIFS($AN$2:$AN$1000,AN242,$EA$2:$EA$1000,"Y",$J$2:$J$1000,"&gt;"&amp;J242)+COUNTIFS($AN$2:$AN$1000,AN242,$EA$2:$EA$1000,"Y",$J$2:$J$1000,J242,$ED$2:$ED$1000,"&lt;"&amp;ED242)=0,"Y","N"))</f>
        <v/>
      </c>
      <c r="EC242">
        <f>IF(Y242="","N",IF(Y242&lt;=10,"Y","N"))</f>
        <v/>
      </c>
      <c r="ED242">
        <f>ROW()-1</f>
        <v/>
      </c>
    </row>
    <row r="243">
      <c r="A243" t="inlineStr">
        <is>
          <t>AB-089</t>
        </is>
      </c>
      <c r="B243" t="inlineStr">
        <is>
          <t>NuGo Nutrition</t>
        </is>
      </c>
      <c r="H243" t="inlineStr">
        <is>
          <t>none</t>
        </is>
      </c>
      <c r="J243">
        <f>IF(AU243="pass",CM243+CN243+CO243+CP243+CQ243+CR243+CS243+CT243,0)</f>
        <v/>
      </c>
      <c r="K243" t="inlineStr">
        <is>
          <t>Gated out: health-claim: explicit health positioning on the brand's homepage (opened 2026-10-24): bars sold in 'Diabetes', 'Dialysis', 'GLP-1', 'Digestive Health' and 'Gut.</t>
        </is>
      </c>
      <c r="M243" t="inlineStr">
        <is>
          <t>Whole Foods Market NoMad, 63 Madison Ave</t>
        </is>
      </c>
      <c r="N243" t="inlineStr">
        <is>
          <t>store_selector</t>
        </is>
      </c>
      <c r="O243" t="inlineStr">
        <is>
          <t>Added GLP-1 Protein Bar variety pack (July 2026) and Matcha Latte bar (June 2026) on brand store</t>
        </is>
      </c>
      <c r="P243" t="inlineStr">
        <is>
          <t>https://nugo.com/</t>
        </is>
      </c>
      <c r="Q243" t="inlineStr">
        <is>
          <t>2026-07-16</t>
        </is>
      </c>
      <c r="R243" t="inlineStr">
        <is>
          <t>N</t>
        </is>
      </c>
      <c r="S243" t="inlineStr">
        <is>
          <t>unknown</t>
        </is>
      </c>
      <c r="T243" t="inlineStr">
        <is>
          <t>N</t>
        </is>
      </c>
      <c r="U243" t="inlineStr">
        <is>
          <t>new</t>
        </is>
      </c>
      <c r="V243" t="inlineStr">
        <is>
          <t>https://nugo.com/pages/about-us</t>
        </is>
      </c>
      <c r="W243" t="inlineStr">
        <is>
          <t>2026-10-23</t>
        </is>
      </c>
      <c r="X243" t="inlineStr">
        <is>
          <t>brand</t>
        </is>
      </c>
      <c r="Y243">
        <f>IF(EB243&lt;&gt;"Y","",COUNTIFS($EB$2:$EB$1000,"Y",$J$2:$J$1000,"&gt;"&amp;J243)+COUNTIFS($EB$2:$EB$1000,"Y",$J$2:$J$1000,J243,$ED$2:$ED$1000,"&lt;"&amp;ED243)+1)</f>
        <v/>
      </c>
      <c r="AA243" t="inlineStr">
        <is>
          <t>N</t>
        </is>
      </c>
      <c r="AD243" t="inlineStr">
        <is>
          <t>none</t>
        </is>
      </c>
      <c r="AH243" t="inlineStr">
        <is>
          <t>NuGo Dark Chocolate Cherry bar (12g plant protein); NuGo Slim bars</t>
        </is>
      </c>
      <c r="AI243" t="inlineStr">
        <is>
          <t>bars</t>
        </is>
      </c>
      <c r="AJ243" t="inlineStr">
        <is>
          <t>Oakmont</t>
        </is>
      </c>
      <c r="AK243" t="inlineStr">
        <is>
          <t>https://nugo.com</t>
        </is>
      </c>
      <c r="AL243" t="inlineStr">
        <is>
          <t>Y</t>
        </is>
      </c>
      <c r="AM243" t="inlineStr">
        <is>
          <t>Markets a 'GLP-1 Protein Bar' pack with 'Low Glycemic' and Weight Watchers points (borderline weight/health positioning); protein nutrient claims; 20-year-old brand may be above size band; 60-day shelf life not stated</t>
        </is>
      </c>
      <c r="AN243" t="inlineStr">
        <is>
          <t>AB-089</t>
        </is>
      </c>
      <c r="AO243" t="inlineStr">
        <is>
          <t>N</t>
        </is>
      </c>
      <c r="AR243">
        <f>IF(AND(AU243="pass",AO243&lt;&gt;"Y",C243&lt;&gt;""),"Y","N")</f>
        <v/>
      </c>
      <c r="AS243">
        <f>_xlfn.TEXTJOIN("; ",TRUE,IF(AU243&lt;&gt;"pass","gated out",""),IF(AO243="Y","on hold: "&amp;AP243,""),IF(C243="","no contact named on an opened page",""))</f>
        <v/>
      </c>
      <c r="AU243" t="inlineStr">
        <is>
          <t>fail</t>
        </is>
      </c>
      <c r="AV243" t="inlineStr">
        <is>
          <t>health-claim</t>
        </is>
      </c>
      <c r="AW243" t="inlineStr">
        <is>
          <t>health-claim: explicit health positioning on the brand's homepage (opened 2026-10-24): bars sold in 'Diabetes', 'Dialysis', 'GLP-1', 'Digestive Health' and 'Gut Health' collections, which tie the product to medical conditions</t>
        </is>
      </c>
      <c r="AX243" t="inlineStr">
        <is>
          <t>scale;not-emerging;claim-borderline</t>
        </is>
      </c>
      <c r="AY243" t="inlineStr">
        <is>
          <t>https://nugo.com</t>
        </is>
      </c>
      <c r="AZ243" t="inlineStr">
        <is>
          <t>PA</t>
        </is>
      </c>
      <c r="BA243" t="inlineStr">
        <is>
          <t>northeast</t>
        </is>
      </c>
      <c r="BB243" t="inlineStr">
        <is>
          <t>unknown (calls itself an independent company)</t>
        </is>
      </c>
      <c r="BD243" t="inlineStr">
        <is>
          <t>likely</t>
        </is>
      </c>
      <c r="BE243" t="inlineStr">
        <is>
          <t>Single wrapped protein bars sold ambient at Whole Foods; shelf-life figure not found</t>
        </is>
      </c>
      <c r="BF243" t="inlineStr">
        <is>
          <t>Y</t>
        </is>
      </c>
      <c r="BG243" t="inlineStr">
        <is>
          <t>Y</t>
        </is>
      </c>
      <c r="BH243" t="inlineStr">
        <is>
          <t>unknown</t>
        </is>
      </c>
      <c r="BJ243" t="inlineStr">
        <is>
          <t>unknown</t>
        </is>
      </c>
      <c r="BK243" t="inlineStr">
        <is>
          <t>N</t>
        </is>
      </c>
      <c r="BL243" t="inlineStr">
        <is>
          <t>Y</t>
        </is>
      </c>
      <c r="BM243" t="inlineStr">
        <is>
          <t>explicit health positioning on the brand's homepage (opened 2026-10-24): bars sold in 'Diabetes', 'Dialysis', 'GLP-1', 'Digestive Health' and 'Gut Health' collections, which tie the product to medical conditions</t>
        </is>
      </c>
      <c r="BN243" t="n">
        <v>0</v>
      </c>
      <c r="BO243" t="inlineStr">
        <is>
          <t>Y</t>
        </is>
      </c>
      <c r="BP243" t="n">
        <v>3</v>
      </c>
      <c r="BQ243" t="inlineStr">
        <is>
          <t>Whole Foods Market NoMad, 63 Madison Ave (store_selector, inside);Whole Foods Market Union Square, 4 Union Sq S (store_selector, inside);Whole Foods Market Chelsea, 250 7th Ave (store_selector, 3.0 blocks out)</t>
        </is>
      </c>
      <c r="BS243" t="inlineStr">
        <is>
          <t>Whole Foods</t>
        </is>
      </c>
      <c r="BT243" t="inlineStr">
        <is>
          <t>https://www.wholefoodsmarket.com/api/search?text=nugo&amp;store=10162&amp;limit=60&amp;offset=0; https://www.wholefoodsmarket.com/api/search?text=nugo&amp;store=10773&amp;limit=60&amp;offset=0; https://www.wholefoodsmarket.com/api/search?text=nugo&amp;store=10131&amp;limit=60&amp;offset=0</t>
        </is>
      </c>
      <c r="BU243" t="inlineStr">
        <is>
          <t>listing</t>
        </is>
      </c>
      <c r="BV243" t="n">
        <v>100</v>
      </c>
      <c r="CF243" t="inlineStr">
        <is>
          <t>none</t>
        </is>
      </c>
      <c r="CK243" t="inlineStr">
        <is>
          <t>none</t>
        </is>
      </c>
      <c r="CL243" t="n">
        <v>42</v>
      </c>
      <c r="CM243" t="n">
        <v>25</v>
      </c>
      <c r="CN243" t="n">
        <v>8</v>
      </c>
      <c r="CO243" t="n">
        <v>8</v>
      </c>
      <c r="CP243" t="n">
        <v>5</v>
      </c>
      <c r="CQ243" t="n">
        <v>8</v>
      </c>
      <c r="CR243" t="n">
        <v>0</v>
      </c>
      <c r="CS243">
        <f>IF(R243="Y",10,0)</f>
        <v/>
      </c>
      <c r="CT243" t="n">
        <v>-12</v>
      </c>
      <c r="CU243" t="inlineStr">
        <is>
          <t>https://www.instagram.com/nugonutrition/</t>
        </is>
      </c>
      <c r="CV243" t="inlineStr">
        <is>
          <t>BR2</t>
        </is>
      </c>
      <c r="CW243" t="inlineStr">
        <is>
          <t>BR2:26</t>
        </is>
      </c>
      <c r="CX243" t="inlineStr">
        <is>
          <t>Brand also sells protein powders. Locator is a Secomapp widget (not machine-read). Why-now dates from Shopify publish dates.</t>
        </is>
      </c>
      <c r="CY243" t="inlineStr">
        <is>
          <t xml:space="preserve">hq_city &lt;- https://nugo.com/pages/contact-faq (2026-10-24, opened); hq_state &lt;- https://nugo.com/pages/contact-faq (2026-10-24, opened); excluded &lt;- https://nugo.com (2026-10-24, stage 3 correction); exclusion_reason &lt;- https://nugo.com (2026-10-24, stage 3 correction); </t>
        </is>
      </c>
      <c r="DA243" t="inlineStr">
        <is>
          <t>stage 1 only</t>
        </is>
      </c>
      <c r="DY243">
        <f>IF(ISNUMBER(MATCH(U243,{"queued","contacted","replied","call_booked","call_done","yes_in_principle","materials_sent"},0)),"Y","N")</f>
        <v/>
      </c>
      <c r="DZ243">
        <f>IF(COUNTIFS($AN$2:$AN$1000,AN243,$DY$2:$DY$1000,"Y")+COUNTIFS($AN$2:$AN$1000,AN243,$T$2:$T$1000,"Y")&gt;0,"Y","N")</f>
        <v/>
      </c>
      <c r="EA243">
        <f>IF(AND(U243="new",T243="N",AR243="Y",AQ243="",DZ243="N"),"Y","N")</f>
        <v/>
      </c>
      <c r="EB243">
        <f>IF(EA243&lt;&gt;"Y","N",IF(COUNTIFS($AN$2:$AN$1000,AN243,$EA$2:$EA$1000,"Y",$J$2:$J$1000,"&gt;"&amp;J243)+COUNTIFS($AN$2:$AN$1000,AN243,$EA$2:$EA$1000,"Y",$J$2:$J$1000,J243,$ED$2:$ED$1000,"&lt;"&amp;ED243)=0,"Y","N"))</f>
        <v/>
      </c>
      <c r="EC243">
        <f>IF(Y243="","N",IF(Y243&lt;=10,"Y","N"))</f>
        <v/>
      </c>
      <c r="ED243">
        <f>ROW()-1</f>
        <v/>
      </c>
    </row>
    <row r="244">
      <c r="A244" t="inlineStr">
        <is>
          <t>AB-080</t>
        </is>
      </c>
      <c r="B244" t="inlineStr">
        <is>
          <t>Spring &amp; Mulberry</t>
        </is>
      </c>
      <c r="C244" t="inlineStr">
        <is>
          <t>Kathryn</t>
        </is>
      </c>
      <c r="D244" t="inlineStr">
        <is>
          <t>unknown</t>
        </is>
      </c>
      <c r="E244" t="inlineStr">
        <is>
          <t>Co-founder</t>
        </is>
      </c>
      <c r="H244" t="inlineStr">
        <is>
          <t>none</t>
        </is>
      </c>
      <c r="I244" t="inlineStr">
        <is>
          <t>linkedin</t>
        </is>
      </c>
      <c r="J244">
        <f>IF(AU244="pass",CM244+CN244+CO244+CP244+CQ244+CR244+CS244+CT244,0)</f>
        <v/>
      </c>
      <c r="K244" t="inlineStr">
        <is>
          <t>Gated out: health-claim: explicit health claim on the brand's homepage (opened 2026-10-24): 'dates help regulate digestion, slow the absorption of naturally occurring suga.</t>
        </is>
      </c>
      <c r="M244" t="inlineStr">
        <is>
          <t>Whole Foods Market NoMad, 63 Madison Ave</t>
        </is>
      </c>
      <c r="N244" t="inlineStr">
        <is>
          <t>store_selector</t>
        </is>
      </c>
      <c r="O244" t="inlineStr">
        <is>
          <t>New Painterly gift sets and Salted Almond bar added to brand store, Oct 2026</t>
        </is>
      </c>
      <c r="P244" t="inlineStr">
        <is>
          <t>https://springandmulberry.com/</t>
        </is>
      </c>
      <c r="Q244" t="inlineStr">
        <is>
          <t>2026-10-12</t>
        </is>
      </c>
      <c r="R244" t="inlineStr">
        <is>
          <t>N</t>
        </is>
      </c>
      <c r="S244" t="inlineStr">
        <is>
          <t>unknown</t>
        </is>
      </c>
      <c r="T244" t="inlineStr">
        <is>
          <t>N</t>
        </is>
      </c>
      <c r="U244" t="inlineStr">
        <is>
          <t>new</t>
        </is>
      </c>
      <c r="V244" t="inlineStr">
        <is>
          <t>https://springandmulberry.com/pages/about</t>
        </is>
      </c>
      <c r="W244" t="inlineStr">
        <is>
          <t>2026-10-23</t>
        </is>
      </c>
      <c r="X244" t="inlineStr">
        <is>
          <t>brand</t>
        </is>
      </c>
      <c r="Y244">
        <f>IF(EB244&lt;&gt;"Y","",COUNTIFS($EB$2:$EB$1000,"Y",$J$2:$J$1000,"&gt;"&amp;J244)+COUNTIFS($EB$2:$EB$1000,"Y",$J$2:$J$1000,J244,$ED$2:$ED$1000,"&lt;"&amp;ED244)+1)</f>
        <v/>
      </c>
      <c r="AA244" t="inlineStr">
        <is>
          <t>N</t>
        </is>
      </c>
      <c r="AC244" t="inlineStr">
        <is>
          <t>founder</t>
        </is>
      </c>
      <c r="AD244" t="inlineStr">
        <is>
          <t>first-name-only</t>
        </is>
      </c>
      <c r="AE244" t="inlineStr">
        <is>
          <t>employer's own site</t>
        </is>
      </c>
      <c r="AF244" t="inlineStr">
        <is>
          <t>https://springandmulberry.com/pages/founders</t>
        </is>
      </c>
      <c r="AG244" t="inlineStr">
        <is>
          <t>2026-10-24</t>
        </is>
      </c>
      <c r="AH244" t="inlineStr">
        <is>
          <t>Date Pecan Date Sweetened Chocolate Bar 2.1 oz</t>
        </is>
      </c>
      <c r="AI244" t="inlineStr">
        <is>
          <t>chocolate-candy</t>
        </is>
      </c>
      <c r="AJ244" t="inlineStr">
        <is>
          <t>Raleigh</t>
        </is>
      </c>
      <c r="AK244" t="inlineStr">
        <is>
          <t>https://springandmulberry.com</t>
        </is>
      </c>
      <c r="AL244" t="inlineStr">
        <is>
          <t>Y</t>
        </is>
      </c>
      <c r="AM244" t="inlineStr">
        <is>
          <t>'No refined sugar' and 'healing power of whole food' wellness language on brand site; check pack copy for claims</t>
        </is>
      </c>
      <c r="AN244" t="inlineStr">
        <is>
          <t>AB-080</t>
        </is>
      </c>
      <c r="AO244" t="inlineStr">
        <is>
          <t>N</t>
        </is>
      </c>
      <c r="AR244">
        <f>IF(AND(AU244="pass",AO244&lt;&gt;"Y",C244&lt;&gt;""),"Y","N")</f>
        <v/>
      </c>
      <c r="AS244">
        <f>_xlfn.TEXTJOIN("; ",TRUE,IF(AU244&lt;&gt;"pass","gated out",""),IF(AO244="Y","on hold: "&amp;AP244,""),IF(C244="","no contact named on an opened page",""))</f>
        <v/>
      </c>
      <c r="AU244" t="inlineStr">
        <is>
          <t>fail</t>
        </is>
      </c>
      <c r="AV244" t="inlineStr">
        <is>
          <t>health-claim</t>
        </is>
      </c>
      <c r="AW244" t="inlineStr">
        <is>
          <t>health-claim: explicit health claim on the brand's homepage (opened 2026-10-24): 'dates help regulate digestion, slow the absorption of naturally occurring sugars, and improve gut health'; 'Gut Friendly'; footer carries the FDA structure/function disclaimer</t>
        </is>
      </c>
      <c r="AX244" t="inlineStr">
        <is>
          <t>claim-borderline</t>
        </is>
      </c>
      <c r="AY244" t="inlineStr">
        <is>
          <t>https://springandmulberry.com</t>
        </is>
      </c>
      <c r="AZ244" t="inlineStr">
        <is>
          <t>NC</t>
        </is>
      </c>
      <c r="BA244" t="inlineStr">
        <is>
          <t>elsewhere</t>
        </is>
      </c>
      <c r="BB244" t="inlineStr">
        <is>
          <t>unknown</t>
        </is>
      </c>
      <c r="BD244" t="inlineStr">
        <is>
          <t>Y</t>
        </is>
      </c>
      <c r="BE244" t="inlineStr">
        <is>
          <t>Brand FAQ: best-buy date is 12 months for Embellished Bars with toppings and 14-16 months for the Essence Line; chocolate can melt above 75F.</t>
        </is>
      </c>
      <c r="BF244" t="inlineStr">
        <is>
          <t>Y</t>
        </is>
      </c>
      <c r="BG244" t="inlineStr">
        <is>
          <t>Y</t>
        </is>
      </c>
      <c r="BH244" t="inlineStr">
        <is>
          <t>unknown</t>
        </is>
      </c>
      <c r="BJ244" t="inlineStr">
        <is>
          <t>unknown</t>
        </is>
      </c>
      <c r="BK244" t="inlineStr">
        <is>
          <t>N</t>
        </is>
      </c>
      <c r="BL244" t="inlineStr">
        <is>
          <t>Y</t>
        </is>
      </c>
      <c r="BM244" t="inlineStr">
        <is>
          <t>explicit health claim on the brand's homepage (opened 2026-10-24): 'dates help regulate digestion, slow the absorption of naturally occurring sugars, and improve gut health'; 'Gut Friendly'; footer carries the FDA structure/function disclaimer</t>
        </is>
      </c>
      <c r="BN244" t="n">
        <v>0</v>
      </c>
      <c r="BO244" t="inlineStr">
        <is>
          <t>Y</t>
        </is>
      </c>
      <c r="BP244" t="n">
        <v>3</v>
      </c>
      <c r="BQ244" t="inlineStr">
        <is>
          <t>Whole Foods Market NoMad, 63 Madison Ave (store_selector, inside);Whole Foods Market Union Square, 4 Union Sq S (store_selector, inside);Whole Foods Market Chelsea, 250 7th Ave (store_selector, 3.0 blocks out)</t>
        </is>
      </c>
      <c r="BS244" t="inlineStr">
        <is>
          <t>Whole Foods; wine and cheese shops, boutiques, natural grocers (brand stockist page); Faire wholesale</t>
        </is>
      </c>
      <c r="BT244" t="inlineStr">
        <is>
          <t>https://www.wholefoodsmarket.com/api/search?text=spring%20mulberry&amp;store=10162&amp;limit=60&amp;offset=0; https://www.wholefoodsmarket.com/api/search?text=spring%20mulberry&amp;store=10773&amp;limit=60&amp;offset=0; https://www.wholefoodsmarket.com/api/search?text=spring%20mulberry&amp;store=10131&amp;limit=60&amp;offset=0</t>
        </is>
      </c>
      <c r="BU244" t="inlineStr">
        <is>
          <t>listing</t>
        </is>
      </c>
      <c r="BV244" t="n">
        <v>12</v>
      </c>
      <c r="BX244" t="inlineStr">
        <is>
          <t>Kathryn</t>
        </is>
      </c>
      <c r="BY244" t="inlineStr">
        <is>
          <t>Stage 3 (entered the top 60 after re-scoring). The brand's Founders page (opened 2026-10-24) quotes two founders by first name, KATHRYN and SARAH; the FAQ (opened) says the name is the New York intersection where Kathryn met her husband. Surname not public on the brand's pages.</t>
        </is>
      </c>
      <c r="CA244" t="inlineStr">
        <is>
          <t>Sarah</t>
        </is>
      </c>
      <c r="CB244" t="inlineStr">
        <is>
          <t>Sarah</t>
        </is>
      </c>
      <c r="CC244" t="inlineStr">
        <is>
          <t>unknown</t>
        </is>
      </c>
      <c r="CD244" t="inlineStr">
        <is>
          <t>Co-founder</t>
        </is>
      </c>
      <c r="CE244" t="inlineStr">
        <is>
          <t>co-founder or executive</t>
        </is>
      </c>
      <c r="CF244" t="inlineStr">
        <is>
          <t>first-name-only</t>
        </is>
      </c>
      <c r="CG244" t="inlineStr">
        <is>
          <t>Founders page (opened 2026-10-24) quotes SARAH as the second founder. First name only.</t>
        </is>
      </c>
      <c r="CK244" t="inlineStr">
        <is>
          <t>none</t>
        </is>
      </c>
      <c r="CL244" t="n">
        <v>50</v>
      </c>
      <c r="CM244" t="n">
        <v>25</v>
      </c>
      <c r="CN244" t="n">
        <v>3</v>
      </c>
      <c r="CO244" t="n">
        <v>8</v>
      </c>
      <c r="CP244" t="n">
        <v>5</v>
      </c>
      <c r="CQ244" t="n">
        <v>10</v>
      </c>
      <c r="CR244" t="n">
        <v>3</v>
      </c>
      <c r="CS244">
        <f>IF(R244="Y",10,0)</f>
        <v/>
      </c>
      <c r="CT244" t="n">
        <v>-4</v>
      </c>
      <c r="CU244" t="inlineStr">
        <is>
          <t>https://www.instagram.com/spring.mulberry/</t>
        </is>
      </c>
      <c r="CV244" t="inlineStr">
        <is>
          <t>BR2</t>
        </is>
      </c>
      <c r="CW244" t="inlineStr">
        <is>
          <t>BR2:17</t>
        </is>
      </c>
      <c r="CX244" t="inlineStr">
        <is>
          <t>HQ and founder name not found on brand pages; WebSearch budget was exhausted before a lookup. Why-now date from Shopify publish dates.</t>
        </is>
      </c>
      <c r="CY244" t="inlineStr">
        <is>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is>
      </c>
      <c r="CZ244" t="inlineStr">
        <is>
          <t>https://springandmulberry.com/pages/founders</t>
        </is>
      </c>
      <c r="DA244" t="inlineStr">
        <is>
          <t>stage 3</t>
        </is>
      </c>
      <c r="DC244" t="inlineStr">
        <is>
          <t>employer's own site</t>
        </is>
      </c>
      <c r="DY244">
        <f>IF(ISNUMBER(MATCH(U244,{"queued","contacted","replied","call_booked","call_done","yes_in_principle","materials_sent"},0)),"Y","N")</f>
        <v/>
      </c>
      <c r="DZ244">
        <f>IF(COUNTIFS($AN$2:$AN$1000,AN244,$DY$2:$DY$1000,"Y")+COUNTIFS($AN$2:$AN$1000,AN244,$T$2:$T$1000,"Y")&gt;0,"Y","N")</f>
        <v/>
      </c>
      <c r="EA244">
        <f>IF(AND(U244="new",T244="N",AR244="Y",AQ244="",DZ244="N"),"Y","N")</f>
        <v/>
      </c>
      <c r="EB244">
        <f>IF(EA244&lt;&gt;"Y","N",IF(COUNTIFS($AN$2:$AN$1000,AN244,$EA$2:$EA$1000,"Y",$J$2:$J$1000,"&gt;"&amp;J244)+COUNTIFS($AN$2:$AN$1000,AN244,$EA$2:$EA$1000,"Y",$J$2:$J$1000,J244,$ED$2:$ED$1000,"&lt;"&amp;ED244)=0,"Y","N"))</f>
        <v/>
      </c>
      <c r="EC244">
        <f>IF(Y244="","N",IF(Y244&lt;=10,"Y","N"))</f>
        <v/>
      </c>
      <c r="ED244">
        <f>ROW()-1</f>
        <v/>
      </c>
    </row>
    <row r="245">
      <c r="A245" t="inlineStr">
        <is>
          <t>AB-245</t>
        </is>
      </c>
      <c r="B245" t="inlineStr">
        <is>
          <t>Bear's Fruit</t>
        </is>
      </c>
      <c r="H245" t="inlineStr">
        <is>
          <t>none</t>
        </is>
      </c>
      <c r="J245">
        <f>IF(AU245="pass",CM245+CN245+CO245+CP245+CQ245+CR245+CS245+CT245,0)</f>
        <v/>
      </c>
      <c r="K245" t="inlineStr">
        <is>
          <t>Gated out: health-claim: Health-claim positioning: site title 'Gut Health Drinks'; Our Story: 'make improving gut health something to be enjoyed'.</t>
        </is>
      </c>
      <c r="M245" t="inlineStr">
        <is>
          <t>Whole Foods Market NoMad, 63 Madison Ave</t>
        </is>
      </c>
      <c r="N245" t="inlineStr">
        <is>
          <t>store_selector</t>
        </is>
      </c>
      <c r="R245" t="inlineStr">
        <is>
          <t>N</t>
        </is>
      </c>
      <c r="S245" t="inlineStr">
        <is>
          <t>unknown</t>
        </is>
      </c>
      <c r="T245" t="inlineStr">
        <is>
          <t>N</t>
        </is>
      </c>
      <c r="U245" t="inlineStr">
        <is>
          <t>new</t>
        </is>
      </c>
      <c r="V245" t="inlineStr">
        <is>
          <t>https://www.bearsfruit.com/pages/our-story</t>
        </is>
      </c>
      <c r="W245" t="inlineStr">
        <is>
          <t>2026-10-23</t>
        </is>
      </c>
      <c r="X245" t="inlineStr">
        <is>
          <t>brand</t>
        </is>
      </c>
      <c r="Y245">
        <f>IF(EB245&lt;&gt;"Y","",COUNTIFS($EB$2:$EB$1000,"Y",$J$2:$J$1000,"&gt;"&amp;J245)+COUNTIFS($EB$2:$EB$1000,"Y",$J$2:$J$1000,J245,$ED$2:$ED$1000,"&lt;"&amp;ED245)+1)</f>
        <v/>
      </c>
      <c r="AA245" t="inlineStr">
        <is>
          <t>N</t>
        </is>
      </c>
      <c r="AC245" t="inlineStr">
        <is>
          <t>founder</t>
        </is>
      </c>
      <c r="AD245" t="inlineStr">
        <is>
          <t>unverified</t>
        </is>
      </c>
      <c r="AE245" t="inlineStr">
        <is>
          <t>employer's own site</t>
        </is>
      </c>
      <c r="AF245" t="inlineStr">
        <is>
          <t>https://www.bearsfruit.com/pages/our-story</t>
        </is>
      </c>
      <c r="AG245" t="inlineStr">
        <is>
          <t>2026-10-23</t>
        </is>
      </c>
      <c r="AH245" t="inlineStr">
        <is>
          <t>Blackberry Sage Sparkling Probiotic Water, 12 fl oz can</t>
        </is>
      </c>
      <c r="AI245" t="inlineStr">
        <is>
          <t>sparkling-soda</t>
        </is>
      </c>
      <c r="AJ245" t="inlineStr">
        <is>
          <t>unknown (began 'in the back of a cookie shop in Brooklyn' per Our Story; current base not stated)</t>
        </is>
      </c>
      <c r="AK245" t="inlineStr">
        <is>
          <t>https://www.bearsfruit.com</t>
        </is>
      </c>
      <c r="AL245" t="inlineStr">
        <is>
          <t>Y</t>
        </is>
      </c>
      <c r="AM245" t="inlineStr">
        <is>
          <t>Probiotic drink; may also need refrigeration; claim is on website, check pack; 60-day shelf life not stated</t>
        </is>
      </c>
      <c r="AN245" t="inlineStr">
        <is>
          <t>AB-245</t>
        </is>
      </c>
      <c r="AO245" t="inlineStr">
        <is>
          <t>N</t>
        </is>
      </c>
      <c r="AR245">
        <f>IF(AND(AU245="pass",AO245&lt;&gt;"Y",C245&lt;&gt;""),"Y","N")</f>
        <v/>
      </c>
      <c r="AS245">
        <f>_xlfn.TEXTJOIN("; ",TRUE,IF(AU245&lt;&gt;"pass","gated out",""),IF(AO245="Y","on hold: "&amp;AP245,""),IF(C245="","no contact named on an opened page",""))</f>
        <v/>
      </c>
      <c r="AU245" t="inlineStr">
        <is>
          <t>fail</t>
        </is>
      </c>
      <c r="AV245" t="inlineStr">
        <is>
          <t>health-claim</t>
        </is>
      </c>
      <c r="AW245" t="inlineStr">
        <is>
          <t>health-claim: Health-claim positioning: site title 'Gut Health Drinks'; Our Story: 'make improving gut health something to be enjoyed'</t>
        </is>
      </c>
      <c r="AX245" t="inlineStr">
        <is>
          <t>claim-borderline</t>
        </is>
      </c>
      <c r="AY245" t="inlineStr">
        <is>
          <t>https://www.bearsfruit.com</t>
        </is>
      </c>
      <c r="AZ245" t="inlineStr">
        <is>
          <t>NY (origin)</t>
        </is>
      </c>
      <c r="BA245" t="inlineStr">
        <is>
          <t>nyc</t>
        </is>
      </c>
      <c r="BB245" t="inlineStr">
        <is>
          <t>unknown</t>
        </is>
      </c>
      <c r="BD245" t="inlineStr">
        <is>
          <t>unknown</t>
        </is>
      </c>
      <c r="BE245" t="inlineStr">
        <is>
          <t>Probiotic/fermented drink; storage not stated</t>
        </is>
      </c>
      <c r="BF245" t="inlineStr">
        <is>
          <t>Y</t>
        </is>
      </c>
      <c r="BG245" t="inlineStr">
        <is>
          <t>Y</t>
        </is>
      </c>
      <c r="BH245" t="inlineStr">
        <is>
          <t>unknown</t>
        </is>
      </c>
      <c r="BJ245" t="inlineStr">
        <is>
          <t>unknown</t>
        </is>
      </c>
      <c r="BK245" t="inlineStr">
        <is>
          <t>Y</t>
        </is>
      </c>
      <c r="BL245" t="inlineStr">
        <is>
          <t>Y</t>
        </is>
      </c>
      <c r="BM245" t="inlineStr">
        <is>
          <t>Health-claim positioning: site title 'Gut Health Drinks'; Our Story: 'make improving gut health something to be enjoyed'</t>
        </is>
      </c>
      <c r="BN245" t="n">
        <v>0</v>
      </c>
      <c r="BO245" t="inlineStr">
        <is>
          <t>Y</t>
        </is>
      </c>
      <c r="BP245" t="n">
        <v>3</v>
      </c>
      <c r="BQ245" t="inlineStr">
        <is>
          <t>Whole Foods Market NoMad, 63 Madison Ave (store_selector, inside);Whole Foods Market Union Square, 4 Union Sq S (store_selector, inside);Whole Foods Market Chelsea, 250 7th Ave (store_selector, 3.0 blocks out)</t>
        </is>
      </c>
      <c r="BR245" t="inlineStr">
        <is>
          <t>Whole Foods Market Manhattan West (store_selector, 13.8 blocks out)</t>
        </is>
      </c>
      <c r="BS245" t="inlineStr">
        <is>
          <t>Whole Foods Market (WFM catalog, flagged Local)</t>
        </is>
      </c>
      <c r="BT245" t="inlineStr">
        <is>
          <t>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is>
      </c>
      <c r="BU245" t="inlineStr">
        <is>
          <t>none</t>
        </is>
      </c>
      <c r="BX245" t="inlineStr">
        <is>
          <t>Chris</t>
        </is>
      </c>
      <c r="BY245" t="inlineStr">
        <is>
          <t>first names only on Our Story; surnames founder to confirm</t>
        </is>
      </c>
      <c r="CA245" t="inlineStr">
        <is>
          <t>Amy</t>
        </is>
      </c>
      <c r="CE245" t="inlineStr">
        <is>
          <t>co-founder</t>
        </is>
      </c>
      <c r="CF245" t="inlineStr">
        <is>
          <t>unverified</t>
        </is>
      </c>
      <c r="CG245" t="inlineStr">
        <is>
          <t>first names only on Our Story; surnames founder to confirm</t>
        </is>
      </c>
      <c r="CK245" t="inlineStr">
        <is>
          <t>none</t>
        </is>
      </c>
      <c r="CL245" t="n">
        <v>56</v>
      </c>
      <c r="CM245" t="n">
        <v>25</v>
      </c>
      <c r="CN245" t="n">
        <v>20</v>
      </c>
      <c r="CO245" t="n">
        <v>0</v>
      </c>
      <c r="CP245" t="n">
        <v>5</v>
      </c>
      <c r="CQ245" t="n">
        <v>7</v>
      </c>
      <c r="CR245" t="n">
        <v>3</v>
      </c>
      <c r="CS245">
        <f>IF(R245="Y",10,0)</f>
        <v/>
      </c>
      <c r="CT245" t="n">
        <v>-4</v>
      </c>
      <c r="CV245" t="inlineStr">
        <is>
          <t>BR4</t>
        </is>
      </c>
      <c r="CW245" t="inlineStr">
        <is>
          <t>BR4:40</t>
        </is>
      </c>
      <c r="CX245" t="inlineStr">
        <is>
          <t>Recorded so the gate is visible. WFM lists Blackberry Sage and Mango Habanero Sparkling Probiotic Water at Union Square and NoMad (sweep 2026-10-23, query 'sparkling').</t>
        </is>
      </c>
      <c r="CZ245" t="inlineStr">
        <is>
          <t>https://www.bearsfruit.com/pages/our-story</t>
        </is>
      </c>
      <c r="DA245" t="inlineStr">
        <is>
          <t>stage 1 only</t>
        </is>
      </c>
      <c r="DC245" t="inlineStr">
        <is>
          <t>employer's own site</t>
        </is>
      </c>
      <c r="DY245">
        <f>IF(ISNUMBER(MATCH(U245,{"queued","contacted","replied","call_booked","call_done","yes_in_principle","materials_sent"},0)),"Y","N")</f>
        <v/>
      </c>
      <c r="DZ245">
        <f>IF(COUNTIFS($AN$2:$AN$1000,AN245,$DY$2:$DY$1000,"Y")+COUNTIFS($AN$2:$AN$1000,AN245,$T$2:$T$1000,"Y")&gt;0,"Y","N")</f>
        <v/>
      </c>
      <c r="EA245">
        <f>IF(AND(U245="new",T245="N",AR245="Y",AQ245="",DZ245="N"),"Y","N")</f>
        <v/>
      </c>
      <c r="EB245">
        <f>IF(EA245&lt;&gt;"Y","N",IF(COUNTIFS($AN$2:$AN$1000,AN245,$EA$2:$EA$1000,"Y",$J$2:$J$1000,"&gt;"&amp;J245)+COUNTIFS($AN$2:$AN$1000,AN245,$EA$2:$EA$1000,"Y",$J$2:$J$1000,J245,$ED$2:$ED$1000,"&lt;"&amp;ED245)=0,"Y","N"))</f>
        <v/>
      </c>
      <c r="EC245">
        <f>IF(Y245="","N",IF(Y245&lt;=10,"Y","N"))</f>
        <v/>
      </c>
      <c r="ED245">
        <f>ROW()-1</f>
        <v/>
      </c>
    </row>
    <row r="246">
      <c r="A246" t="inlineStr">
        <is>
          <t>AB-209</t>
        </is>
      </c>
      <c r="B246" t="inlineStr">
        <is>
          <t>Brami</t>
        </is>
      </c>
      <c r="C246" t="inlineStr">
        <is>
          <t>Aaron</t>
        </is>
      </c>
      <c r="D246" t="inlineStr">
        <is>
          <t>Gatti</t>
        </is>
      </c>
      <c r="E246" t="inlineStr">
        <is>
          <t>Founder</t>
        </is>
      </c>
      <c r="H246" t="inlineStr">
        <is>
          <t>none</t>
        </is>
      </c>
      <c r="I246" t="inlineStr">
        <is>
          <t>linkedin</t>
        </is>
      </c>
      <c r="J246">
        <f>IF(AU246="pass",CM246+CN246+CO246+CP246+CQ246+CR246+CS246+CT246,0)</f>
        <v/>
      </c>
      <c r="K246" t="inlineStr">
        <is>
          <t>Gated out: health-claim: Explicit structure/function wording on brand FAQ: lupini 'support digestion', 'appetite-suppressing', 'without spiking your blood sugar'.</t>
        </is>
      </c>
      <c r="M246" t="inlineStr">
        <is>
          <t>Whole Foods Market NoMad, 63 Madison Ave</t>
        </is>
      </c>
      <c r="N246" t="inlineStr">
        <is>
          <t>store_selector</t>
        </is>
      </c>
      <c r="O246" t="inlineStr">
        <is>
          <t>Raised $33M Series B led by VMG Partners (PRNewswire, datelined New York; seen in search results, unverified)</t>
        </is>
      </c>
      <c r="Q246" t="inlineStr">
        <is>
          <t>2026-05-19</t>
        </is>
      </c>
      <c r="R246" t="inlineStr">
        <is>
          <t>N</t>
        </is>
      </c>
      <c r="S246" t="inlineStr">
        <is>
          <t>Y</t>
        </is>
      </c>
      <c r="T246" t="inlineStr">
        <is>
          <t>N</t>
        </is>
      </c>
      <c r="U246" t="inlineStr">
        <is>
          <t>new</t>
        </is>
      </c>
      <c r="V246" t="inlineStr">
        <is>
          <t>https://enjoybrami.com/pages/faqs</t>
        </is>
      </c>
      <c r="W246" t="inlineStr">
        <is>
          <t>2026-10-23</t>
        </is>
      </c>
      <c r="X246" t="inlineStr">
        <is>
          <t>brand</t>
        </is>
      </c>
      <c r="Y246">
        <f>IF(EB246&lt;&gt;"Y","",COUNTIFS($EB$2:$EB$1000,"Y",$J$2:$J$1000,"&gt;"&amp;J246)+COUNTIFS($EB$2:$EB$1000,"Y",$J$2:$J$1000,J246,$ED$2:$ED$1000,"&lt;"&amp;ED246)+1)</f>
        <v/>
      </c>
      <c r="AA246" t="inlineStr">
        <is>
          <t>N</t>
        </is>
      </c>
      <c r="AC246" t="inlineStr">
        <is>
          <t>founder</t>
        </is>
      </c>
      <c r="AD246" t="inlineStr">
        <is>
          <t>verified-page</t>
        </is>
      </c>
      <c r="AE246" t="inlineStr">
        <is>
          <t>employer's own site</t>
        </is>
      </c>
      <c r="AF246" t="inlineStr">
        <is>
          <t>https://enjoybrami.com/pages/brand-story</t>
        </is>
      </c>
      <c r="AG246" t="inlineStr">
        <is>
          <t>2026-10-23</t>
        </is>
      </c>
      <c r="AH246" t="inlineStr">
        <is>
          <t>Chili Lime Lupini Beans snack 5.3 oz (brand is now mainly lupini protein pasta)</t>
        </is>
      </c>
      <c r="AI246" t="inlineStr">
        <is>
          <t>other-snack</t>
        </is>
      </c>
      <c r="AJ246" t="inlineStr">
        <is>
          <t>New York (Series B release datelined New York per search result; Dealroom lists Carlsbad CA; unverified, founder to confirm)</t>
        </is>
      </c>
      <c r="AK246" t="inlineStr">
        <is>
          <t>https://enjoybrami.com/pages/shop-all</t>
        </is>
      </c>
      <c r="AL246" t="inlineStr">
        <is>
          <t>Y</t>
        </is>
      </c>
      <c r="AM246" t="inlineStr">
        <is>
          <t>Claim is on the website FAQ, not confirmed on pack; $33M Series B (May 2026) suggests above target size; snacks are now a minor line next to pasta; scale signal in the why-now ('Series B'): likely above the $10M band; ask at intake</t>
        </is>
      </c>
      <c r="AN246" t="inlineStr">
        <is>
          <t>AB-209</t>
        </is>
      </c>
      <c r="AO246" t="inlineStr">
        <is>
          <t>N</t>
        </is>
      </c>
      <c r="AR246">
        <f>IF(AND(AU246="pass",AO246&lt;&gt;"Y",C246&lt;&gt;""),"Y","N")</f>
        <v/>
      </c>
      <c r="AS246">
        <f>_xlfn.TEXTJOIN("; ",TRUE,IF(AU246&lt;&gt;"pass","gated out",""),IF(AO246="Y","on hold: "&amp;AP246,""),IF(C246="","no contact named on an opened page",""))</f>
        <v/>
      </c>
      <c r="AU246" t="inlineStr">
        <is>
          <t>fail</t>
        </is>
      </c>
      <c r="AV246" t="inlineStr">
        <is>
          <t>health-claim</t>
        </is>
      </c>
      <c r="AW246" t="inlineStr">
        <is>
          <t>health-claim: Explicit structure/function wording on brand FAQ: lupini 'support digestion', 'appetite-suppressing', 'without spiking your blood sugar'</t>
        </is>
      </c>
      <c r="AX246" t="inlineStr">
        <is>
          <t>claim-borderline;scale</t>
        </is>
      </c>
      <c r="AY246" t="inlineStr">
        <is>
          <t>https://enjoybrami.com</t>
        </is>
      </c>
      <c r="AZ246" t="inlineStr">
        <is>
          <t>NY (unverified)</t>
        </is>
      </c>
      <c r="BA246" t="inlineStr">
        <is>
          <t>nyc (unverified)</t>
        </is>
      </c>
      <c r="BB246" t="inlineStr">
        <is>
          <t>Series B ($33M led by VMG Partners, May 2026, PRNewswire seen in search results; unverified, founder to confirm)</t>
        </is>
      </c>
      <c r="BD246" t="inlineStr">
        <is>
          <t>Y</t>
        </is>
      </c>
      <c r="BE246" t="inlineStr">
        <is>
          <t>Sold as ambient ready-to-eat snack pouches in WFM grocery catalog; no shelf-life figure found, founder to confirm</t>
        </is>
      </c>
      <c r="BF246" t="inlineStr">
        <is>
          <t>Y</t>
        </is>
      </c>
      <c r="BG246" t="inlineStr">
        <is>
          <t>Y</t>
        </is>
      </c>
      <c r="BH246" t="inlineStr">
        <is>
          <t>unknown</t>
        </is>
      </c>
      <c r="BJ246" t="inlineStr">
        <is>
          <t>unknown</t>
        </is>
      </c>
      <c r="BK246" t="inlineStr">
        <is>
          <t>Y</t>
        </is>
      </c>
      <c r="BL246" t="inlineStr">
        <is>
          <t>Y</t>
        </is>
      </c>
      <c r="BM246" t="inlineStr">
        <is>
          <t>Explicit structure/function wording on brand FAQ: lupini 'support digestion', 'appetite-suppressing', 'without spiking your blood sugar'</t>
        </is>
      </c>
      <c r="BN246" t="n">
        <v>0</v>
      </c>
      <c r="BO246" t="inlineStr">
        <is>
          <t>Y</t>
        </is>
      </c>
      <c r="BP246" t="n">
        <v>3</v>
      </c>
      <c r="BQ246" t="inlineStr">
        <is>
          <t>Whole Foods Market NoMad, 63 Madison Ave (store_selector, inside);Whole Foods Market Union Square, 4 Union Sq S (store_selector, inside);Whole Foods Market Chelsea, 250 7th Ave (store_selector, 3.0 blocks out)</t>
        </is>
      </c>
      <c r="BR246" t="inlineStr">
        <is>
          <t>Whole Foods Market Manhattan West (store_selector, 13.8 blocks out)</t>
        </is>
      </c>
      <c r="BS246" t="inlineStr">
        <is>
          <t>Whole Foods Market</t>
        </is>
      </c>
      <c r="BT246" t="inlineStr">
        <is>
          <t>https://www.wholefoodsmarket.com/api/search?text=brami&amp;store=10773&amp;limit=60&amp;offset=0; https://www.wholefoodsmarket.com/api/search?text=brami&amp;store=10162&amp;limit=60&amp;offset=0</t>
        </is>
      </c>
      <c r="BU246" t="inlineStr">
        <is>
          <t>unverified</t>
        </is>
      </c>
      <c r="BV246" t="n">
        <v>158</v>
      </c>
      <c r="BW246" t="inlineStr">
        <is>
          <t>https://www.bakeryandsnacks.com/Article/2020/11/19/Startup-CPG-Pitch-II-15-emerging-brands-to-watch-from-spicy-jackfruit-bites-to-keto-mug-cakes?page=4</t>
        </is>
      </c>
      <c r="BX246" t="inlineStr">
        <is>
          <t>Aaron Gatti</t>
        </is>
      </c>
      <c r="CF246" t="inlineStr">
        <is>
          <t>none</t>
        </is>
      </c>
      <c r="CK246" t="inlineStr">
        <is>
          <t>none</t>
        </is>
      </c>
      <c r="CL246" t="n">
        <v>51</v>
      </c>
      <c r="CM246" t="n">
        <v>25</v>
      </c>
      <c r="CN246" t="n">
        <v>17</v>
      </c>
      <c r="CO246" t="n">
        <v>0</v>
      </c>
      <c r="CP246" t="n">
        <v>5</v>
      </c>
      <c r="CQ246" t="n">
        <v>10</v>
      </c>
      <c r="CR246" t="n">
        <v>6</v>
      </c>
      <c r="CS246">
        <f>IF(R246="Y",10,0)</f>
        <v/>
      </c>
      <c r="CT246" t="n">
        <v>-12</v>
      </c>
      <c r="CV246" t="inlineStr">
        <is>
          <t>BR4</t>
        </is>
      </c>
      <c r="CW246" t="inlineStr">
        <is>
          <t>BR4:4</t>
        </is>
      </c>
      <c r="CX246" t="inlineStr">
        <is>
          <t>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t>
        </is>
      </c>
      <c r="DA246" t="inlineStr">
        <is>
          <t>stage 1 only</t>
        </is>
      </c>
      <c r="DY246">
        <f>IF(ISNUMBER(MATCH(U246,{"queued","contacted","replied","call_booked","call_done","yes_in_principle","materials_sent"},0)),"Y","N")</f>
        <v/>
      </c>
      <c r="DZ246">
        <f>IF(COUNTIFS($AN$2:$AN$1000,AN246,$DY$2:$DY$1000,"Y")+COUNTIFS($AN$2:$AN$1000,AN246,$T$2:$T$1000,"Y")&gt;0,"Y","N")</f>
        <v/>
      </c>
      <c r="EA246">
        <f>IF(AND(U246="new",T246="N",AR246="Y",AQ246="",DZ246="N"),"Y","N")</f>
        <v/>
      </c>
      <c r="EB246">
        <f>IF(EA246&lt;&gt;"Y","N",IF(COUNTIFS($AN$2:$AN$1000,AN246,$EA$2:$EA$1000,"Y",$J$2:$J$1000,"&gt;"&amp;J246)+COUNTIFS($AN$2:$AN$1000,AN246,$EA$2:$EA$1000,"Y",$J$2:$J$1000,J246,$ED$2:$ED$1000,"&lt;"&amp;ED246)=0,"Y","N"))</f>
        <v/>
      </c>
      <c r="EC246">
        <f>IF(Y246="","N",IF(Y246&lt;=10,"Y","N"))</f>
        <v/>
      </c>
      <c r="ED246">
        <f>ROW()-1</f>
        <v/>
      </c>
    </row>
    <row r="247">
      <c r="A247" t="inlineStr">
        <is>
          <t>AB-078</t>
        </is>
      </c>
      <c r="B247" t="inlineStr">
        <is>
          <t>Greyston Bakery</t>
        </is>
      </c>
      <c r="C247" t="inlineStr">
        <is>
          <t>Bernie</t>
        </is>
      </c>
      <c r="D247" t="inlineStr">
        <is>
          <t>Glassman</t>
        </is>
      </c>
      <c r="E247" t="inlineStr">
        <is>
          <t>Founder</t>
        </is>
      </c>
      <c r="H247" t="inlineStr">
        <is>
          <t>none</t>
        </is>
      </c>
      <c r="I247" t="inlineStr">
        <is>
          <t>linkedin</t>
        </is>
      </c>
      <c r="J247">
        <f>IF(AU247="pass",CM247+CN247+CO247+CP247+CQ247+CR247+CS247+CT247,0)</f>
        <v/>
      </c>
      <c r="K247" t="inlineStr">
        <is>
          <t>Gated out: not-shelf-stable: Shelf life 2 weeks at room temperature per brand FAQ (below 60 days).</t>
        </is>
      </c>
      <c r="M247" t="inlineStr">
        <is>
          <t>Whole Foods Market NoMad, 63 Madison Ave</t>
        </is>
      </c>
      <c r="N247" t="inlineStr">
        <is>
          <t>store_selector</t>
        </is>
      </c>
      <c r="R247" t="inlineStr">
        <is>
          <t>N</t>
        </is>
      </c>
      <c r="S247" t="inlineStr">
        <is>
          <t>unknown</t>
        </is>
      </c>
      <c r="T247" t="inlineStr">
        <is>
          <t>N</t>
        </is>
      </c>
      <c r="U247" t="inlineStr">
        <is>
          <t>new</t>
        </is>
      </c>
      <c r="V247" t="inlineStr">
        <is>
          <t>https://shop.greyston.org/pages/faq</t>
        </is>
      </c>
      <c r="W247" t="inlineStr">
        <is>
          <t>2026-10-23</t>
        </is>
      </c>
      <c r="X247" t="inlineStr">
        <is>
          <t>brand</t>
        </is>
      </c>
      <c r="Y247">
        <f>IF(EB247&lt;&gt;"Y","",COUNTIFS($EB$2:$EB$1000,"Y",$J$2:$J$1000,"&gt;"&amp;J247)+COUNTIFS($EB$2:$EB$1000,"Y",$J$2:$J$1000,J247,$ED$2:$ED$1000,"&lt;"&amp;ED247)+1)</f>
        <v/>
      </c>
      <c r="AA247" t="inlineStr">
        <is>
          <t>N</t>
        </is>
      </c>
      <c r="AC247" t="inlineStr">
        <is>
          <t>founder</t>
        </is>
      </c>
      <c r="AD247" t="inlineStr">
        <is>
          <t>verified-page</t>
        </is>
      </c>
      <c r="AE247" t="inlineStr">
        <is>
          <t>employer's own site</t>
        </is>
      </c>
      <c r="AF247" t="inlineStr">
        <is>
          <t>https://shop.greyston.org/pages/about-greyston</t>
        </is>
      </c>
      <c r="AG247" t="inlineStr">
        <is>
          <t>2026-10-23</t>
        </is>
      </c>
      <c r="AH247" t="inlineStr">
        <is>
          <t>Fudge Brownie 2.5 oz; Birthday Cake Blondie 2.5 oz</t>
        </is>
      </c>
      <c r="AI247" t="inlineStr">
        <is>
          <t>cookies-baked</t>
        </is>
      </c>
      <c r="AJ247" t="inlineStr">
        <is>
          <t>Yonkers</t>
        </is>
      </c>
      <c r="AK247" t="inlineStr">
        <is>
          <t>https://shop.greyston.org</t>
        </is>
      </c>
      <c r="AL247" t="inlineStr">
        <is>
          <t>Y</t>
        </is>
      </c>
      <c r="AM247" t="inlineStr">
        <is>
          <t>Retail 2.5 oz wrapped SKUs at Whole Foods may carry different dating than gift items; confirm before final exclusion</t>
        </is>
      </c>
      <c r="AN247" t="inlineStr">
        <is>
          <t>AB-078</t>
        </is>
      </c>
      <c r="AO247" t="inlineStr">
        <is>
          <t>N</t>
        </is>
      </c>
      <c r="AR247">
        <f>IF(AND(AU247="pass",AO247&lt;&gt;"Y",C247&lt;&gt;""),"Y","N")</f>
        <v/>
      </c>
      <c r="AS247">
        <f>_xlfn.TEXTJOIN("; ",TRUE,IF(AU247&lt;&gt;"pass","gated out",""),IF(AO247="Y","on hold: "&amp;AP247,""),IF(C247="","no contact named on an opened page",""))</f>
        <v/>
      </c>
      <c r="AU247" t="inlineStr">
        <is>
          <t>fail</t>
        </is>
      </c>
      <c r="AV247" t="inlineStr">
        <is>
          <t>not-shelf-stable</t>
        </is>
      </c>
      <c r="AW247" t="inlineStr">
        <is>
          <t>not-shelf-stable: Shelf life 2 weeks at room temperature per brand FAQ (below 60 days)</t>
        </is>
      </c>
      <c r="AX247" t="inlineStr">
        <is>
          <t>other</t>
        </is>
      </c>
      <c r="AY247" t="inlineStr">
        <is>
          <t>https://shop.greyston.org</t>
        </is>
      </c>
      <c r="AZ247" t="inlineStr">
        <is>
          <t>NY</t>
        </is>
      </c>
      <c r="BA247" t="inlineStr">
        <is>
          <t>nys</t>
        </is>
      </c>
      <c r="BB247" t="inlineStr">
        <is>
          <t>unknown (social enterprise, Open Hiring since 1982)</t>
        </is>
      </c>
      <c r="BD247" t="inlineStr">
        <is>
          <t>N</t>
        </is>
      </c>
      <c r="BE247" t="inlineStr">
        <is>
          <t>Brand FAQ: brownies and blondies 'stay fresh at room temperature for 2 weeks after receiving them' (gift shop items)</t>
        </is>
      </c>
      <c r="BF247" t="inlineStr">
        <is>
          <t>Y</t>
        </is>
      </c>
      <c r="BG247" t="inlineStr">
        <is>
          <t>Y</t>
        </is>
      </c>
      <c r="BH247" t="inlineStr">
        <is>
          <t>unknown</t>
        </is>
      </c>
      <c r="BJ247" t="inlineStr">
        <is>
          <t>unknown</t>
        </is>
      </c>
      <c r="BK247" t="inlineStr">
        <is>
          <t>N</t>
        </is>
      </c>
      <c r="BL247" t="inlineStr">
        <is>
          <t>Y</t>
        </is>
      </c>
      <c r="BM247" t="inlineStr">
        <is>
          <t>Shelf life 2 weeks at room temperature per brand FAQ (below 60 days)</t>
        </is>
      </c>
      <c r="BN247" t="n">
        <v>0</v>
      </c>
      <c r="BO247" t="inlineStr">
        <is>
          <t>Y</t>
        </is>
      </c>
      <c r="BP247" t="n">
        <v>3</v>
      </c>
      <c r="BQ247" t="inlineStr">
        <is>
          <t>Whole Foods Market NoMad, 63 Madison Ave (store_selector, inside);Whole Foods Market Union Square, 4 Union Sq S (store_selector, inside);Whole Foods Market Chelsea, 250 7th Ave (store_selector, 3.0 blocks out)</t>
        </is>
      </c>
      <c r="BS247" t="inlineStr">
        <is>
          <t>Whole Foods</t>
        </is>
      </c>
      <c r="BT247" t="inlineStr">
        <is>
          <t>https://www.wholefoodsmarket.com/api/search?text=greyston&amp;store=10162&amp;limit=60&amp;offset=0; https://www.wholefoodsmarket.com/api/search?text=greyston&amp;store=10773&amp;limit=60&amp;offset=0; https://www.wholefoodsmarket.com/api/search?text=greyston&amp;store=10131&amp;limit=60&amp;offset=0</t>
        </is>
      </c>
      <c r="BU247" t="inlineStr">
        <is>
          <t>none</t>
        </is>
      </c>
      <c r="BX247" t="inlineStr">
        <is>
          <t>Bernie Glassman</t>
        </is>
      </c>
      <c r="CF247" t="inlineStr">
        <is>
          <t>none</t>
        </is>
      </c>
      <c r="CK247" t="inlineStr">
        <is>
          <t>none</t>
        </is>
      </c>
      <c r="CL247" t="n">
        <v>53</v>
      </c>
      <c r="CM247" t="n">
        <v>25</v>
      </c>
      <c r="CN247" t="n">
        <v>13</v>
      </c>
      <c r="CO247" t="n">
        <v>0</v>
      </c>
      <c r="CP247" t="n">
        <v>5</v>
      </c>
      <c r="CQ247" t="n">
        <v>6</v>
      </c>
      <c r="CR247" t="n">
        <v>6</v>
      </c>
      <c r="CS247">
        <f>IF(R247="Y",10,0)</f>
        <v/>
      </c>
      <c r="CT247" t="n">
        <v>-2</v>
      </c>
      <c r="CU247" t="inlineStr">
        <is>
          <t>https://www.instagram.com/greystonbakery/</t>
        </is>
      </c>
      <c r="CV247" t="inlineStr">
        <is>
          <t>BR2</t>
        </is>
      </c>
      <c r="CW247" t="inlineStr">
        <is>
          <t>BR2:15</t>
        </is>
      </c>
      <c r="CX247" t="inlineStr">
        <is>
          <t>Strong NY story (Yonkers, Open Hiring). Current leadership not identified.</t>
        </is>
      </c>
      <c r="DA247" t="inlineStr">
        <is>
          <t>stage 1 only</t>
        </is>
      </c>
      <c r="DY247">
        <f>IF(ISNUMBER(MATCH(U247,{"queued","contacted","replied","call_booked","call_done","yes_in_principle","materials_sent"},0)),"Y","N")</f>
        <v/>
      </c>
      <c r="DZ247">
        <f>IF(COUNTIFS($AN$2:$AN$1000,AN247,$DY$2:$DY$1000,"Y")+COUNTIFS($AN$2:$AN$1000,AN247,$T$2:$T$1000,"Y")&gt;0,"Y","N")</f>
        <v/>
      </c>
      <c r="EA247">
        <f>IF(AND(U247="new",T247="N",AR247="Y",AQ247="",DZ247="N"),"Y","N")</f>
        <v/>
      </c>
      <c r="EB247">
        <f>IF(EA247&lt;&gt;"Y","N",IF(COUNTIFS($AN$2:$AN$1000,AN247,$EA$2:$EA$1000,"Y",$J$2:$J$1000,"&gt;"&amp;J247)+COUNTIFS($AN$2:$AN$1000,AN247,$EA$2:$EA$1000,"Y",$J$2:$J$1000,J247,$ED$2:$ED$1000,"&lt;"&amp;ED247)=0,"Y","N"))</f>
        <v/>
      </c>
      <c r="EC247">
        <f>IF(Y247="","N",IF(Y247&lt;=10,"Y","N"))</f>
        <v/>
      </c>
      <c r="ED247">
        <f>ROW()-1</f>
        <v/>
      </c>
    </row>
    <row r="248">
      <c r="A248" t="inlineStr">
        <is>
          <t>AB-120</t>
        </is>
      </c>
      <c r="B248" t="inlineStr">
        <is>
          <t>Joolies</t>
        </is>
      </c>
      <c r="C248" t="inlineStr">
        <is>
          <t>David</t>
        </is>
      </c>
      <c r="D248" t="inlineStr">
        <is>
          <t>Kohl</t>
        </is>
      </c>
      <c r="E248" t="inlineStr">
        <is>
          <t>Co-founder</t>
        </is>
      </c>
      <c r="H248" t="inlineStr">
        <is>
          <t>none</t>
        </is>
      </c>
      <c r="I248" t="inlineStr">
        <is>
          <t>linkedin</t>
        </is>
      </c>
      <c r="J248">
        <f>IF(AU248="pass",CM248+CN248+CO248+CP248+CQ248+CR248+CS248+CT248,0)</f>
        <v/>
      </c>
      <c r="K248" t="inlineStr">
        <is>
          <t>Gated out: health-claim: explicit health claim on the brand's homepage (opened 2026-10-24): 'Dates are naturally rich in fiber to support digestion and keep things moving'.</t>
        </is>
      </c>
      <c r="M248" t="inlineStr">
        <is>
          <t>Whole Foods Market NoMad, 63 Madison Ave</t>
        </is>
      </c>
      <c r="N248" t="inlineStr">
        <is>
          <t>store_selector</t>
        </is>
      </c>
      <c r="R248" t="inlineStr">
        <is>
          <t>N</t>
        </is>
      </c>
      <c r="S248" t="inlineStr">
        <is>
          <t>unknown</t>
        </is>
      </c>
      <c r="T248" t="inlineStr">
        <is>
          <t>N</t>
        </is>
      </c>
      <c r="U248" t="inlineStr">
        <is>
          <t>new</t>
        </is>
      </c>
      <c r="V248" t="inlineStr">
        <is>
          <t>https://joolies.com/pages/story-timeline</t>
        </is>
      </c>
      <c r="W248" t="inlineStr">
        <is>
          <t>2026-10-23</t>
        </is>
      </c>
      <c r="X248" t="inlineStr">
        <is>
          <t>brand</t>
        </is>
      </c>
      <c r="Y248">
        <f>IF(EB248&lt;&gt;"Y","",COUNTIFS($EB$2:$EB$1000,"Y",$J$2:$J$1000,"&gt;"&amp;J248)+COUNTIFS($EB$2:$EB$1000,"Y",$J$2:$J$1000,J248,$ED$2:$ED$1000,"&lt;"&amp;ED248)+1)</f>
        <v/>
      </c>
      <c r="AA248" t="inlineStr">
        <is>
          <t>N</t>
        </is>
      </c>
      <c r="AC248" t="inlineStr">
        <is>
          <t>founder</t>
        </is>
      </c>
      <c r="AD248" t="inlineStr">
        <is>
          <t>verified-page</t>
        </is>
      </c>
      <c r="AE248" t="inlineStr">
        <is>
          <t>employer's own site</t>
        </is>
      </c>
      <c r="AF248" t="inlineStr">
        <is>
          <t>https://joolies.com/pages/story-timeline</t>
        </is>
      </c>
      <c r="AG248" t="inlineStr">
        <is>
          <t>2026-10-23</t>
        </is>
      </c>
      <c r="AH248" t="inlineStr">
        <is>
          <t>Organic Lemon Bar Date Pops 3.5 oz; Almond Date Rolls</t>
        </is>
      </c>
      <c r="AI248" t="inlineStr">
        <is>
          <t>fruit-snacks</t>
        </is>
      </c>
      <c r="AJ248" t="inlineStr">
        <is>
          <t>Los Angeles</t>
        </is>
      </c>
      <c r="AK248" t="inlineStr">
        <is>
          <t>https://joolies.com</t>
        </is>
      </c>
      <c r="AL248" t="inlineStr">
        <is>
          <t>Y</t>
        </is>
      </c>
      <c r="AM248" t="inlineStr">
        <is>
          <t>12,000+ stores may put it above the $10M ceiling; 'superfruit' positioning; 60-day shelf life not stated</t>
        </is>
      </c>
      <c r="AN248" t="inlineStr">
        <is>
          <t>AB-120</t>
        </is>
      </c>
      <c r="AO248" t="inlineStr">
        <is>
          <t>N</t>
        </is>
      </c>
      <c r="AR248">
        <f>IF(AND(AU248="pass",AO248&lt;&gt;"Y",C248&lt;&gt;""),"Y","N")</f>
        <v/>
      </c>
      <c r="AS248">
        <f>_xlfn.TEXTJOIN("; ",TRUE,IF(AU248&lt;&gt;"pass","gated out",""),IF(AO248="Y","on hold: "&amp;AP248,""),IF(C248="","no contact named on an opened page",""))</f>
        <v/>
      </c>
      <c r="AU248" t="inlineStr">
        <is>
          <t>fail</t>
        </is>
      </c>
      <c r="AV248" t="inlineStr">
        <is>
          <t>health-claim</t>
        </is>
      </c>
      <c r="AW248" t="inlineStr">
        <is>
          <t>health-claim: explicit health claim on the brand's homepage (opened 2026-10-24): 'Dates are naturally rich in fiber to support digestion and keep things moving'</t>
        </is>
      </c>
      <c r="AX248" t="inlineStr">
        <is>
          <t>scale</t>
        </is>
      </c>
      <c r="AY248" t="inlineStr">
        <is>
          <t>https://joolies.com</t>
        </is>
      </c>
      <c r="AZ248" t="inlineStr">
        <is>
          <t>CA</t>
        </is>
      </c>
      <c r="BA248" t="inlineStr">
        <is>
          <t>elsewhere</t>
        </is>
      </c>
      <c r="BB248" t="inlineStr">
        <is>
          <t>unknown</t>
        </is>
      </c>
      <c r="BD248" t="inlineStr">
        <is>
          <t>likely</t>
        </is>
      </c>
      <c r="BE248" t="inlineStr">
        <is>
          <t>Dates and date snacks sold ambient at Whole Foods; shelf-life figure not found</t>
        </is>
      </c>
      <c r="BF248" t="inlineStr">
        <is>
          <t>unknown</t>
        </is>
      </c>
      <c r="BG248" t="inlineStr">
        <is>
          <t>Y</t>
        </is>
      </c>
      <c r="BH248" t="inlineStr">
        <is>
          <t>unknown</t>
        </is>
      </c>
      <c r="BJ248" t="inlineStr">
        <is>
          <t>unknown</t>
        </is>
      </c>
      <c r="BK248" t="inlineStr">
        <is>
          <t>N</t>
        </is>
      </c>
      <c r="BL248" t="inlineStr">
        <is>
          <t>Y</t>
        </is>
      </c>
      <c r="BM248" t="inlineStr">
        <is>
          <t>explicit health claim on the brand's homepage (opened 2026-10-24): 'Dates are naturally rich in fiber to support digestion and keep things moving'</t>
        </is>
      </c>
      <c r="BN248" t="n">
        <v>0</v>
      </c>
      <c r="BO248" t="inlineStr">
        <is>
          <t>Y</t>
        </is>
      </c>
      <c r="BP248" t="n">
        <v>3</v>
      </c>
      <c r="BQ248" t="inlineStr">
        <is>
          <t>Whole Foods Market NoMad, 63 Madison Ave (store_selector, inside);Whole Foods Market Union Square, 4 Union Sq S (store_selector, inside);Whole Foods Market Chelsea, 250 7th Ave (store_selector, 3.0 blocks out)</t>
        </is>
      </c>
      <c r="BS248" t="inlineStr">
        <is>
          <t>12,000+ stores nationwide (brand home page); Whole Foods</t>
        </is>
      </c>
      <c r="BT248" t="inlineStr">
        <is>
          <t>https://www.wholefoodsmarket.com/api/search?text=joolies&amp;store=10162&amp;limit=60&amp;offset=0; https://www.wholefoodsmarket.com/api/search?text=joolies&amp;store=10773&amp;limit=60&amp;offset=0; https://www.wholefoodsmarket.com/api/search?text=joolies&amp;store=10131&amp;limit=60&amp;offset=0</t>
        </is>
      </c>
      <c r="BU248" t="inlineStr">
        <is>
          <t>none</t>
        </is>
      </c>
      <c r="BX248" t="inlineStr">
        <is>
          <t>David Kohl</t>
        </is>
      </c>
      <c r="CA248" t="inlineStr">
        <is>
          <t>Greg Willsey</t>
        </is>
      </c>
      <c r="CB248" t="inlineStr">
        <is>
          <t>Greg</t>
        </is>
      </c>
      <c r="CC248" t="inlineStr">
        <is>
          <t>Willsey</t>
        </is>
      </c>
      <c r="CD248" t="inlineStr">
        <is>
          <t>Co-founder</t>
        </is>
      </c>
      <c r="CE248" t="inlineStr">
        <is>
          <t>co-founder</t>
        </is>
      </c>
      <c r="CF248" t="inlineStr">
        <is>
          <t>verified-page</t>
        </is>
      </c>
      <c r="CK248" t="inlineStr">
        <is>
          <t>none</t>
        </is>
      </c>
      <c r="CL248" t="n">
        <v>33</v>
      </c>
      <c r="CM248" t="n">
        <v>25</v>
      </c>
      <c r="CN248" t="n">
        <v>3</v>
      </c>
      <c r="CO248" t="n">
        <v>0</v>
      </c>
      <c r="CP248" t="n">
        <v>5</v>
      </c>
      <c r="CQ248" t="n">
        <v>6</v>
      </c>
      <c r="CR248" t="n">
        <v>6</v>
      </c>
      <c r="CS248">
        <f>IF(R248="Y",10,0)</f>
        <v/>
      </c>
      <c r="CT248" t="n">
        <v>-12</v>
      </c>
      <c r="CU248" t="inlineStr">
        <is>
          <t>https://www.instagram.com/jooliesdates/</t>
        </is>
      </c>
      <c r="CV248" t="inlineStr">
        <is>
          <t>BR2</t>
        </is>
      </c>
      <c r="CW248" t="inlineStr">
        <is>
          <t>BR2:58</t>
        </is>
      </c>
      <c r="CX248" t="inlineStr">
        <is>
          <t>Company name on site: JOOLIES SUPERFRUIT LLC. All products show a 2026-09-29 publish date (likely a store rebuild), so not used as a why-now signal.</t>
        </is>
      </c>
      <c r="CY248" t="inlineStr">
        <is>
          <t xml:space="preserve">hq_city &lt;- https://joolies.com/policies/refund-policy (2026-10-24, opened); excluded &lt;- https://joolies.com (2026-10-24, stage 3 correction); exclusion_reason &lt;- https://joolies.com (2026-10-24, stage 3 correction); </t>
        </is>
      </c>
      <c r="CZ248" t="inlineStr">
        <is>
          <t>https://joolies.com/pages/story-timeline</t>
        </is>
      </c>
      <c r="DA248" t="inlineStr">
        <is>
          <t>stage 1 only</t>
        </is>
      </c>
      <c r="DC248" t="inlineStr">
        <is>
          <t>employer's own site</t>
        </is>
      </c>
      <c r="DY248">
        <f>IF(ISNUMBER(MATCH(U248,{"queued","contacted","replied","call_booked","call_done","yes_in_principle","materials_sent"},0)),"Y","N")</f>
        <v/>
      </c>
      <c r="DZ248">
        <f>IF(COUNTIFS($AN$2:$AN$1000,AN248,$DY$2:$DY$1000,"Y")+COUNTIFS($AN$2:$AN$1000,AN248,$T$2:$T$1000,"Y")&gt;0,"Y","N")</f>
        <v/>
      </c>
      <c r="EA248">
        <f>IF(AND(U248="new",T248="N",AR248="Y",AQ248="",DZ248="N"),"Y","N")</f>
        <v/>
      </c>
      <c r="EB248">
        <f>IF(EA248&lt;&gt;"Y","N",IF(COUNTIFS($AN$2:$AN$1000,AN248,$EA$2:$EA$1000,"Y",$J$2:$J$1000,"&gt;"&amp;J248)+COUNTIFS($AN$2:$AN$1000,AN248,$EA$2:$EA$1000,"Y",$J$2:$J$1000,J248,$ED$2:$ED$1000,"&lt;"&amp;ED248)=0,"Y","N"))</f>
        <v/>
      </c>
      <c r="EC248">
        <f>IF(Y248="","N",IF(Y248&lt;=10,"Y","N"))</f>
        <v/>
      </c>
      <c r="ED248">
        <f>ROW()-1</f>
        <v/>
      </c>
    </row>
    <row r="249">
      <c r="A249" t="inlineStr">
        <is>
          <t>AB-238</t>
        </is>
      </c>
      <c r="B249" t="inlineStr">
        <is>
          <t>QNSY Sparkling Cocktails</t>
        </is>
      </c>
      <c r="H249" t="inlineStr">
        <is>
          <t>none</t>
        </is>
      </c>
      <c r="J249">
        <f>IF(AU249="pass",CM249+CN249+CO249+CP249+CQ249+CR249+CS249+CT249,0)</f>
        <v/>
      </c>
      <c r="K249" t="inlineStr">
        <is>
          <t>Gated out: excluded-category: Alcohol (homepage: 'All with 5% alcohol').</t>
        </is>
      </c>
      <c r="M249" t="inlineStr">
        <is>
          <t>Whole Foods Market NoMad, 63 Madison Ave</t>
        </is>
      </c>
      <c r="N249" t="inlineStr">
        <is>
          <t>store_selector</t>
        </is>
      </c>
      <c r="R249" t="inlineStr">
        <is>
          <t>N</t>
        </is>
      </c>
      <c r="S249" t="inlineStr">
        <is>
          <t>unknown</t>
        </is>
      </c>
      <c r="T249" t="inlineStr">
        <is>
          <t>N</t>
        </is>
      </c>
      <c r="U249" t="inlineStr">
        <is>
          <t>new</t>
        </is>
      </c>
      <c r="V249" t="inlineStr">
        <is>
          <t>https://www.drinkqnsy.com/</t>
        </is>
      </c>
      <c r="W249" t="inlineStr">
        <is>
          <t>2026-10-23</t>
        </is>
      </c>
      <c r="X249" t="inlineStr">
        <is>
          <t>brand</t>
        </is>
      </c>
      <c r="Y249">
        <f>IF(EB249&lt;&gt;"Y","",COUNTIFS($EB$2:$EB$1000,"Y",$J$2:$J$1000,"&gt;"&amp;J249)+COUNTIFS($EB$2:$EB$1000,"Y",$J$2:$J$1000,J249,$ED$2:$ED$1000,"&lt;"&amp;ED249)+1)</f>
        <v/>
      </c>
      <c r="AA249" t="inlineStr">
        <is>
          <t>N</t>
        </is>
      </c>
      <c r="AD249" t="inlineStr">
        <is>
          <t>none</t>
        </is>
      </c>
      <c r="AH249" t="inlineStr">
        <is>
          <t>Cosmo Spiked Sparkling Water 12 fl oz can (5% alcohol)</t>
        </is>
      </c>
      <c r="AI249" t="inlineStr">
        <is>
          <t>other-drink</t>
        </is>
      </c>
      <c r="AJ249" t="inlineStr">
        <is>
          <t>Queens, New York</t>
        </is>
      </c>
      <c r="AL249" t="inlineStr">
        <is>
          <t>Y</t>
        </is>
      </c>
      <c r="AM249" t="inlineStr">
        <is>
          <t>no online store: buy path is the store only</t>
        </is>
      </c>
      <c r="AN249" t="inlineStr">
        <is>
          <t>AB-238</t>
        </is>
      </c>
      <c r="AO249" t="inlineStr">
        <is>
          <t>N</t>
        </is>
      </c>
      <c r="AR249">
        <f>IF(AND(AU249="pass",AO249&lt;&gt;"Y",C249&lt;&gt;""),"Y","N")</f>
        <v/>
      </c>
      <c r="AS249">
        <f>_xlfn.TEXTJOIN("; ",TRUE,IF(AU249&lt;&gt;"pass","gated out",""),IF(AO249="Y","on hold: "&amp;AP249,""),IF(C249="","no contact named on an opened page",""))</f>
        <v/>
      </c>
      <c r="AU249" t="inlineStr">
        <is>
          <t>fail</t>
        </is>
      </c>
      <c r="AV249" t="inlineStr">
        <is>
          <t>excluded-category</t>
        </is>
      </c>
      <c r="AW249" t="inlineStr">
        <is>
          <t>excluded-category: Alcohol (homepage: 'All with 5% alcohol')</t>
        </is>
      </c>
      <c r="AY249" t="inlineStr">
        <is>
          <t>https://www.drinkqnsy.com</t>
        </is>
      </c>
      <c r="AZ249" t="inlineStr">
        <is>
          <t>NY</t>
        </is>
      </c>
      <c r="BA249" t="inlineStr">
        <is>
          <t>nyc</t>
        </is>
      </c>
      <c r="BB249" t="inlineStr">
        <is>
          <t>unknown</t>
        </is>
      </c>
      <c r="BD249" t="inlineStr">
        <is>
          <t>Y</t>
        </is>
      </c>
      <c r="BE249" t="inlineStr">
        <is>
          <t>Canned</t>
        </is>
      </c>
      <c r="BF249" t="inlineStr">
        <is>
          <t>Y</t>
        </is>
      </c>
      <c r="BG249" t="inlineStr">
        <is>
          <t>unknown</t>
        </is>
      </c>
      <c r="BH249" t="inlineStr">
        <is>
          <t>unknown</t>
        </is>
      </c>
      <c r="BJ249" t="inlineStr">
        <is>
          <t>unknown</t>
        </is>
      </c>
      <c r="BK249" t="inlineStr">
        <is>
          <t>N</t>
        </is>
      </c>
      <c r="BL249" t="inlineStr">
        <is>
          <t>Y</t>
        </is>
      </c>
      <c r="BM249" t="inlineStr">
        <is>
          <t>Alcohol (homepage: 'All with 5% alcohol')</t>
        </is>
      </c>
      <c r="BN249" t="n">
        <v>0</v>
      </c>
      <c r="BO249" t="inlineStr">
        <is>
          <t>Y</t>
        </is>
      </c>
      <c r="BP249" t="n">
        <v>2</v>
      </c>
      <c r="BQ249" t="inlineStr">
        <is>
          <t>Whole Foods Market NoMad, 63 Madison Ave (store_selector, inside);Whole Foods Market Union Square, 4 Union Sq S (store_selector, inside)</t>
        </is>
      </c>
      <c r="BS249" t="inlineStr">
        <is>
          <t>Whole Foods Market (WFM catalog)</t>
        </is>
      </c>
      <c r="BT249" t="inlineStr">
        <is>
          <t>https://www.wholefoodsmarket.com/api/search?text=qnsy&amp;store=10773&amp;limit=60&amp;offset=0; https://www.wholefoodsmarket.com/api/search?text=qnsy&amp;store=10162&amp;limit=60&amp;offset=0</t>
        </is>
      </c>
      <c r="BU249" t="inlineStr">
        <is>
          <t>none</t>
        </is>
      </c>
      <c r="CF249" t="inlineStr">
        <is>
          <t>none</t>
        </is>
      </c>
      <c r="CK249" t="inlineStr">
        <is>
          <t>none</t>
        </is>
      </c>
      <c r="CL249" t="n">
        <v>58</v>
      </c>
      <c r="CM249" t="n">
        <v>25</v>
      </c>
      <c r="CN249" t="n">
        <v>20</v>
      </c>
      <c r="CO249" t="n">
        <v>0</v>
      </c>
      <c r="CP249" t="n">
        <v>5</v>
      </c>
      <c r="CQ249" t="n">
        <v>8</v>
      </c>
      <c r="CR249" t="n">
        <v>0</v>
      </c>
      <c r="CS249">
        <f>IF(R249="Y",10,0)</f>
        <v/>
      </c>
      <c r="CT249" t="n">
        <v>0</v>
      </c>
      <c r="CV249" t="inlineStr">
        <is>
          <t>BR4</t>
        </is>
      </c>
      <c r="CW249" t="inlineStr">
        <is>
          <t>BR4:33</t>
        </is>
      </c>
      <c r="CX249" t="inlineStr">
        <is>
          <t>Recorded so the gate is visible. Launched summer 2021 per press quote on homepage.</t>
        </is>
      </c>
      <c r="DA249" t="inlineStr">
        <is>
          <t>stage 1 only</t>
        </is>
      </c>
      <c r="DY249">
        <f>IF(ISNUMBER(MATCH(U249,{"queued","contacted","replied","call_booked","call_done","yes_in_principle","materials_sent"},0)),"Y","N")</f>
        <v/>
      </c>
      <c r="DZ249">
        <f>IF(COUNTIFS($AN$2:$AN$1000,AN249,$DY$2:$DY$1000,"Y")+COUNTIFS($AN$2:$AN$1000,AN249,$T$2:$T$1000,"Y")&gt;0,"Y","N")</f>
        <v/>
      </c>
      <c r="EA249">
        <f>IF(AND(U249="new",T249="N",AR249="Y",AQ249="",DZ249="N"),"Y","N")</f>
        <v/>
      </c>
      <c r="EB249">
        <f>IF(EA249&lt;&gt;"Y","N",IF(COUNTIFS($AN$2:$AN$1000,AN249,$EA$2:$EA$1000,"Y",$J$2:$J$1000,"&gt;"&amp;J249)+COUNTIFS($AN$2:$AN$1000,AN249,$EA$2:$EA$1000,"Y",$J$2:$J$1000,J249,$ED$2:$ED$1000,"&lt;"&amp;ED249)=0,"Y","N"))</f>
        <v/>
      </c>
      <c r="EC249">
        <f>IF(Y249="","N",IF(Y249&lt;=10,"Y","N"))</f>
        <v/>
      </c>
      <c r="ED249">
        <f>ROW()-1</f>
        <v/>
      </c>
    </row>
    <row r="250">
      <c r="A250" t="inlineStr">
        <is>
          <t>AB-190</t>
        </is>
      </c>
      <c r="B250" t="inlineStr">
        <is>
          <t>WAVA Water</t>
        </is>
      </c>
      <c r="H250" t="inlineStr">
        <is>
          <t>none</t>
        </is>
      </c>
      <c r="J250">
        <f>IF(AU250="pass",CM250+CN250+CO250+CP250+CQ250+CR250+CS250+CT250,0)</f>
        <v/>
      </c>
      <c r="K250" t="inlineStr">
        <is>
          <t>Gated out: health-claim: Structure or function wording on every product: '100 mg l-theanine for increased focus'.</t>
        </is>
      </c>
      <c r="M250" t="inlineStr">
        <is>
          <t>Fairway Chelsea, 766 6th Ave</t>
        </is>
      </c>
      <c r="N250" t="inlineStr">
        <is>
          <t>brand_claim</t>
        </is>
      </c>
      <c r="O250" t="inlineStr">
        <is>
          <t>New Lemon Ice + Natural pack listed (after Orange Vanilla, Natural, Lemon Ice in 2026-02)</t>
        </is>
      </c>
      <c r="P250" t="inlineStr">
        <is>
          <t>https://wavawater.com/products.json</t>
        </is>
      </c>
      <c r="Q250" t="inlineStr">
        <is>
          <t>2026-08-06</t>
        </is>
      </c>
      <c r="R250" t="inlineStr">
        <is>
          <t>N</t>
        </is>
      </c>
      <c r="S250" t="inlineStr">
        <is>
          <t>unknown</t>
        </is>
      </c>
      <c r="T250" t="inlineStr">
        <is>
          <t>N</t>
        </is>
      </c>
      <c r="U250" t="inlineStr">
        <is>
          <t>new</t>
        </is>
      </c>
      <c r="V250" t="inlineStr">
        <is>
          <t>https://wavawater.com/pages/about</t>
        </is>
      </c>
      <c r="W250" t="inlineStr">
        <is>
          <t>2026-10-23</t>
        </is>
      </c>
      <c r="X250" t="inlineStr">
        <is>
          <t>brand</t>
        </is>
      </c>
      <c r="Y250">
        <f>IF(EB250&lt;&gt;"Y","",COUNTIFS($EB$2:$EB$1000,"Y",$J$2:$J$1000,"&gt;"&amp;J250)+COUNTIFS($EB$2:$EB$1000,"Y",$J$2:$J$1000,J250,$ED$2:$ED$1000,"&lt;"&amp;ED250)+1)</f>
        <v/>
      </c>
      <c r="AA250" t="inlineStr">
        <is>
          <t>N</t>
        </is>
      </c>
      <c r="AD250" t="inlineStr">
        <is>
          <t>none</t>
        </is>
      </c>
      <c r="AH250" t="inlineStr">
        <is>
          <t>WAVA lightly caffeinated sparkling water (45 mg caffeine, 100 mg L-theanine), can</t>
        </is>
      </c>
      <c r="AI250" t="inlineStr">
        <is>
          <t>sparkling-soda</t>
        </is>
      </c>
      <c r="AJ250" t="inlineStr">
        <is>
          <t>Brooklyn</t>
        </is>
      </c>
      <c r="AK250" t="inlineStr">
        <is>
          <t>https://wavawater.com</t>
        </is>
      </c>
      <c r="AL250" t="inlineStr">
        <is>
          <t>Y</t>
        </is>
      </c>
      <c r="AM250" t="inlineStr">
        <is>
          <t>Strong Brooklyn founder story and one of the densest near-cluster footprints in this slice; the exclusion rests on one line of copy. Founder may decide to reinstate if the card and landing page avoid the focus claim; 60-day shelf life not stated</t>
        </is>
      </c>
      <c r="AN250" t="inlineStr">
        <is>
          <t>AB-190</t>
        </is>
      </c>
      <c r="AO250" t="inlineStr">
        <is>
          <t>N</t>
        </is>
      </c>
      <c r="AR250">
        <f>IF(AND(AU250="pass",AO250&lt;&gt;"Y",C250&lt;&gt;""),"Y","N")</f>
        <v/>
      </c>
      <c r="AS250">
        <f>_xlfn.TEXTJOIN("; ",TRUE,IF(AU250&lt;&gt;"pass","gated out",""),IF(AO250="Y","on hold: "&amp;AP250,""),IF(C250="","no contact named on an opened page",""))</f>
        <v/>
      </c>
      <c r="AU250" t="inlineStr">
        <is>
          <t>fail</t>
        </is>
      </c>
      <c r="AV250" t="inlineStr">
        <is>
          <t>health-claim</t>
        </is>
      </c>
      <c r="AW250" t="inlineStr">
        <is>
          <t>health-claim: Structure or function wording on every product: '100 mg l-theanine for increased focus'</t>
        </is>
      </c>
      <c r="AX250" t="inlineStr">
        <is>
          <t>claim-borderline</t>
        </is>
      </c>
      <c r="AY250" t="inlineStr">
        <is>
          <t>https://wavawater.com</t>
        </is>
      </c>
      <c r="AZ250" t="inlineStr">
        <is>
          <t>NY</t>
        </is>
      </c>
      <c r="BA250" t="inlineStr">
        <is>
          <t>nyc</t>
        </is>
      </c>
      <c r="BB250" t="inlineStr">
        <is>
          <t>unknown</t>
        </is>
      </c>
      <c r="BD250" t="inlineStr">
        <is>
          <t>unknown</t>
        </is>
      </c>
      <c r="BE250" t="inlineStr">
        <is>
          <t>No storage statement found</t>
        </is>
      </c>
      <c r="BF250" t="inlineStr">
        <is>
          <t>Y</t>
        </is>
      </c>
      <c r="BG250" t="inlineStr">
        <is>
          <t>Y</t>
        </is>
      </c>
      <c r="BH250" t="inlineStr">
        <is>
          <t>unknown</t>
        </is>
      </c>
      <c r="BJ250" t="inlineStr">
        <is>
          <t>No public sales figure found</t>
        </is>
      </c>
      <c r="BK250" t="inlineStr">
        <is>
          <t>Y</t>
        </is>
      </c>
      <c r="BL250" t="inlineStr">
        <is>
          <t>Y</t>
        </is>
      </c>
      <c r="BM250" t="inlineStr">
        <is>
          <t>Structure or function wording on every product: '100 mg l-theanine for increased focus'</t>
        </is>
      </c>
      <c r="BN250" t="n">
        <v>0</v>
      </c>
      <c r="BO250" t="inlineStr">
        <is>
          <t>Y</t>
        </is>
      </c>
      <c r="BP250" t="n">
        <v>8</v>
      </c>
      <c r="BQ250" t="inlineStr">
        <is>
          <t>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is>
      </c>
      <c r="BS250" t="inlineStr">
        <is>
          <t>Fairway; Westside Market; Eden Gourmet; Elm Wellness; delis and cafes (brand Stockist locator: 76 points, 19 near the cluster); Pop Up Grocer (past brand)</t>
        </is>
      </c>
      <c r="BT250" t="inlineStr">
        <is>
          <t>https://wavawater.com/pages/find-us; https://stockist.co/api/v1/u23135/locations/search?latitude=40.7400&amp;longitude=-73.9900&amp;distance=3</t>
        </is>
      </c>
      <c r="BU250" t="inlineStr">
        <is>
          <t>listing</t>
        </is>
      </c>
      <c r="BV250" t="n">
        <v>79</v>
      </c>
      <c r="CF250" t="inlineStr">
        <is>
          <t>none</t>
        </is>
      </c>
      <c r="CK250" t="inlineStr">
        <is>
          <t>none</t>
        </is>
      </c>
      <c r="CL250" t="n">
        <v>53</v>
      </c>
      <c r="CM250" t="n">
        <v>17</v>
      </c>
      <c r="CN250" t="n">
        <v>20</v>
      </c>
      <c r="CO250" t="n">
        <v>8</v>
      </c>
      <c r="CP250" t="n">
        <v>5</v>
      </c>
      <c r="CQ250" t="n">
        <v>7</v>
      </c>
      <c r="CR250" t="n">
        <v>0</v>
      </c>
      <c r="CS250">
        <f>IF(R250="Y",10,0)</f>
        <v/>
      </c>
      <c r="CT250" t="n">
        <v>-4</v>
      </c>
      <c r="CU250" t="inlineStr">
        <is>
          <t>unknown</t>
        </is>
      </c>
      <c r="CV250" t="inlineStr">
        <is>
          <t>BR3</t>
        </is>
      </c>
      <c r="CW250" t="inlineStr">
        <is>
          <t>BR3:64</t>
        </is>
      </c>
      <c r="CX250" t="inlineStr">
        <is>
          <t>About: founder worked in NYC hospitality in 2020, then quit day jobs in Brooklyn with his wife (marketing background) to launch WAVA. Stockist queried 2026-10-23.</t>
        </is>
      </c>
      <c r="DA250" t="inlineStr">
        <is>
          <t>stage 1 only</t>
        </is>
      </c>
      <c r="DY250">
        <f>IF(ISNUMBER(MATCH(U250,{"queued","contacted","replied","call_booked","call_done","yes_in_principle","materials_sent"},0)),"Y","N")</f>
        <v/>
      </c>
      <c r="DZ250">
        <f>IF(COUNTIFS($AN$2:$AN$1000,AN250,$DY$2:$DY$1000,"Y")+COUNTIFS($AN$2:$AN$1000,AN250,$T$2:$T$1000,"Y")&gt;0,"Y","N")</f>
        <v/>
      </c>
      <c r="EA250">
        <f>IF(AND(U250="new",T250="N",AR250="Y",AQ250="",DZ250="N"),"Y","N")</f>
        <v/>
      </c>
      <c r="EB250">
        <f>IF(EA250&lt;&gt;"Y","N",IF(COUNTIFS($AN$2:$AN$1000,AN250,$EA$2:$EA$1000,"Y",$J$2:$J$1000,"&gt;"&amp;J250)+COUNTIFS($AN$2:$AN$1000,AN250,$EA$2:$EA$1000,"Y",$J$2:$J$1000,J250,$ED$2:$ED$1000,"&lt;"&amp;ED250)=0,"Y","N"))</f>
        <v/>
      </c>
      <c r="EC250">
        <f>IF(Y250="","N",IF(Y250&lt;=10,"Y","N"))</f>
        <v/>
      </c>
      <c r="ED250">
        <f>ROW()-1</f>
        <v/>
      </c>
    </row>
    <row r="251">
      <c r="A251" t="inlineStr">
        <is>
          <t>AB-195</t>
        </is>
      </c>
      <c r="B251" t="inlineStr">
        <is>
          <t>Pari</t>
        </is>
      </c>
      <c r="C251" t="inlineStr">
        <is>
          <t>Alessia</t>
        </is>
      </c>
      <c r="D251" t="inlineStr">
        <is>
          <t>unknown</t>
        </is>
      </c>
      <c r="E251" t="inlineStr">
        <is>
          <t>Founder and CEO</t>
        </is>
      </c>
      <c r="H251" t="inlineStr">
        <is>
          <t>none</t>
        </is>
      </c>
      <c r="I251" t="inlineStr">
        <is>
          <t>linkedin</t>
        </is>
      </c>
      <c r="J251">
        <f>IF(AU251="pass",CM251+CN251+CO251+CP251+CQ251+CR251+CS251+CT251,0)</f>
        <v/>
      </c>
      <c r="K251" t="inlineStr">
        <is>
          <t>Gated out: health-claim: FAQ says agave 'is also great for brain function and metabolism' (structure or function wording).</t>
        </is>
      </c>
      <c r="M251" t="inlineStr">
        <is>
          <t>Fairway Market of Chelsea, 766 6th Ave</t>
        </is>
      </c>
      <c r="N251" t="inlineStr">
        <is>
          <t>brand_claim</t>
        </is>
      </c>
      <c r="O251" t="inlineStr">
        <is>
          <t>New Citrus Sour flavor listed on store</t>
        </is>
      </c>
      <c r="P251" t="inlineStr">
        <is>
          <t>https://drinkpari.com/products.json</t>
        </is>
      </c>
      <c r="Q251" t="inlineStr">
        <is>
          <t>2026-01-30</t>
        </is>
      </c>
      <c r="R251" t="inlineStr">
        <is>
          <t>N</t>
        </is>
      </c>
      <c r="S251" t="inlineStr">
        <is>
          <t>unknown</t>
        </is>
      </c>
      <c r="T251" t="inlineStr">
        <is>
          <t>N</t>
        </is>
      </c>
      <c r="U251" t="inlineStr">
        <is>
          <t>new</t>
        </is>
      </c>
      <c r="V251" t="inlineStr">
        <is>
          <t>https://drinkpari.com/pages/about</t>
        </is>
      </c>
      <c r="W251" t="inlineStr">
        <is>
          <t>2026-10-23</t>
        </is>
      </c>
      <c r="X251" t="inlineStr">
        <is>
          <t>brand</t>
        </is>
      </c>
      <c r="Y251">
        <f>IF(EB251&lt;&gt;"Y","",COUNTIFS($EB$2:$EB$1000,"Y",$J$2:$J$1000,"&gt;"&amp;J251)+COUNTIFS($EB$2:$EB$1000,"Y",$J$2:$J$1000,J251,$ED$2:$ED$1000,"&lt;"&amp;ED251)+1)</f>
        <v/>
      </c>
      <c r="AA251" t="inlineStr">
        <is>
          <t>N</t>
        </is>
      </c>
      <c r="AC251" t="inlineStr">
        <is>
          <t>founder</t>
        </is>
      </c>
      <c r="AD251" t="inlineStr">
        <is>
          <t>first-name-only</t>
        </is>
      </c>
      <c r="AE251" t="inlineStr">
        <is>
          <t>employer's own site</t>
        </is>
      </c>
      <c r="AF251" t="inlineStr">
        <is>
          <t>https://drinkpari.com/pages/about</t>
        </is>
      </c>
      <c r="AG251" t="inlineStr">
        <is>
          <t>2026-10-23</t>
        </is>
      </c>
      <c r="AH251" t="inlineStr">
        <is>
          <t>Pari zero-proof agave-sweetened canned drink (Modern Mule, Citrus Sour)</t>
        </is>
      </c>
      <c r="AI251" t="inlineStr">
        <is>
          <t>other-drink</t>
        </is>
      </c>
      <c r="AJ251" t="inlineStr">
        <is>
          <t>unknown</t>
        </is>
      </c>
      <c r="AK251" t="inlineStr">
        <is>
          <t>https://drinkpari.com</t>
        </is>
      </c>
      <c r="AL251" t="inlineStr">
        <is>
          <t>Y</t>
        </is>
      </c>
      <c r="AM251" t="inlineStr">
        <is>
          <t>Claim sits in one FAQ answer about an ingredient, not on the product; otherwise a clean zero-proof drink with a dense near-cluster footprint. Founder may reinstate if the card and landing page avoid that line</t>
        </is>
      </c>
      <c r="AN251" t="inlineStr">
        <is>
          <t>AB-195</t>
        </is>
      </c>
      <c r="AO251" t="inlineStr">
        <is>
          <t>N</t>
        </is>
      </c>
      <c r="AR251">
        <f>IF(AND(AU251="pass",AO251&lt;&gt;"Y",C251&lt;&gt;""),"Y","N")</f>
        <v/>
      </c>
      <c r="AS251">
        <f>_xlfn.TEXTJOIN("; ",TRUE,IF(AU251&lt;&gt;"pass","gated out",""),IF(AO251="Y","on hold: "&amp;AP251,""),IF(C251="","no contact named on an opened page",""))</f>
        <v/>
      </c>
      <c r="AU251" t="inlineStr">
        <is>
          <t>fail</t>
        </is>
      </c>
      <c r="AV251" t="inlineStr">
        <is>
          <t>health-claim</t>
        </is>
      </c>
      <c r="AW251" t="inlineStr">
        <is>
          <t>health-claim: FAQ says agave 'is also great for brain function and metabolism' (structure or function wording)</t>
        </is>
      </c>
      <c r="AX251" t="inlineStr">
        <is>
          <t>claim-borderline</t>
        </is>
      </c>
      <c r="AY251" t="inlineStr">
        <is>
          <t>https://drinkpari.com</t>
        </is>
      </c>
      <c r="AZ251" t="inlineStr">
        <is>
          <t>unknown</t>
        </is>
      </c>
      <c r="BA251" t="inlineStr">
        <is>
          <t>unknown</t>
        </is>
      </c>
      <c r="BB251" t="inlineStr">
        <is>
          <t>unknown</t>
        </is>
      </c>
      <c r="BD251" t="inlineStr">
        <is>
          <t>Y</t>
        </is>
      </c>
      <c r="BE251" t="inlineStr">
        <is>
          <t>FAQ: store unopened cans 'in a cool, dark, and dry place'; consume 'within 24 months of production' (drinkpari.com/pages/faq, opened 2026-10-23)</t>
        </is>
      </c>
      <c r="BF251" t="inlineStr">
        <is>
          <t>Y</t>
        </is>
      </c>
      <c r="BG251" t="inlineStr">
        <is>
          <t>Y</t>
        </is>
      </c>
      <c r="BH251" t="inlineStr">
        <is>
          <t>unknown</t>
        </is>
      </c>
      <c r="BJ251" t="inlineStr">
        <is>
          <t>No public sales figure found</t>
        </is>
      </c>
      <c r="BK251" t="inlineStr">
        <is>
          <t>Y</t>
        </is>
      </c>
      <c r="BL251" t="inlineStr">
        <is>
          <t>Y</t>
        </is>
      </c>
      <c r="BM251" t="inlineStr">
        <is>
          <t>FAQ says agave 'is also great for brain function and metabolism' (structure or function wording)</t>
        </is>
      </c>
      <c r="BN251" t="n">
        <v>0</v>
      </c>
      <c r="BO251" t="inlineStr">
        <is>
          <t>Y</t>
        </is>
      </c>
      <c r="BP251" t="n">
        <v>7</v>
      </c>
      <c r="BQ251" t="inlineStr">
        <is>
          <t>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is>
      </c>
      <c r="BS251" t="inlineStr">
        <is>
          <t>Fairway; Westside Market; Lincoln Market; Citarella; Elm Wellness; Brooklyn Fare; Pop Up Grocer (brand Stockist locator: 59 points, 15 near the cluster)</t>
        </is>
      </c>
      <c r="BT251" t="inlineStr">
        <is>
          <t>https://drinkpari.com/pages/store-locator; https://stockist.co/api/v1/u20632/locations/search?latitude=40.7400&amp;longitude=-73.9900&amp;distance=3</t>
        </is>
      </c>
      <c r="BU251" t="inlineStr">
        <is>
          <t>listing</t>
        </is>
      </c>
      <c r="BV251" t="n">
        <v>267</v>
      </c>
      <c r="BX251" t="inlineStr">
        <is>
          <t>Alessia</t>
        </is>
      </c>
      <c r="CF251" t="inlineStr">
        <is>
          <t>none</t>
        </is>
      </c>
      <c r="CK251" t="inlineStr">
        <is>
          <t>none</t>
        </is>
      </c>
      <c r="CL251" t="n">
        <v>39</v>
      </c>
      <c r="CM251" t="n">
        <v>17</v>
      </c>
      <c r="CN251" t="n">
        <v>4</v>
      </c>
      <c r="CO251" t="n">
        <v>4</v>
      </c>
      <c r="CP251" t="n">
        <v>5</v>
      </c>
      <c r="CQ251" t="n">
        <v>10</v>
      </c>
      <c r="CR251" t="n">
        <v>3</v>
      </c>
      <c r="CS251">
        <f>IF(R251="Y",10,0)</f>
        <v/>
      </c>
      <c r="CT251" t="n">
        <v>-4</v>
      </c>
      <c r="CU251" t="inlineStr">
        <is>
          <t>https://instagram.com/drinkpari</t>
        </is>
      </c>
      <c r="CV251" t="inlineStr">
        <is>
          <t>BR3</t>
        </is>
      </c>
      <c r="CW251" t="inlineStr">
        <is>
          <t>BR3:69</t>
        </is>
      </c>
      <c r="CX251" t="inlineStr">
        <is>
          <t>Name from Italian 'pari' (equal). Stockist queried 2026-10-23; NYC-heavy footprint suggests a NYC brand, HQ unconfirmed. Date is Shopify publish date.</t>
        </is>
      </c>
      <c r="DA251" t="inlineStr">
        <is>
          <t>stage 1 only</t>
        </is>
      </c>
      <c r="DY251">
        <f>IF(ISNUMBER(MATCH(U251,{"queued","contacted","replied","call_booked","call_done","yes_in_principle","materials_sent"},0)),"Y","N")</f>
        <v/>
      </c>
      <c r="DZ251">
        <f>IF(COUNTIFS($AN$2:$AN$1000,AN251,$DY$2:$DY$1000,"Y")+COUNTIFS($AN$2:$AN$1000,AN251,$T$2:$T$1000,"Y")&gt;0,"Y","N")</f>
        <v/>
      </c>
      <c r="EA251">
        <f>IF(AND(U251="new",T251="N",AR251="Y",AQ251="",DZ251="N"),"Y","N")</f>
        <v/>
      </c>
      <c r="EB251">
        <f>IF(EA251&lt;&gt;"Y","N",IF(COUNTIFS($AN$2:$AN$1000,AN251,$EA$2:$EA$1000,"Y",$J$2:$J$1000,"&gt;"&amp;J251)+COUNTIFS($AN$2:$AN$1000,AN251,$EA$2:$EA$1000,"Y",$J$2:$J$1000,J251,$ED$2:$ED$1000,"&lt;"&amp;ED251)=0,"Y","N"))</f>
        <v/>
      </c>
      <c r="EC251">
        <f>IF(Y251="","N",IF(Y251&lt;=10,"Y","N"))</f>
        <v/>
      </c>
      <c r="ED251">
        <f>ROW()-1</f>
        <v/>
      </c>
    </row>
    <row r="252">
      <c r="A252" t="inlineStr">
        <is>
          <t>AB-197</t>
        </is>
      </c>
      <c r="B252" t="inlineStr">
        <is>
          <t>Corpse Reviver</t>
        </is>
      </c>
      <c r="C252" t="inlineStr">
        <is>
          <t>Anna</t>
        </is>
      </c>
      <c r="D252" t="inlineStr">
        <is>
          <t>Zesbaugh</t>
        </is>
      </c>
      <c r="E252" t="inlineStr">
        <is>
          <t>Founder</t>
        </is>
      </c>
      <c r="H252" t="inlineStr">
        <is>
          <t>none</t>
        </is>
      </c>
      <c r="I252" t="inlineStr">
        <is>
          <t>linkedin</t>
        </is>
      </c>
      <c r="J252">
        <f>IF(AU252="pass",CM252+CN252+CO252+CP252+CQ252+CR252+CS252+CT252,0)</f>
        <v/>
      </c>
      <c r="K252" t="inlineStr">
        <is>
          <t>Gated out: health-claim: Structure or function claims: 'Zinc to support immunity', 'Magnesium to support energy and muscle comfort', 'L-theanine for calm, focused vibes'.</t>
        </is>
      </c>
      <c r="M252" t="inlineStr">
        <is>
          <t>Bourke Street Bakery, 15 E 28th St</t>
        </is>
      </c>
      <c r="N252" t="inlineStr">
        <is>
          <t>brand_claim</t>
        </is>
      </c>
      <c r="R252" t="inlineStr">
        <is>
          <t>N</t>
        </is>
      </c>
      <c r="S252" t="inlineStr">
        <is>
          <t>unknown</t>
        </is>
      </c>
      <c r="T252" t="inlineStr">
        <is>
          <t>N</t>
        </is>
      </c>
      <c r="U252" t="inlineStr">
        <is>
          <t>new</t>
        </is>
      </c>
      <c r="V252" t="inlineStr">
        <is>
          <t>https://drinkcorpsereviver.com/pages/about-us</t>
        </is>
      </c>
      <c r="W252" t="inlineStr">
        <is>
          <t>2026-10-23</t>
        </is>
      </c>
      <c r="X252" t="inlineStr">
        <is>
          <t>brand</t>
        </is>
      </c>
      <c r="Y252">
        <f>IF(EB252&lt;&gt;"Y","",COUNTIFS($EB$2:$EB$1000,"Y",$J$2:$J$1000,"&gt;"&amp;J252)+COUNTIFS($EB$2:$EB$1000,"Y",$J$2:$J$1000,J252,$ED$2:$ED$1000,"&lt;"&amp;ED252)+1)</f>
        <v/>
      </c>
      <c r="AA252" t="inlineStr">
        <is>
          <t>N</t>
        </is>
      </c>
      <c r="AC252" t="inlineStr">
        <is>
          <t>founder</t>
        </is>
      </c>
      <c r="AD252" t="inlineStr">
        <is>
          <t>verified-page</t>
        </is>
      </c>
      <c r="AE252" t="inlineStr">
        <is>
          <t>employer's own site</t>
        </is>
      </c>
      <c r="AF252" t="inlineStr">
        <is>
          <t>https://drinkcorpsereviver.com/pages/about-us</t>
        </is>
      </c>
      <c r="AG252" t="inlineStr">
        <is>
          <t>2026-10-23</t>
        </is>
      </c>
      <c r="AH252" t="inlineStr">
        <is>
          <t>Corpse Reviver tea-based sparkling hydration drink, can</t>
        </is>
      </c>
      <c r="AI252" t="inlineStr">
        <is>
          <t>tea-juice</t>
        </is>
      </c>
      <c r="AJ252" t="inlineStr">
        <is>
          <t>unknown</t>
        </is>
      </c>
      <c r="AK252" t="inlineStr">
        <is>
          <t>https://drinkcorpsereviver.com</t>
        </is>
      </c>
      <c r="AL252" t="inlineStr">
        <is>
          <t>Y</t>
        </is>
      </c>
      <c r="AM252" t="inlineStr">
        <is>
          <t>60-day shelf life not stated</t>
        </is>
      </c>
      <c r="AN252" t="inlineStr">
        <is>
          <t>AB-197</t>
        </is>
      </c>
      <c r="AO252" t="inlineStr">
        <is>
          <t>N</t>
        </is>
      </c>
      <c r="AR252">
        <f>IF(AND(AU252="pass",AO252&lt;&gt;"Y",C252&lt;&gt;""),"Y","N")</f>
        <v/>
      </c>
      <c r="AS252">
        <f>_xlfn.TEXTJOIN("; ",TRUE,IF(AU252&lt;&gt;"pass","gated out",""),IF(AO252="Y","on hold: "&amp;AP252,""),IF(C252="","no contact named on an opened page",""))</f>
        <v/>
      </c>
      <c r="AU252" t="inlineStr">
        <is>
          <t>fail</t>
        </is>
      </c>
      <c r="AV252" t="inlineStr">
        <is>
          <t>health-claim</t>
        </is>
      </c>
      <c r="AW252" t="inlineStr">
        <is>
          <t>health-claim: Structure or function claims: 'Zinc to support immunity', 'Magnesium to support energy and muscle comfort', 'L-theanine for calm, focused vibes'</t>
        </is>
      </c>
      <c r="AY252" t="inlineStr">
        <is>
          <t>https://drinkcorpsereviver.com</t>
        </is>
      </c>
      <c r="AZ252" t="inlineStr">
        <is>
          <t>unknown</t>
        </is>
      </c>
      <c r="BA252" t="inlineStr">
        <is>
          <t>unknown</t>
        </is>
      </c>
      <c r="BB252" t="inlineStr">
        <is>
          <t>unknown</t>
        </is>
      </c>
      <c r="BD252" t="inlineStr">
        <is>
          <t>unknown</t>
        </is>
      </c>
      <c r="BE252" t="inlineStr">
        <is>
          <t>No storage statement read</t>
        </is>
      </c>
      <c r="BF252" t="inlineStr">
        <is>
          <t>Y</t>
        </is>
      </c>
      <c r="BG252" t="inlineStr">
        <is>
          <t>Y</t>
        </is>
      </c>
      <c r="BH252" t="inlineStr">
        <is>
          <t>unknown</t>
        </is>
      </c>
      <c r="BJ252" t="inlineStr">
        <is>
          <t>No public sales figure found</t>
        </is>
      </c>
      <c r="BK252" t="inlineStr">
        <is>
          <t>Y</t>
        </is>
      </c>
      <c r="BL252" t="inlineStr">
        <is>
          <t>Y</t>
        </is>
      </c>
      <c r="BM252" t="inlineStr">
        <is>
          <t>Structure or function claims: 'Zinc to support immunity', 'Magnesium to support energy and muscle comfort', 'L-theanine for calm, focused vibes'</t>
        </is>
      </c>
      <c r="BN252" t="n">
        <v>0</v>
      </c>
      <c r="BO252" t="inlineStr">
        <is>
          <t>Y</t>
        </is>
      </c>
      <c r="BP252" t="n">
        <v>5</v>
      </c>
      <c r="BQ252" t="inlineStr">
        <is>
          <t>Bourke Street Bakery, 15 E 28th St (brand_claim, inside);Fairway Market Chelsea, 55 W 25th St (brand_claim, inside);Fraiche, 36 Lexington Ave (brand_claim, 0.9 blocks out);Lincoln Market, 501 6th Ave (brand_claim, 1.2 blocks out);West Side Market, 170 W 23rd St (brand_claim, 2.0 blocks out)</t>
        </is>
      </c>
      <c r="BS252" t="inlineStr">
        <is>
          <t>Fairway; West Side Market; Lincoln Market; Fraiche; Bourke Street Bakery (brand Storepoint locator: 75 points, 35 near the cluster)</t>
        </is>
      </c>
      <c r="BT252" t="inlineStr">
        <is>
          <t>https://drinkcorpsereviver.com/pages/find-us; https://api.storepoint.co/v1/165e8ec022755b/locations?lat=40.7400&amp;long=-73.9900&amp;radius=3</t>
        </is>
      </c>
      <c r="BU252" t="inlineStr">
        <is>
          <t>none</t>
        </is>
      </c>
      <c r="BX252" t="inlineStr">
        <is>
          <t>Anna Zesbaugh</t>
        </is>
      </c>
      <c r="CF252" t="inlineStr">
        <is>
          <t>none</t>
        </is>
      </c>
      <c r="CK252" t="inlineStr">
        <is>
          <t>none</t>
        </is>
      </c>
      <c r="CL252" t="n">
        <v>39</v>
      </c>
      <c r="CM252" t="n">
        <v>17</v>
      </c>
      <c r="CN252" t="n">
        <v>4</v>
      </c>
      <c r="CO252" t="n">
        <v>0</v>
      </c>
      <c r="CP252" t="n">
        <v>5</v>
      </c>
      <c r="CQ252" t="n">
        <v>7</v>
      </c>
      <c r="CR252" t="n">
        <v>6</v>
      </c>
      <c r="CS252">
        <f>IF(R252="Y",10,0)</f>
        <v/>
      </c>
      <c r="CT252" t="n">
        <v>0</v>
      </c>
      <c r="CU252" t="inlineStr">
        <is>
          <t>unknown</t>
        </is>
      </c>
      <c r="CV252" t="inlineStr">
        <is>
          <t>BR3</t>
        </is>
      </c>
      <c r="CW252" t="inlineStr">
        <is>
          <t>BR3:71</t>
        </is>
      </c>
      <c r="CX252" t="inlineStr">
        <is>
          <t>Founder came from hospitality (furloughed in 2020). Very dense near-cluster footprint, so worth noting if claims change.</t>
        </is>
      </c>
      <c r="DA252" t="inlineStr">
        <is>
          <t>stage 1 only</t>
        </is>
      </c>
      <c r="DY252">
        <f>IF(ISNUMBER(MATCH(U252,{"queued","contacted","replied","call_booked","call_done","yes_in_principle","materials_sent"},0)),"Y","N")</f>
        <v/>
      </c>
      <c r="DZ252">
        <f>IF(COUNTIFS($AN$2:$AN$1000,AN252,$DY$2:$DY$1000,"Y")+COUNTIFS($AN$2:$AN$1000,AN252,$T$2:$T$1000,"Y")&gt;0,"Y","N")</f>
        <v/>
      </c>
      <c r="EA252">
        <f>IF(AND(U252="new",T252="N",AR252="Y",AQ252="",DZ252="N"),"Y","N")</f>
        <v/>
      </c>
      <c r="EB252">
        <f>IF(EA252&lt;&gt;"Y","N",IF(COUNTIFS($AN$2:$AN$1000,AN252,$EA$2:$EA$1000,"Y",$J$2:$J$1000,"&gt;"&amp;J252)+COUNTIFS($AN$2:$AN$1000,AN252,$EA$2:$EA$1000,"Y",$J$2:$J$1000,J252,$ED$2:$ED$1000,"&lt;"&amp;ED252)=0,"Y","N"))</f>
        <v/>
      </c>
      <c r="EC252">
        <f>IF(Y252="","N",IF(Y252&lt;=10,"Y","N"))</f>
        <v/>
      </c>
      <c r="ED252">
        <f>ROW()-1</f>
        <v/>
      </c>
    </row>
    <row r="253">
      <c r="A253" t="inlineStr">
        <is>
          <t>AB-185</t>
        </is>
      </c>
      <c r="B253" t="inlineStr">
        <is>
          <t>CHUH Matcha</t>
        </is>
      </c>
      <c r="C253" t="inlineStr">
        <is>
          <t>Andrew</t>
        </is>
      </c>
      <c r="D253" t="inlineStr">
        <is>
          <t>Schundler</t>
        </is>
      </c>
      <c r="E253" t="inlineStr">
        <is>
          <t>Co-founder</t>
        </is>
      </c>
      <c r="H253" t="inlineStr">
        <is>
          <t>none</t>
        </is>
      </c>
      <c r="I253" t="inlineStr">
        <is>
          <t>linkedin</t>
        </is>
      </c>
      <c r="J253">
        <f>IF(AU253="pass",CM253+CN253+CO253+CP253+CQ253+CR253+CS253+CT253,0)</f>
        <v/>
      </c>
      <c r="K253" t="inlineStr">
        <is>
          <t>Gated out: health-claim: explicit health claim on the brand's homepage (opened 2026-10-24): 'These antioxidants fight free radicals and support your immune system daily'.</t>
        </is>
      </c>
      <c r="M253" t="inlineStr">
        <is>
          <t>none found within ten blocks</t>
        </is>
      </c>
      <c r="N253" t="inlineStr">
        <is>
          <t>unverified</t>
        </is>
      </c>
      <c r="O253" t="inlineStr">
        <is>
          <t>Launched two new flavors as the brand reached 200 retail doors (Startup CPG Newswire, 2026-06-24); first month after launch: 2,000 cans sold and 19 retail accounts (2025-08-27)</t>
        </is>
      </c>
      <c r="P253" t="inlineStr">
        <is>
          <t>https://startupcpg.com/startup-cpg-newswire-chuh-matcha-launches-two-new-flavors-as-brand-reaches-200-retail-doors/</t>
        </is>
      </c>
      <c r="Q253" t="inlineStr">
        <is>
          <t>2026-06-24</t>
        </is>
      </c>
      <c r="R253" t="inlineStr">
        <is>
          <t>N</t>
        </is>
      </c>
      <c r="S253" t="inlineStr">
        <is>
          <t>Y</t>
        </is>
      </c>
      <c r="T253" t="inlineStr">
        <is>
          <t>N</t>
        </is>
      </c>
      <c r="U253" t="inlineStr">
        <is>
          <t>new</t>
        </is>
      </c>
      <c r="V253" t="inlineStr">
        <is>
          <t>https://www.chuhmatcha.com/pages/about</t>
        </is>
      </c>
      <c r="W253" t="inlineStr">
        <is>
          <t>2026-10-23</t>
        </is>
      </c>
      <c r="X253" t="inlineStr">
        <is>
          <t>brand</t>
        </is>
      </c>
      <c r="Y253">
        <f>IF(EB253&lt;&gt;"Y","",COUNTIFS($EB$2:$EB$1000,"Y",$J$2:$J$1000,"&gt;"&amp;J253)+COUNTIFS($EB$2:$EB$1000,"Y",$J$2:$J$1000,J253,$ED$2:$ED$1000,"&lt;"&amp;ED253)+1)</f>
        <v/>
      </c>
      <c r="AA253" t="inlineStr">
        <is>
          <t>N</t>
        </is>
      </c>
      <c r="AC253" t="inlineStr">
        <is>
          <t>founder</t>
        </is>
      </c>
      <c r="AD253" t="inlineStr">
        <is>
          <t>verified-page</t>
        </is>
      </c>
      <c r="AE253" t="inlineStr">
        <is>
          <t>press, event or podcast page</t>
        </is>
      </c>
      <c r="AF253" t="inlineStr">
        <is>
          <t>https://startupcpg.com/startup-cpg-newswire-chuh-celebrates-successful-first-month-launch-with-2000-cans-sold-and-19-retail-accounts/</t>
        </is>
      </c>
      <c r="AG253" t="inlineStr">
        <is>
          <t>2026-10-23</t>
        </is>
      </c>
      <c r="AH253" t="inlineStr">
        <is>
          <t>CHUH ceremonial-grade organic canned matcha latte (Lavender, Creme Brulee)</t>
        </is>
      </c>
      <c r="AI253" t="inlineStr">
        <is>
          <t>tea-juice</t>
        </is>
      </c>
      <c r="AJ253" t="inlineStr">
        <is>
          <t>Georgetown (press dateline and PO box); contact page lists an office unit in Bath, ME</t>
        </is>
      </c>
      <c r="AK253" t="inlineStr">
        <is>
          <t>https://www.chuhmatcha.com</t>
        </is>
      </c>
      <c r="AL253" t="inlineStr">
        <is>
          <t>Y</t>
        </is>
      </c>
      <c r="AM253" t="inlineStr">
        <is>
          <t>Caffeinated matcha latte with dairy (allergen line); 'crash-free, slow-release caffeine' wording borders on function claims; no current NYC retailer confirmed; 60-day shelf life not stated</t>
        </is>
      </c>
      <c r="AN253" t="inlineStr">
        <is>
          <t>AB-185</t>
        </is>
      </c>
      <c r="AO253" t="inlineStr">
        <is>
          <t>N</t>
        </is>
      </c>
      <c r="AR253">
        <f>IF(AND(AU253="pass",AO253&lt;&gt;"Y",C253&lt;&gt;""),"Y","N")</f>
        <v/>
      </c>
      <c r="AS253">
        <f>_xlfn.TEXTJOIN("; ",TRUE,IF(AU253&lt;&gt;"pass","gated out",""),IF(AO253="Y","on hold: "&amp;AP253,""),IF(C253="","no contact named on an opened page",""))</f>
        <v/>
      </c>
      <c r="AU253" t="inlineStr">
        <is>
          <t>fail</t>
        </is>
      </c>
      <c r="AV253" t="inlineStr">
        <is>
          <t>health-claim</t>
        </is>
      </c>
      <c r="AW253" t="inlineStr">
        <is>
          <t>health-claim: explicit health claim on the brand's homepage (opened 2026-10-24): 'These antioxidants fight free radicals and support your immune system daily'</t>
        </is>
      </c>
      <c r="AX253" t="inlineStr">
        <is>
          <t>claim-borderline</t>
        </is>
      </c>
      <c r="AY253" t="inlineStr">
        <is>
          <t>https://www.chuhmatcha.com</t>
        </is>
      </c>
      <c r="AZ253" t="inlineStr">
        <is>
          <t>ME</t>
        </is>
      </c>
      <c r="BA253" t="inlineStr">
        <is>
          <t>northeast</t>
        </is>
      </c>
      <c r="BB253" t="inlineStr">
        <is>
          <t>unknown</t>
        </is>
      </c>
      <c r="BD253" t="inlineStr">
        <is>
          <t>unknown</t>
        </is>
      </c>
      <c r="BE253" t="inlineStr">
        <is>
          <t>No storage statement read in FAQ</t>
        </is>
      </c>
      <c r="BF253" t="inlineStr">
        <is>
          <t>Y</t>
        </is>
      </c>
      <c r="BG253" t="inlineStr">
        <is>
          <t>Y</t>
        </is>
      </c>
      <c r="BH253" t="inlineStr">
        <is>
          <t>unknown</t>
        </is>
      </c>
      <c r="BJ253" t="inlineStr">
        <is>
          <t>No public sales figure found</t>
        </is>
      </c>
      <c r="BK253" t="inlineStr">
        <is>
          <t>N</t>
        </is>
      </c>
      <c r="BL253" t="inlineStr">
        <is>
          <t>Y</t>
        </is>
      </c>
      <c r="BM253" t="inlineStr">
        <is>
          <t>explicit health claim on the brand's homepage (opened 2026-10-24): 'These antioxidants fight free radicals and support your immune system daily'</t>
        </is>
      </c>
      <c r="BO253" t="inlineStr">
        <is>
          <t>N</t>
        </is>
      </c>
      <c r="BP253" t="n">
        <v>0</v>
      </c>
      <c r="BS253" t="inlineStr">
        <is>
          <t>Pop Up Grocer (past brand, directory); store-location page lists retailers but text not readable</t>
        </is>
      </c>
      <c r="BT253" t="inlineStr">
        <is>
          <t>https://popupgrocer.com/products/chuh-matcha</t>
        </is>
      </c>
      <c r="BU253" t="inlineStr">
        <is>
          <t>press</t>
        </is>
      </c>
      <c r="BV253" t="n">
        <v>122</v>
      </c>
      <c r="BW253" t="inlineStr">
        <is>
          <t>https://startupcpg.com/startup-cpg-newswire-chuh-matcha-launches-two-new-flavors-as-brand-reaches-200-retail-doors/</t>
        </is>
      </c>
      <c r="BX253" t="inlineStr">
        <is>
          <t>Andrew Schundler</t>
        </is>
      </c>
      <c r="CF253" t="inlineStr">
        <is>
          <t>none</t>
        </is>
      </c>
      <c r="CK253" t="inlineStr">
        <is>
          <t>none</t>
        </is>
      </c>
      <c r="CL253" t="n">
        <v>43</v>
      </c>
      <c r="CM253" t="n">
        <v>6</v>
      </c>
      <c r="CN253" t="n">
        <v>8</v>
      </c>
      <c r="CO253" t="n">
        <v>15</v>
      </c>
      <c r="CP253" t="n">
        <v>5</v>
      </c>
      <c r="CQ253" t="n">
        <v>7</v>
      </c>
      <c r="CR253" t="n">
        <v>6</v>
      </c>
      <c r="CS253">
        <f>IF(R253="Y",10,0)</f>
        <v/>
      </c>
      <c r="CT253" t="n">
        <v>-4</v>
      </c>
      <c r="CU253" t="inlineStr">
        <is>
          <t>https://instagram.com/chuhmatcha</t>
        </is>
      </c>
      <c r="CV253" t="inlineStr">
        <is>
          <t>BR3</t>
        </is>
      </c>
      <c r="CW253" t="inlineStr">
        <is>
          <t>BR3:59</t>
        </is>
      </c>
      <c r="CX253" t="inlineStr">
        <is>
          <t>About page title: 'Organic Canned Matcha Latte from Georgetown, ME'. Northeast brand. Dates are Shopify publish dates.</t>
        </is>
      </c>
      <c r="CY253" t="inlineStr">
        <is>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is>
      </c>
      <c r="DA253" t="inlineStr">
        <is>
          <t>stage 1 only</t>
        </is>
      </c>
      <c r="DY253">
        <f>IF(ISNUMBER(MATCH(U253,{"queued","contacted","replied","call_booked","call_done","yes_in_principle","materials_sent"},0)),"Y","N")</f>
        <v/>
      </c>
      <c r="DZ253">
        <f>IF(COUNTIFS($AN$2:$AN$1000,AN253,$DY$2:$DY$1000,"Y")+COUNTIFS($AN$2:$AN$1000,AN253,$T$2:$T$1000,"Y")&gt;0,"Y","N")</f>
        <v/>
      </c>
      <c r="EA253">
        <f>IF(AND(U253="new",T253="N",AR253="Y",AQ253="",DZ253="N"),"Y","N")</f>
        <v/>
      </c>
      <c r="EB253">
        <f>IF(EA253&lt;&gt;"Y","N",IF(COUNTIFS($AN$2:$AN$1000,AN253,$EA$2:$EA$1000,"Y",$J$2:$J$1000,"&gt;"&amp;J253)+COUNTIFS($AN$2:$AN$1000,AN253,$EA$2:$EA$1000,"Y",$J$2:$J$1000,J253,$ED$2:$ED$1000,"&lt;"&amp;ED253)=0,"Y","N"))</f>
        <v/>
      </c>
      <c r="EC253">
        <f>IF(Y253="","N",IF(Y253&lt;=10,"Y","N"))</f>
        <v/>
      </c>
      <c r="ED253">
        <f>ROW()-1</f>
        <v/>
      </c>
    </row>
    <row r="254">
      <c r="A254" t="inlineStr">
        <is>
          <t>AB-257</t>
        </is>
      </c>
      <c r="B254" t="inlineStr">
        <is>
          <t>Chenzi</t>
        </is>
      </c>
      <c r="C254" t="inlineStr">
        <is>
          <t>Christina</t>
        </is>
      </c>
      <c r="D254" t="inlineStr">
        <is>
          <t>Chen</t>
        </is>
      </c>
      <c r="E254" t="inlineStr">
        <is>
          <t>Co-founder</t>
        </is>
      </c>
      <c r="H254" t="inlineStr">
        <is>
          <t>none</t>
        </is>
      </c>
      <c r="I254" t="inlineStr">
        <is>
          <t>linkedin</t>
        </is>
      </c>
      <c r="J254">
        <f>IF(AU254="pass",CM254+CN254+CO254+CP254+CQ254+CR254+CS254+CT254,0)</f>
        <v/>
      </c>
      <c r="K254" t="inlineStr">
        <is>
          <t>Gated out: excluded-category: Frozen; needs preparation.</t>
        </is>
      </c>
      <c r="M254" t="inlineStr">
        <is>
          <t>none found within ten blocks</t>
        </is>
      </c>
      <c r="N254" t="inlineStr">
        <is>
          <t>unverified</t>
        </is>
      </c>
      <c r="O254" t="inlineStr">
        <is>
          <t>Introduced Chinese potato balls; exhibited in Startup CPG section at Summer Fancy Food 2026</t>
        </is>
      </c>
      <c r="P254" t="inlineStr">
        <is>
          <t>https://startupcpg.com/startup-cpg-newswire-chenzi-introduces-chinese-potato-ball-bringing-a-regional-chinese-dish-to-the-u-s-specialty-food-market/</t>
        </is>
      </c>
      <c r="Q254" t="inlineStr">
        <is>
          <t>2026-06-24</t>
        </is>
      </c>
      <c r="R254" t="inlineStr">
        <is>
          <t>N</t>
        </is>
      </c>
      <c r="S254" t="inlineStr">
        <is>
          <t>Y</t>
        </is>
      </c>
      <c r="T254" t="inlineStr">
        <is>
          <t>N</t>
        </is>
      </c>
      <c r="U254" t="inlineStr">
        <is>
          <t>new</t>
        </is>
      </c>
      <c r="V254" t="inlineStr">
        <is>
          <t>https://startupcpg.com/startup-cpg-newswire-chenzi-introduces-chinese-potato-ball-bringing-a-regional-chinese-dish-to-the-u-s-specialty-food-market/</t>
        </is>
      </c>
      <c r="W254" t="inlineStr">
        <is>
          <t>2026-10-23</t>
        </is>
      </c>
      <c r="X254" t="inlineStr">
        <is>
          <t>brand</t>
        </is>
      </c>
      <c r="Y254">
        <f>IF(EB254&lt;&gt;"Y","",COUNTIFS($EB$2:$EB$1000,"Y",$J$2:$J$1000,"&gt;"&amp;J254)+COUNTIFS($EB$2:$EB$1000,"Y",$J$2:$J$1000,J254,$ED$2:$ED$1000,"&lt;"&amp;ED254)+1)</f>
        <v/>
      </c>
      <c r="AA254" t="inlineStr">
        <is>
          <t>N</t>
        </is>
      </c>
      <c r="AC254" t="inlineStr">
        <is>
          <t>founder</t>
        </is>
      </c>
      <c r="AD254" t="inlineStr">
        <is>
          <t>verified-page</t>
        </is>
      </c>
      <c r="AE254" t="inlineStr">
        <is>
          <t>press, event or podcast page</t>
        </is>
      </c>
      <c r="AF254" t="inlineStr">
        <is>
          <t>https://startupcpg.com/startup-cpg-newswire-chenzi-introduces-chinese-potato-ball-bringing-a-regional-chinese-dish-to-the-u-s-specialty-food-market/</t>
        </is>
      </c>
      <c r="AG254" t="inlineStr">
        <is>
          <t>2026-10-23</t>
        </is>
      </c>
      <c r="AH254" t="inlineStr">
        <is>
          <t>Chinese potato balls (frozen)</t>
        </is>
      </c>
      <c r="AI254" t="inlineStr">
        <is>
          <t>other-snack</t>
        </is>
      </c>
      <c r="AJ254" t="inlineStr">
        <is>
          <t>New York (release datelined New York, NY)</t>
        </is>
      </c>
      <c r="AL254" t="inlineStr">
        <is>
          <t>N</t>
        </is>
      </c>
      <c r="AN254" t="inlineStr">
        <is>
          <t>AB-257</t>
        </is>
      </c>
      <c r="AO254" t="inlineStr">
        <is>
          <t>N</t>
        </is>
      </c>
      <c r="AR254">
        <f>IF(AND(AU254="pass",AO254&lt;&gt;"Y",C254&lt;&gt;""),"Y","N")</f>
        <v/>
      </c>
      <c r="AS254">
        <f>_xlfn.TEXTJOIN("; ",TRUE,IF(AU254&lt;&gt;"pass","gated out",""),IF(AO254="Y","on hold: "&amp;AP254,""),IF(C254="","no contact named on an opened page",""))</f>
        <v/>
      </c>
      <c r="AU254" t="inlineStr">
        <is>
          <t>fail</t>
        </is>
      </c>
      <c r="AV254" t="inlineStr">
        <is>
          <t>excluded-category;not-shelf-stable;no-buy-path</t>
        </is>
      </c>
      <c r="AW254" t="inlineStr">
        <is>
          <t>excluded-category: Frozen; needs preparation | not-shelf-stable: Frozen; needs preparation | no-buy-path: no graded store within ten blocks and no online store shown (online store unknown)</t>
        </is>
      </c>
      <c r="AY254" t="inlineStr">
        <is>
          <t>https://chenzi.co</t>
        </is>
      </c>
      <c r="AZ254" t="inlineStr">
        <is>
          <t>NY</t>
        </is>
      </c>
      <c r="BA254" t="inlineStr">
        <is>
          <t>nyc</t>
        </is>
      </c>
      <c r="BB254" t="inlineStr">
        <is>
          <t>unknown</t>
        </is>
      </c>
      <c r="BD254" t="inlineStr">
        <is>
          <t>N</t>
        </is>
      </c>
      <c r="BE254" t="inlineStr">
        <is>
          <t>Release: brings the dish 'to the commercial frozen aisle'</t>
        </is>
      </c>
      <c r="BF254" t="inlineStr">
        <is>
          <t>unknown</t>
        </is>
      </c>
      <c r="BG254" t="inlineStr">
        <is>
          <t>unknown</t>
        </is>
      </c>
      <c r="BH254" t="inlineStr">
        <is>
          <t>unknown</t>
        </is>
      </c>
      <c r="BJ254" t="inlineStr">
        <is>
          <t>unknown</t>
        </is>
      </c>
      <c r="BK254" t="inlineStr">
        <is>
          <t>N</t>
        </is>
      </c>
      <c r="BL254" t="inlineStr">
        <is>
          <t>Y</t>
        </is>
      </c>
      <c r="BM254" t="inlineStr">
        <is>
          <t>Frozen; needs preparation</t>
        </is>
      </c>
      <c r="BO254" t="inlineStr">
        <is>
          <t>N</t>
        </is>
      </c>
      <c r="BP254" t="n">
        <v>0</v>
      </c>
      <c r="BU254" t="inlineStr">
        <is>
          <t>press</t>
        </is>
      </c>
      <c r="BV254" t="n">
        <v>122</v>
      </c>
      <c r="BW254" t="inlineStr">
        <is>
          <t>https://startupcpg.com/startup-cpg-pavilion-at-summer-fancy-food-2026/</t>
        </is>
      </c>
      <c r="BX254" t="inlineStr">
        <is>
          <t>Christina Chen</t>
        </is>
      </c>
      <c r="CF254" t="inlineStr">
        <is>
          <t>none</t>
        </is>
      </c>
      <c r="CK254" t="inlineStr">
        <is>
          <t>none</t>
        </is>
      </c>
      <c r="CL254" t="n">
        <v>48</v>
      </c>
      <c r="CM254" t="n">
        <v>0</v>
      </c>
      <c r="CN254" t="n">
        <v>20</v>
      </c>
      <c r="CO254" t="n">
        <v>15</v>
      </c>
      <c r="CP254" t="n">
        <v>5</v>
      </c>
      <c r="CQ254" t="n">
        <v>2</v>
      </c>
      <c r="CR254" t="n">
        <v>6</v>
      </c>
      <c r="CS254">
        <f>IF(R254="Y",10,0)</f>
        <v/>
      </c>
      <c r="CT254" t="n">
        <v>0</v>
      </c>
      <c r="CV254" t="inlineStr">
        <is>
          <t>BR4</t>
        </is>
      </c>
      <c r="CW254" t="inlineStr">
        <is>
          <t>BR4:52</t>
        </is>
      </c>
      <c r="CX254" t="inlineStr">
        <is>
          <t>Recorded so the gate is visible.</t>
        </is>
      </c>
      <c r="DA254" t="inlineStr">
        <is>
          <t>stage 1 only</t>
        </is>
      </c>
      <c r="DY254">
        <f>IF(ISNUMBER(MATCH(U254,{"queued","contacted","replied","call_booked","call_done","yes_in_principle","materials_sent"},0)),"Y","N")</f>
        <v/>
      </c>
      <c r="DZ254">
        <f>IF(COUNTIFS($AN$2:$AN$1000,AN254,$DY$2:$DY$1000,"Y")+COUNTIFS($AN$2:$AN$1000,AN254,$T$2:$T$1000,"Y")&gt;0,"Y","N")</f>
        <v/>
      </c>
      <c r="EA254">
        <f>IF(AND(U254="new",T254="N",AR254="Y",AQ254="",DZ254="N"),"Y","N")</f>
        <v/>
      </c>
      <c r="EB254">
        <f>IF(EA254&lt;&gt;"Y","N",IF(COUNTIFS($AN$2:$AN$1000,AN254,$EA$2:$EA$1000,"Y",$J$2:$J$1000,"&gt;"&amp;J254)+COUNTIFS($AN$2:$AN$1000,AN254,$EA$2:$EA$1000,"Y",$J$2:$J$1000,J254,$ED$2:$ED$1000,"&lt;"&amp;ED254)=0,"Y","N"))</f>
        <v/>
      </c>
      <c r="EC254">
        <f>IF(Y254="","N",IF(Y254&lt;=10,"Y","N"))</f>
        <v/>
      </c>
      <c r="ED254">
        <f>ROW()-1</f>
        <v/>
      </c>
    </row>
    <row r="255">
      <c r="A255" t="inlineStr">
        <is>
          <t>AB-303</t>
        </is>
      </c>
      <c r="B255" t="inlineStr">
        <is>
          <t>Chikka Chikka</t>
        </is>
      </c>
      <c r="H255" t="inlineStr">
        <is>
          <t>none</t>
        </is>
      </c>
      <c r="J255">
        <f>IF(AU255="pass",CM255+CN255+CO255+CP255+CQ255+CR255+CS255+CT255,0)</f>
        <v/>
      </c>
      <c r="K255" t="inlineStr">
        <is>
          <t>Gated out: health-claim: Explicit health claims on the website: 'reduces bloating', 'improve digestion', 'natural antacid', maple syrup 'can help support brain health'.</t>
        </is>
      </c>
      <c r="M255" t="inlineStr">
        <is>
          <t>none found within ten blocks</t>
        </is>
      </c>
      <c r="N255" t="inlineStr">
        <is>
          <t>unverified</t>
        </is>
      </c>
      <c r="O255" t="inlineStr">
        <is>
          <t>Fennel Seed Mouth Freshener named a 2027 sofi Award finalist (Nuts, Seeds, Trail Mix &amp; Dried Fruit)</t>
        </is>
      </c>
      <c r="P255" t="inlineStr">
        <is>
          <t>https://www.specialtyfood.com/news-media/news-features/association-press-releases/2027-sofi-awards-finalists/</t>
        </is>
      </c>
      <c r="Q255" t="inlineStr">
        <is>
          <t>2026-10-19</t>
        </is>
      </c>
      <c r="R255" t="inlineStr">
        <is>
          <t>N</t>
        </is>
      </c>
      <c r="S255" t="inlineStr">
        <is>
          <t>Y</t>
        </is>
      </c>
      <c r="T255" t="inlineStr">
        <is>
          <t>N</t>
        </is>
      </c>
      <c r="U255" t="inlineStr">
        <is>
          <t>new</t>
        </is>
      </c>
      <c r="V255" t="inlineStr">
        <is>
          <t>https://www.specialtyfood.com/news-media/news-features/association-press-releases/2027-sofi-awards-finalists/</t>
        </is>
      </c>
      <c r="W255" t="inlineStr">
        <is>
          <t>2026-10-24</t>
        </is>
      </c>
      <c r="X255" t="inlineStr">
        <is>
          <t>brand</t>
        </is>
      </c>
      <c r="Y255">
        <f>IF(EB255&lt;&gt;"Y","",COUNTIFS($EB$2:$EB$1000,"Y",$J$2:$J$1000,"&gt;"&amp;J255)+COUNTIFS($EB$2:$EB$1000,"Y",$J$2:$J$1000,J255,$ED$2:$ED$1000,"&lt;"&amp;ED255)+1)</f>
        <v/>
      </c>
      <c r="AA255" t="inlineStr">
        <is>
          <t>N</t>
        </is>
      </c>
      <c r="AD255" t="inlineStr">
        <is>
          <t>none</t>
        </is>
      </c>
      <c r="AH255" t="inlineStr">
        <is>
          <t>Chikka Chikka Mint Fennel Seed Digestive, pocket tin</t>
        </is>
      </c>
      <c r="AI255" t="inlineStr">
        <is>
          <t>other-snack</t>
        </is>
      </c>
      <c r="AJ255" t="inlineStr">
        <is>
          <t>Hudson Valley (town unknown)</t>
        </is>
      </c>
      <c r="AK255" t="inlineStr">
        <is>
          <t>https://chikkachikka.com</t>
        </is>
      </c>
      <c r="AL255" t="inlineStr">
        <is>
          <t>N</t>
        </is>
      </c>
      <c r="AN255" t="inlineStr">
        <is>
          <t>AB-303</t>
        </is>
      </c>
      <c r="AO255" t="inlineStr">
        <is>
          <t>N</t>
        </is>
      </c>
      <c r="AR255">
        <f>IF(AND(AU255="pass",AO255&lt;&gt;"Y",C255&lt;&gt;""),"Y","N")</f>
        <v/>
      </c>
      <c r="AS255">
        <f>_xlfn.TEXTJOIN("; ",TRUE,IF(AU255&lt;&gt;"pass","gated out",""),IF(AO255="Y","on hold: "&amp;AP255,""),IF(C255="","no contact named on an opened page",""))</f>
        <v/>
      </c>
      <c r="AU255" t="inlineStr">
        <is>
          <t>fail</t>
        </is>
      </c>
      <c r="AV255" t="inlineStr">
        <is>
          <t>health-claim</t>
        </is>
      </c>
      <c r="AW255" t="inlineStr">
        <is>
          <t>health-claim: Explicit health claims on the website: 'reduces bloating', 'improve digestion', 'natural antacid', maple syrup 'can help support brain health'</t>
        </is>
      </c>
      <c r="AY255" t="inlineStr">
        <is>
          <t>https://chikkachikka.com</t>
        </is>
      </c>
      <c r="AZ255" t="inlineStr">
        <is>
          <t>NY</t>
        </is>
      </c>
      <c r="BA255" t="inlineStr">
        <is>
          <t>nys</t>
        </is>
      </c>
      <c r="BB255" t="inlineStr">
        <is>
          <t>unknown</t>
        </is>
      </c>
      <c r="BD255" t="inlineStr">
        <is>
          <t>Y</t>
        </is>
      </c>
      <c r="BE255" t="inlineStr">
        <is>
          <t>Roasted fennel seeds in pocket-sized tins sold ambient</t>
        </is>
      </c>
      <c r="BF255" t="inlineStr">
        <is>
          <t>Y</t>
        </is>
      </c>
      <c r="BG255" t="inlineStr">
        <is>
          <t>Y</t>
        </is>
      </c>
      <c r="BH255" t="inlineStr">
        <is>
          <t>unknown</t>
        </is>
      </c>
      <c r="BJ255" t="inlineStr">
        <is>
          <t>No sourced sales figure found</t>
        </is>
      </c>
      <c r="BK255" t="inlineStr">
        <is>
          <t>Y</t>
        </is>
      </c>
      <c r="BL255" t="inlineStr">
        <is>
          <t>Y</t>
        </is>
      </c>
      <c r="BM255" t="inlineStr">
        <is>
          <t>Explicit health claims on the website: 'reduces bloating', 'improve digestion', 'natural antacid', maple syrup 'can help support brain health'</t>
        </is>
      </c>
      <c r="BO255" t="inlineStr">
        <is>
          <t>N</t>
        </is>
      </c>
      <c r="BP255" t="n">
        <v>0</v>
      </c>
      <c r="BS255" t="inlineStr">
        <is>
          <t>unknown</t>
        </is>
      </c>
      <c r="BU255" t="inlineStr">
        <is>
          <t>press</t>
        </is>
      </c>
      <c r="BV255" t="n">
        <v>5</v>
      </c>
      <c r="BW255" t="inlineStr">
        <is>
          <t>https://startupcpg.com/startup-cpg-shelfie-finalists-2025/</t>
        </is>
      </c>
      <c r="CF255" t="inlineStr">
        <is>
          <t>none</t>
        </is>
      </c>
      <c r="CK255" t="inlineStr">
        <is>
          <t>none</t>
        </is>
      </c>
      <c r="CL255" t="n">
        <v>49</v>
      </c>
      <c r="CM255" t="n">
        <v>6</v>
      </c>
      <c r="CN255" t="n">
        <v>13</v>
      </c>
      <c r="CO255" t="n">
        <v>15</v>
      </c>
      <c r="CP255" t="n">
        <v>5</v>
      </c>
      <c r="CQ255" t="n">
        <v>10</v>
      </c>
      <c r="CR255" t="n">
        <v>0</v>
      </c>
      <c r="CS255">
        <f>IF(R255="Y",10,0)</f>
        <v/>
      </c>
      <c r="CT255" t="n">
        <v>0</v>
      </c>
      <c r="CU255" t="inlineStr">
        <is>
          <t>https://www.instagram.com/eat_chikka_chikka/</t>
        </is>
      </c>
      <c r="CV255" t="inlineStr">
        <is>
          <t>BR5</t>
        </is>
      </c>
      <c r="CW255" t="inlineStr">
        <is>
          <t>BR5:39</t>
        </is>
      </c>
      <c r="CX255" t="inlineStr">
        <is>
          <t>Meta: 'Roasted Fennel Seed Snack Sweetened with Maple Syrup Made in Small Batches in the Hudson Valley NY and packaged in pocket-sized tins'. Recorded so the health-claim gate is visible.</t>
        </is>
      </c>
      <c r="DA255" t="inlineStr">
        <is>
          <t>stage 1 only</t>
        </is>
      </c>
      <c r="DY255">
        <f>IF(ISNUMBER(MATCH(U255,{"queued","contacted","replied","call_booked","call_done","yes_in_principle","materials_sent"},0)),"Y","N")</f>
        <v/>
      </c>
      <c r="DZ255">
        <f>IF(COUNTIFS($AN$2:$AN$1000,AN255,$DY$2:$DY$1000,"Y")+COUNTIFS($AN$2:$AN$1000,AN255,$T$2:$T$1000,"Y")&gt;0,"Y","N")</f>
        <v/>
      </c>
      <c r="EA255">
        <f>IF(AND(U255="new",T255="N",AR255="Y",AQ255="",DZ255="N"),"Y","N")</f>
        <v/>
      </c>
      <c r="EB255">
        <f>IF(EA255&lt;&gt;"Y","N",IF(COUNTIFS($AN$2:$AN$1000,AN255,$EA$2:$EA$1000,"Y",$J$2:$J$1000,"&gt;"&amp;J255)+COUNTIFS($AN$2:$AN$1000,AN255,$EA$2:$EA$1000,"Y",$J$2:$J$1000,J255,$ED$2:$ED$1000,"&lt;"&amp;ED255)=0,"Y","N"))</f>
        <v/>
      </c>
      <c r="EC255">
        <f>IF(Y255="","N",IF(Y255&lt;=10,"Y","N"))</f>
        <v/>
      </c>
      <c r="ED255">
        <f>ROW()-1</f>
        <v/>
      </c>
    </row>
    <row r="256">
      <c r="A256" t="inlineStr">
        <is>
          <t>AB-304</t>
        </is>
      </c>
      <c r="B256" t="inlineStr">
        <is>
          <t>Cho's Bakeshop</t>
        </is>
      </c>
      <c r="H256" t="inlineStr">
        <is>
          <t>none</t>
        </is>
      </c>
      <c r="J256">
        <f>IF(AU256="pass",CM256+CN256+CO256+CP256+CQ256+CR256+CS256+CT256,0)</f>
        <v/>
      </c>
      <c r="K256" t="inlineStr">
        <is>
          <t>Gated out: excluded-category: Needs preparation (baking mixes).</t>
        </is>
      </c>
      <c r="M256" t="inlineStr">
        <is>
          <t>none found within ten blocks</t>
        </is>
      </c>
      <c r="N256" t="inlineStr">
        <is>
          <t>unverified</t>
        </is>
      </c>
      <c r="O256" t="inlineStr">
        <is>
          <t>Chocolate Chip Cookie Mix named a 2027 sofi Award finalist (Baking Ingredients)</t>
        </is>
      </c>
      <c r="P256" t="inlineStr">
        <is>
          <t>https://www.specialtyfood.com/news-media/news-features/association-press-releases/2027-sofi-awards-finalists/</t>
        </is>
      </c>
      <c r="Q256" t="inlineStr">
        <is>
          <t>2026-10-19</t>
        </is>
      </c>
      <c r="R256" t="inlineStr">
        <is>
          <t>N</t>
        </is>
      </c>
      <c r="S256" t="inlineStr">
        <is>
          <t>Y</t>
        </is>
      </c>
      <c r="T256" t="inlineStr">
        <is>
          <t>N</t>
        </is>
      </c>
      <c r="U256" t="inlineStr">
        <is>
          <t>new</t>
        </is>
      </c>
      <c r="V256" t="inlineStr">
        <is>
          <t>https://events.specialtyfood.com/event/2026-summer-fancy-food-show/exhibitor/RXhoaWJpdG9yXzI0MzI4MDE=</t>
        </is>
      </c>
      <c r="W256" t="inlineStr">
        <is>
          <t>2026-10-24</t>
        </is>
      </c>
      <c r="X256" t="inlineStr">
        <is>
          <t>brand</t>
        </is>
      </c>
      <c r="Y256">
        <f>IF(EB256&lt;&gt;"Y","",COUNTIFS($EB$2:$EB$1000,"Y",$J$2:$J$1000,"&gt;"&amp;J256)+COUNTIFS($EB$2:$EB$1000,"Y",$J$2:$J$1000,J256,$ED$2:$ED$1000,"&lt;"&amp;ED256)+1)</f>
        <v/>
      </c>
      <c r="AA256" t="inlineStr">
        <is>
          <t>N</t>
        </is>
      </c>
      <c r="AD256" t="inlineStr">
        <is>
          <t>none</t>
        </is>
      </c>
      <c r="AH256" t="inlineStr">
        <is>
          <t>Cho's Bakeshop Chocolate Chip Cookie Mix</t>
        </is>
      </c>
      <c r="AI256" t="inlineStr">
        <is>
          <t>cookies-baked</t>
        </is>
      </c>
      <c r="AJ256" t="inlineStr">
        <is>
          <t>New York City</t>
        </is>
      </c>
      <c r="AK256" t="inlineStr">
        <is>
          <t>https://chosbakeshop.com</t>
        </is>
      </c>
      <c r="AL256" t="inlineStr">
        <is>
          <t>N</t>
        </is>
      </c>
      <c r="AN256" t="inlineStr">
        <is>
          <t>AB-304</t>
        </is>
      </c>
      <c r="AO256" t="inlineStr">
        <is>
          <t>N</t>
        </is>
      </c>
      <c r="AR256">
        <f>IF(AND(AU256="pass",AO256&lt;&gt;"Y",C256&lt;&gt;""),"Y","N")</f>
        <v/>
      </c>
      <c r="AS256">
        <f>_xlfn.TEXTJOIN("; ",TRUE,IF(AU256&lt;&gt;"pass","gated out",""),IF(AO256="Y","on hold: "&amp;AP256,""),IF(C256="","no contact named on an opened page",""))</f>
        <v/>
      </c>
      <c r="AU256" t="inlineStr">
        <is>
          <t>fail</t>
        </is>
      </c>
      <c r="AV256" t="inlineStr">
        <is>
          <t>excluded-category</t>
        </is>
      </c>
      <c r="AW256" t="inlineStr">
        <is>
          <t>excluded-category: Needs preparation (baking mixes)</t>
        </is>
      </c>
      <c r="AY256" t="inlineStr">
        <is>
          <t>https://chosbakeshop.com</t>
        </is>
      </c>
      <c r="AZ256" t="inlineStr">
        <is>
          <t>NY</t>
        </is>
      </c>
      <c r="BA256" t="inlineStr">
        <is>
          <t>nyc</t>
        </is>
      </c>
      <c r="BB256" t="inlineStr">
        <is>
          <t>unknown</t>
        </is>
      </c>
      <c r="BD256" t="inlineStr">
        <is>
          <t>Y</t>
        </is>
      </c>
      <c r="BE256" t="inlineStr">
        <is>
          <t>Dry baking mix</t>
        </is>
      </c>
      <c r="BF256" t="inlineStr">
        <is>
          <t>N</t>
        </is>
      </c>
      <c r="BG256" t="inlineStr">
        <is>
          <t>Y</t>
        </is>
      </c>
      <c r="BH256" t="inlineStr">
        <is>
          <t>unknown</t>
        </is>
      </c>
      <c r="BJ256" t="inlineStr">
        <is>
          <t>No sourced sales figure found</t>
        </is>
      </c>
      <c r="BK256" t="inlineStr">
        <is>
          <t>N</t>
        </is>
      </c>
      <c r="BL256" t="inlineStr">
        <is>
          <t>Y</t>
        </is>
      </c>
      <c r="BM256" t="inlineStr">
        <is>
          <t>Needs preparation (baking mixes)</t>
        </is>
      </c>
      <c r="BO256" t="inlineStr">
        <is>
          <t>N</t>
        </is>
      </c>
      <c r="BP256" t="n">
        <v>0</v>
      </c>
      <c r="BS256" t="inlineStr">
        <is>
          <t>unknown</t>
        </is>
      </c>
      <c r="BU256" t="inlineStr">
        <is>
          <t>press</t>
        </is>
      </c>
      <c r="BV256" t="n">
        <v>5</v>
      </c>
      <c r="BW256" t="inlineStr">
        <is>
          <t>https://startupcpg.com/startup-cpg-shelfie-finalists-2026/</t>
        </is>
      </c>
      <c r="CF256" t="inlineStr">
        <is>
          <t>none</t>
        </is>
      </c>
      <c r="CK256" t="inlineStr">
        <is>
          <t>none</t>
        </is>
      </c>
      <c r="CL256" t="n">
        <v>53</v>
      </c>
      <c r="CM256" t="n">
        <v>6</v>
      </c>
      <c r="CN256" t="n">
        <v>20</v>
      </c>
      <c r="CO256" t="n">
        <v>15</v>
      </c>
      <c r="CP256" t="n">
        <v>5</v>
      </c>
      <c r="CQ256" t="n">
        <v>7</v>
      </c>
      <c r="CR256" t="n">
        <v>0</v>
      </c>
      <c r="CS256">
        <f>IF(R256="Y",10,0)</f>
        <v/>
      </c>
      <c r="CT256" t="n">
        <v>0</v>
      </c>
      <c r="CU256" t="inlineStr">
        <is>
          <t>https://instagram.com/chosbakeshop</t>
        </is>
      </c>
      <c r="CV256" t="inlineStr">
        <is>
          <t>BR5</t>
        </is>
      </c>
      <c r="CW256" t="inlineStr">
        <is>
          <t>BR5:40</t>
        </is>
      </c>
      <c r="CX256" t="inlineStr">
        <is>
          <t>SFFS 2026: 'NYC-based CPG brand offering premium, chef-crafted baking mixes. Developed by a Michelin-trained pastry chef'. Recorded so the preparation gate is visible.</t>
        </is>
      </c>
      <c r="DA256" t="inlineStr">
        <is>
          <t>stage 1 only</t>
        </is>
      </c>
      <c r="DY256">
        <f>IF(ISNUMBER(MATCH(U256,{"queued","contacted","replied","call_booked","call_done","yes_in_principle","materials_sent"},0)),"Y","N")</f>
        <v/>
      </c>
      <c r="DZ256">
        <f>IF(COUNTIFS($AN$2:$AN$1000,AN256,$DY$2:$DY$1000,"Y")+COUNTIFS($AN$2:$AN$1000,AN256,$T$2:$T$1000,"Y")&gt;0,"Y","N")</f>
        <v/>
      </c>
      <c r="EA256">
        <f>IF(AND(U256="new",T256="N",AR256="Y",AQ256="",DZ256="N"),"Y","N")</f>
        <v/>
      </c>
      <c r="EB256">
        <f>IF(EA256&lt;&gt;"Y","N",IF(COUNTIFS($AN$2:$AN$1000,AN256,$EA$2:$EA$1000,"Y",$J$2:$J$1000,"&gt;"&amp;J256)+COUNTIFS($AN$2:$AN$1000,AN256,$EA$2:$EA$1000,"Y",$J$2:$J$1000,J256,$ED$2:$ED$1000,"&lt;"&amp;ED256)=0,"Y","N"))</f>
        <v/>
      </c>
      <c r="EC256">
        <f>IF(Y256="","N",IF(Y256&lt;=10,"Y","N"))</f>
        <v/>
      </c>
      <c r="ED256">
        <f>ROW()-1</f>
        <v/>
      </c>
    </row>
    <row r="257">
      <c r="A257" t="inlineStr">
        <is>
          <t>AB-054</t>
        </is>
      </c>
      <c r="B257" t="inlineStr">
        <is>
          <t>Coditos</t>
        </is>
      </c>
      <c r="C257" t="inlineStr">
        <is>
          <t>Rodolfo</t>
        </is>
      </c>
      <c r="D257" t="inlineStr">
        <is>
          <t>Saccoman</t>
        </is>
      </c>
      <c r="E257" t="inlineStr">
        <is>
          <t>Co-founder and CEO</t>
        </is>
      </c>
      <c r="H257" t="inlineStr">
        <is>
          <t>none</t>
        </is>
      </c>
      <c r="I257" t="inlineStr">
        <is>
          <t>linkedin</t>
        </is>
      </c>
      <c r="J257">
        <f>IF(AU257="pass",CM257+CN257+CO257+CP257+CQ257+CR257+CS257+CT257,0)</f>
        <v/>
      </c>
      <c r="K257" t="inlineStr">
        <is>
          <t>Gated out: no-buy-path: no graded store within ten blocks and no online store shown (online store unknown).</t>
        </is>
      </c>
      <c r="M257" t="inlineStr">
        <is>
          <t>none found within ten blocks</t>
        </is>
      </c>
      <c r="N257" t="inlineStr">
        <is>
          <t>unverified</t>
        </is>
      </c>
      <c r="O257" t="inlineStr">
        <is>
          <t>Launched Avocado Oil Crunchy Macaronis</t>
        </is>
      </c>
      <c r="P257" t="inlineStr">
        <is>
          <t>https://www.snackandbakery.com/articles/116329-coditos-expands-crunchy-macaronis-snack-line</t>
        </is>
      </c>
      <c r="Q257" t="inlineStr">
        <is>
          <t>2026-09-16</t>
        </is>
      </c>
      <c r="R257" t="inlineStr">
        <is>
          <t>N</t>
        </is>
      </c>
      <c r="S257" t="inlineStr">
        <is>
          <t>unknown</t>
        </is>
      </c>
      <c r="T257" t="inlineStr">
        <is>
          <t>N</t>
        </is>
      </c>
      <c r="U257" t="inlineStr">
        <is>
          <t>new</t>
        </is>
      </c>
      <c r="V257" t="inlineStr">
        <is>
          <t>https://www.snackandbakery.com/articles/116329-coditos-expands-crunchy-macaronis-snack-line</t>
        </is>
      </c>
      <c r="W257" t="inlineStr">
        <is>
          <t>2026-10-23</t>
        </is>
      </c>
      <c r="X257" t="inlineStr">
        <is>
          <t>brand</t>
        </is>
      </c>
      <c r="Y257">
        <f>IF(EB257&lt;&gt;"Y","",COUNTIFS($EB$2:$EB$1000,"Y",$J$2:$J$1000,"&gt;"&amp;J257)+COUNTIFS($EB$2:$EB$1000,"Y",$J$2:$J$1000,J257,$ED$2:$ED$1000,"&lt;"&amp;ED257)+1)</f>
        <v/>
      </c>
      <c r="AA257" t="inlineStr">
        <is>
          <t>N</t>
        </is>
      </c>
      <c r="AC257" t="inlineStr">
        <is>
          <t>founder</t>
        </is>
      </c>
      <c r="AD257" t="inlineStr">
        <is>
          <t>verified-page</t>
        </is>
      </c>
      <c r="AE257" t="inlineStr">
        <is>
          <t>press, event or podcast page</t>
        </is>
      </c>
      <c r="AF257" t="inlineStr">
        <is>
          <t>https://www.snackandbakery.com/articles/116329-coditos-expands-crunchy-macaronis-snack-line</t>
        </is>
      </c>
      <c r="AG257" t="inlineStr">
        <is>
          <t>2026-10-23</t>
        </is>
      </c>
      <c r="AH257" t="inlineStr">
        <is>
          <t>Coditos Crunchy Macaronis, Avocado Oil, 2.82 oz</t>
        </is>
      </c>
      <c r="AI257" t="inlineStr">
        <is>
          <t>other-snack</t>
        </is>
      </c>
      <c r="AJ257" t="inlineStr">
        <is>
          <t>Miami</t>
        </is>
      </c>
      <c r="AL257" t="inlineStr">
        <is>
          <t>N</t>
        </is>
      </c>
      <c r="AN257" t="inlineStr">
        <is>
          <t>AB-054</t>
        </is>
      </c>
      <c r="AO257" t="inlineStr">
        <is>
          <t>N</t>
        </is>
      </c>
      <c r="AR257">
        <f>IF(AND(AU257="pass",AO257&lt;&gt;"Y",C257&lt;&gt;""),"Y","N")</f>
        <v/>
      </c>
      <c r="AS257">
        <f>_xlfn.TEXTJOIN("; ",TRUE,IF(AU257&lt;&gt;"pass","gated out",""),IF(AO257="Y","on hold: "&amp;AP257,""),IF(C257="","no contact named on an opened page",""))</f>
        <v/>
      </c>
      <c r="AU257" t="inlineStr">
        <is>
          <t>fail</t>
        </is>
      </c>
      <c r="AV257" t="inlineStr">
        <is>
          <t>no-buy-path</t>
        </is>
      </c>
      <c r="AW257" t="inlineStr">
        <is>
          <t>no-buy-path: no graded store within ten blocks and no online store shown (online store unknown)</t>
        </is>
      </c>
      <c r="AY257" t="inlineStr">
        <is>
          <t>https://www.coditos.com</t>
        </is>
      </c>
      <c r="AZ257" t="inlineStr">
        <is>
          <t>FL</t>
        </is>
      </c>
      <c r="BA257" t="inlineStr">
        <is>
          <t>elsewhere</t>
        </is>
      </c>
      <c r="BB257" t="inlineStr">
        <is>
          <t>unknown</t>
        </is>
      </c>
      <c r="BD257" t="inlineStr">
        <is>
          <t>Y</t>
        </is>
      </c>
      <c r="BE257" t="inlineStr">
        <is>
          <t>Trade press calls it a crispy, shelf-stable snack</t>
        </is>
      </c>
      <c r="BF257" t="inlineStr">
        <is>
          <t>Y</t>
        </is>
      </c>
      <c r="BG257" t="inlineStr">
        <is>
          <t>unknown</t>
        </is>
      </c>
      <c r="BH257" t="inlineStr">
        <is>
          <t>unknown</t>
        </is>
      </c>
      <c r="BJ257" t="inlineStr">
        <is>
          <t>unknown</t>
        </is>
      </c>
      <c r="BK257" t="inlineStr">
        <is>
          <t>N</t>
        </is>
      </c>
      <c r="BL257" t="inlineStr">
        <is>
          <t>N</t>
        </is>
      </c>
      <c r="BO257" t="inlineStr">
        <is>
          <t>N</t>
        </is>
      </c>
      <c r="BP257" t="n">
        <v>0</v>
      </c>
      <c r="BS257" t="inlineStr">
        <is>
          <t>250+ retail locations (trade press)</t>
        </is>
      </c>
      <c r="BT257" t="inlineStr">
        <is>
          <t>https://www.wholefoodsmarket.com/search?text=coditos (no results in cluster stores, 2026-10-23)</t>
        </is>
      </c>
      <c r="BU257" t="inlineStr">
        <is>
          <t>press</t>
        </is>
      </c>
      <c r="BV257" t="n">
        <v>38</v>
      </c>
      <c r="BX257" t="inlineStr">
        <is>
          <t>Rodolfo Saccoman</t>
        </is>
      </c>
      <c r="CA257" t="inlineStr">
        <is>
          <t>Yezmin León</t>
        </is>
      </c>
      <c r="CB257" t="inlineStr">
        <is>
          <t>Yezmin</t>
        </is>
      </c>
      <c r="CC257" t="inlineStr">
        <is>
          <t>León</t>
        </is>
      </c>
      <c r="CD257" t="inlineStr">
        <is>
          <t>Co-founder</t>
        </is>
      </c>
      <c r="CE257" t="inlineStr">
        <is>
          <t>marketing</t>
        </is>
      </c>
      <c r="CF257" t="inlineStr">
        <is>
          <t>verified-page</t>
        </is>
      </c>
      <c r="CK257" t="inlineStr">
        <is>
          <t>none</t>
        </is>
      </c>
      <c r="CL257" t="n">
        <v>41</v>
      </c>
      <c r="CM257" t="n">
        <v>0</v>
      </c>
      <c r="CN257" t="n">
        <v>3</v>
      </c>
      <c r="CO257" t="n">
        <v>15</v>
      </c>
      <c r="CP257" t="n">
        <v>5</v>
      </c>
      <c r="CQ257" t="n">
        <v>8</v>
      </c>
      <c r="CR257" t="n">
        <v>10</v>
      </c>
      <c r="CS257">
        <f>IF(R257="Y",10,0)</f>
        <v/>
      </c>
      <c r="CT257" t="n">
        <v>0</v>
      </c>
      <c r="CU257" t="inlineStr">
        <is>
          <t>unknown</t>
        </is>
      </c>
      <c r="CV257" t="inlineStr">
        <is>
          <t>BR1</t>
        </is>
      </c>
      <c r="CW257" t="inlineStr">
        <is>
          <t>BR1:55</t>
        </is>
      </c>
      <c r="CX257" t="inlineStr">
        <is>
          <t>Miami-born (Hialeah) family recipe. Site rendered no text without JavaScript; online store unconfirmed.</t>
        </is>
      </c>
      <c r="CZ257" t="inlineStr">
        <is>
          <t>https://www.snackandbakery.com/articles/116329-coditos-expands-crunchy-macaronis-snack-line</t>
        </is>
      </c>
      <c r="DA257" t="inlineStr">
        <is>
          <t>stage 1 only</t>
        </is>
      </c>
      <c r="DC257" t="inlineStr">
        <is>
          <t>press, event or podcast page</t>
        </is>
      </c>
      <c r="DY257">
        <f>IF(ISNUMBER(MATCH(U257,{"queued","contacted","replied","call_booked","call_done","yes_in_principle","materials_sent"},0)),"Y","N")</f>
        <v/>
      </c>
      <c r="DZ257">
        <f>IF(COUNTIFS($AN$2:$AN$1000,AN257,$DY$2:$DY$1000,"Y")+COUNTIFS($AN$2:$AN$1000,AN257,$T$2:$T$1000,"Y")&gt;0,"Y","N")</f>
        <v/>
      </c>
      <c r="EA257">
        <f>IF(AND(U257="new",T257="N",AR257="Y",AQ257="",DZ257="N"),"Y","N")</f>
        <v/>
      </c>
      <c r="EB257">
        <f>IF(EA257&lt;&gt;"Y","N",IF(COUNTIFS($AN$2:$AN$1000,AN257,$EA$2:$EA$1000,"Y",$J$2:$J$1000,"&gt;"&amp;J257)+COUNTIFS($AN$2:$AN$1000,AN257,$EA$2:$EA$1000,"Y",$J$2:$J$1000,J257,$ED$2:$ED$1000,"&lt;"&amp;ED257)=0,"Y","N"))</f>
        <v/>
      </c>
      <c r="EC257">
        <f>IF(Y257="","N",IF(Y257&lt;=10,"Y","N"))</f>
        <v/>
      </c>
      <c r="ED257">
        <f>ROW()-1</f>
        <v/>
      </c>
    </row>
    <row r="258">
      <c r="A258" t="inlineStr">
        <is>
          <t>AB-302</t>
        </is>
      </c>
      <c r="B258" t="inlineStr">
        <is>
          <t>Freedom Fluid</t>
        </is>
      </c>
      <c r="H258" t="inlineStr">
        <is>
          <t>none</t>
        </is>
      </c>
      <c r="J258">
        <f>IF(AU258="pass",CM258+CN258+CO258+CP258+CQ258+CR258+CS258+CT258,0)</f>
        <v/>
      </c>
      <c r="K258" t="inlineStr">
        <is>
          <t>Gated out: health-claim: Website calls the tea 'immune boosting' (structure-function claim).</t>
        </is>
      </c>
      <c r="M258" t="inlineStr">
        <is>
          <t>none found within ten blocks</t>
        </is>
      </c>
      <c r="N258" t="inlineStr">
        <is>
          <t>unverified</t>
        </is>
      </c>
      <c r="O258" t="inlineStr">
        <is>
          <t>Exhibited at the 2026 Summer Fancy Food Show</t>
        </is>
      </c>
      <c r="P258" t="inlineStr">
        <is>
          <t>https://events.specialtyfood.com/event/2026-summer-fancy-food-show/exhibitor/RXhoaWJpdG9yXzI0NjY4ODc=</t>
        </is>
      </c>
      <c r="Q258" t="inlineStr">
        <is>
          <t>2026-06-28</t>
        </is>
      </c>
      <c r="R258" t="inlineStr">
        <is>
          <t>N</t>
        </is>
      </c>
      <c r="S258" t="inlineStr">
        <is>
          <t>unknown</t>
        </is>
      </c>
      <c r="T258" t="inlineStr">
        <is>
          <t>N</t>
        </is>
      </c>
      <c r="U258" t="inlineStr">
        <is>
          <t>new</t>
        </is>
      </c>
      <c r="V258" t="inlineStr">
        <is>
          <t>https://events.specialtyfood.com/event/2026-summer-fancy-food-show/exhibitor/RXhoaWJpdG9yXzI0NjY4ODc=</t>
        </is>
      </c>
      <c r="W258" t="inlineStr">
        <is>
          <t>2026-10-24</t>
        </is>
      </c>
      <c r="X258" t="inlineStr">
        <is>
          <t>brand</t>
        </is>
      </c>
      <c r="Y258">
        <f>IF(EB258&lt;&gt;"Y","",COUNTIFS($EB$2:$EB$1000,"Y",$J$2:$J$1000,"&gt;"&amp;J258)+COUNTIFS($EB$2:$EB$1000,"Y",$J$2:$J$1000,J258,$ED$2:$ED$1000,"&lt;"&amp;ED258)+1)</f>
        <v/>
      </c>
      <c r="AA258" t="inlineStr">
        <is>
          <t>N</t>
        </is>
      </c>
      <c r="AD258" t="inlineStr">
        <is>
          <t>none</t>
        </is>
      </c>
      <c r="AH258" t="inlineStr">
        <is>
          <t>Freedom Fluid organic yaupon iced tea, Tangerine Mint</t>
        </is>
      </c>
      <c r="AI258" t="inlineStr">
        <is>
          <t>tea-juice</t>
        </is>
      </c>
      <c r="AJ258" t="inlineStr">
        <is>
          <t>Boston</t>
        </is>
      </c>
      <c r="AK258" t="inlineStr">
        <is>
          <t>https://www.drinkfreedomfluid.com</t>
        </is>
      </c>
      <c r="AL258" t="inlineStr">
        <is>
          <t>Y</t>
        </is>
      </c>
      <c r="AM258" t="inlineStr">
        <is>
          <t>Wording seen on the website only; if the can has no such claim, the founder may reconsider; 60-day shelf life not stated</t>
        </is>
      </c>
      <c r="AN258" t="inlineStr">
        <is>
          <t>AB-302</t>
        </is>
      </c>
      <c r="AO258" t="inlineStr">
        <is>
          <t>N</t>
        </is>
      </c>
      <c r="AR258">
        <f>IF(AND(AU258="pass",AO258&lt;&gt;"Y",C258&lt;&gt;""),"Y","N")</f>
        <v/>
      </c>
      <c r="AS258">
        <f>_xlfn.TEXTJOIN("; ",TRUE,IF(AU258&lt;&gt;"pass","gated out",""),IF(AO258="Y","on hold: "&amp;AP258,""),IF(C258="","no contact named on an opened page",""))</f>
        <v/>
      </c>
      <c r="AU258" t="inlineStr">
        <is>
          <t>fail</t>
        </is>
      </c>
      <c r="AV258" t="inlineStr">
        <is>
          <t>health-claim</t>
        </is>
      </c>
      <c r="AW258" t="inlineStr">
        <is>
          <t>health-claim: Website calls the tea 'immune boosting' (structure-function claim)</t>
        </is>
      </c>
      <c r="AX258" t="inlineStr">
        <is>
          <t>claim-borderline</t>
        </is>
      </c>
      <c r="AY258" t="inlineStr">
        <is>
          <t>https://www.drinkfreedomfluid.com</t>
        </is>
      </c>
      <c r="AZ258" t="inlineStr">
        <is>
          <t>MA</t>
        </is>
      </c>
      <c r="BA258" t="inlineStr">
        <is>
          <t>northeast</t>
        </is>
      </c>
      <c r="BB258" t="inlineStr">
        <is>
          <t>unknown</t>
        </is>
      </c>
      <c r="BD258" t="inlineStr">
        <is>
          <t>unknown</t>
        </is>
      </c>
      <c r="BE258" t="inlineStr">
        <is>
          <t>Bottled or canned iced tea sold online in cases; storage not stated</t>
        </is>
      </c>
      <c r="BF258" t="inlineStr">
        <is>
          <t>Y</t>
        </is>
      </c>
      <c r="BG258" t="inlineStr">
        <is>
          <t>Y</t>
        </is>
      </c>
      <c r="BH258" t="inlineStr">
        <is>
          <t>unknown</t>
        </is>
      </c>
      <c r="BJ258" t="inlineStr">
        <is>
          <t>No sourced sales figure found</t>
        </is>
      </c>
      <c r="BK258" t="inlineStr">
        <is>
          <t>Y</t>
        </is>
      </c>
      <c r="BL258" t="inlineStr">
        <is>
          <t>Y</t>
        </is>
      </c>
      <c r="BM258" t="inlineStr">
        <is>
          <t>Website calls the tea 'immune boosting' (structure-function claim)</t>
        </is>
      </c>
      <c r="BO258" t="inlineStr">
        <is>
          <t>N</t>
        </is>
      </c>
      <c r="BP258" t="n">
        <v>0</v>
      </c>
      <c r="BS258" t="inlineStr">
        <is>
          <t>unknown</t>
        </is>
      </c>
      <c r="BU258" t="inlineStr">
        <is>
          <t>press</t>
        </is>
      </c>
      <c r="BV258" t="n">
        <v>118</v>
      </c>
      <c r="CF258" t="inlineStr">
        <is>
          <t>none</t>
        </is>
      </c>
      <c r="CK258" t="inlineStr">
        <is>
          <t>none</t>
        </is>
      </c>
      <c r="CL258" t="n">
        <v>37</v>
      </c>
      <c r="CM258" t="n">
        <v>6</v>
      </c>
      <c r="CN258" t="n">
        <v>8</v>
      </c>
      <c r="CO258" t="n">
        <v>15</v>
      </c>
      <c r="CP258" t="n">
        <v>5</v>
      </c>
      <c r="CQ258" t="n">
        <v>7</v>
      </c>
      <c r="CR258" t="n">
        <v>0</v>
      </c>
      <c r="CS258">
        <f>IF(R258="Y",10,0)</f>
        <v/>
      </c>
      <c r="CT258" t="n">
        <v>-4</v>
      </c>
      <c r="CU258" t="inlineStr">
        <is>
          <t>https://www.instagram.com/drinkfreedomfluid/</t>
        </is>
      </c>
      <c r="CV258" t="inlineStr">
        <is>
          <t>BR5</t>
        </is>
      </c>
      <c r="CW258" t="inlineStr">
        <is>
          <t>BR5:38</t>
        </is>
      </c>
      <c r="CX258" t="inlineStr">
        <is>
          <t>SFFS 2026 (State: Massachusetts): 'mission-driven beverage company founded in Boston in 2024 to revive yaupon... Regenerative Organic Certified, antioxidant-rich iced teas'.</t>
        </is>
      </c>
      <c r="DA258" t="inlineStr">
        <is>
          <t>stage 1 only</t>
        </is>
      </c>
      <c r="DY258">
        <f>IF(ISNUMBER(MATCH(U258,{"queued","contacted","replied","call_booked","call_done","yes_in_principle","materials_sent"},0)),"Y","N")</f>
        <v/>
      </c>
      <c r="DZ258">
        <f>IF(COUNTIFS($AN$2:$AN$1000,AN258,$DY$2:$DY$1000,"Y")+COUNTIFS($AN$2:$AN$1000,AN258,$T$2:$T$1000,"Y")&gt;0,"Y","N")</f>
        <v/>
      </c>
      <c r="EA258">
        <f>IF(AND(U258="new",T258="N",AR258="Y",AQ258="",DZ258="N"),"Y","N")</f>
        <v/>
      </c>
      <c r="EB258">
        <f>IF(EA258&lt;&gt;"Y","N",IF(COUNTIFS($AN$2:$AN$1000,AN258,$EA$2:$EA$1000,"Y",$J$2:$J$1000,"&gt;"&amp;J258)+COUNTIFS($AN$2:$AN$1000,AN258,$EA$2:$EA$1000,"Y",$J$2:$J$1000,J258,$ED$2:$ED$1000,"&lt;"&amp;ED258)=0,"Y","N"))</f>
        <v/>
      </c>
      <c r="EC258">
        <f>IF(Y258="","N",IF(Y258&lt;=10,"Y","N"))</f>
        <v/>
      </c>
      <c r="ED258">
        <f>ROW()-1</f>
        <v/>
      </c>
    </row>
    <row r="259">
      <c r="A259" t="inlineStr">
        <is>
          <t>AB-253</t>
        </is>
      </c>
      <c r="B259" t="inlineStr">
        <is>
          <t>Goldholly</t>
        </is>
      </c>
      <c r="H259" t="inlineStr">
        <is>
          <t>none</t>
        </is>
      </c>
      <c r="J259">
        <f>IF(AU259="pass",CM259+CN259+CO259+CP259+CQ259+CR259+CS259+CT259,0)</f>
        <v/>
      </c>
      <c r="K259" t="inlineStr">
        <is>
          <t>Gated out: excluded-category: Needs preparation (loose tea to brew, not ready-to-drink).</t>
        </is>
      </c>
      <c r="M259" t="inlineStr">
        <is>
          <t>none found within ten blocks</t>
        </is>
      </c>
      <c r="N259" t="inlineStr">
        <is>
          <t>unverified</t>
        </is>
      </c>
      <c r="O259" t="inlineStr">
        <is>
          <t>Brand refresh and new packaging as 'Clean American Caffeine'</t>
        </is>
      </c>
      <c r="P259" t="inlineStr">
        <is>
          <t>https://startupcpg.com/startup-cpg-newswire-goldholly-reintroduces-its-flagship-product-as-clean-american-caffeine-with-a-brand-refresh-and-new-packaging/</t>
        </is>
      </c>
      <c r="Q259" t="inlineStr">
        <is>
          <t>2026-06-24</t>
        </is>
      </c>
      <c r="R259" t="inlineStr">
        <is>
          <t>N</t>
        </is>
      </c>
      <c r="S259" t="inlineStr">
        <is>
          <t>Y</t>
        </is>
      </c>
      <c r="T259" t="inlineStr">
        <is>
          <t>N</t>
        </is>
      </c>
      <c r="U259" t="inlineStr">
        <is>
          <t>new</t>
        </is>
      </c>
      <c r="V259" t="inlineStr">
        <is>
          <t>https://startupcpg.com/startup-cpg-newswire-goldholly-reintroduces-its-flagship-product-as-clean-american-caffeine-with-a-brand-refresh-and-new-packaging/</t>
        </is>
      </c>
      <c r="W259" t="inlineStr">
        <is>
          <t>2026-10-23</t>
        </is>
      </c>
      <c r="X259" t="inlineStr">
        <is>
          <t>brand</t>
        </is>
      </c>
      <c r="Y259">
        <f>IF(EB259&lt;&gt;"Y","",COUNTIFS($EB$2:$EB$1000,"Y",$J$2:$J$1000,"&gt;"&amp;J259)+COUNTIFS($EB$2:$EB$1000,"Y",$J$2:$J$1000,J259,$ED$2:$ED$1000,"&lt;"&amp;ED259)+1)</f>
        <v/>
      </c>
      <c r="AA259" t="inlineStr">
        <is>
          <t>N</t>
        </is>
      </c>
      <c r="AD259" t="inlineStr">
        <is>
          <t>none</t>
        </is>
      </c>
      <c r="AH259" t="inlineStr">
        <is>
          <t>Yaupon tea (caffeinated), resealable stand-up pouch</t>
        </is>
      </c>
      <c r="AI259" t="inlineStr">
        <is>
          <t>other-drink</t>
        </is>
      </c>
      <c r="AJ259" t="inlineStr">
        <is>
          <t>New York (release datelined New York, NY)</t>
        </is>
      </c>
      <c r="AL259" t="inlineStr">
        <is>
          <t>N</t>
        </is>
      </c>
      <c r="AN259" t="inlineStr">
        <is>
          <t>AB-253</t>
        </is>
      </c>
      <c r="AO259" t="inlineStr">
        <is>
          <t>N</t>
        </is>
      </c>
      <c r="AR259">
        <f>IF(AND(AU259="pass",AO259&lt;&gt;"Y",C259&lt;&gt;""),"Y","N")</f>
        <v/>
      </c>
      <c r="AS259">
        <f>_xlfn.TEXTJOIN("; ",TRUE,IF(AU259&lt;&gt;"pass","gated out",""),IF(AO259="Y","on hold: "&amp;AP259,""),IF(C259="","no contact named on an opened page",""))</f>
        <v/>
      </c>
      <c r="AU259" t="inlineStr">
        <is>
          <t>fail</t>
        </is>
      </c>
      <c r="AV259" t="inlineStr">
        <is>
          <t>excluded-category;no-buy-path</t>
        </is>
      </c>
      <c r="AW259" t="inlineStr">
        <is>
          <t>excluded-category: Needs preparation (loose tea to brew, not ready-to-drink) | no-buy-path: no graded store within ten blocks and no online store shown (online store unknown)</t>
        </is>
      </c>
      <c r="AY259" t="inlineStr">
        <is>
          <t>https://goldholly.com</t>
        </is>
      </c>
      <c r="AZ259" t="inlineStr">
        <is>
          <t>NY</t>
        </is>
      </c>
      <c r="BA259" t="inlineStr">
        <is>
          <t>nyc</t>
        </is>
      </c>
      <c r="BB259" t="inlineStr">
        <is>
          <t>unknown</t>
        </is>
      </c>
      <c r="BD259" t="inlineStr">
        <is>
          <t>Y</t>
        </is>
      </c>
      <c r="BE259" t="inlineStr">
        <is>
          <t>Dry tea</t>
        </is>
      </c>
      <c r="BF259" t="inlineStr">
        <is>
          <t>N</t>
        </is>
      </c>
      <c r="BG259" t="inlineStr">
        <is>
          <t>unknown</t>
        </is>
      </c>
      <c r="BH259" t="inlineStr">
        <is>
          <t>unknown</t>
        </is>
      </c>
      <c r="BJ259" t="inlineStr">
        <is>
          <t>unknown</t>
        </is>
      </c>
      <c r="BK259" t="inlineStr">
        <is>
          <t>N</t>
        </is>
      </c>
      <c r="BL259" t="inlineStr">
        <is>
          <t>Y</t>
        </is>
      </c>
      <c r="BM259" t="inlineStr">
        <is>
          <t>Needs preparation (loose tea to brew, not ready-to-drink)</t>
        </is>
      </c>
      <c r="BO259" t="inlineStr">
        <is>
          <t>N</t>
        </is>
      </c>
      <c r="BP259" t="n">
        <v>0</v>
      </c>
      <c r="BU259" t="inlineStr">
        <is>
          <t>press</t>
        </is>
      </c>
      <c r="BV259" t="n">
        <v>122</v>
      </c>
      <c r="BW259" t="inlineStr">
        <is>
          <t>https://startupcpg.com/startup-cpg-newswire-goldholly-reintroduces-its-flagship-product-as-clean-american-caffeine-with-a-brand-refresh-and-new-packaging/</t>
        </is>
      </c>
      <c r="CF259" t="inlineStr">
        <is>
          <t>none</t>
        </is>
      </c>
      <c r="CK259" t="inlineStr">
        <is>
          <t>none</t>
        </is>
      </c>
      <c r="CL259" t="n">
        <v>45</v>
      </c>
      <c r="CM259" t="n">
        <v>0</v>
      </c>
      <c r="CN259" t="n">
        <v>20</v>
      </c>
      <c r="CO259" t="n">
        <v>15</v>
      </c>
      <c r="CP259" t="n">
        <v>5</v>
      </c>
      <c r="CQ259" t="n">
        <v>5</v>
      </c>
      <c r="CR259" t="n">
        <v>0</v>
      </c>
      <c r="CS259">
        <f>IF(R259="Y",10,0)</f>
        <v/>
      </c>
      <c r="CT259" t="n">
        <v>0</v>
      </c>
      <c r="CV259" t="inlineStr">
        <is>
          <t>BR4</t>
        </is>
      </c>
      <c r="CW259" t="inlineStr">
        <is>
          <t>BR4:48</t>
        </is>
      </c>
      <c r="CX259" t="inlineStr">
        <is>
          <t>Recorded so the gate is visible.</t>
        </is>
      </c>
      <c r="DA259" t="inlineStr">
        <is>
          <t>stage 1 only</t>
        </is>
      </c>
      <c r="DY259">
        <f>IF(ISNUMBER(MATCH(U259,{"queued","contacted","replied","call_booked","call_done","yes_in_principle","materials_sent"},0)),"Y","N")</f>
        <v/>
      </c>
      <c r="DZ259">
        <f>IF(COUNTIFS($AN$2:$AN$1000,AN259,$DY$2:$DY$1000,"Y")+COUNTIFS($AN$2:$AN$1000,AN259,$T$2:$T$1000,"Y")&gt;0,"Y","N")</f>
        <v/>
      </c>
      <c r="EA259">
        <f>IF(AND(U259="new",T259="N",AR259="Y",AQ259="",DZ259="N"),"Y","N")</f>
        <v/>
      </c>
      <c r="EB259">
        <f>IF(EA259&lt;&gt;"Y","N",IF(COUNTIFS($AN$2:$AN$1000,AN259,$EA$2:$EA$1000,"Y",$J$2:$J$1000,"&gt;"&amp;J259)+COUNTIFS($AN$2:$AN$1000,AN259,$EA$2:$EA$1000,"Y",$J$2:$J$1000,J259,$ED$2:$ED$1000,"&lt;"&amp;ED259)=0,"Y","N"))</f>
        <v/>
      </c>
      <c r="EC259">
        <f>IF(Y259="","N",IF(Y259&lt;=10,"Y","N"))</f>
        <v/>
      </c>
      <c r="ED259">
        <f>ROW()-1</f>
        <v/>
      </c>
    </row>
    <row r="260">
      <c r="A260" t="inlineStr">
        <is>
          <t>AB-308</t>
        </is>
      </c>
      <c r="B260" t="inlineStr">
        <is>
          <t>Hello Honey Iced Tea (Shoop Beverages)</t>
        </is>
      </c>
      <c r="H260" t="inlineStr">
        <is>
          <t>none</t>
        </is>
      </c>
      <c r="J260">
        <f>IF(AU260="pass",CM260+CN260+CO260+CP260+CQ260+CR260+CS260+CT260,0)</f>
        <v/>
      </c>
      <c r="K260" t="inlineStr">
        <is>
          <t>Gated out: no-buy-path: no graded store within ten blocks and no online store shown.</t>
        </is>
      </c>
      <c r="M260" t="inlineStr">
        <is>
          <t>none found within ten blocks</t>
        </is>
      </c>
      <c r="N260" t="inlineStr">
        <is>
          <t>unverified</t>
        </is>
      </c>
      <c r="O260" t="inlineStr">
        <is>
          <t>Showed Hello Honey Iced Tea as a new product in the 'Fancy Bodega' at the 2026 Summer Fancy Food Show</t>
        </is>
      </c>
      <c r="P260" t="inlineStr">
        <is>
          <t>https://events.specialtyfood.com/event/2026-summer-fancy-food-show/exhibitor/RXhoaWJpdG9yXzI0NzA2MDU=</t>
        </is>
      </c>
      <c r="Q260" t="inlineStr">
        <is>
          <t>2026-06-28</t>
        </is>
      </c>
      <c r="R260" t="inlineStr">
        <is>
          <t>N</t>
        </is>
      </c>
      <c r="S260" t="inlineStr">
        <is>
          <t>unknown</t>
        </is>
      </c>
      <c r="T260" t="inlineStr">
        <is>
          <t>N</t>
        </is>
      </c>
      <c r="U260" t="inlineStr">
        <is>
          <t>new</t>
        </is>
      </c>
      <c r="V260" t="inlineStr">
        <is>
          <t>https://events.specialtyfood.com/event/2026-summer-fancy-food-show/exhibitor/RXhoaWJpdG9yXzI0NzA2MDU=</t>
        </is>
      </c>
      <c r="W260" t="inlineStr">
        <is>
          <t>2026-10-24</t>
        </is>
      </c>
      <c r="X260" t="inlineStr">
        <is>
          <t>brand</t>
        </is>
      </c>
      <c r="Y260">
        <f>IF(EB260&lt;&gt;"Y","",COUNTIFS($EB$2:$EB$1000,"Y",$J$2:$J$1000,"&gt;"&amp;J260)+COUNTIFS($EB$2:$EB$1000,"Y",$J$2:$J$1000,J260,$ED$2:$ED$1000,"&lt;"&amp;ED260)+1)</f>
        <v/>
      </c>
      <c r="AA260" t="inlineStr">
        <is>
          <t>N</t>
        </is>
      </c>
      <c r="AD260" t="inlineStr">
        <is>
          <t>none</t>
        </is>
      </c>
      <c r="AH260" t="inlineStr">
        <is>
          <t>Hello Honey all-natural iced tea (organic tea, organic lemon, honey)</t>
        </is>
      </c>
      <c r="AI260" t="inlineStr">
        <is>
          <t>tea-juice</t>
        </is>
      </c>
      <c r="AJ260" t="inlineStr">
        <is>
          <t>unknown</t>
        </is>
      </c>
      <c r="AL260" t="inlineStr">
        <is>
          <t>Y</t>
        </is>
      </c>
      <c r="AM260" t="inlineStr">
        <is>
          <t>Website has expired, so pack, shelf stability and buy path are all unconfirmed; may be inactive; 60-day shelf life not stated</t>
        </is>
      </c>
      <c r="AN260" t="inlineStr">
        <is>
          <t>AB-308</t>
        </is>
      </c>
      <c r="AO260" t="inlineStr">
        <is>
          <t>N</t>
        </is>
      </c>
      <c r="AR260">
        <f>IF(AND(AU260="pass",AO260&lt;&gt;"Y",C260&lt;&gt;""),"Y","N")</f>
        <v/>
      </c>
      <c r="AS260">
        <f>_xlfn.TEXTJOIN("; ",TRUE,IF(AU260&lt;&gt;"pass","gated out",""),IF(AO260="Y","on hold: "&amp;AP260,""),IF(C260="","no contact named on an opened page",""))</f>
        <v/>
      </c>
      <c r="AU260" t="inlineStr">
        <is>
          <t>fail</t>
        </is>
      </c>
      <c r="AV260" t="inlineStr">
        <is>
          <t>no-buy-path</t>
        </is>
      </c>
      <c r="AW260" t="inlineStr">
        <is>
          <t>no-buy-path: no graded store within ten blocks and no online store shown</t>
        </is>
      </c>
      <c r="AX260" t="inlineStr">
        <is>
          <t>dormant</t>
        </is>
      </c>
      <c r="AY260" t="inlineStr">
        <is>
          <t>https://shoopbeverages.com</t>
        </is>
      </c>
      <c r="AZ260" t="inlineStr">
        <is>
          <t>NY</t>
        </is>
      </c>
      <c r="BA260" t="inlineStr">
        <is>
          <t>nys</t>
        </is>
      </c>
      <c r="BB260" t="inlineStr">
        <is>
          <t>unknown</t>
        </is>
      </c>
      <c r="BD260" t="inlineStr">
        <is>
          <t>unknown</t>
        </is>
      </c>
      <c r="BE260" t="inlineStr">
        <is>
          <t>Not confirmed; brand website shows 'Squarespace - Website Expired' (2026-10-24)</t>
        </is>
      </c>
      <c r="BF260" t="inlineStr">
        <is>
          <t>unknown</t>
        </is>
      </c>
      <c r="BG260" t="inlineStr">
        <is>
          <t>N</t>
        </is>
      </c>
      <c r="BH260" t="inlineStr">
        <is>
          <t>unknown</t>
        </is>
      </c>
      <c r="BJ260" t="inlineStr">
        <is>
          <t>No sourced sales figure found</t>
        </is>
      </c>
      <c r="BK260" t="inlineStr">
        <is>
          <t>N</t>
        </is>
      </c>
      <c r="BL260" t="inlineStr">
        <is>
          <t>N</t>
        </is>
      </c>
      <c r="BO260" t="inlineStr">
        <is>
          <t>N</t>
        </is>
      </c>
      <c r="BP260" t="n">
        <v>0</v>
      </c>
      <c r="BS260" t="inlineStr">
        <is>
          <t>unknown</t>
        </is>
      </c>
      <c r="BU260" t="inlineStr">
        <is>
          <t>press</t>
        </is>
      </c>
      <c r="BV260" t="n">
        <v>118</v>
      </c>
      <c r="CF260" t="inlineStr">
        <is>
          <t>none</t>
        </is>
      </c>
      <c r="CK260" t="inlineStr">
        <is>
          <t>none</t>
        </is>
      </c>
      <c r="CL260" t="n">
        <v>23</v>
      </c>
      <c r="CM260" t="n">
        <v>0</v>
      </c>
      <c r="CN260" t="n">
        <v>13</v>
      </c>
      <c r="CO260" t="n">
        <v>15</v>
      </c>
      <c r="CP260" t="n">
        <v>5</v>
      </c>
      <c r="CQ260" t="n">
        <v>2</v>
      </c>
      <c r="CR260" t="n">
        <v>0</v>
      </c>
      <c r="CS260">
        <f>IF(R260="Y",10,0)</f>
        <v/>
      </c>
      <c r="CT260" t="n">
        <v>-12</v>
      </c>
      <c r="CV260" t="inlineStr">
        <is>
          <t>BR5</t>
        </is>
      </c>
      <c r="CW260" t="inlineStr">
        <is>
          <t>BR5:44</t>
        </is>
      </c>
      <c r="CX260" t="inlineStr">
        <is>
          <t>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is>
      </c>
      <c r="DA260" t="inlineStr">
        <is>
          <t>stage 1 only</t>
        </is>
      </c>
      <c r="DY260">
        <f>IF(ISNUMBER(MATCH(U260,{"queued","contacted","replied","call_booked","call_done","yes_in_principle","materials_sent"},0)),"Y","N")</f>
        <v/>
      </c>
      <c r="DZ260">
        <f>IF(COUNTIFS($AN$2:$AN$1000,AN260,$DY$2:$DY$1000,"Y")+COUNTIFS($AN$2:$AN$1000,AN260,$T$2:$T$1000,"Y")&gt;0,"Y","N")</f>
        <v/>
      </c>
      <c r="EA260">
        <f>IF(AND(U260="new",T260="N",AR260="Y",AQ260="",DZ260="N"),"Y","N")</f>
        <v/>
      </c>
      <c r="EB260">
        <f>IF(EA260&lt;&gt;"Y","N",IF(COUNTIFS($AN$2:$AN$1000,AN260,$EA$2:$EA$1000,"Y",$J$2:$J$1000,"&gt;"&amp;J260)+COUNTIFS($AN$2:$AN$1000,AN260,$EA$2:$EA$1000,"Y",$J$2:$J$1000,J260,$ED$2:$ED$1000,"&lt;"&amp;ED260)=0,"Y","N"))</f>
        <v/>
      </c>
      <c r="EC260">
        <f>IF(Y260="","N",IF(Y260&lt;=10,"Y","N"))</f>
        <v/>
      </c>
      <c r="ED260">
        <f>ROW()-1</f>
        <v/>
      </c>
    </row>
    <row r="261">
      <c r="A261" t="inlineStr">
        <is>
          <t>AB-300</t>
        </is>
      </c>
      <c r="B261" t="inlineStr">
        <is>
          <t>Junebar</t>
        </is>
      </c>
      <c r="H261" t="inlineStr">
        <is>
          <t>none</t>
        </is>
      </c>
      <c r="J261">
        <f>IF(AU261="pass",CM261+CN261+CO261+CP261+CQ261+CR261+CS261+CT261,0)</f>
        <v/>
      </c>
      <c r="K261" t="inlineStr">
        <is>
          <t>Gated out: not-shelf-stable: Refrigerated product (site says the bars need to be refrigerated).</t>
        </is>
      </c>
      <c r="M261" t="inlineStr">
        <is>
          <t>none found within ten blocks</t>
        </is>
      </c>
      <c r="N261" t="inlineStr">
        <is>
          <t>unverified</t>
        </is>
      </c>
      <c r="O261" t="inlineStr">
        <is>
          <t>Exhibited at the 2026 Summer Fancy Food Show</t>
        </is>
      </c>
      <c r="P261" t="inlineStr">
        <is>
          <t>https://events.specialtyfood.com/event/2026-summer-fancy-food-show/exhibitor/RXhoaWJpdG9yXzI0Mjc5MjM=</t>
        </is>
      </c>
      <c r="Q261" t="inlineStr">
        <is>
          <t>2026-06-28</t>
        </is>
      </c>
      <c r="R261" t="inlineStr">
        <is>
          <t>N</t>
        </is>
      </c>
      <c r="S261" t="inlineStr">
        <is>
          <t>unknown</t>
        </is>
      </c>
      <c r="T261" t="inlineStr">
        <is>
          <t>N</t>
        </is>
      </c>
      <c r="U261" t="inlineStr">
        <is>
          <t>new</t>
        </is>
      </c>
      <c r="V261" t="inlineStr">
        <is>
          <t>https://events.specialtyfood.com/event/2026-summer-fancy-food-show/exhibitor/RXhoaWJpdG9yXzI0Mjc5MjM=</t>
        </is>
      </c>
      <c r="W261" t="inlineStr">
        <is>
          <t>2026-10-24</t>
        </is>
      </c>
      <c r="X261" t="inlineStr">
        <is>
          <t>brand</t>
        </is>
      </c>
      <c r="Y261">
        <f>IF(EB261&lt;&gt;"Y","",COUNTIFS($EB$2:$EB$1000,"Y",$J$2:$J$1000,"&gt;"&amp;J261)+COUNTIFS($EB$2:$EB$1000,"Y",$J$2:$J$1000,J261,$ED$2:$ED$1000,"&lt;"&amp;ED261)+1)</f>
        <v/>
      </c>
      <c r="AA261" t="inlineStr">
        <is>
          <t>N</t>
        </is>
      </c>
      <c r="AD261" t="inlineStr">
        <is>
          <t>none</t>
        </is>
      </c>
      <c r="AH261" t="inlineStr">
        <is>
          <t>Junebar Peanut Butter Chocolate Chip whole-food snack bar</t>
        </is>
      </c>
      <c r="AI261" t="inlineStr">
        <is>
          <t>bars</t>
        </is>
      </c>
      <c r="AJ261" t="inlineStr">
        <is>
          <t>Rochester</t>
        </is>
      </c>
      <c r="AK261" t="inlineStr">
        <is>
          <t>https://junebars.com</t>
        </is>
      </c>
      <c r="AL261" t="inlineStr">
        <is>
          <t>N</t>
        </is>
      </c>
      <c r="AN261" t="inlineStr">
        <is>
          <t>AB-300</t>
        </is>
      </c>
      <c r="AO261" t="inlineStr">
        <is>
          <t>N</t>
        </is>
      </c>
      <c r="AR261">
        <f>IF(AND(AU261="pass",AO261&lt;&gt;"Y",C261&lt;&gt;""),"Y","N")</f>
        <v/>
      </c>
      <c r="AS261">
        <f>_xlfn.TEXTJOIN("; ",TRUE,IF(AU261&lt;&gt;"pass","gated out",""),IF(AO261="Y","on hold: "&amp;AP261,""),IF(C261="","no contact named on an opened page",""))</f>
        <v/>
      </c>
      <c r="AU261" t="inlineStr">
        <is>
          <t>fail</t>
        </is>
      </c>
      <c r="AV261" t="inlineStr">
        <is>
          <t>not-shelf-stable</t>
        </is>
      </c>
      <c r="AW261" t="inlineStr">
        <is>
          <t>not-shelf-stable: Refrigerated product (site says the bars need to be refrigerated)</t>
        </is>
      </c>
      <c r="AY261" t="inlineStr">
        <is>
          <t>https://junebars.com</t>
        </is>
      </c>
      <c r="AZ261" t="inlineStr">
        <is>
          <t>NY</t>
        </is>
      </c>
      <c r="BA261" t="inlineStr">
        <is>
          <t>nys</t>
        </is>
      </c>
      <c r="BB261" t="inlineStr">
        <is>
          <t>unknown</t>
        </is>
      </c>
      <c r="BD261" t="inlineStr">
        <is>
          <t>N</t>
        </is>
      </c>
      <c r="BE261" t="inlineStr">
        <is>
          <t>Site: 'So real, they need to be refrigerated.'</t>
        </is>
      </c>
      <c r="BF261" t="inlineStr">
        <is>
          <t>Y</t>
        </is>
      </c>
      <c r="BG261" t="inlineStr">
        <is>
          <t>Y</t>
        </is>
      </c>
      <c r="BH261" t="inlineStr">
        <is>
          <t>unknown</t>
        </is>
      </c>
      <c r="BJ261" t="inlineStr">
        <is>
          <t>No sourced sales figure found</t>
        </is>
      </c>
      <c r="BK261" t="inlineStr">
        <is>
          <t>N</t>
        </is>
      </c>
      <c r="BL261" t="inlineStr">
        <is>
          <t>Y</t>
        </is>
      </c>
      <c r="BM261" t="inlineStr">
        <is>
          <t>Refrigerated product (site says the bars need to be refrigerated)</t>
        </is>
      </c>
      <c r="BO261" t="inlineStr">
        <is>
          <t>N</t>
        </is>
      </c>
      <c r="BP261" t="n">
        <v>0</v>
      </c>
      <c r="BS261" t="inlineStr">
        <is>
          <t>Rochester, Ithaca, Buffalo and Syracuse stores; Taste NY (site)</t>
        </is>
      </c>
      <c r="BU261" t="inlineStr">
        <is>
          <t>press</t>
        </is>
      </c>
      <c r="BV261" t="n">
        <v>118</v>
      </c>
      <c r="CF261" t="inlineStr">
        <is>
          <t>none</t>
        </is>
      </c>
      <c r="CK261" t="inlineStr">
        <is>
          <t>none</t>
        </is>
      </c>
      <c r="CL261" t="n">
        <v>45</v>
      </c>
      <c r="CM261" t="n">
        <v>6</v>
      </c>
      <c r="CN261" t="n">
        <v>13</v>
      </c>
      <c r="CO261" t="n">
        <v>15</v>
      </c>
      <c r="CP261" t="n">
        <v>5</v>
      </c>
      <c r="CQ261" t="n">
        <v>6</v>
      </c>
      <c r="CR261" t="n">
        <v>0</v>
      </c>
      <c r="CS261">
        <f>IF(R261="Y",10,0)</f>
        <v/>
      </c>
      <c r="CT261" t="n">
        <v>0</v>
      </c>
      <c r="CU261" t="inlineStr">
        <is>
          <t>https://www.instagram.com/junebar_snacks</t>
        </is>
      </c>
      <c r="CV261" t="inlineStr">
        <is>
          <t>BR5</t>
        </is>
      </c>
      <c r="CW261" t="inlineStr">
        <is>
          <t>BR5:36</t>
        </is>
      </c>
      <c r="CX261" t="inlineStr">
        <is>
          <t>SFFS 2026 as Juniper Granola, LLC (State: New York): 'We make the best better-for-you bars on the market locally here in Rochester, NY.'</t>
        </is>
      </c>
      <c r="DA261" t="inlineStr">
        <is>
          <t>stage 1 only</t>
        </is>
      </c>
      <c r="DY261">
        <f>IF(ISNUMBER(MATCH(U261,{"queued","contacted","replied","call_booked","call_done","yes_in_principle","materials_sent"},0)),"Y","N")</f>
        <v/>
      </c>
      <c r="DZ261">
        <f>IF(COUNTIFS($AN$2:$AN$1000,AN261,$DY$2:$DY$1000,"Y")+COUNTIFS($AN$2:$AN$1000,AN261,$T$2:$T$1000,"Y")&gt;0,"Y","N")</f>
        <v/>
      </c>
      <c r="EA261">
        <f>IF(AND(U261="new",T261="N",AR261="Y",AQ261="",DZ261="N"),"Y","N")</f>
        <v/>
      </c>
      <c r="EB261">
        <f>IF(EA261&lt;&gt;"Y","N",IF(COUNTIFS($AN$2:$AN$1000,AN261,$EA$2:$EA$1000,"Y",$J$2:$J$1000,"&gt;"&amp;J261)+COUNTIFS($AN$2:$AN$1000,AN261,$EA$2:$EA$1000,"Y",$J$2:$J$1000,J261,$ED$2:$ED$1000,"&lt;"&amp;ED261)=0,"Y","N"))</f>
        <v/>
      </c>
      <c r="EC261">
        <f>IF(Y261="","N",IF(Y261&lt;=10,"Y","N"))</f>
        <v/>
      </c>
      <c r="ED261">
        <f>ROW()-1</f>
        <v/>
      </c>
    </row>
    <row r="262">
      <c r="A262" t="inlineStr">
        <is>
          <t>AB-273</t>
        </is>
      </c>
      <c r="B262" t="inlineStr">
        <is>
          <t>Munch King Snacks</t>
        </is>
      </c>
      <c r="H262" t="inlineStr">
        <is>
          <t>none</t>
        </is>
      </c>
      <c r="J262">
        <f>IF(AU262="pass",CM262+CN262+CO262+CP262+CQ262+CR262+CS262+CT262,0)</f>
        <v/>
      </c>
      <c r="K262" t="inlineStr">
        <is>
          <t>Gated out: no-buy-path: no graded store within ten blocks and no online store shown.</t>
        </is>
      </c>
      <c r="M262" t="inlineStr">
        <is>
          <t>none found within ten blocks</t>
        </is>
      </c>
      <c r="N262" t="inlineStr">
        <is>
          <t>unverified</t>
        </is>
      </c>
      <c r="O262" t="inlineStr">
        <is>
          <t>Exhibited at the 2026 Summer Fancy Food Show with new products flagged</t>
        </is>
      </c>
      <c r="P262" t="inlineStr">
        <is>
          <t>https://events.specialtyfood.com/event/2026-summer-fancy-food-show/exhibitor/RXhoaWJpdG9yXzI0MjExNzU=</t>
        </is>
      </c>
      <c r="Q262" t="inlineStr">
        <is>
          <t>2026-06-28</t>
        </is>
      </c>
      <c r="R262" t="inlineStr">
        <is>
          <t>N</t>
        </is>
      </c>
      <c r="S262" t="inlineStr">
        <is>
          <t>unknown</t>
        </is>
      </c>
      <c r="T262" t="inlineStr">
        <is>
          <t>N</t>
        </is>
      </c>
      <c r="U262" t="inlineStr">
        <is>
          <t>new</t>
        </is>
      </c>
      <c r="V262" t="inlineStr">
        <is>
          <t>https://events.specialtyfood.com/event/2026-summer-fancy-food-show/exhibitor/RXhoaWJpdG9yXzI0MjExNzU=</t>
        </is>
      </c>
      <c r="W262" t="inlineStr">
        <is>
          <t>2026-10-24</t>
        </is>
      </c>
      <c r="X262" t="inlineStr">
        <is>
          <t>brand</t>
        </is>
      </c>
      <c r="Y262">
        <f>IF(EB262&lt;&gt;"Y","",COUNTIFS($EB$2:$EB$1000,"Y",$J$2:$J$1000,"&gt;"&amp;J262)+COUNTIFS($EB$2:$EB$1000,"Y",$J$2:$J$1000,J262,$ED$2:$ED$1000,"&lt;"&amp;ED262)+1)</f>
        <v/>
      </c>
      <c r="AA262" t="inlineStr">
        <is>
          <t>N</t>
        </is>
      </c>
      <c r="AD262" t="inlineStr">
        <is>
          <t>none</t>
        </is>
      </c>
      <c r="AH262" t="inlineStr">
        <is>
          <t>Munch King Cheese Balls; Kettle Corn Crunch; Salted Plantain Chips</t>
        </is>
      </c>
      <c r="AI262" t="inlineStr">
        <is>
          <t>popcorn-puffs</t>
        </is>
      </c>
      <c r="AJ262" t="inlineStr">
        <is>
          <t>New York (PO Box 53, NY 10040, Washington Heights)</t>
        </is>
      </c>
      <c r="AL262" t="inlineStr">
        <is>
          <t>Y</t>
        </is>
      </c>
      <c r="AM262" t="inlineStr">
        <is>
          <t>Value-tier bodega line from a distributor-turned-brand, relaunched in 2018; may not fit the emerging-brand profile. No online store found (phone ordering), so the buy path near the cluster is unproven</t>
        </is>
      </c>
      <c r="AN262" t="inlineStr">
        <is>
          <t>AB-273</t>
        </is>
      </c>
      <c r="AO262" t="inlineStr">
        <is>
          <t>N</t>
        </is>
      </c>
      <c r="AR262">
        <f>IF(AND(AU262="pass",AO262&lt;&gt;"Y",C262&lt;&gt;""),"Y","N")</f>
        <v/>
      </c>
      <c r="AS262">
        <f>_xlfn.TEXTJOIN("; ",TRUE,IF(AU262&lt;&gt;"pass","gated out",""),IF(AO262="Y","on hold: "&amp;AP262,""),IF(C262="","no contact named on an opened page",""))</f>
        <v/>
      </c>
      <c r="AU262" t="inlineStr">
        <is>
          <t>fail</t>
        </is>
      </c>
      <c r="AV262" t="inlineStr">
        <is>
          <t>no-buy-path</t>
        </is>
      </c>
      <c r="AW262" t="inlineStr">
        <is>
          <t>no-buy-path: no graded store within ten blocks and no online store shown</t>
        </is>
      </c>
      <c r="AX262" t="inlineStr">
        <is>
          <t>other</t>
        </is>
      </c>
      <c r="AY262" t="inlineStr">
        <is>
          <t>https://munchkingsnacks.com</t>
        </is>
      </c>
      <c r="AZ262" t="inlineStr">
        <is>
          <t>NY</t>
        </is>
      </c>
      <c r="BA262" t="inlineStr">
        <is>
          <t>nyc</t>
        </is>
      </c>
      <c r="BB262" t="inlineStr">
        <is>
          <t>unknown</t>
        </is>
      </c>
      <c r="BD262" t="inlineStr">
        <is>
          <t>Y</t>
        </is>
      </c>
      <c r="BE262" t="inlineStr">
        <is>
          <t>Bagged puffs, popcorn and plantain chips; shelf life not stated</t>
        </is>
      </c>
      <c r="BF262" t="inlineStr">
        <is>
          <t>unknown</t>
        </is>
      </c>
      <c r="BG262" t="inlineStr">
        <is>
          <t>N</t>
        </is>
      </c>
      <c r="BH262" t="inlineStr">
        <is>
          <t>unknown</t>
        </is>
      </c>
      <c r="BJ262" t="inlineStr">
        <is>
          <t>No sourced sales figure found</t>
        </is>
      </c>
      <c r="BK262" t="inlineStr">
        <is>
          <t>N</t>
        </is>
      </c>
      <c r="BL262" t="inlineStr">
        <is>
          <t>N</t>
        </is>
      </c>
      <c r="BO262" t="inlineStr">
        <is>
          <t>N</t>
        </is>
      </c>
      <c r="BP262" t="n">
        <v>0</v>
      </c>
      <c r="BS262" t="inlineStr">
        <is>
          <t>Ships to over 25 countries (about page); no store list</t>
        </is>
      </c>
      <c r="BU262" t="inlineStr">
        <is>
          <t>press</t>
        </is>
      </c>
      <c r="BV262" t="n">
        <v>118</v>
      </c>
      <c r="CF262" t="inlineStr">
        <is>
          <t>none</t>
        </is>
      </c>
      <c r="CK262" t="inlineStr">
        <is>
          <t>none</t>
        </is>
      </c>
      <c r="CL262" t="n">
        <v>43</v>
      </c>
      <c r="CM262" t="n">
        <v>0</v>
      </c>
      <c r="CN262" t="n">
        <v>20</v>
      </c>
      <c r="CO262" t="n">
        <v>15</v>
      </c>
      <c r="CP262" t="n">
        <v>5</v>
      </c>
      <c r="CQ262" t="n">
        <v>5</v>
      </c>
      <c r="CR262" t="n">
        <v>0</v>
      </c>
      <c r="CS262">
        <f>IF(R262="Y",10,0)</f>
        <v/>
      </c>
      <c r="CT262" t="n">
        <v>-2</v>
      </c>
      <c r="CV262" t="inlineStr">
        <is>
          <t>BR5</t>
        </is>
      </c>
      <c r="CW262" t="inlineStr">
        <is>
          <t>BR5:9</t>
        </is>
      </c>
      <c r="CX262" t="inlineStr">
        <is>
          <t>SFFS description: 'Born on the streets of New York'. Brands listed: Munch King, Blair's (Blair's Death Sauce is a hot sauce, not eligible). SFFS 2026 dates (June 28 to 30) from the Startup CPG pavilion post.</t>
        </is>
      </c>
      <c r="DA262" t="inlineStr">
        <is>
          <t>stage 1 only</t>
        </is>
      </c>
      <c r="DY262">
        <f>IF(ISNUMBER(MATCH(U262,{"queued","contacted","replied","call_booked","call_done","yes_in_principle","materials_sent"},0)),"Y","N")</f>
        <v/>
      </c>
      <c r="DZ262">
        <f>IF(COUNTIFS($AN$2:$AN$1000,AN262,$DY$2:$DY$1000,"Y")+COUNTIFS($AN$2:$AN$1000,AN262,$T$2:$T$1000,"Y")&gt;0,"Y","N")</f>
        <v/>
      </c>
      <c r="EA262">
        <f>IF(AND(U262="new",T262="N",AR262="Y",AQ262="",DZ262="N"),"Y","N")</f>
        <v/>
      </c>
      <c r="EB262">
        <f>IF(EA262&lt;&gt;"Y","N",IF(COUNTIFS($AN$2:$AN$1000,AN262,$EA$2:$EA$1000,"Y",$J$2:$J$1000,"&gt;"&amp;J262)+COUNTIFS($AN$2:$AN$1000,AN262,$EA$2:$EA$1000,"Y",$J$2:$J$1000,J262,$ED$2:$ED$1000,"&lt;"&amp;ED262)=0,"Y","N"))</f>
        <v/>
      </c>
      <c r="EC262">
        <f>IF(Y262="","N",IF(Y262&lt;=10,"Y","N"))</f>
        <v/>
      </c>
      <c r="ED262">
        <f>ROW()-1</f>
        <v/>
      </c>
    </row>
    <row r="263">
      <c r="A263" t="inlineStr">
        <is>
          <t>AB-254</t>
        </is>
      </c>
      <c r="B263" t="inlineStr">
        <is>
          <t>NOON WORLD</t>
        </is>
      </c>
      <c r="C263" t="inlineStr">
        <is>
          <t>Jane</t>
        </is>
      </c>
      <c r="D263" t="inlineStr">
        <is>
          <t>Kate Wong</t>
        </is>
      </c>
      <c r="E263" t="inlineStr">
        <is>
          <t>Co-founder and CEO</t>
        </is>
      </c>
      <c r="H263" t="inlineStr">
        <is>
          <t>none</t>
        </is>
      </c>
      <c r="I263" t="inlineStr">
        <is>
          <t>linkedin</t>
        </is>
      </c>
      <c r="J263">
        <f>IF(AU263="pass",CM263+CN263+CO263+CP263+CQ263+CR263+CS263+CT263,0)</f>
        <v/>
      </c>
      <c r="K263" t="inlineStr">
        <is>
          <t>Gated out: excluded-category: Dietary supplement with cognitive-wellness claims (sold in Target's supplement assortment).</t>
        </is>
      </c>
      <c r="M263" t="inlineStr">
        <is>
          <t>none found within ten blocks</t>
        </is>
      </c>
      <c r="N263" t="inlineStr">
        <is>
          <t>unverified</t>
        </is>
      </c>
      <c r="O263" t="inlineStr">
        <is>
          <t>Launched into 878 Target doors</t>
        </is>
      </c>
      <c r="P263" t="inlineStr">
        <is>
          <t>https://startupcpg.com/startup-cpg-newswire-noon-world-launches-into-878-target-doors/</t>
        </is>
      </c>
      <c r="Q263" t="inlineStr">
        <is>
          <t>2026-06-09</t>
        </is>
      </c>
      <c r="R263" t="inlineStr">
        <is>
          <t>N</t>
        </is>
      </c>
      <c r="S263" t="inlineStr">
        <is>
          <t>Y</t>
        </is>
      </c>
      <c r="T263" t="inlineStr">
        <is>
          <t>N</t>
        </is>
      </c>
      <c r="U263" t="inlineStr">
        <is>
          <t>new</t>
        </is>
      </c>
      <c r="V263" t="inlineStr">
        <is>
          <t>https://startupcpg.com/startup-cpg-newswire-noon-world-launches-into-878-target-doors/</t>
        </is>
      </c>
      <c r="W263" t="inlineStr">
        <is>
          <t>2026-10-23</t>
        </is>
      </c>
      <c r="X263" t="inlineStr">
        <is>
          <t>brand</t>
        </is>
      </c>
      <c r="Y263">
        <f>IF(EB263&lt;&gt;"Y","",COUNTIFS($EB$2:$EB$1000,"Y",$J$2:$J$1000,"&gt;"&amp;J263)+COUNTIFS($EB$2:$EB$1000,"Y",$J$2:$J$1000,J263,$ED$2:$ED$1000,"&lt;"&amp;ED263)+1)</f>
        <v/>
      </c>
      <c r="AA263" t="inlineStr">
        <is>
          <t>N</t>
        </is>
      </c>
      <c r="AC263" t="inlineStr">
        <is>
          <t>founder</t>
        </is>
      </c>
      <c r="AD263" t="inlineStr">
        <is>
          <t>verified-page</t>
        </is>
      </c>
      <c r="AE263" t="inlineStr">
        <is>
          <t>press, event or podcast page</t>
        </is>
      </c>
      <c r="AF263" t="inlineStr">
        <is>
          <t>https://startupcpg.com/startup-cpg-newswire-noon-world-launches-into-878-target-doors/</t>
        </is>
      </c>
      <c r="AG263" t="inlineStr">
        <is>
          <t>2026-10-23</t>
        </is>
      </c>
      <c r="AH263" t="inlineStr">
        <is>
          <t>SLEEP, FOCUS and CHILL cognitive-wellness supplements</t>
        </is>
      </c>
      <c r="AI263" t="inlineStr">
        <is>
          <t>other-drink</t>
        </is>
      </c>
      <c r="AJ263" t="inlineStr">
        <is>
          <t>New York (release datelined New York, NY)</t>
        </is>
      </c>
      <c r="AL263" t="inlineStr">
        <is>
          <t>Y</t>
        </is>
      </c>
      <c r="AM263" t="inlineStr">
        <is>
          <t>60-day shelf life not stated</t>
        </is>
      </c>
      <c r="AN263" t="inlineStr">
        <is>
          <t>AB-254</t>
        </is>
      </c>
      <c r="AO263" t="inlineStr">
        <is>
          <t>N</t>
        </is>
      </c>
      <c r="AR263">
        <f>IF(AND(AU263="pass",AO263&lt;&gt;"Y",C263&lt;&gt;""),"Y","N")</f>
        <v/>
      </c>
      <c r="AS263">
        <f>_xlfn.TEXTJOIN("; ",TRUE,IF(AU263&lt;&gt;"pass","gated out",""),IF(AO263="Y","on hold: "&amp;AP263,""),IF(C263="","no contact named on an opened page",""))</f>
        <v/>
      </c>
      <c r="AU263" t="inlineStr">
        <is>
          <t>fail</t>
        </is>
      </c>
      <c r="AV263" t="inlineStr">
        <is>
          <t>excluded-category;health-claim;no-buy-path</t>
        </is>
      </c>
      <c r="AW263" t="inlineStr">
        <is>
          <t>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is>
      </c>
      <c r="AY263" t="inlineStr">
        <is>
          <t>https://noon.world</t>
        </is>
      </c>
      <c r="AZ263" t="inlineStr">
        <is>
          <t>NY</t>
        </is>
      </c>
      <c r="BA263" t="inlineStr">
        <is>
          <t>nyc</t>
        </is>
      </c>
      <c r="BB263" t="inlineStr">
        <is>
          <t>unknown</t>
        </is>
      </c>
      <c r="BD263" t="inlineStr">
        <is>
          <t>unknown</t>
        </is>
      </c>
      <c r="BF263" t="inlineStr">
        <is>
          <t>unknown</t>
        </is>
      </c>
      <c r="BG263" t="inlineStr">
        <is>
          <t>unknown</t>
        </is>
      </c>
      <c r="BH263" t="inlineStr">
        <is>
          <t>unknown</t>
        </is>
      </c>
      <c r="BJ263" t="inlineStr">
        <is>
          <t>unknown</t>
        </is>
      </c>
      <c r="BK263" t="inlineStr">
        <is>
          <t>Y</t>
        </is>
      </c>
      <c r="BL263" t="inlineStr">
        <is>
          <t>Y</t>
        </is>
      </c>
      <c r="BM263" t="inlineStr">
        <is>
          <t>Dietary supplement with cognitive-wellness claims (sold in Target's supplement assortment)</t>
        </is>
      </c>
      <c r="BO263" t="inlineStr">
        <is>
          <t>N</t>
        </is>
      </c>
      <c r="BP263" t="n">
        <v>0</v>
      </c>
      <c r="BU263" t="inlineStr">
        <is>
          <t>press</t>
        </is>
      </c>
      <c r="BV263" t="n">
        <v>137</v>
      </c>
      <c r="BW263" t="inlineStr">
        <is>
          <t>https://startupcpg.com/startup-cpg-newswire-noon-world-launches-into-878-target-doors/</t>
        </is>
      </c>
      <c r="BX263" t="inlineStr">
        <is>
          <t>Jane Kate Wong</t>
        </is>
      </c>
      <c r="CF263" t="inlineStr">
        <is>
          <t>none</t>
        </is>
      </c>
      <c r="CK263" t="inlineStr">
        <is>
          <t>none</t>
        </is>
      </c>
      <c r="CL263" t="n">
        <v>49</v>
      </c>
      <c r="CM263" t="n">
        <v>0</v>
      </c>
      <c r="CN263" t="n">
        <v>20</v>
      </c>
      <c r="CO263" t="n">
        <v>15</v>
      </c>
      <c r="CP263" t="n">
        <v>5</v>
      </c>
      <c r="CQ263" t="n">
        <v>3</v>
      </c>
      <c r="CR263" t="n">
        <v>6</v>
      </c>
      <c r="CS263">
        <f>IF(R263="Y",10,0)</f>
        <v/>
      </c>
      <c r="CT263" t="n">
        <v>0</v>
      </c>
      <c r="CV263" t="inlineStr">
        <is>
          <t>BR4</t>
        </is>
      </c>
      <c r="CW263" t="inlineStr">
        <is>
          <t>BR4:49</t>
        </is>
      </c>
      <c r="CX263" t="inlineStr">
        <is>
          <t>Recorded so the gate is visible.</t>
        </is>
      </c>
      <c r="DA263" t="inlineStr">
        <is>
          <t>stage 1 only</t>
        </is>
      </c>
      <c r="DY263">
        <f>IF(ISNUMBER(MATCH(U263,{"queued","contacted","replied","call_booked","call_done","yes_in_principle","materials_sent"},0)),"Y","N")</f>
        <v/>
      </c>
      <c r="DZ263">
        <f>IF(COUNTIFS($AN$2:$AN$1000,AN263,$DY$2:$DY$1000,"Y")+COUNTIFS($AN$2:$AN$1000,AN263,$T$2:$T$1000,"Y")&gt;0,"Y","N")</f>
        <v/>
      </c>
      <c r="EA263">
        <f>IF(AND(U263="new",T263="N",AR263="Y",AQ263="",DZ263="N"),"Y","N")</f>
        <v/>
      </c>
      <c r="EB263">
        <f>IF(EA263&lt;&gt;"Y","N",IF(COUNTIFS($AN$2:$AN$1000,AN263,$EA$2:$EA$1000,"Y",$J$2:$J$1000,"&gt;"&amp;J263)+COUNTIFS($AN$2:$AN$1000,AN263,$EA$2:$EA$1000,"Y",$J$2:$J$1000,J263,$ED$2:$ED$1000,"&lt;"&amp;ED263)=0,"Y","N"))</f>
        <v/>
      </c>
      <c r="EC263">
        <f>IF(Y263="","N",IF(Y263&lt;=10,"Y","N"))</f>
        <v/>
      </c>
      <c r="ED263">
        <f>ROW()-1</f>
        <v/>
      </c>
    </row>
    <row r="264">
      <c r="A264" t="inlineStr">
        <is>
          <t>AB-053</t>
        </is>
      </c>
      <c r="B264" t="inlineStr">
        <is>
          <t>Nick's Sticks (Wenzel's Farm)</t>
        </is>
      </c>
      <c r="C264" t="inlineStr">
        <is>
          <t>Nick</t>
        </is>
      </c>
      <c r="D264" t="inlineStr">
        <is>
          <t>Wallace</t>
        </is>
      </c>
      <c r="E264" t="inlineStr">
        <is>
          <t>Founder</t>
        </is>
      </c>
      <c r="H264" t="inlineStr">
        <is>
          <t>none</t>
        </is>
      </c>
      <c r="I264" t="inlineStr">
        <is>
          <t>linkedin</t>
        </is>
      </c>
      <c r="J264">
        <f>IF(AU264="pass",CM264+CN264+CO264+CP264+CQ264+CR264+CS264+CT264,0)</f>
        <v/>
      </c>
      <c r="K264" t="inlineStr">
        <is>
          <t>Gated out: no-buy-path: no graded store within ten blocks and no online store shown (online store unknown).</t>
        </is>
      </c>
      <c r="M264" t="inlineStr">
        <is>
          <t>none found within ten blocks</t>
        </is>
      </c>
      <c r="N264" t="inlineStr">
        <is>
          <t>unverified</t>
        </is>
      </c>
      <c r="O264" t="inlineStr">
        <is>
          <t>Launched 0.9 oz grab-and-go sticks in a 24-count retail caddy (beef, chicken, turkey)</t>
        </is>
      </c>
      <c r="P264" t="inlineStr">
        <is>
          <t>https://www.snackandbakery.com/articles/116494-nicks-sticks-offers-retail-ready-caddy-display</t>
        </is>
      </c>
      <c r="Q264" t="inlineStr">
        <is>
          <t>2026-10-19</t>
        </is>
      </c>
      <c r="R264" t="inlineStr">
        <is>
          <t>N</t>
        </is>
      </c>
      <c r="S264" t="inlineStr">
        <is>
          <t>unknown</t>
        </is>
      </c>
      <c r="T264" t="inlineStr">
        <is>
          <t>N</t>
        </is>
      </c>
      <c r="U264" t="inlineStr">
        <is>
          <t>new</t>
        </is>
      </c>
      <c r="V264" t="inlineStr">
        <is>
          <t>https://www.snackandbakery.com/articles/116494-nicks-sticks-offers-retail-ready-caddy-display</t>
        </is>
      </c>
      <c r="W264" t="inlineStr">
        <is>
          <t>2026-10-23</t>
        </is>
      </c>
      <c r="X264" t="inlineStr">
        <is>
          <t>brand</t>
        </is>
      </c>
      <c r="Y264">
        <f>IF(EB264&lt;&gt;"Y","",COUNTIFS($EB$2:$EB$1000,"Y",$J$2:$J$1000,"&gt;"&amp;J264)+COUNTIFS($EB$2:$EB$1000,"Y",$J$2:$J$1000,J264,$ED$2:$ED$1000,"&lt;"&amp;ED264)+1)</f>
        <v/>
      </c>
      <c r="AA264" t="inlineStr">
        <is>
          <t>N</t>
        </is>
      </c>
      <c r="AC264" t="inlineStr">
        <is>
          <t>founder</t>
        </is>
      </c>
      <c r="AD264" t="inlineStr">
        <is>
          <t>verified-page</t>
        </is>
      </c>
      <c r="AE264" t="inlineStr">
        <is>
          <t>press, event or podcast page</t>
        </is>
      </c>
      <c r="AF264" t="inlineStr">
        <is>
          <t>https://www.cspdailynews.com/snacks-candy/wenzels-farm-buys-nicks-sticks</t>
        </is>
      </c>
      <c r="AG264" t="inlineStr">
        <is>
          <t>2026-10-23</t>
        </is>
      </c>
      <c r="AH264" t="inlineStr">
        <is>
          <t>Nick's Sticks grass-fed Beef Stick, 0.9 oz (24-count caddy)</t>
        </is>
      </c>
      <c r="AI264" t="inlineStr">
        <is>
          <t>meat-snacks</t>
        </is>
      </c>
      <c r="AJ264" t="inlineStr">
        <is>
          <t>Marshfield</t>
        </is>
      </c>
      <c r="AL264" t="inlineStr">
        <is>
          <t>Y</t>
        </is>
      </c>
      <c r="AM264" t="inlineStr">
        <is>
          <t>Part of Wenzel's Farm (established meat producer); protein and calorie comparisons in release</t>
        </is>
      </c>
      <c r="AN264" t="inlineStr">
        <is>
          <t>AB-053</t>
        </is>
      </c>
      <c r="AO264" t="inlineStr">
        <is>
          <t>N</t>
        </is>
      </c>
      <c r="AR264">
        <f>IF(AND(AU264="pass",AO264&lt;&gt;"Y",C264&lt;&gt;""),"Y","N")</f>
        <v/>
      </c>
      <c r="AS264">
        <f>_xlfn.TEXTJOIN("; ",TRUE,IF(AU264&lt;&gt;"pass","gated out",""),IF(AO264="Y","on hold: "&amp;AP264,""),IF(C264="","no contact named on an opened page",""))</f>
        <v/>
      </c>
      <c r="AU264" t="inlineStr">
        <is>
          <t>fail</t>
        </is>
      </c>
      <c r="AV264" t="inlineStr">
        <is>
          <t>no-buy-path</t>
        </is>
      </c>
      <c r="AW264" t="inlineStr">
        <is>
          <t>no-buy-path: no graded store within ten blocks and no online store shown (online store unknown)</t>
        </is>
      </c>
      <c r="AX264" t="inlineStr">
        <is>
          <t>claim-borderline</t>
        </is>
      </c>
      <c r="AY264" t="inlineStr">
        <is>
          <t>https://nickssticks.com</t>
        </is>
      </c>
      <c r="AZ264" t="inlineStr">
        <is>
          <t>WI</t>
        </is>
      </c>
      <c r="BA264" t="inlineStr">
        <is>
          <t>elsewhere</t>
        </is>
      </c>
      <c r="BB264" t="inlineStr">
        <is>
          <t>unknown</t>
        </is>
      </c>
      <c r="BD264" t="inlineStr">
        <is>
          <t>Y</t>
        </is>
      </c>
      <c r="BE264" t="inlineStr">
        <is>
          <t>Shelf-stable meat sticks in a grab-and-go 0.9 oz format (trade press)</t>
        </is>
      </c>
      <c r="BF264" t="inlineStr">
        <is>
          <t>Y</t>
        </is>
      </c>
      <c r="BG264" t="inlineStr">
        <is>
          <t>unknown</t>
        </is>
      </c>
      <c r="BH264" t="inlineStr">
        <is>
          <t>unknown</t>
        </is>
      </c>
      <c r="BJ264" t="inlineStr">
        <is>
          <t>unknown</t>
        </is>
      </c>
      <c r="BK264" t="inlineStr">
        <is>
          <t>N</t>
        </is>
      </c>
      <c r="BL264" t="inlineStr">
        <is>
          <t>N</t>
        </is>
      </c>
      <c r="BO264" t="inlineStr">
        <is>
          <t>N</t>
        </is>
      </c>
      <c r="BP264" t="n">
        <v>0</v>
      </c>
      <c r="BS264" t="inlineStr">
        <is>
          <t>unknown</t>
        </is>
      </c>
      <c r="BT264" t="inlineStr">
        <is>
          <t>https://www.wholefoodsmarket.com/search?text=nick%27s%20sticks (no results in cluster stores, 2026-10-23)</t>
        </is>
      </c>
      <c r="BU264" t="inlineStr">
        <is>
          <t>press</t>
        </is>
      </c>
      <c r="BV264" t="n">
        <v>5</v>
      </c>
      <c r="BX264" t="inlineStr">
        <is>
          <t>Nick Wallace</t>
        </is>
      </c>
      <c r="BY264" t="inlineStr">
        <is>
          <t>brand founder, Keystone, Iowa as of 2017</t>
        </is>
      </c>
      <c r="CF264" t="inlineStr">
        <is>
          <t>none</t>
        </is>
      </c>
      <c r="CK264" t="inlineStr">
        <is>
          <t>none</t>
        </is>
      </c>
      <c r="CL264" t="n">
        <v>33</v>
      </c>
      <c r="CM264" t="n">
        <v>0</v>
      </c>
      <c r="CN264" t="n">
        <v>3</v>
      </c>
      <c r="CO264" t="n">
        <v>15</v>
      </c>
      <c r="CP264" t="n">
        <v>5</v>
      </c>
      <c r="CQ264" t="n">
        <v>8</v>
      </c>
      <c r="CR264" t="n">
        <v>6</v>
      </c>
      <c r="CS264">
        <f>IF(R264="Y",10,0)</f>
        <v/>
      </c>
      <c r="CT264" t="n">
        <v>-4</v>
      </c>
      <c r="CU264" t="inlineStr">
        <is>
          <t>unknown</t>
        </is>
      </c>
      <c r="CV264" t="inlineStr">
        <is>
          <t>BR1</t>
        </is>
      </c>
      <c r="CW264" t="inlineStr">
        <is>
          <t>BR1:54</t>
        </is>
      </c>
      <c r="CX264" t="inlineStr">
        <is>
          <t>Brand site responded but rendered no text without JavaScript. 0.9 oz singles fit the office format well.</t>
        </is>
      </c>
      <c r="CY264" t="inlineStr">
        <is>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is>
      </c>
      <c r="DA264" t="inlineStr">
        <is>
          <t>stage 1 only</t>
        </is>
      </c>
      <c r="DY264">
        <f>IF(ISNUMBER(MATCH(U264,{"queued","contacted","replied","call_booked","call_done","yes_in_principle","materials_sent"},0)),"Y","N")</f>
        <v/>
      </c>
      <c r="DZ264">
        <f>IF(COUNTIFS($AN$2:$AN$1000,AN264,$DY$2:$DY$1000,"Y")+COUNTIFS($AN$2:$AN$1000,AN264,$T$2:$T$1000,"Y")&gt;0,"Y","N")</f>
        <v/>
      </c>
      <c r="EA264">
        <f>IF(AND(U264="new",T264="N",AR264="Y",AQ264="",DZ264="N"),"Y","N")</f>
        <v/>
      </c>
      <c r="EB264">
        <f>IF(EA264&lt;&gt;"Y","N",IF(COUNTIFS($AN$2:$AN$1000,AN264,$EA$2:$EA$1000,"Y",$J$2:$J$1000,"&gt;"&amp;J264)+COUNTIFS($AN$2:$AN$1000,AN264,$EA$2:$EA$1000,"Y",$J$2:$J$1000,J264,$ED$2:$ED$1000,"&lt;"&amp;ED264)=0,"Y","N"))</f>
        <v/>
      </c>
      <c r="EC264">
        <f>IF(Y264="","N",IF(Y264&lt;=10,"Y","N"))</f>
        <v/>
      </c>
      <c r="ED264">
        <f>ROW()-1</f>
        <v/>
      </c>
    </row>
    <row r="265">
      <c r="A265" t="inlineStr">
        <is>
          <t>AB-275</t>
        </is>
      </c>
      <c r="B265" t="inlineStr">
        <is>
          <t>Pini (Nine Pin Ciderworks)</t>
        </is>
      </c>
      <c r="H265" t="inlineStr">
        <is>
          <t>none</t>
        </is>
      </c>
      <c r="J265">
        <f>IF(AU265="pass",CM265+CN265+CO265+CP265+CQ265+CR265+CS265+CT265,0)</f>
        <v/>
      </c>
      <c r="K265" t="inlineStr">
        <is>
          <t>Gated out: no-buy-path: no graded store within ten blocks and no online store shown.</t>
        </is>
      </c>
      <c r="M265" t="inlineStr">
        <is>
          <t>none found within ten blocks</t>
        </is>
      </c>
      <c r="N265" t="inlineStr">
        <is>
          <t>unverified</t>
        </is>
      </c>
      <c r="O265" t="inlineStr">
        <is>
          <t>Introduced Pini, a new non-alcoholic sparkling cider, at the 2026 Summer Fancy Food Show</t>
        </is>
      </c>
      <c r="P265" t="inlineStr">
        <is>
          <t>https://events.specialtyfood.com/event/2026-summer-fancy-food-show/exhibitor/RXhoaWJpdG9yXzI0NDk5ODI=</t>
        </is>
      </c>
      <c r="Q265" t="inlineStr">
        <is>
          <t>2026-06-28</t>
        </is>
      </c>
      <c r="R265" t="inlineStr">
        <is>
          <t>N</t>
        </is>
      </c>
      <c r="S265" t="inlineStr">
        <is>
          <t>unknown</t>
        </is>
      </c>
      <c r="T265" t="inlineStr">
        <is>
          <t>N</t>
        </is>
      </c>
      <c r="U265" t="inlineStr">
        <is>
          <t>new</t>
        </is>
      </c>
      <c r="V265" t="inlineStr">
        <is>
          <t>https://events.specialtyfood.com/event/2026-summer-fancy-food-show/exhibitor/RXhoaWJpdG9yXzI0NDk5ODI=</t>
        </is>
      </c>
      <c r="W265" t="inlineStr">
        <is>
          <t>2026-10-24</t>
        </is>
      </c>
      <c r="X265" t="inlineStr">
        <is>
          <t>brand</t>
        </is>
      </c>
      <c r="Y265">
        <f>IF(EB265&lt;&gt;"Y","",COUNTIFS($EB$2:$EB$1000,"Y",$J$2:$J$1000,"&gt;"&amp;J265)+COUNTIFS($EB$2:$EB$1000,"Y",$J$2:$J$1000,J265,$ED$2:$ED$1000,"&lt;"&amp;ED265)+1)</f>
        <v/>
      </c>
      <c r="AA265" t="inlineStr">
        <is>
          <t>N</t>
        </is>
      </c>
      <c r="AD265" t="inlineStr">
        <is>
          <t>none</t>
        </is>
      </c>
      <c r="AH265" t="inlineStr">
        <is>
          <t>Pini non-alcoholic sparkling cider from fresh-pressed New York apples</t>
        </is>
      </c>
      <c r="AI265" t="inlineStr">
        <is>
          <t>sparkling-soda</t>
        </is>
      </c>
      <c r="AJ265" t="inlineStr">
        <is>
          <t>Albany</t>
        </is>
      </c>
      <c r="AL265" t="inlineStr">
        <is>
          <t>Y</t>
        </is>
      </c>
      <c r="AM265" t="inlineStr">
        <is>
          <t>Made by a hard-cider producer (alcohol brand family; Pini itself is non-alcoholic). Shelf stability and pack format unconfirmed. No online store found; 60-day shelf life not stated</t>
        </is>
      </c>
      <c r="AN265" t="inlineStr">
        <is>
          <t>AB-275</t>
        </is>
      </c>
      <c r="AO265" t="inlineStr">
        <is>
          <t>N</t>
        </is>
      </c>
      <c r="AR265">
        <f>IF(AND(AU265="pass",AO265&lt;&gt;"Y",C265&lt;&gt;""),"Y","N")</f>
        <v/>
      </c>
      <c r="AS265">
        <f>_xlfn.TEXTJOIN("; ",TRUE,IF(AU265&lt;&gt;"pass","gated out",""),IF(AO265="Y","on hold: "&amp;AP265,""),IF(C265="","no contact named on an opened page",""))</f>
        <v/>
      </c>
      <c r="AU265" t="inlineStr">
        <is>
          <t>fail</t>
        </is>
      </c>
      <c r="AV265" t="inlineStr">
        <is>
          <t>no-buy-path</t>
        </is>
      </c>
      <c r="AW265" t="inlineStr">
        <is>
          <t>no-buy-path: no graded store within ten blocks and no online store shown</t>
        </is>
      </c>
      <c r="AX265" t="inlineStr">
        <is>
          <t>other</t>
        </is>
      </c>
      <c r="AY265" t="inlineStr">
        <is>
          <t>https://www.pinicider.com</t>
        </is>
      </c>
      <c r="AZ265" t="inlineStr">
        <is>
          <t>NY</t>
        </is>
      </c>
      <c r="BA265" t="inlineStr">
        <is>
          <t>nys</t>
        </is>
      </c>
      <c r="BB265" t="inlineStr">
        <is>
          <t>unknown</t>
        </is>
      </c>
      <c r="BD265" t="inlineStr">
        <is>
          <t>unknown</t>
        </is>
      </c>
      <c r="BE265" t="inlineStr">
        <is>
          <t>Unfiltered fresh-pressed juice, 'just colder with added sparkles'; site does not say whether it is pasteurized or needs refrigeration</t>
        </is>
      </c>
      <c r="BF265" t="inlineStr">
        <is>
          <t>unknown</t>
        </is>
      </c>
      <c r="BG265" t="inlineStr">
        <is>
          <t>N</t>
        </is>
      </c>
      <c r="BH265" t="inlineStr">
        <is>
          <t>unknown</t>
        </is>
      </c>
      <c r="BJ265" t="inlineStr">
        <is>
          <t>No sourced sales figure found</t>
        </is>
      </c>
      <c r="BK265" t="inlineStr">
        <is>
          <t>N</t>
        </is>
      </c>
      <c r="BL265" t="inlineStr">
        <is>
          <t>N</t>
        </is>
      </c>
      <c r="BO265" t="inlineStr">
        <is>
          <t>N</t>
        </is>
      </c>
      <c r="BP265" t="n">
        <v>0</v>
      </c>
      <c r="BS265" t="inlineStr">
        <is>
          <t>unknown ('Carry Pini' wholesale page only)</t>
        </is>
      </c>
      <c r="BU265" t="inlineStr">
        <is>
          <t>press</t>
        </is>
      </c>
      <c r="BV265" t="n">
        <v>118</v>
      </c>
      <c r="CF265" t="inlineStr">
        <is>
          <t>none</t>
        </is>
      </c>
      <c r="CK265" t="inlineStr">
        <is>
          <t>none</t>
        </is>
      </c>
      <c r="CL265" t="n">
        <v>33</v>
      </c>
      <c r="CM265" t="n">
        <v>0</v>
      </c>
      <c r="CN265" t="n">
        <v>13</v>
      </c>
      <c r="CO265" t="n">
        <v>15</v>
      </c>
      <c r="CP265" t="n">
        <v>5</v>
      </c>
      <c r="CQ265" t="n">
        <v>2</v>
      </c>
      <c r="CR265" t="n">
        <v>0</v>
      </c>
      <c r="CS265">
        <f>IF(R265="Y",10,0)</f>
        <v/>
      </c>
      <c r="CT265" t="n">
        <v>-2</v>
      </c>
      <c r="CU265" t="inlineStr">
        <is>
          <t>https://www.instagram.com/pinicider</t>
        </is>
      </c>
      <c r="CV265" t="inlineStr">
        <is>
          <t>BR5</t>
        </is>
      </c>
      <c r="CW265" t="inlineStr">
        <is>
          <t>BR5:11</t>
        </is>
      </c>
      <c r="CX265" t="inlineStr">
        <is>
          <t>SFFS listing (Nine Pin Ciderworks LLC): 'Nine Pin Ciderworks is introducing Pini, our new non-alcoholic sparkling apple cider. We are New York's First Farm Cidery.' Address on pinicider.com: 929 Broadway, Albany, NY 12207.</t>
        </is>
      </c>
      <c r="DA265" t="inlineStr">
        <is>
          <t>stage 1 only</t>
        </is>
      </c>
      <c r="DY265">
        <f>IF(ISNUMBER(MATCH(U265,{"queued","contacted","replied","call_booked","call_done","yes_in_principle","materials_sent"},0)),"Y","N")</f>
        <v/>
      </c>
      <c r="DZ265">
        <f>IF(COUNTIFS($AN$2:$AN$1000,AN265,$DY$2:$DY$1000,"Y")+COUNTIFS($AN$2:$AN$1000,AN265,$T$2:$T$1000,"Y")&gt;0,"Y","N")</f>
        <v/>
      </c>
      <c r="EA265">
        <f>IF(AND(U265="new",T265="N",AR265="Y",AQ265="",DZ265="N"),"Y","N")</f>
        <v/>
      </c>
      <c r="EB265">
        <f>IF(EA265&lt;&gt;"Y","N",IF(COUNTIFS($AN$2:$AN$1000,AN265,$EA$2:$EA$1000,"Y",$J$2:$J$1000,"&gt;"&amp;J265)+COUNTIFS($AN$2:$AN$1000,AN265,$EA$2:$EA$1000,"Y",$J$2:$J$1000,J265,$ED$2:$ED$1000,"&lt;"&amp;ED265)=0,"Y","N"))</f>
        <v/>
      </c>
      <c r="EC265">
        <f>IF(Y265="","N",IF(Y265&lt;=10,"Y","N"))</f>
        <v/>
      </c>
      <c r="ED265">
        <f>ROW()-1</f>
        <v/>
      </c>
    </row>
    <row r="266">
      <c r="A266" t="inlineStr">
        <is>
          <t>AB-221</t>
        </is>
      </c>
      <c r="B266" t="inlineStr">
        <is>
          <t>Quincy</t>
        </is>
      </c>
      <c r="C266" t="inlineStr">
        <is>
          <t>Halli</t>
        </is>
      </c>
      <c r="D266" t="inlineStr">
        <is>
          <t>Sigel</t>
        </is>
      </c>
      <c r="E266" t="inlineStr">
        <is>
          <t>Co-founder and CEO</t>
        </is>
      </c>
      <c r="H266" t="inlineStr">
        <is>
          <t>none</t>
        </is>
      </c>
      <c r="I266" t="inlineStr">
        <is>
          <t>linkedin</t>
        </is>
      </c>
      <c r="J266">
        <f>IF(AU266="pass",CM266+CN266+CO266+CP266+CQ266+CR266+CS266+CT266,0)</f>
        <v/>
      </c>
      <c r="K266" t="inlineStr">
        <is>
          <t>Gated out: excluded-category: Cocktail mixer and garnish in a multi-serve jar: needs preparation, not individually packaged, and tied to alcohol use.</t>
        </is>
      </c>
      <c r="M266" t="inlineStr">
        <is>
          <t>none found within ten blocks</t>
        </is>
      </c>
      <c r="N266" t="inlineStr">
        <is>
          <t>unverified</t>
        </is>
      </c>
      <c r="O266" t="inlineStr">
        <is>
          <t>Launched in 178 The Fresh Market doors</t>
        </is>
      </c>
      <c r="P266" t="inlineStr">
        <is>
          <t>https://startupcpg.com/startup-cpg-newswire-quincy-launches-in-178-doors-with-the-fresh-market/</t>
        </is>
      </c>
      <c r="Q266" t="inlineStr">
        <is>
          <t>2026-07-29</t>
        </is>
      </c>
      <c r="R266" t="inlineStr">
        <is>
          <t>N</t>
        </is>
      </c>
      <c r="S266" t="inlineStr">
        <is>
          <t>Y</t>
        </is>
      </c>
      <c r="T266" t="inlineStr">
        <is>
          <t>N</t>
        </is>
      </c>
      <c r="U266" t="inlineStr">
        <is>
          <t>new</t>
        </is>
      </c>
      <c r="V266" t="inlineStr">
        <is>
          <t>https://startupcpg.com/startup-cpg-newswire-quincy-launches-in-178-doors-with-the-fresh-market/</t>
        </is>
      </c>
      <c r="W266" t="inlineStr">
        <is>
          <t>2026-10-23</t>
        </is>
      </c>
      <c r="X266" t="inlineStr">
        <is>
          <t>brand</t>
        </is>
      </c>
      <c r="Y266">
        <f>IF(EB266&lt;&gt;"Y","",COUNTIFS($EB$2:$EB$1000,"Y",$J$2:$J$1000,"&gt;"&amp;J266)+COUNTIFS($EB$2:$EB$1000,"Y",$J$2:$J$1000,J266,$ED$2:$ED$1000,"&lt;"&amp;ED266)+1)</f>
        <v/>
      </c>
      <c r="AA266" t="inlineStr">
        <is>
          <t>N</t>
        </is>
      </c>
      <c r="AC266" t="inlineStr">
        <is>
          <t>founder</t>
        </is>
      </c>
      <c r="AD266" t="inlineStr">
        <is>
          <t>verified-page</t>
        </is>
      </c>
      <c r="AE266" t="inlineStr">
        <is>
          <t>press, event or podcast page</t>
        </is>
      </c>
      <c r="AF266" t="inlineStr">
        <is>
          <t>https://startupcpg.com/startup-cpg-newswire-quincy-launches-in-178-doors-with-the-fresh-market/</t>
        </is>
      </c>
      <c r="AG266" t="inlineStr">
        <is>
          <t>2026-10-23</t>
        </is>
      </c>
      <c r="AH266" t="inlineStr">
        <is>
          <t>Dirty martini brine and olive mix, jar (about 14 martinis per jar)</t>
        </is>
      </c>
      <c r="AI266" t="inlineStr">
        <is>
          <t>other-drink</t>
        </is>
      </c>
      <c r="AJ266" t="inlineStr">
        <is>
          <t>New York (release datelined New York, NY)</t>
        </is>
      </c>
      <c r="AL266" t="inlineStr">
        <is>
          <t>Y</t>
        </is>
      </c>
      <c r="AM266" t="inlineStr">
        <is>
          <t>60-day shelf life not stated</t>
        </is>
      </c>
      <c r="AN266" t="inlineStr">
        <is>
          <t>AB-221</t>
        </is>
      </c>
      <c r="AO266" t="inlineStr">
        <is>
          <t>N</t>
        </is>
      </c>
      <c r="AR266">
        <f>IF(AND(AU266="pass",AO266&lt;&gt;"Y",C266&lt;&gt;""),"Y","N")</f>
        <v/>
      </c>
      <c r="AS266">
        <f>_xlfn.TEXTJOIN("; ",TRUE,IF(AU266&lt;&gt;"pass","gated out",""),IF(AO266="Y","on hold: "&amp;AP266,""),IF(C266="","no contact named on an opened page",""))</f>
        <v/>
      </c>
      <c r="AU266" t="inlineStr">
        <is>
          <t>fail</t>
        </is>
      </c>
      <c r="AV266" t="inlineStr">
        <is>
          <t>excluded-category;no-buy-path</t>
        </is>
      </c>
      <c r="AW266" t="inlineStr">
        <is>
          <t>excluded-category: Cocktail mixer and garnish in a multi-serve jar: needs preparation, not individually packaged, and tied to alcohol use | no-buy-path: no graded store within ten blocks and no online store shown (online store unknown)</t>
        </is>
      </c>
      <c r="AY266" t="inlineStr">
        <is>
          <t>https://drinkquincy.com</t>
        </is>
      </c>
      <c r="AZ266" t="inlineStr">
        <is>
          <t>NY</t>
        </is>
      </c>
      <c r="BA266" t="inlineStr">
        <is>
          <t>nyc</t>
        </is>
      </c>
      <c r="BB266" t="inlineStr">
        <is>
          <t>unknown</t>
        </is>
      </c>
      <c r="BD266" t="inlineStr">
        <is>
          <t>unknown</t>
        </is>
      </c>
      <c r="BE266" t="inlineStr">
        <is>
          <t>Jarred mixer; storage not checked</t>
        </is>
      </c>
      <c r="BF266" t="inlineStr">
        <is>
          <t>N</t>
        </is>
      </c>
      <c r="BG266" t="inlineStr">
        <is>
          <t>unknown</t>
        </is>
      </c>
      <c r="BH266" t="inlineStr">
        <is>
          <t>unknown</t>
        </is>
      </c>
      <c r="BJ266" t="inlineStr">
        <is>
          <t>unknown</t>
        </is>
      </c>
      <c r="BK266" t="inlineStr">
        <is>
          <t>N</t>
        </is>
      </c>
      <c r="BL266" t="inlineStr">
        <is>
          <t>Y</t>
        </is>
      </c>
      <c r="BM266" t="inlineStr">
        <is>
          <t>Cocktail mixer and garnish in a multi-serve jar: needs preparation, not individually packaged, and tied to alcohol use</t>
        </is>
      </c>
      <c r="BO266" t="inlineStr">
        <is>
          <t>N</t>
        </is>
      </c>
      <c r="BP266" t="n">
        <v>0</v>
      </c>
      <c r="BS266" t="inlineStr">
        <is>
          <t>The Fresh Market (178 doors, July 2026); 250+ specialty doors</t>
        </is>
      </c>
      <c r="BU266" t="inlineStr">
        <is>
          <t>press</t>
        </is>
      </c>
      <c r="BV266" t="n">
        <v>87</v>
      </c>
      <c r="BW266" t="inlineStr">
        <is>
          <t>https://startupcpg.com/startup-cpg-newswire-quincy-launches-in-178-doors-with-the-fresh-market/</t>
        </is>
      </c>
      <c r="BX266" t="inlineStr">
        <is>
          <t>Halli Sigel</t>
        </is>
      </c>
      <c r="CF266" t="inlineStr">
        <is>
          <t>none</t>
        </is>
      </c>
      <c r="CK266" t="inlineStr">
        <is>
          <t>none</t>
        </is>
      </c>
      <c r="CL266" t="n">
        <v>48</v>
      </c>
      <c r="CM266" t="n">
        <v>0</v>
      </c>
      <c r="CN266" t="n">
        <v>20</v>
      </c>
      <c r="CO266" t="n">
        <v>15</v>
      </c>
      <c r="CP266" t="n">
        <v>5</v>
      </c>
      <c r="CQ266" t="n">
        <v>2</v>
      </c>
      <c r="CR266" t="n">
        <v>6</v>
      </c>
      <c r="CS266">
        <f>IF(R266="Y",10,0)</f>
        <v/>
      </c>
      <c r="CT266" t="n">
        <v>0</v>
      </c>
      <c r="CV266" t="inlineStr">
        <is>
          <t>BR4</t>
        </is>
      </c>
      <c r="CW266" t="inlineStr">
        <is>
          <t>BR4:16</t>
        </is>
      </c>
      <c r="CX266" t="inlineStr">
        <is>
          <t>Recorded only so the gate is visible. The mix itself contains no alcohol (release), but the product is a martini mixer.</t>
        </is>
      </c>
      <c r="DA266" t="inlineStr">
        <is>
          <t>stage 1 only</t>
        </is>
      </c>
      <c r="DY266">
        <f>IF(ISNUMBER(MATCH(U266,{"queued","contacted","replied","call_booked","call_done","yes_in_principle","materials_sent"},0)),"Y","N")</f>
        <v/>
      </c>
      <c r="DZ266">
        <f>IF(COUNTIFS($AN$2:$AN$1000,AN266,$DY$2:$DY$1000,"Y")+COUNTIFS($AN$2:$AN$1000,AN266,$T$2:$T$1000,"Y")&gt;0,"Y","N")</f>
        <v/>
      </c>
      <c r="EA266">
        <f>IF(AND(U266="new",T266="N",AR266="Y",AQ266="",DZ266="N"),"Y","N")</f>
        <v/>
      </c>
      <c r="EB266">
        <f>IF(EA266&lt;&gt;"Y","N",IF(COUNTIFS($AN$2:$AN$1000,AN266,$EA$2:$EA$1000,"Y",$J$2:$J$1000,"&gt;"&amp;J266)+COUNTIFS($AN$2:$AN$1000,AN266,$EA$2:$EA$1000,"Y",$J$2:$J$1000,J266,$ED$2:$ED$1000,"&lt;"&amp;ED266)=0,"Y","N"))</f>
        <v/>
      </c>
      <c r="EC266">
        <f>IF(Y266="","N",IF(Y266&lt;=10,"Y","N"))</f>
        <v/>
      </c>
      <c r="ED266">
        <f>ROW()-1</f>
        <v/>
      </c>
    </row>
    <row r="267">
      <c r="A267" t="inlineStr">
        <is>
          <t>AB-255</t>
        </is>
      </c>
      <c r="B267" t="inlineStr">
        <is>
          <t>Scott's Protein Balls</t>
        </is>
      </c>
      <c r="C267" t="inlineStr">
        <is>
          <t>Lori</t>
        </is>
      </c>
      <c r="D267" t="inlineStr">
        <is>
          <t>Levine</t>
        </is>
      </c>
      <c r="E267" t="inlineStr">
        <is>
          <t>CEO and Co-founder</t>
        </is>
      </c>
      <c r="H267" t="inlineStr">
        <is>
          <t>none</t>
        </is>
      </c>
      <c r="I267" t="inlineStr">
        <is>
          <t>linkedin</t>
        </is>
      </c>
      <c r="J267">
        <f>IF(AU267="pass",CM267+CN267+CO267+CP267+CQ267+CR267+CS267+CT267,0)</f>
        <v/>
      </c>
      <c r="K267" t="inlineStr">
        <is>
          <t>Gated out: not-shelf-stable: Refrigerated.</t>
        </is>
      </c>
      <c r="M267" t="inlineStr">
        <is>
          <t>none found within ten blocks</t>
        </is>
      </c>
      <c r="N267" t="inlineStr">
        <is>
          <t>unverified</t>
        </is>
      </c>
      <c r="O267" t="inlineStr">
        <is>
          <t>Expanded from 86 to 350 Target stores in four months; exhibited at Summer Fancy Food Show 2026 (Javits)</t>
        </is>
      </c>
      <c r="P267" t="inlineStr">
        <is>
          <t>https://startupcpg.com/startup-cpg-newswire-scotts-protein-balls-expands-from-86-to-350-target-stores-nationwide-in-four-months/</t>
        </is>
      </c>
      <c r="Q267" t="inlineStr">
        <is>
          <t>2026-07-10</t>
        </is>
      </c>
      <c r="R267" t="inlineStr">
        <is>
          <t>N</t>
        </is>
      </c>
      <c r="S267" t="inlineStr">
        <is>
          <t>Y</t>
        </is>
      </c>
      <c r="T267" t="inlineStr">
        <is>
          <t>N</t>
        </is>
      </c>
      <c r="U267" t="inlineStr">
        <is>
          <t>new</t>
        </is>
      </c>
      <c r="V267" t="inlineStr">
        <is>
          <t>https://startupcpg.com/startup-cpg-newswire-scotts-protein-balls-expands-from-86-to-350-target-stores-nationwide-in-four-months/</t>
        </is>
      </c>
      <c r="W267" t="inlineStr">
        <is>
          <t>2026-10-23</t>
        </is>
      </c>
      <c r="X267" t="inlineStr">
        <is>
          <t>brand</t>
        </is>
      </c>
      <c r="Y267">
        <f>IF(EB267&lt;&gt;"Y","",COUNTIFS($EB$2:$EB$1000,"Y",$J$2:$J$1000,"&gt;"&amp;J267)+COUNTIFS($EB$2:$EB$1000,"Y",$J$2:$J$1000,J267,$ED$2:$ED$1000,"&lt;"&amp;ED267)+1)</f>
        <v/>
      </c>
      <c r="AA267" t="inlineStr">
        <is>
          <t>N</t>
        </is>
      </c>
      <c r="AC267" t="inlineStr">
        <is>
          <t>founder</t>
        </is>
      </c>
      <c r="AD267" t="inlineStr">
        <is>
          <t>verified-page</t>
        </is>
      </c>
      <c r="AE267" t="inlineStr">
        <is>
          <t>press, event or podcast page</t>
        </is>
      </c>
      <c r="AF267" t="inlineStr">
        <is>
          <t>https://startupcpg.com/startup-cpg-newswire-scotts-protein-balls-expands-from-86-to-350-target-stores-nationwide-in-four-months/</t>
        </is>
      </c>
      <c r="AG267" t="inlineStr">
        <is>
          <t>2026-10-23</t>
        </is>
      </c>
      <c r="AH267" t="inlineStr">
        <is>
          <t>Plant-protein balls (oats, flax, chia)</t>
        </is>
      </c>
      <c r="AI267" t="inlineStr">
        <is>
          <t>other-snack</t>
        </is>
      </c>
      <c r="AJ267" t="inlineStr">
        <is>
          <t>Plainview (Long Island)</t>
        </is>
      </c>
      <c r="AL267" t="inlineStr">
        <is>
          <t>N</t>
        </is>
      </c>
      <c r="AN267" t="inlineStr">
        <is>
          <t>AB-255</t>
        </is>
      </c>
      <c r="AO267" t="inlineStr">
        <is>
          <t>N</t>
        </is>
      </c>
      <c r="AR267">
        <f>IF(AND(AU267="pass",AO267&lt;&gt;"Y",C267&lt;&gt;""),"Y","N")</f>
        <v/>
      </c>
      <c r="AS267">
        <f>_xlfn.TEXTJOIN("; ",TRUE,IF(AU267&lt;&gt;"pass","gated out",""),IF(AO267="Y","on hold: "&amp;AP267,""),IF(C267="","no contact named on an opened page",""))</f>
        <v/>
      </c>
      <c r="AU267" t="inlineStr">
        <is>
          <t>fail</t>
        </is>
      </c>
      <c r="AV267" t="inlineStr">
        <is>
          <t>not-shelf-stable;no-buy-path</t>
        </is>
      </c>
      <c r="AW267" t="inlineStr">
        <is>
          <t>not-shelf-stable: Refrigerated | no-buy-path: no graded store within ten blocks and no online store shown (online store unknown)</t>
        </is>
      </c>
      <c r="AX267" t="inlineStr">
        <is>
          <t>claim-borderline</t>
        </is>
      </c>
      <c r="AY267" t="inlineStr">
        <is>
          <t>http://www.scottsproteinballs.com</t>
        </is>
      </c>
      <c r="AZ267" t="inlineStr">
        <is>
          <t>NY</t>
        </is>
      </c>
      <c r="BA267" t="inlineStr">
        <is>
          <t>nys</t>
        </is>
      </c>
      <c r="BB267" t="inlineStr">
        <is>
          <t>unknown</t>
        </is>
      </c>
      <c r="BD267" t="inlineStr">
        <is>
          <t>N</t>
        </is>
      </c>
      <c r="BE267" t="inlineStr">
        <is>
          <t>Release: 'fresh, refrigerated snacks'</t>
        </is>
      </c>
      <c r="BF267" t="inlineStr">
        <is>
          <t>unknown</t>
        </is>
      </c>
      <c r="BG267" t="inlineStr">
        <is>
          <t>unknown</t>
        </is>
      </c>
      <c r="BH267" t="inlineStr">
        <is>
          <t>unknown</t>
        </is>
      </c>
      <c r="BJ267" t="inlineStr">
        <is>
          <t>unknown</t>
        </is>
      </c>
      <c r="BK267" t="inlineStr">
        <is>
          <t>N</t>
        </is>
      </c>
      <c r="BL267" t="inlineStr">
        <is>
          <t>Y</t>
        </is>
      </c>
      <c r="BM267" t="inlineStr">
        <is>
          <t>Refrigerated</t>
        </is>
      </c>
      <c r="BO267" t="inlineStr">
        <is>
          <t>N</t>
        </is>
      </c>
      <c r="BP267" t="n">
        <v>0</v>
      </c>
      <c r="BS267" t="inlineStr">
        <is>
          <t>Target (350 stores nationwide, July 2026)</t>
        </is>
      </c>
      <c r="BU267" t="inlineStr">
        <is>
          <t>press</t>
        </is>
      </c>
      <c r="BV267" t="n">
        <v>106</v>
      </c>
      <c r="BW267" t="inlineStr">
        <is>
          <t>https://startupcpg.com/startup-cpg-newswire-scotts-protein-balls-expands-from-86-to-350-target-stores-nationwide-in-four-months/</t>
        </is>
      </c>
      <c r="BX267" t="inlineStr">
        <is>
          <t>Lori Levine</t>
        </is>
      </c>
      <c r="CF267" t="inlineStr">
        <is>
          <t>none</t>
        </is>
      </c>
      <c r="CK267" t="inlineStr">
        <is>
          <t>none</t>
        </is>
      </c>
      <c r="CL267" t="n">
        <v>41</v>
      </c>
      <c r="CM267" t="n">
        <v>0</v>
      </c>
      <c r="CN267" t="n">
        <v>13</v>
      </c>
      <c r="CO267" t="n">
        <v>15</v>
      </c>
      <c r="CP267" t="n">
        <v>5</v>
      </c>
      <c r="CQ267" t="n">
        <v>2</v>
      </c>
      <c r="CR267" t="n">
        <v>6</v>
      </c>
      <c r="CS267">
        <f>IF(R267="Y",10,0)</f>
        <v/>
      </c>
      <c r="CT267" t="n">
        <v>0</v>
      </c>
      <c r="CV267" t="inlineStr">
        <is>
          <t>BR4</t>
        </is>
      </c>
      <c r="CW267" t="inlineStr">
        <is>
          <t>BR4:50</t>
        </is>
      </c>
      <c r="CX267" t="inlineStr">
        <is>
          <t>Recorded so the gate is visible.</t>
        </is>
      </c>
      <c r="DA267" t="inlineStr">
        <is>
          <t>stage 1 only</t>
        </is>
      </c>
      <c r="DY267">
        <f>IF(ISNUMBER(MATCH(U267,{"queued","contacted","replied","call_booked","call_done","yes_in_principle","materials_sent"},0)),"Y","N")</f>
        <v/>
      </c>
      <c r="DZ267">
        <f>IF(COUNTIFS($AN$2:$AN$1000,AN267,$DY$2:$DY$1000,"Y")+COUNTIFS($AN$2:$AN$1000,AN267,$T$2:$T$1000,"Y")&gt;0,"Y","N")</f>
        <v/>
      </c>
      <c r="EA267">
        <f>IF(AND(U267="new",T267="N",AR267="Y",AQ267="",DZ267="N"),"Y","N")</f>
        <v/>
      </c>
      <c r="EB267">
        <f>IF(EA267&lt;&gt;"Y","N",IF(COUNTIFS($AN$2:$AN$1000,AN267,$EA$2:$EA$1000,"Y",$J$2:$J$1000,"&gt;"&amp;J267)+COUNTIFS($AN$2:$AN$1000,AN267,$EA$2:$EA$1000,"Y",$J$2:$J$1000,J267,$ED$2:$ED$1000,"&lt;"&amp;ED267)=0,"Y","N"))</f>
        <v/>
      </c>
      <c r="EC267">
        <f>IF(Y267="","N",IF(Y267&lt;=10,"Y","N"))</f>
        <v/>
      </c>
      <c r="ED267">
        <f>ROW()-1</f>
        <v/>
      </c>
    </row>
    <row r="268">
      <c r="A268" t="inlineStr">
        <is>
          <t>AB-256</t>
        </is>
      </c>
      <c r="B268" t="inlineStr">
        <is>
          <t>Small Town Cultures</t>
        </is>
      </c>
      <c r="C268" t="inlineStr">
        <is>
          <t>Cori</t>
        </is>
      </c>
      <c r="D268" t="inlineStr">
        <is>
          <t>Deans</t>
        </is>
      </c>
      <c r="E268" t="inlineStr">
        <is>
          <t>Founder</t>
        </is>
      </c>
      <c r="H268" t="inlineStr">
        <is>
          <t>none</t>
        </is>
      </c>
      <c r="I268" t="inlineStr">
        <is>
          <t>linkedin</t>
        </is>
      </c>
      <c r="J268">
        <f>IF(AU268="pass",CM268+CN268+CO268+CP268+CQ268+CR268+CS268+CT268,0)</f>
        <v/>
      </c>
      <c r="K268" t="inlineStr">
        <is>
          <t>Gated out: health-claim: Fresh fermented product (refrigerated) and gut-health positioning ('support gut health').</t>
        </is>
      </c>
      <c r="M268" t="inlineStr">
        <is>
          <t>none found within ten blocks</t>
        </is>
      </c>
      <c r="N268" t="inlineStr">
        <is>
          <t>unverified</t>
        </is>
      </c>
      <c r="O268" t="inlineStr">
        <is>
          <t>Debuted Grab &amp; Go kimchi pouches at Summer Fancy Food Show 2026 (NYC)</t>
        </is>
      </c>
      <c r="P268" t="inlineStr">
        <is>
          <t>https://startupcpg.com/startup-cpg-newswire-west-indies-peppa-sauce-wips-celebrates-caribbean-heritage-month-at-the-summer-fancy-food-show-and-essence-festival-of-culture/</t>
        </is>
      </c>
      <c r="Q268" t="inlineStr">
        <is>
          <t>2026-06-24</t>
        </is>
      </c>
      <c r="R268" t="inlineStr">
        <is>
          <t>N</t>
        </is>
      </c>
      <c r="S268" t="inlineStr">
        <is>
          <t>Y</t>
        </is>
      </c>
      <c r="T268" t="inlineStr">
        <is>
          <t>N</t>
        </is>
      </c>
      <c r="U268" t="inlineStr">
        <is>
          <t>new</t>
        </is>
      </c>
      <c r="V268" t="inlineStr">
        <is>
          <t>https://startupcpg.com/startup-cpg-newswire-west-indies-peppa-sauce-wips-celebrates-caribbean-heritage-month-at-the-summer-fancy-food-show-and-essence-festival-of-culture/</t>
        </is>
      </c>
      <c r="W268" t="inlineStr">
        <is>
          <t>2026-10-23</t>
        </is>
      </c>
      <c r="X268" t="inlineStr">
        <is>
          <t>brand</t>
        </is>
      </c>
      <c r="Y268">
        <f>IF(EB268&lt;&gt;"Y","",COUNTIFS($EB$2:$EB$1000,"Y",$J$2:$J$1000,"&gt;"&amp;J268)+COUNTIFS($EB$2:$EB$1000,"Y",$J$2:$J$1000,J268,$ED$2:$ED$1000,"&lt;"&amp;ED268)+1)</f>
        <v/>
      </c>
      <c r="AA268" t="inlineStr">
        <is>
          <t>N</t>
        </is>
      </c>
      <c r="AC268" t="inlineStr">
        <is>
          <t>founder</t>
        </is>
      </c>
      <c r="AD268" t="inlineStr">
        <is>
          <t>verified-page</t>
        </is>
      </c>
      <c r="AE268" t="inlineStr">
        <is>
          <t>press, event or podcast page</t>
        </is>
      </c>
      <c r="AF268" t="inlineStr">
        <is>
          <t>https://startupcpg.com/startup-cpg-newswire-west-indies-peppa-sauce-wips-celebrates-caribbean-heritage-month-at-the-summer-fancy-food-show-and-essence-festival-of-culture/</t>
        </is>
      </c>
      <c r="AG268" t="inlineStr">
        <is>
          <t>2026-10-23</t>
        </is>
      </c>
      <c r="AH268" t="inlineStr">
        <is>
          <t>Grab &amp; Go kimchi pouches (fresh, living fermented vegetables)</t>
        </is>
      </c>
      <c r="AI268" t="inlineStr">
        <is>
          <t>other-snack</t>
        </is>
      </c>
      <c r="AJ268" t="inlineStr">
        <is>
          <t>Plattsburgh</t>
        </is>
      </c>
      <c r="AL268" t="inlineStr">
        <is>
          <t>N</t>
        </is>
      </c>
      <c r="AN268" t="inlineStr">
        <is>
          <t>AB-256</t>
        </is>
      </c>
      <c r="AO268" t="inlineStr">
        <is>
          <t>N</t>
        </is>
      </c>
      <c r="AR268">
        <f>IF(AND(AU268="pass",AO268&lt;&gt;"Y",C268&lt;&gt;""),"Y","N")</f>
        <v/>
      </c>
      <c r="AS268">
        <f>_xlfn.TEXTJOIN("; ",TRUE,IF(AU268&lt;&gt;"pass","gated out",""),IF(AO268="Y","on hold: "&amp;AP268,""),IF(C268="","no contact named on an opened page",""))</f>
        <v/>
      </c>
      <c r="AU268" t="inlineStr">
        <is>
          <t>fail</t>
        </is>
      </c>
      <c r="AV268" t="inlineStr">
        <is>
          <t>health-claim;not-shelf-stable;no-buy-path</t>
        </is>
      </c>
      <c r="AW268" t="inlineStr">
        <is>
          <t>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is>
      </c>
      <c r="AY268" t="inlineStr">
        <is>
          <t>https://www.instagram.com/smalltowncultures/</t>
        </is>
      </c>
      <c r="AZ268" t="inlineStr">
        <is>
          <t>NY</t>
        </is>
      </c>
      <c r="BA268" t="inlineStr">
        <is>
          <t>nys</t>
        </is>
      </c>
      <c r="BB268" t="inlineStr">
        <is>
          <t>unknown</t>
        </is>
      </c>
      <c r="BD268" t="inlineStr">
        <is>
          <t>N</t>
        </is>
      </c>
      <c r="BE268" t="inlineStr">
        <is>
          <t>Release: 'fresh, living fermented vegetables'</t>
        </is>
      </c>
      <c r="BF268" t="inlineStr">
        <is>
          <t>unknown</t>
        </is>
      </c>
      <c r="BG268" t="inlineStr">
        <is>
          <t>unknown</t>
        </is>
      </c>
      <c r="BH268" t="inlineStr">
        <is>
          <t>unknown</t>
        </is>
      </c>
      <c r="BJ268" t="inlineStr">
        <is>
          <t>unknown</t>
        </is>
      </c>
      <c r="BK268" t="inlineStr">
        <is>
          <t>Y</t>
        </is>
      </c>
      <c r="BL268" t="inlineStr">
        <is>
          <t>Y</t>
        </is>
      </c>
      <c r="BM268" t="inlineStr">
        <is>
          <t>Fresh fermented product (refrigerated) and gut-health positioning ('support gut health')</t>
        </is>
      </c>
      <c r="BO268" t="inlineStr">
        <is>
          <t>N</t>
        </is>
      </c>
      <c r="BP268" t="n">
        <v>0</v>
      </c>
      <c r="BU268" t="inlineStr">
        <is>
          <t>press</t>
        </is>
      </c>
      <c r="BV268" t="n">
        <v>122</v>
      </c>
      <c r="BW268" t="inlineStr">
        <is>
          <t>https://startupcpg.com/startup-cpg-newswire-west-indies-peppa-sauce-wips-celebrates-caribbean-heritage-month-at-the-summer-fancy-food-show-and-essence-festival-of-culture/</t>
        </is>
      </c>
      <c r="BX268" t="inlineStr">
        <is>
          <t>Cori Deans</t>
        </is>
      </c>
      <c r="CF268" t="inlineStr">
        <is>
          <t>none</t>
        </is>
      </c>
      <c r="CK268" t="inlineStr">
        <is>
          <t>none</t>
        </is>
      </c>
      <c r="CL268" t="n">
        <v>41</v>
      </c>
      <c r="CM268" t="n">
        <v>0</v>
      </c>
      <c r="CN268" t="n">
        <v>13</v>
      </c>
      <c r="CO268" t="n">
        <v>15</v>
      </c>
      <c r="CP268" t="n">
        <v>5</v>
      </c>
      <c r="CQ268" t="n">
        <v>2</v>
      </c>
      <c r="CR268" t="n">
        <v>6</v>
      </c>
      <c r="CS268">
        <f>IF(R268="Y",10,0)</f>
        <v/>
      </c>
      <c r="CT268" t="n">
        <v>0</v>
      </c>
      <c r="CV268" t="inlineStr">
        <is>
          <t>BR4</t>
        </is>
      </c>
      <c r="CW268" t="inlineStr">
        <is>
          <t>BR4:51</t>
        </is>
      </c>
      <c r="CX268" t="inlineStr">
        <is>
          <t>Recorded so the gate is visible. Startup CPG post slug is mislabelled (WIPS) but the post is the Small Town Cultures release.</t>
        </is>
      </c>
      <c r="DA268" t="inlineStr">
        <is>
          <t>stage 1 only</t>
        </is>
      </c>
      <c r="DY268">
        <f>IF(ISNUMBER(MATCH(U268,{"queued","contacted","replied","call_booked","call_done","yes_in_principle","materials_sent"},0)),"Y","N")</f>
        <v/>
      </c>
      <c r="DZ268">
        <f>IF(COUNTIFS($AN$2:$AN$1000,AN268,$DY$2:$DY$1000,"Y")+COUNTIFS($AN$2:$AN$1000,AN268,$T$2:$T$1000,"Y")&gt;0,"Y","N")</f>
        <v/>
      </c>
      <c r="EA268">
        <f>IF(AND(U268="new",T268="N",AR268="Y",AQ268="",DZ268="N"),"Y","N")</f>
        <v/>
      </c>
      <c r="EB268">
        <f>IF(EA268&lt;&gt;"Y","N",IF(COUNTIFS($AN$2:$AN$1000,AN268,$EA$2:$EA$1000,"Y",$J$2:$J$1000,"&gt;"&amp;J268)+COUNTIFS($AN$2:$AN$1000,AN268,$EA$2:$EA$1000,"Y",$J$2:$J$1000,J268,$ED$2:$ED$1000,"&lt;"&amp;ED268)=0,"Y","N"))</f>
        <v/>
      </c>
      <c r="EC268">
        <f>IF(Y268="","N",IF(Y268&lt;=10,"Y","N"))</f>
        <v/>
      </c>
      <c r="ED268">
        <f>ROW()-1</f>
        <v/>
      </c>
    </row>
    <row r="269">
      <c r="A269" t="inlineStr">
        <is>
          <t>AB-305</t>
        </is>
      </c>
      <c r="B269" t="inlineStr">
        <is>
          <t>Sourmilk</t>
        </is>
      </c>
      <c r="C269" t="inlineStr">
        <is>
          <t>Elan</t>
        </is>
      </c>
      <c r="D269" t="inlineStr">
        <is>
          <t>unknown</t>
        </is>
      </c>
      <c r="E269" t="inlineStr">
        <is>
          <t>Co-founder</t>
        </is>
      </c>
      <c r="H269" t="inlineStr">
        <is>
          <t>none</t>
        </is>
      </c>
      <c r="I269" t="inlineStr">
        <is>
          <t>linkedin</t>
        </is>
      </c>
      <c r="J269">
        <f>IF(AU269="pass",CM269+CN269+CO269+CP269+CQ269+CR269+CS269+CT269,0)</f>
        <v/>
      </c>
      <c r="K269" t="inlineStr">
        <is>
          <t>Gated out: not-shelf-stable: Refrigerated dairy; site also claims it 'Supports digestion &amp; immune health'.</t>
        </is>
      </c>
      <c r="M269" t="inlineStr">
        <is>
          <t>none found within ten blocks</t>
        </is>
      </c>
      <c r="N269" t="inlineStr">
        <is>
          <t>unverified</t>
        </is>
      </c>
      <c r="O269" t="inlineStr">
        <is>
          <t>Finalist in Naturally New York's 2026 Naturally Rising pitch competition (May 28, 2026)</t>
        </is>
      </c>
      <c r="P269" t="inlineStr">
        <is>
          <t>https://www.snackandbakery.com/articles/115817-naturally-new-york-announces-pitch-competition-winner</t>
        </is>
      </c>
      <c r="Q269" t="inlineStr">
        <is>
          <t>2026-06-02</t>
        </is>
      </c>
      <c r="R269" t="inlineStr">
        <is>
          <t>N</t>
        </is>
      </c>
      <c r="S269" t="inlineStr">
        <is>
          <t>Y</t>
        </is>
      </c>
      <c r="T269" t="inlineStr">
        <is>
          <t>N</t>
        </is>
      </c>
      <c r="U269" t="inlineStr">
        <is>
          <t>new</t>
        </is>
      </c>
      <c r="V269" t="inlineStr">
        <is>
          <t>https://www.snackandbakery.com/articles/115817-naturally-new-york-announces-pitch-competition-winner</t>
        </is>
      </c>
      <c r="W269" t="inlineStr">
        <is>
          <t>2026-10-24</t>
        </is>
      </c>
      <c r="X269" t="inlineStr">
        <is>
          <t>brand</t>
        </is>
      </c>
      <c r="Y269">
        <f>IF(EB269&lt;&gt;"Y","",COUNTIFS($EB$2:$EB$1000,"Y",$J$2:$J$1000,"&gt;"&amp;J269)+COUNTIFS($EB$2:$EB$1000,"Y",$J$2:$J$1000,J269,$ED$2:$ED$1000,"&lt;"&amp;ED269)+1)</f>
        <v/>
      </c>
      <c r="AA269" t="inlineStr">
        <is>
          <t>N</t>
        </is>
      </c>
      <c r="AC269" t="inlineStr">
        <is>
          <t>founder</t>
        </is>
      </c>
      <c r="AD269" t="inlineStr">
        <is>
          <t>first-name-only</t>
        </is>
      </c>
      <c r="AE269" t="inlineStr">
        <is>
          <t>employer's own site</t>
        </is>
      </c>
      <c r="AF269" t="inlineStr">
        <is>
          <t>https://www.sourmilk.com</t>
        </is>
      </c>
      <c r="AG269" t="inlineStr">
        <is>
          <t>2026-10-24</t>
        </is>
      </c>
      <c r="AH269" t="inlineStr">
        <is>
          <t>Sourmilk L. reuteri Greek yogurt, single serve</t>
        </is>
      </c>
      <c r="AI269" t="inlineStr">
        <is>
          <t>other-snack</t>
        </is>
      </c>
      <c r="AJ269" t="inlineStr">
        <is>
          <t>New York City</t>
        </is>
      </c>
      <c r="AK269" t="inlineStr">
        <is>
          <t>https://www.sourmilk.com</t>
        </is>
      </c>
      <c r="AL269" t="inlineStr">
        <is>
          <t>N</t>
        </is>
      </c>
      <c r="AN269" t="inlineStr">
        <is>
          <t>AB-305</t>
        </is>
      </c>
      <c r="AO269" t="inlineStr">
        <is>
          <t>N</t>
        </is>
      </c>
      <c r="AR269">
        <f>IF(AND(AU269="pass",AO269&lt;&gt;"Y",C269&lt;&gt;""),"Y","N")</f>
        <v/>
      </c>
      <c r="AS269">
        <f>_xlfn.TEXTJOIN("; ",TRUE,IF(AU269&lt;&gt;"pass","gated out",""),IF(AO269="Y","on hold: "&amp;AP269,""),IF(C269="","no contact named on an opened page",""))</f>
        <v/>
      </c>
      <c r="AU269" t="inlineStr">
        <is>
          <t>fail</t>
        </is>
      </c>
      <c r="AV269" t="inlineStr">
        <is>
          <t>not-shelf-stable</t>
        </is>
      </c>
      <c r="AW269" t="inlineStr">
        <is>
          <t>not-shelf-stable: Refrigerated dairy; site also claims it 'Supports digestion &amp; immune health'</t>
        </is>
      </c>
      <c r="AY269" t="inlineStr">
        <is>
          <t>https://www.sourmilk.com</t>
        </is>
      </c>
      <c r="AZ269" t="inlineStr">
        <is>
          <t>NY</t>
        </is>
      </c>
      <c r="BA269" t="inlineStr">
        <is>
          <t>nyc</t>
        </is>
      </c>
      <c r="BB269" t="inlineStr">
        <is>
          <t>unknown</t>
        </is>
      </c>
      <c r="BD269" t="inlineStr">
        <is>
          <t>N</t>
        </is>
      </c>
      <c r="BE269" t="inlineStr">
        <is>
          <t>Refrigerated Greek yogurt</t>
        </is>
      </c>
      <c r="BF269" t="inlineStr">
        <is>
          <t>Y</t>
        </is>
      </c>
      <c r="BG269" t="inlineStr">
        <is>
          <t>Y</t>
        </is>
      </c>
      <c r="BH269" t="inlineStr">
        <is>
          <t>unknown</t>
        </is>
      </c>
      <c r="BJ269" t="inlineStr">
        <is>
          <t>No sourced sales figure found</t>
        </is>
      </c>
      <c r="BK269" t="inlineStr">
        <is>
          <t>Y</t>
        </is>
      </c>
      <c r="BL269" t="inlineStr">
        <is>
          <t>Y</t>
        </is>
      </c>
      <c r="BM269" t="inlineStr">
        <is>
          <t>Refrigerated dairy; site also claims it 'Supports digestion &amp; immune health'</t>
        </is>
      </c>
      <c r="BO269" t="inlineStr">
        <is>
          <t>N</t>
        </is>
      </c>
      <c r="BP269" t="n">
        <v>0</v>
      </c>
      <c r="BS269" t="inlineStr">
        <is>
          <t>unknown</t>
        </is>
      </c>
      <c r="BU269" t="inlineStr">
        <is>
          <t>press</t>
        </is>
      </c>
      <c r="BV269" t="n">
        <v>144</v>
      </c>
      <c r="BW269" t="inlineStr">
        <is>
          <t>https://startupcpg.com/startup-cpg-pavilion-at-summer-fancy-food-2026/</t>
        </is>
      </c>
      <c r="BX269" t="inlineStr">
        <is>
          <t>Elan</t>
        </is>
      </c>
      <c r="BY269" t="inlineStr">
        <is>
          <t>surnames not given</t>
        </is>
      </c>
      <c r="CA269" t="inlineStr">
        <is>
          <t>Kiki</t>
        </is>
      </c>
      <c r="CB269" t="inlineStr">
        <is>
          <t>Kiki</t>
        </is>
      </c>
      <c r="CC269" t="inlineStr">
        <is>
          <t>unknown</t>
        </is>
      </c>
      <c r="CD269" t="inlineStr">
        <is>
          <t>Co-founder</t>
        </is>
      </c>
      <c r="CE269" t="inlineStr">
        <is>
          <t>co-founder</t>
        </is>
      </c>
      <c r="CF269" t="inlineStr">
        <is>
          <t>first-name-only</t>
        </is>
      </c>
      <c r="CG269" t="inlineStr">
        <is>
          <t>surnames not given</t>
        </is>
      </c>
      <c r="CK269" t="inlineStr">
        <is>
          <t>none</t>
        </is>
      </c>
      <c r="CL269" t="n">
        <v>55</v>
      </c>
      <c r="CM269" t="n">
        <v>6</v>
      </c>
      <c r="CN269" t="n">
        <v>20</v>
      </c>
      <c r="CO269" t="n">
        <v>15</v>
      </c>
      <c r="CP269" t="n">
        <v>5</v>
      </c>
      <c r="CQ269" t="n">
        <v>6</v>
      </c>
      <c r="CR269" t="n">
        <v>3</v>
      </c>
      <c r="CS269">
        <f>IF(R269="Y",10,0)</f>
        <v/>
      </c>
      <c r="CT269" t="n">
        <v>0</v>
      </c>
      <c r="CU269" t="inlineStr">
        <is>
          <t>https://www.instagram.com/getsourmilk/</t>
        </is>
      </c>
      <c r="CV269" t="inlineStr">
        <is>
          <t>BR5</t>
        </is>
      </c>
      <c r="CW269" t="inlineStr">
        <is>
          <t>BR5:41</t>
        </is>
      </c>
      <c r="CX269" t="inlineStr">
        <is>
          <t>Recorded so the refrigeration gate is visible. Homepage: 'Sourmilk is a NYC based greek yogurt designed specifically for your gut.'</t>
        </is>
      </c>
      <c r="CZ269" t="inlineStr">
        <is>
          <t>https://www.sourmilk.com</t>
        </is>
      </c>
      <c r="DA269" t="inlineStr">
        <is>
          <t>stage 1 only</t>
        </is>
      </c>
      <c r="DC269" t="inlineStr">
        <is>
          <t>employer's own site</t>
        </is>
      </c>
      <c r="DY269">
        <f>IF(ISNUMBER(MATCH(U269,{"queued","contacted","replied","call_booked","call_done","yes_in_principle","materials_sent"},0)),"Y","N")</f>
        <v/>
      </c>
      <c r="DZ269">
        <f>IF(COUNTIFS($AN$2:$AN$1000,AN269,$DY$2:$DY$1000,"Y")+COUNTIFS($AN$2:$AN$1000,AN269,$T$2:$T$1000,"Y")&gt;0,"Y","N")</f>
        <v/>
      </c>
      <c r="EA269">
        <f>IF(AND(U269="new",T269="N",AR269="Y",AQ269="",DZ269="N"),"Y","N")</f>
        <v/>
      </c>
      <c r="EB269">
        <f>IF(EA269&lt;&gt;"Y","N",IF(COUNTIFS($AN$2:$AN$1000,AN269,$EA$2:$EA$1000,"Y",$J$2:$J$1000,"&gt;"&amp;J269)+COUNTIFS($AN$2:$AN$1000,AN269,$EA$2:$EA$1000,"Y",$J$2:$J$1000,J269,$ED$2:$ED$1000,"&lt;"&amp;ED269)=0,"Y","N"))</f>
        <v/>
      </c>
      <c r="EC269">
        <f>IF(Y269="","N",IF(Y269&lt;=10,"Y","N"))</f>
        <v/>
      </c>
      <c r="ED269">
        <f>ROW()-1</f>
        <v/>
      </c>
    </row>
    <row r="270">
      <c r="A270" t="inlineStr">
        <is>
          <t>AB-258</t>
        </is>
      </c>
      <c r="B270" t="inlineStr">
        <is>
          <t>Wild Mannered</t>
        </is>
      </c>
      <c r="C270" t="inlineStr">
        <is>
          <t>Michael</t>
        </is>
      </c>
      <c r="D270" t="inlineStr">
        <is>
          <t>Gu</t>
        </is>
      </c>
      <c r="E270" t="inlineStr">
        <is>
          <t>Co-founder</t>
        </is>
      </c>
      <c r="H270" t="inlineStr">
        <is>
          <t>none</t>
        </is>
      </c>
      <c r="I270" t="inlineStr">
        <is>
          <t>linkedin</t>
        </is>
      </c>
      <c r="J270">
        <f>IF(AU270="pass",CM270+CN270+CO270+CP270+CQ270+CR270+CS270+CT270,0)</f>
        <v/>
      </c>
      <c r="K270" t="inlineStr">
        <is>
          <t>Gated out: excluded-category: Alcohol (13% ABV).</t>
        </is>
      </c>
      <c r="M270" t="inlineStr">
        <is>
          <t>none found within ten blocks</t>
        </is>
      </c>
      <c r="N270" t="inlineStr">
        <is>
          <t>unverified</t>
        </is>
      </c>
      <c r="O270" t="inlineStr">
        <is>
          <t>First expansion outside New York (Total Wine &amp; More NJ)</t>
        </is>
      </c>
      <c r="P270" t="inlineStr">
        <is>
          <t>https://startupcpg.com/startup-cpg-newswire-wild-mannered-expands-its-ready-to-serve-cocktail-portfolio-into-new-jersey-retail-chains/</t>
        </is>
      </c>
      <c r="Q270" t="inlineStr">
        <is>
          <t>2026-09-11</t>
        </is>
      </c>
      <c r="R270" t="inlineStr">
        <is>
          <t>N</t>
        </is>
      </c>
      <c r="S270" t="inlineStr">
        <is>
          <t>Y</t>
        </is>
      </c>
      <c r="T270" t="inlineStr">
        <is>
          <t>N</t>
        </is>
      </c>
      <c r="U270" t="inlineStr">
        <is>
          <t>new</t>
        </is>
      </c>
      <c r="V270" t="inlineStr">
        <is>
          <t>https://startupcpg.com/startup-cpg-newswire-wild-mannered-expands-its-ready-to-serve-cocktail-portfolio-into-new-jersey-retail-chains/</t>
        </is>
      </c>
      <c r="W270" t="inlineStr">
        <is>
          <t>2026-10-23</t>
        </is>
      </c>
      <c r="X270" t="inlineStr">
        <is>
          <t>brand</t>
        </is>
      </c>
      <c r="Y270">
        <f>IF(EB270&lt;&gt;"Y","",COUNTIFS($EB$2:$EB$1000,"Y",$J$2:$J$1000,"&gt;"&amp;J270)+COUNTIFS($EB$2:$EB$1000,"Y",$J$2:$J$1000,J270,$ED$2:$ED$1000,"&lt;"&amp;ED270)+1)</f>
        <v/>
      </c>
      <c r="AA270" t="inlineStr">
        <is>
          <t>N</t>
        </is>
      </c>
      <c r="AC270" t="inlineStr">
        <is>
          <t>founder</t>
        </is>
      </c>
      <c r="AD270" t="inlineStr">
        <is>
          <t>verified-page</t>
        </is>
      </c>
      <c r="AE270" t="inlineStr">
        <is>
          <t>press, event or podcast page</t>
        </is>
      </c>
      <c r="AF270" t="inlineStr">
        <is>
          <t>https://startupcpg.com/startup-cpg-newswire-wild-mannered-expands-its-ready-to-serve-cocktail-portfolio-into-new-jersey-retail-chains/</t>
        </is>
      </c>
      <c r="AG270" t="inlineStr">
        <is>
          <t>2026-10-23</t>
        </is>
      </c>
      <c r="AH270" t="inlineStr">
        <is>
          <t>Bottled ready-to-serve cocktails, 375 mL, 13% ABV</t>
        </is>
      </c>
      <c r="AI270" t="inlineStr">
        <is>
          <t>other-drink</t>
        </is>
      </c>
      <c r="AJ270" t="inlineStr">
        <is>
          <t>New York (release datelined New York, NY)</t>
        </is>
      </c>
      <c r="AL270" t="inlineStr">
        <is>
          <t>Y</t>
        </is>
      </c>
      <c r="AM270" t="inlineStr">
        <is>
          <t>60-day shelf life not stated</t>
        </is>
      </c>
      <c r="AN270" t="inlineStr">
        <is>
          <t>AB-258</t>
        </is>
      </c>
      <c r="AO270" t="inlineStr">
        <is>
          <t>N</t>
        </is>
      </c>
      <c r="AR270">
        <f>IF(AND(AU270="pass",AO270&lt;&gt;"Y",C270&lt;&gt;""),"Y","N")</f>
        <v/>
      </c>
      <c r="AS270">
        <f>_xlfn.TEXTJOIN("; ",TRUE,IF(AU270&lt;&gt;"pass","gated out",""),IF(AO270="Y","on hold: "&amp;AP270,""),IF(C270="","no contact named on an opened page",""))</f>
        <v/>
      </c>
      <c r="AU270" t="inlineStr">
        <is>
          <t>fail</t>
        </is>
      </c>
      <c r="AV270" t="inlineStr">
        <is>
          <t>excluded-category;no-buy-path</t>
        </is>
      </c>
      <c r="AW270" t="inlineStr">
        <is>
          <t>excluded-category: Alcohol (13% ABV) | no-buy-path: no graded store within ten blocks and no online store shown (online store unknown)</t>
        </is>
      </c>
      <c r="AY270" t="inlineStr">
        <is>
          <t>https://www.drinkwildmannered.com</t>
        </is>
      </c>
      <c r="AZ270" t="inlineStr">
        <is>
          <t>NY</t>
        </is>
      </c>
      <c r="BA270" t="inlineStr">
        <is>
          <t>nyc</t>
        </is>
      </c>
      <c r="BB270" t="inlineStr">
        <is>
          <t>unknown</t>
        </is>
      </c>
      <c r="BD270" t="inlineStr">
        <is>
          <t>unknown</t>
        </is>
      </c>
      <c r="BF270" t="inlineStr">
        <is>
          <t>unknown</t>
        </is>
      </c>
      <c r="BG270" t="inlineStr">
        <is>
          <t>unknown</t>
        </is>
      </c>
      <c r="BH270" t="inlineStr">
        <is>
          <t>unknown</t>
        </is>
      </c>
      <c r="BJ270" t="inlineStr">
        <is>
          <t>unknown</t>
        </is>
      </c>
      <c r="BK270" t="inlineStr">
        <is>
          <t>N</t>
        </is>
      </c>
      <c r="BL270" t="inlineStr">
        <is>
          <t>Y</t>
        </is>
      </c>
      <c r="BM270" t="inlineStr">
        <is>
          <t>Alcohol (13% ABV)</t>
        </is>
      </c>
      <c r="BO270" t="inlineStr">
        <is>
          <t>N</t>
        </is>
      </c>
      <c r="BP270" t="n">
        <v>0</v>
      </c>
      <c r="BU270" t="inlineStr">
        <is>
          <t>press</t>
        </is>
      </c>
      <c r="BV270" t="n">
        <v>43</v>
      </c>
      <c r="BW270" t="inlineStr">
        <is>
          <t>https://startupcpg.com/startup-cpg-newswire-wild-mannered-expands-its-ready-to-serve-cocktail-portfolio-into-new-jersey-retail-chains/</t>
        </is>
      </c>
      <c r="BX270" t="inlineStr">
        <is>
          <t>Michael Gu</t>
        </is>
      </c>
      <c r="CF270" t="inlineStr">
        <is>
          <t>none</t>
        </is>
      </c>
      <c r="CK270" t="inlineStr">
        <is>
          <t>none</t>
        </is>
      </c>
      <c r="CL270" t="n">
        <v>49</v>
      </c>
      <c r="CM270" t="n">
        <v>0</v>
      </c>
      <c r="CN270" t="n">
        <v>20</v>
      </c>
      <c r="CO270" t="n">
        <v>15</v>
      </c>
      <c r="CP270" t="n">
        <v>5</v>
      </c>
      <c r="CQ270" t="n">
        <v>3</v>
      </c>
      <c r="CR270" t="n">
        <v>6</v>
      </c>
      <c r="CS270">
        <f>IF(R270="Y",10,0)</f>
        <v/>
      </c>
      <c r="CT270" t="n">
        <v>0</v>
      </c>
      <c r="CV270" t="inlineStr">
        <is>
          <t>BR4</t>
        </is>
      </c>
      <c r="CW270" t="inlineStr">
        <is>
          <t>BR4:53</t>
        </is>
      </c>
      <c r="CX270" t="inlineStr">
        <is>
          <t>Recorded so the gate is visible.</t>
        </is>
      </c>
      <c r="DA270" t="inlineStr">
        <is>
          <t>stage 1 only</t>
        </is>
      </c>
      <c r="DY270">
        <f>IF(ISNUMBER(MATCH(U270,{"queued","contacted","replied","call_booked","call_done","yes_in_principle","materials_sent"},0)),"Y","N")</f>
        <v/>
      </c>
      <c r="DZ270">
        <f>IF(COUNTIFS($AN$2:$AN$1000,AN270,$DY$2:$DY$1000,"Y")+COUNTIFS($AN$2:$AN$1000,AN270,$T$2:$T$1000,"Y")&gt;0,"Y","N")</f>
        <v/>
      </c>
      <c r="EA270">
        <f>IF(AND(U270="new",T270="N",AR270="Y",AQ270="",DZ270="N"),"Y","N")</f>
        <v/>
      </c>
      <c r="EB270">
        <f>IF(EA270&lt;&gt;"Y","N",IF(COUNTIFS($AN$2:$AN$1000,AN270,$EA$2:$EA$1000,"Y",$J$2:$J$1000,"&gt;"&amp;J270)+COUNTIFS($AN$2:$AN$1000,AN270,$EA$2:$EA$1000,"Y",$J$2:$J$1000,J270,$ED$2:$ED$1000,"&lt;"&amp;ED270)=0,"Y","N"))</f>
        <v/>
      </c>
      <c r="EC270">
        <f>IF(Y270="","N",IF(Y270&lt;=10,"Y","N"))</f>
        <v/>
      </c>
      <c r="ED270">
        <f>ROW()-1</f>
        <v/>
      </c>
    </row>
    <row r="271">
      <c r="A271" t="inlineStr">
        <is>
          <t>AB-228</t>
        </is>
      </c>
      <c r="B271" t="inlineStr">
        <is>
          <t>BARIS</t>
        </is>
      </c>
      <c r="C271" t="inlineStr">
        <is>
          <t>Marcos</t>
        </is>
      </c>
      <c r="D271" t="inlineStr">
        <is>
          <t>Della Pia</t>
        </is>
      </c>
      <c r="E271" t="inlineStr">
        <is>
          <t>Co-founder</t>
        </is>
      </c>
      <c r="H271" t="inlineStr">
        <is>
          <t>none</t>
        </is>
      </c>
      <c r="I271" t="inlineStr">
        <is>
          <t>linkedin</t>
        </is>
      </c>
      <c r="J271">
        <f>IF(AU271="pass",CM271+CN271+CO271+CP271+CQ271+CR271+CS271+CT271,0)</f>
        <v/>
      </c>
      <c r="K271" t="inlineStr">
        <is>
          <t>Gated out: not-shelf-stable: Frozen product (refrigerated or perishable).</t>
        </is>
      </c>
      <c r="M271" t="inlineStr">
        <is>
          <t>none found within ten blocks</t>
        </is>
      </c>
      <c r="N271" t="inlineStr">
        <is>
          <t>unverified</t>
        </is>
      </c>
      <c r="O271" t="inlineStr">
        <is>
          <t>National launch in 470 Sprouts stores with an exclusive Matcha flavor</t>
        </is>
      </c>
      <c r="P271" t="inlineStr">
        <is>
          <t>https://startupcpg.com/startup-cpg-newswire-baris-sprouts-national-launch-with-exclusive-matcha-flavor/</t>
        </is>
      </c>
      <c r="Q271" t="inlineStr">
        <is>
          <t>2026-03-02</t>
        </is>
      </c>
      <c r="R271" t="inlineStr">
        <is>
          <t>N</t>
        </is>
      </c>
      <c r="S271" t="inlineStr">
        <is>
          <t>Y</t>
        </is>
      </c>
      <c r="T271" t="inlineStr">
        <is>
          <t>N</t>
        </is>
      </c>
      <c r="U271" t="inlineStr">
        <is>
          <t>new</t>
        </is>
      </c>
      <c r="V271" t="inlineStr">
        <is>
          <t>https://startupcpg.com/startup-cpg-newswire-baris-sprouts-national-launch-with-exclusive-matcha-flavor/</t>
        </is>
      </c>
      <c r="W271" t="inlineStr">
        <is>
          <t>2026-10-23</t>
        </is>
      </c>
      <c r="X271" t="inlineStr">
        <is>
          <t>brand</t>
        </is>
      </c>
      <c r="Y271">
        <f>IF(EB271&lt;&gt;"Y","",COUNTIFS($EB$2:$EB$1000,"Y",$J$2:$J$1000,"&gt;"&amp;J271)+COUNTIFS($EB$2:$EB$1000,"Y",$J$2:$J$1000,J271,$ED$2:$ED$1000,"&lt;"&amp;ED271)+1)</f>
        <v/>
      </c>
      <c r="AA271" t="inlineStr">
        <is>
          <t>N</t>
        </is>
      </c>
      <c r="AC271" t="inlineStr">
        <is>
          <t>founder</t>
        </is>
      </c>
      <c r="AD271" t="inlineStr">
        <is>
          <t>verified-page</t>
        </is>
      </c>
      <c r="AE271" t="inlineStr">
        <is>
          <t>press, event or podcast page</t>
        </is>
      </c>
      <c r="AF271" t="inlineStr">
        <is>
          <t>https://startupcpg.com/startup-cpg-newswire-baris-sprouts-national-launch-with-exclusive-matcha-flavor/</t>
        </is>
      </c>
      <c r="AG271" t="inlineStr">
        <is>
          <t>2026-10-23</t>
        </is>
      </c>
      <c r="AH271" t="inlineStr">
        <is>
          <t>Chocolate-covered frozen Patagonian raspberries</t>
        </is>
      </c>
      <c r="AI271" t="inlineStr">
        <is>
          <t>chocolate-candy</t>
        </is>
      </c>
      <c r="AJ271" t="inlineStr">
        <is>
          <t>New York (release datelined New York, NY)</t>
        </is>
      </c>
      <c r="AL271" t="inlineStr">
        <is>
          <t>N</t>
        </is>
      </c>
      <c r="AN271" t="inlineStr">
        <is>
          <t>AB-228</t>
        </is>
      </c>
      <c r="AO271" t="inlineStr">
        <is>
          <t>N</t>
        </is>
      </c>
      <c r="AR271">
        <f>IF(AND(AU271="pass",AO271&lt;&gt;"Y",C271&lt;&gt;""),"Y","N")</f>
        <v/>
      </c>
      <c r="AS271">
        <f>_xlfn.TEXTJOIN("; ",TRUE,IF(AU271&lt;&gt;"pass","gated out",""),IF(AO271="Y","on hold: "&amp;AP271,""),IF(C271="","no contact named on an opened page",""))</f>
        <v/>
      </c>
      <c r="AU271" t="inlineStr">
        <is>
          <t>fail</t>
        </is>
      </c>
      <c r="AV271" t="inlineStr">
        <is>
          <t>not-shelf-stable;no-buy-path</t>
        </is>
      </c>
      <c r="AW271" t="inlineStr">
        <is>
          <t>not-shelf-stable: Frozen product (refrigerated or perishable) | no-buy-path: no graded store within ten blocks and no online store shown (online store unknown)</t>
        </is>
      </c>
      <c r="AY271" t="inlineStr">
        <is>
          <t>https://everybaris.com</t>
        </is>
      </c>
      <c r="AZ271" t="inlineStr">
        <is>
          <t>NY</t>
        </is>
      </c>
      <c r="BA271" t="inlineStr">
        <is>
          <t>nyc</t>
        </is>
      </c>
      <c r="BB271" t="inlineStr">
        <is>
          <t>unknown</t>
        </is>
      </c>
      <c r="BD271" t="inlineStr">
        <is>
          <t>N</t>
        </is>
      </c>
      <c r="BE271" t="inlineStr">
        <is>
          <t>Release: berries are 'frozen at peak ripeness'; frozen treat</t>
        </is>
      </c>
      <c r="BF271" t="inlineStr">
        <is>
          <t>unknown</t>
        </is>
      </c>
      <c r="BG271" t="inlineStr">
        <is>
          <t>unknown</t>
        </is>
      </c>
      <c r="BH271" t="inlineStr">
        <is>
          <t>unknown</t>
        </is>
      </c>
      <c r="BJ271" t="inlineStr">
        <is>
          <t>unknown</t>
        </is>
      </c>
      <c r="BK271" t="inlineStr">
        <is>
          <t>N</t>
        </is>
      </c>
      <c r="BL271" t="inlineStr">
        <is>
          <t>Y</t>
        </is>
      </c>
      <c r="BM271" t="inlineStr">
        <is>
          <t>Frozen product (refrigerated or perishable)</t>
        </is>
      </c>
      <c r="BO271" t="inlineStr">
        <is>
          <t>N</t>
        </is>
      </c>
      <c r="BP271" t="n">
        <v>0</v>
      </c>
      <c r="BS271" t="inlineStr">
        <is>
          <t>Sprouts Farmers Market (470 stores, national launch Feb 2026)</t>
        </is>
      </c>
      <c r="BU271" t="inlineStr">
        <is>
          <t>press</t>
        </is>
      </c>
      <c r="BV271" t="n">
        <v>236</v>
      </c>
      <c r="BW271" t="inlineStr">
        <is>
          <t>https://startupcpg.com/startup-cpg-newswire-baris-sprouts-national-launch-with-exclusive-matcha-flavor/</t>
        </is>
      </c>
      <c r="BX271" t="inlineStr">
        <is>
          <t>Marcos Della Pia</t>
        </is>
      </c>
      <c r="CF271" t="inlineStr">
        <is>
          <t>none</t>
        </is>
      </c>
      <c r="CK271" t="inlineStr">
        <is>
          <t>none</t>
        </is>
      </c>
      <c r="CL271" t="n">
        <v>41</v>
      </c>
      <c r="CM271" t="n">
        <v>0</v>
      </c>
      <c r="CN271" t="n">
        <v>20</v>
      </c>
      <c r="CO271" t="n">
        <v>8</v>
      </c>
      <c r="CP271" t="n">
        <v>5</v>
      </c>
      <c r="CQ271" t="n">
        <v>2</v>
      </c>
      <c r="CR271" t="n">
        <v>6</v>
      </c>
      <c r="CS271">
        <f>IF(R271="Y",10,0)</f>
        <v/>
      </c>
      <c r="CT271" t="n">
        <v>0</v>
      </c>
      <c r="CV271" t="inlineStr">
        <is>
          <t>BR4</t>
        </is>
      </c>
      <c r="CW271" t="inlineStr">
        <is>
          <t>BR4:23</t>
        </is>
      </c>
      <c r="CX271" t="inlineStr">
        <is>
          <t>Recorded so the gate is visible.</t>
        </is>
      </c>
      <c r="DA271" t="inlineStr">
        <is>
          <t>stage 1 only</t>
        </is>
      </c>
      <c r="DY271">
        <f>IF(ISNUMBER(MATCH(U271,{"queued","contacted","replied","call_booked","call_done","yes_in_principle","materials_sent"},0)),"Y","N")</f>
        <v/>
      </c>
      <c r="DZ271">
        <f>IF(COUNTIFS($AN$2:$AN$1000,AN271,$DY$2:$DY$1000,"Y")+COUNTIFS($AN$2:$AN$1000,AN271,$T$2:$T$1000,"Y")&gt;0,"Y","N")</f>
        <v/>
      </c>
      <c r="EA271">
        <f>IF(AND(U271="new",T271="N",AR271="Y",AQ271="",DZ271="N"),"Y","N")</f>
        <v/>
      </c>
      <c r="EB271">
        <f>IF(EA271&lt;&gt;"Y","N",IF(COUNTIFS($AN$2:$AN$1000,AN271,$EA$2:$EA$1000,"Y",$J$2:$J$1000,"&gt;"&amp;J271)+COUNTIFS($AN$2:$AN$1000,AN271,$EA$2:$EA$1000,"Y",$J$2:$J$1000,J271,$ED$2:$ED$1000,"&lt;"&amp;ED271)=0,"Y","N"))</f>
        <v/>
      </c>
      <c r="EC271">
        <f>IF(Y271="","N",IF(Y271&lt;=10,"Y","N"))</f>
        <v/>
      </c>
      <c r="ED271">
        <f>ROW()-1</f>
        <v/>
      </c>
    </row>
    <row r="272">
      <c r="A272" t="inlineStr">
        <is>
          <t>AB-014</t>
        </is>
      </c>
      <c r="B272" t="inlineStr">
        <is>
          <t>Cob</t>
        </is>
      </c>
      <c r="C272" t="inlineStr">
        <is>
          <t>Novak</t>
        </is>
      </c>
      <c r="D272" t="inlineStr">
        <is>
          <t>Djokovic</t>
        </is>
      </c>
      <c r="E272" t="inlineStr">
        <is>
          <t>Co-founder</t>
        </is>
      </c>
      <c r="H272" t="inlineStr">
        <is>
          <t>none</t>
        </is>
      </c>
      <c r="I272" t="inlineStr">
        <is>
          <t>linkedin</t>
        </is>
      </c>
      <c r="J272">
        <f>IF(AU272="pass",CM272+CN272+CO272+CP272+CQ272+CR272+CS272+CT272,0)</f>
        <v/>
      </c>
      <c r="K272" t="inlineStr">
        <is>
          <t>Gated out: health-claim: Site title positions the snack 'for Energy, Digestion &amp; Performance' (structure/function wording); founder may clear if this is not on pack.</t>
        </is>
      </c>
      <c r="M272" t="inlineStr">
        <is>
          <t>none found within ten blocks</t>
        </is>
      </c>
      <c r="N272" t="inlineStr">
        <is>
          <t>unverified</t>
        </is>
      </c>
      <c r="O272" t="inlineStr">
        <is>
          <t>New 'Game. Set. Snack.' tin and game bundles published on brand store</t>
        </is>
      </c>
      <c r="P272" t="inlineStr">
        <is>
          <t>https://cobfoods.com/products/game-set-snack-tin</t>
        </is>
      </c>
      <c r="Q272" t="inlineStr">
        <is>
          <t>2026-08-28</t>
        </is>
      </c>
      <c r="R272" t="inlineStr">
        <is>
          <t>N</t>
        </is>
      </c>
      <c r="S272" t="inlineStr">
        <is>
          <t>unknown</t>
        </is>
      </c>
      <c r="T272" t="inlineStr">
        <is>
          <t>N</t>
        </is>
      </c>
      <c r="U272" t="inlineStr">
        <is>
          <t>new</t>
        </is>
      </c>
      <c r="V272" t="inlineStr">
        <is>
          <t>https://cobfoods.com/pages/our-story</t>
        </is>
      </c>
      <c r="W272" t="inlineStr">
        <is>
          <t>2026-10-23</t>
        </is>
      </c>
      <c r="X272" t="inlineStr">
        <is>
          <t>brand</t>
        </is>
      </c>
      <c r="Y272">
        <f>IF(EB272&lt;&gt;"Y","",COUNTIFS($EB$2:$EB$1000,"Y",$J$2:$J$1000,"&gt;"&amp;J272)+COUNTIFS($EB$2:$EB$1000,"Y",$J$2:$J$1000,J272,$ED$2:$ED$1000,"&lt;"&amp;ED272)+1)</f>
        <v/>
      </c>
      <c r="AA272" t="inlineStr">
        <is>
          <t>N</t>
        </is>
      </c>
      <c r="AC272" t="inlineStr">
        <is>
          <t>founder</t>
        </is>
      </c>
      <c r="AD272" t="inlineStr">
        <is>
          <t>verified-page</t>
        </is>
      </c>
      <c r="AE272" t="inlineStr">
        <is>
          <t>employer's own site</t>
        </is>
      </c>
      <c r="AF272" t="inlineStr">
        <is>
          <t>https://cobfoods.com/pages/our-story</t>
        </is>
      </c>
      <c r="AG272" t="inlineStr">
        <is>
          <t>2026-10-23</t>
        </is>
      </c>
      <c r="AH272" t="inlineStr">
        <is>
          <t>Cob popped sorghum snacks (Flavor Sampler; Game. Set. Snack. tin)</t>
        </is>
      </c>
      <c r="AI272" t="inlineStr">
        <is>
          <t>popcorn-puffs</t>
        </is>
      </c>
      <c r="AJ272" t="inlineStr">
        <is>
          <t>New York (privacy policy mail address 1430 Broadway; contact page lists Sag Harbor NY)</t>
        </is>
      </c>
      <c r="AK272" t="inlineStr">
        <is>
          <t>https://cobfoods.com</t>
        </is>
      </c>
      <c r="AL272" t="inlineStr">
        <is>
          <t>Y</t>
        </is>
      </c>
      <c r="AM272" t="inlineStr">
        <is>
          <t>Health-claim gate hinges on site copy vs pack copy; celebrity co-founder (Novak Djokovic) may mean a larger marketing budget and slower approvals</t>
        </is>
      </c>
      <c r="AN272" t="inlineStr">
        <is>
          <t>AB-014</t>
        </is>
      </c>
      <c r="AO272" t="inlineStr">
        <is>
          <t>N</t>
        </is>
      </c>
      <c r="AR272">
        <f>IF(AND(AU272="pass",AO272&lt;&gt;"Y",C272&lt;&gt;""),"Y","N")</f>
        <v/>
      </c>
      <c r="AS272">
        <f>_xlfn.TEXTJOIN("; ",TRUE,IF(AU272&lt;&gt;"pass","gated out",""),IF(AO272="Y","on hold: "&amp;AP272,""),IF(C272="","no contact named on an opened page",""))</f>
        <v/>
      </c>
      <c r="AU272" t="inlineStr">
        <is>
          <t>fail</t>
        </is>
      </c>
      <c r="AV272" t="inlineStr">
        <is>
          <t>health-claim</t>
        </is>
      </c>
      <c r="AW272" t="inlineStr">
        <is>
          <t>health-claim: Site title positions the snack 'for Energy, Digestion &amp; Performance' (structure/function wording); founder may clear if this is not on pack</t>
        </is>
      </c>
      <c r="AX272" t="inlineStr">
        <is>
          <t>scale;claim-borderline</t>
        </is>
      </c>
      <c r="AY272" t="inlineStr">
        <is>
          <t>https://cobfoods.com</t>
        </is>
      </c>
      <c r="AZ272" t="inlineStr">
        <is>
          <t>NY</t>
        </is>
      </c>
      <c r="BA272" t="inlineStr">
        <is>
          <t>nyc</t>
        </is>
      </c>
      <c r="BB272" t="inlineStr">
        <is>
          <t>unknown</t>
        </is>
      </c>
      <c r="BD272" t="inlineStr">
        <is>
          <t>Y</t>
        </is>
      </c>
      <c r="BE272" t="inlineStr">
        <is>
          <t>Popped sorghum snacks sold ambient online and at PopUp Grocer 'Puffs + Crunch'</t>
        </is>
      </c>
      <c r="BF272" t="inlineStr">
        <is>
          <t>unknown</t>
        </is>
      </c>
      <c r="BG272" t="inlineStr">
        <is>
          <t>Y</t>
        </is>
      </c>
      <c r="BH272" t="inlineStr">
        <is>
          <t>unknown</t>
        </is>
      </c>
      <c r="BJ272" t="inlineStr">
        <is>
          <t>unknown</t>
        </is>
      </c>
      <c r="BK272" t="inlineStr">
        <is>
          <t>Y</t>
        </is>
      </c>
      <c r="BL272" t="inlineStr">
        <is>
          <t>Y</t>
        </is>
      </c>
      <c r="BM272" t="inlineStr">
        <is>
          <t>Site title positions the snack 'for Energy, Digestion &amp; Performance' (structure/function wording); founder may clear if this is not on pack</t>
        </is>
      </c>
      <c r="BO272" t="inlineStr">
        <is>
          <t>N</t>
        </is>
      </c>
      <c r="BP272" t="n">
        <v>0</v>
      </c>
      <c r="BR272" t="inlineStr">
        <is>
          <t>PopUp Grocer (brand_claim, unplaced)</t>
        </is>
      </c>
      <c r="BS272" t="inlineStr">
        <is>
          <t>PopUp Grocer (NYC)</t>
        </is>
      </c>
      <c r="BT272" t="inlineStr">
        <is>
          <t>https://popupgrocer.com/pages/directory (availability 'NYC Flagship', 2026-10-23); https://popupgrocer.com/products/cob</t>
        </is>
      </c>
      <c r="BU272" t="inlineStr">
        <is>
          <t>listing</t>
        </is>
      </c>
      <c r="BV272" t="n">
        <v>57</v>
      </c>
      <c r="BX272" t="inlineStr">
        <is>
          <t>Novak Djokovic</t>
        </is>
      </c>
      <c r="BY272" t="inlineStr">
        <is>
          <t>surname not on site</t>
        </is>
      </c>
      <c r="CA272" t="inlineStr">
        <is>
          <t>Jess</t>
        </is>
      </c>
      <c r="CB272" t="inlineStr">
        <is>
          <t>Jess</t>
        </is>
      </c>
      <c r="CC272" t="inlineStr">
        <is>
          <t>unknown</t>
        </is>
      </c>
      <c r="CD272" t="inlineStr">
        <is>
          <t>Co-founder</t>
        </is>
      </c>
      <c r="CE272" t="inlineStr">
        <is>
          <t>co-founder</t>
        </is>
      </c>
      <c r="CF272" t="inlineStr">
        <is>
          <t>first-name-only</t>
        </is>
      </c>
      <c r="CG272" t="inlineStr">
        <is>
          <t>surname not on site</t>
        </is>
      </c>
      <c r="CK272" t="inlineStr">
        <is>
          <t>none</t>
        </is>
      </c>
      <c r="CL272" t="n">
        <v>41</v>
      </c>
      <c r="CM272" t="n">
        <v>6</v>
      </c>
      <c r="CN272" t="n">
        <v>20</v>
      </c>
      <c r="CO272" t="n">
        <v>8</v>
      </c>
      <c r="CP272" t="n">
        <v>5</v>
      </c>
      <c r="CQ272" t="n">
        <v>8</v>
      </c>
      <c r="CR272" t="n">
        <v>6</v>
      </c>
      <c r="CS272">
        <f>IF(R272="Y",10,0)</f>
        <v/>
      </c>
      <c r="CT272" t="n">
        <v>-12</v>
      </c>
      <c r="CU272" t="inlineStr">
        <is>
          <t>https://instagram.com/cobfoods</t>
        </is>
      </c>
      <c r="CV272" t="inlineStr">
        <is>
          <t>BR1</t>
        </is>
      </c>
      <c r="CW272" t="inlineStr">
        <is>
          <t>BR1:15</t>
        </is>
      </c>
      <c r="CX272" t="inlineStr">
        <is>
          <t>Two business addresses on Shopify policy pages: Cob Inc., Sag Harbor NY (contact-information) and 1430 Broadway, New York NY 10018 (privacy policy mail address, Garment District). Homepage claims 20,000+ customers.</t>
        </is>
      </c>
      <c r="CZ272" t="inlineStr">
        <is>
          <t>https://cobfoods.com/pages/our-story</t>
        </is>
      </c>
      <c r="DA272" t="inlineStr">
        <is>
          <t>stage 1 only</t>
        </is>
      </c>
      <c r="DC272" t="inlineStr">
        <is>
          <t>employer's own site</t>
        </is>
      </c>
      <c r="DY272">
        <f>IF(ISNUMBER(MATCH(U272,{"queued","contacted","replied","call_booked","call_done","yes_in_principle","materials_sent"},0)),"Y","N")</f>
        <v/>
      </c>
      <c r="DZ272">
        <f>IF(COUNTIFS($AN$2:$AN$1000,AN272,$DY$2:$DY$1000,"Y")+COUNTIFS($AN$2:$AN$1000,AN272,$T$2:$T$1000,"Y")&gt;0,"Y","N")</f>
        <v/>
      </c>
      <c r="EA272">
        <f>IF(AND(U272="new",T272="N",AR272="Y",AQ272="",DZ272="N"),"Y","N")</f>
        <v/>
      </c>
      <c r="EB272">
        <f>IF(EA272&lt;&gt;"Y","N",IF(COUNTIFS($AN$2:$AN$1000,AN272,$EA$2:$EA$1000,"Y",$J$2:$J$1000,"&gt;"&amp;J272)+COUNTIFS($AN$2:$AN$1000,AN272,$EA$2:$EA$1000,"Y",$J$2:$J$1000,J272,$ED$2:$ED$1000,"&lt;"&amp;ED272)=0,"Y","N"))</f>
        <v/>
      </c>
      <c r="EC272">
        <f>IF(Y272="","N",IF(Y272&lt;=10,"Y","N"))</f>
        <v/>
      </c>
      <c r="ED272">
        <f>ROW()-1</f>
        <v/>
      </c>
    </row>
    <row r="273">
      <c r="A273" t="inlineStr">
        <is>
          <t>AB-301</t>
        </is>
      </c>
      <c r="B273" t="inlineStr">
        <is>
          <t>DrinkFolks</t>
        </is>
      </c>
      <c r="C273" t="inlineStr">
        <is>
          <t>Tiffany</t>
        </is>
      </c>
      <c r="D273" t="inlineStr">
        <is>
          <t>unknown</t>
        </is>
      </c>
      <c r="E273" t="inlineStr">
        <is>
          <t>Founder</t>
        </is>
      </c>
      <c r="H273" t="inlineStr">
        <is>
          <t>none</t>
        </is>
      </c>
      <c r="I273" t="inlineStr">
        <is>
          <t>linkedin</t>
        </is>
      </c>
      <c r="J273">
        <f>IF(AU273="pass",CM273+CN273+CO273+CP273+CQ273+CR273+CS273+CT273,0)</f>
        <v/>
      </c>
      <c r="K273" t="inlineStr">
        <is>
          <t>Gated out: health-claim: Explicit structure-function claims: 'Supports Digestion &amp; Immune Health', 'Strengthens Immunity', 'Gut Reset calms bloat'.</t>
        </is>
      </c>
      <c r="M273" t="inlineStr">
        <is>
          <t>none found within ten blocks</t>
        </is>
      </c>
      <c r="N273" t="inlineStr">
        <is>
          <t>unverified</t>
        </is>
      </c>
      <c r="O273" t="inlineStr">
        <is>
          <t>Added new Gut Reset and Immunity 6-pack and 2-pack listings at lower prices than the March 2026 listings</t>
        </is>
      </c>
      <c r="P273" t="inlineStr">
        <is>
          <t>https://www.drinkfolks.com/products.json</t>
        </is>
      </c>
      <c r="Q273" t="inlineStr">
        <is>
          <t>2026-08-20</t>
        </is>
      </c>
      <c r="R273" t="inlineStr">
        <is>
          <t>N</t>
        </is>
      </c>
      <c r="S273" t="inlineStr">
        <is>
          <t>Y</t>
        </is>
      </c>
      <c r="T273" t="inlineStr">
        <is>
          <t>N</t>
        </is>
      </c>
      <c r="U273" t="inlineStr">
        <is>
          <t>new</t>
        </is>
      </c>
      <c r="V273" t="inlineStr">
        <is>
          <t>https://hotbreadkitchen.org/breadwinners-marketplace/</t>
        </is>
      </c>
      <c r="W273" t="inlineStr">
        <is>
          <t>2026-10-24</t>
        </is>
      </c>
      <c r="X273" t="inlineStr">
        <is>
          <t>brand</t>
        </is>
      </c>
      <c r="Y273">
        <f>IF(EB273&lt;&gt;"Y","",COUNTIFS($EB$2:$EB$1000,"Y",$J$2:$J$1000,"&gt;"&amp;J273)+COUNTIFS($EB$2:$EB$1000,"Y",$J$2:$J$1000,J273,$ED$2:$ED$1000,"&lt;"&amp;ED273)+1)</f>
        <v/>
      </c>
      <c r="AA273" t="inlineStr">
        <is>
          <t>N</t>
        </is>
      </c>
      <c r="AC273" t="inlineStr">
        <is>
          <t>founder</t>
        </is>
      </c>
      <c r="AD273" t="inlineStr">
        <is>
          <t>first-name-only</t>
        </is>
      </c>
      <c r="AE273" t="inlineStr">
        <is>
          <t>press, event or podcast page</t>
        </is>
      </c>
      <c r="AF273" t="inlineStr">
        <is>
          <t>https://hotbreadkitchen.org/hbki/</t>
        </is>
      </c>
      <c r="AG273" t="inlineStr">
        <is>
          <t>2026-10-24</t>
        </is>
      </c>
      <c r="AH273" t="inlineStr">
        <is>
          <t>DrinkFolks Gut Reset jamu root tonic, 6-pack</t>
        </is>
      </c>
      <c r="AI273" t="inlineStr">
        <is>
          <t>other-drink</t>
        </is>
      </c>
      <c r="AJ273" t="inlineStr">
        <is>
          <t>New York City (Hot Bread Kitchen incubator alumna)</t>
        </is>
      </c>
      <c r="AK273" t="inlineStr">
        <is>
          <t>https://www.drinkfolks.com</t>
        </is>
      </c>
      <c r="AL273" t="inlineStr">
        <is>
          <t>Y</t>
        </is>
      </c>
      <c r="AM273" t="inlineStr">
        <is>
          <t>60-day shelf life not stated</t>
        </is>
      </c>
      <c r="AN273" t="inlineStr">
        <is>
          <t>AB-301</t>
        </is>
      </c>
      <c r="AO273" t="inlineStr">
        <is>
          <t>N</t>
        </is>
      </c>
      <c r="AR273">
        <f>IF(AND(AU273="pass",AO273&lt;&gt;"Y",C273&lt;&gt;""),"Y","N")</f>
        <v/>
      </c>
      <c r="AS273">
        <f>_xlfn.TEXTJOIN("; ",TRUE,IF(AU273&lt;&gt;"pass","gated out",""),IF(AO273="Y","on hold: "&amp;AP273,""),IF(C273="","no contact named on an opened page",""))</f>
        <v/>
      </c>
      <c r="AU273" t="inlineStr">
        <is>
          <t>fail</t>
        </is>
      </c>
      <c r="AV273" t="inlineStr">
        <is>
          <t>health-claim</t>
        </is>
      </c>
      <c r="AW273" t="inlineStr">
        <is>
          <t>health-claim: Explicit structure-function claims: 'Supports Digestion &amp; Immune Health', 'Strengthens Immunity', 'Gut Reset calms bloat'</t>
        </is>
      </c>
      <c r="AY273" t="inlineStr">
        <is>
          <t>https://www.drinkfolks.com</t>
        </is>
      </c>
      <c r="AZ273" t="inlineStr">
        <is>
          <t>NY</t>
        </is>
      </c>
      <c r="BA273" t="inlineStr">
        <is>
          <t>nyc</t>
        </is>
      </c>
      <c r="BB273" t="inlineStr">
        <is>
          <t>unknown</t>
        </is>
      </c>
      <c r="BD273" t="inlineStr">
        <is>
          <t>unknown</t>
        </is>
      </c>
      <c r="BE273" t="inlineStr">
        <is>
          <t>Bottled root tonics sold online in 6-packs; storage not checked</t>
        </is>
      </c>
      <c r="BF273" t="inlineStr">
        <is>
          <t>Y</t>
        </is>
      </c>
      <c r="BG273" t="inlineStr">
        <is>
          <t>Y</t>
        </is>
      </c>
      <c r="BH273" t="inlineStr">
        <is>
          <t>unknown</t>
        </is>
      </c>
      <c r="BJ273" t="inlineStr">
        <is>
          <t>No sourced sales figure found</t>
        </is>
      </c>
      <c r="BK273" t="inlineStr">
        <is>
          <t>Y</t>
        </is>
      </c>
      <c r="BL273" t="inlineStr">
        <is>
          <t>Y</t>
        </is>
      </c>
      <c r="BM273" t="inlineStr">
        <is>
          <t>Explicit structure-function claims: 'Supports Digestion &amp; Immune Health', 'Strengthens Immunity', 'Gut Reset calms bloat'</t>
        </is>
      </c>
      <c r="BO273" t="inlineStr">
        <is>
          <t>N</t>
        </is>
      </c>
      <c r="BP273" t="n">
        <v>0</v>
      </c>
      <c r="BS273" t="inlineStr">
        <is>
          <t>unknown</t>
        </is>
      </c>
      <c r="BU273" t="inlineStr">
        <is>
          <t>listing</t>
        </is>
      </c>
      <c r="BV273" t="n">
        <v>65</v>
      </c>
      <c r="BW273" t="inlineStr">
        <is>
          <t>https://startupcpg.com/13-female-founded-beverage-brands-you-might-not-know-but-should/</t>
        </is>
      </c>
      <c r="BX273" t="inlineStr">
        <is>
          <t>Tiffany</t>
        </is>
      </c>
      <c r="BY273" t="inlineStr">
        <is>
          <t>surname not given</t>
        </is>
      </c>
      <c r="CF273" t="inlineStr">
        <is>
          <t>none</t>
        </is>
      </c>
      <c r="CK273" t="inlineStr">
        <is>
          <t>none</t>
        </is>
      </c>
      <c r="CL273" t="n">
        <v>49</v>
      </c>
      <c r="CM273" t="n">
        <v>6</v>
      </c>
      <c r="CN273" t="n">
        <v>20</v>
      </c>
      <c r="CO273" t="n">
        <v>8</v>
      </c>
      <c r="CP273" t="n">
        <v>5</v>
      </c>
      <c r="CQ273" t="n">
        <v>7</v>
      </c>
      <c r="CR273" t="n">
        <v>3</v>
      </c>
      <c r="CS273">
        <f>IF(R273="Y",10,0)</f>
        <v/>
      </c>
      <c r="CT273" t="n">
        <v>0</v>
      </c>
      <c r="CU273" t="inlineStr">
        <is>
          <t>https://instagram.com/drinkfolks</t>
        </is>
      </c>
      <c r="CV273" t="inlineStr">
        <is>
          <t>BR5</t>
        </is>
      </c>
      <c r="CW273" t="inlineStr">
        <is>
          <t>BR5:37</t>
        </is>
      </c>
      <c r="CX273" t="inlineStr">
        <is>
          <t>Hot Bread Kitchen Breadwinners Marketplace lists DrinkFolks. HBKi quotes 'Tiffany, DrinkFolks' (Seed program). Recorded so the health-claim gate is visible.</t>
        </is>
      </c>
      <c r="DA273" t="inlineStr">
        <is>
          <t>stage 1 only</t>
        </is>
      </c>
      <c r="DY273">
        <f>IF(ISNUMBER(MATCH(U273,{"queued","contacted","replied","call_booked","call_done","yes_in_principle","materials_sent"},0)),"Y","N")</f>
        <v/>
      </c>
      <c r="DZ273">
        <f>IF(COUNTIFS($AN$2:$AN$1000,AN273,$DY$2:$DY$1000,"Y")+COUNTIFS($AN$2:$AN$1000,AN273,$T$2:$T$1000,"Y")&gt;0,"Y","N")</f>
        <v/>
      </c>
      <c r="EA273">
        <f>IF(AND(U273="new",T273="N",AR273="Y",AQ273="",DZ273="N"),"Y","N")</f>
        <v/>
      </c>
      <c r="EB273">
        <f>IF(EA273&lt;&gt;"Y","N",IF(COUNTIFS($AN$2:$AN$1000,AN273,$EA$2:$EA$1000,"Y",$J$2:$J$1000,"&gt;"&amp;J273)+COUNTIFS($AN$2:$AN$1000,AN273,$EA$2:$EA$1000,"Y",$J$2:$J$1000,J273,$ED$2:$ED$1000,"&lt;"&amp;ED273)=0,"Y","N"))</f>
        <v/>
      </c>
      <c r="EC273">
        <f>IF(Y273="","N",IF(Y273&lt;=10,"Y","N"))</f>
        <v/>
      </c>
      <c r="ED273">
        <f>ROW()-1</f>
        <v/>
      </c>
    </row>
    <row r="274">
      <c r="A274" t="inlineStr">
        <is>
          <t>AB-199</t>
        </is>
      </c>
      <c r="B274" t="inlineStr">
        <is>
          <t>Ghia</t>
        </is>
      </c>
      <c r="C274" t="inlineStr">
        <is>
          <t>Melanie</t>
        </is>
      </c>
      <c r="D274" t="inlineStr">
        <is>
          <t>unknown</t>
        </is>
      </c>
      <c r="E274" t="inlineStr">
        <is>
          <t>Founder and CEO</t>
        </is>
      </c>
      <c r="H274" t="inlineStr">
        <is>
          <t>none</t>
        </is>
      </c>
      <c r="I274" t="inlineStr">
        <is>
          <t>linkedin</t>
        </is>
      </c>
      <c r="J274">
        <f>IF(AU274="pass",CM274+CN274+CO274+CP274+CQ274+CR274+CS274+CT274,0)</f>
        <v/>
      </c>
      <c r="K274" t="inlineStr">
        <is>
          <t>Gated out: health-claim: FAQ: 'Ghia keeps you calm, enhances your appetite, and soothe[s]...' (structure or function wording).</t>
        </is>
      </c>
      <c r="M274" t="inlineStr">
        <is>
          <t>none found within ten blocks</t>
        </is>
      </c>
      <c r="N274" t="inlineStr">
        <is>
          <t>unverified</t>
        </is>
      </c>
      <c r="O274" t="inlineStr">
        <is>
          <t>Launched Le Fizz</t>
        </is>
      </c>
      <c r="P274" t="inlineStr">
        <is>
          <t>https://drinkghia.com/products.json</t>
        </is>
      </c>
      <c r="Q274" t="inlineStr">
        <is>
          <t>2026-09-03</t>
        </is>
      </c>
      <c r="R274" t="inlineStr">
        <is>
          <t>N</t>
        </is>
      </c>
      <c r="S274" t="inlineStr">
        <is>
          <t>unknown</t>
        </is>
      </c>
      <c r="T274" t="inlineStr">
        <is>
          <t>N</t>
        </is>
      </c>
      <c r="U274" t="inlineStr">
        <is>
          <t>new</t>
        </is>
      </c>
      <c r="V274" t="inlineStr">
        <is>
          <t>https://drinkghia.com/pages/faq</t>
        </is>
      </c>
      <c r="W274" t="inlineStr">
        <is>
          <t>2026-10-23</t>
        </is>
      </c>
      <c r="X274" t="inlineStr">
        <is>
          <t>brand</t>
        </is>
      </c>
      <c r="Y274">
        <f>IF(EB274&lt;&gt;"Y","",COUNTIFS($EB$2:$EB$1000,"Y",$J$2:$J$1000,"&gt;"&amp;J274)+COUNTIFS($EB$2:$EB$1000,"Y",$J$2:$J$1000,J274,$ED$2:$ED$1000,"&lt;"&amp;ED274)+1)</f>
        <v/>
      </c>
      <c r="AA274" t="inlineStr">
        <is>
          <t>N</t>
        </is>
      </c>
      <c r="AC274" t="inlineStr">
        <is>
          <t>founder</t>
        </is>
      </c>
      <c r="AD274" t="inlineStr">
        <is>
          <t>first-name-only</t>
        </is>
      </c>
      <c r="AE274" t="inlineStr">
        <is>
          <t>employer's own site</t>
        </is>
      </c>
      <c r="AF274" t="inlineStr">
        <is>
          <t>https://drinkghia.com/pages/our-story</t>
        </is>
      </c>
      <c r="AG274" t="inlineStr">
        <is>
          <t>2026-10-23</t>
        </is>
      </c>
      <c r="AH274" t="inlineStr">
        <is>
          <t>Ghia Le Spritz non-alcoholic aperitif, can</t>
        </is>
      </c>
      <c r="AI274" t="inlineStr">
        <is>
          <t>other-drink</t>
        </is>
      </c>
      <c r="AJ274" t="inlineStr">
        <is>
          <t>unknown</t>
        </is>
      </c>
      <c r="AK274" t="inlineStr">
        <is>
          <t>https://drinkghia.com</t>
        </is>
      </c>
      <c r="AL274" t="inlineStr">
        <is>
          <t>Y</t>
        </is>
      </c>
      <c r="AM274" t="inlineStr">
        <is>
          <t>60-day shelf life not stated</t>
        </is>
      </c>
      <c r="AN274" t="inlineStr">
        <is>
          <t>AB-199</t>
        </is>
      </c>
      <c r="AO274" t="inlineStr">
        <is>
          <t>N</t>
        </is>
      </c>
      <c r="AR274">
        <f>IF(AND(AU274="pass",AO274&lt;&gt;"Y",C274&lt;&gt;""),"Y","N")</f>
        <v/>
      </c>
      <c r="AS274">
        <f>_xlfn.TEXTJOIN("; ",TRUE,IF(AU274&lt;&gt;"pass","gated out",""),IF(AO274="Y","on hold: "&amp;AP274,""),IF(C274="","no contact named on an opened page",""))</f>
        <v/>
      </c>
      <c r="AU274" t="inlineStr">
        <is>
          <t>fail</t>
        </is>
      </c>
      <c r="AV274" t="inlineStr">
        <is>
          <t>health-claim</t>
        </is>
      </c>
      <c r="AW274" t="inlineStr">
        <is>
          <t>health-claim: FAQ: 'Ghia keeps you calm, enhances your appetite, and soothe[s]...' (structure or function wording)</t>
        </is>
      </c>
      <c r="AY274" t="inlineStr">
        <is>
          <t>https://drinkghia.com</t>
        </is>
      </c>
      <c r="AZ274" t="inlineStr">
        <is>
          <t>unknown</t>
        </is>
      </c>
      <c r="BA274" t="inlineStr">
        <is>
          <t>unknown</t>
        </is>
      </c>
      <c r="BB274" t="inlineStr">
        <is>
          <t>unknown</t>
        </is>
      </c>
      <c r="BD274" t="inlineStr">
        <is>
          <t>unknown</t>
        </is>
      </c>
      <c r="BE274" t="inlineStr">
        <is>
          <t>No unopened storage statement read</t>
        </is>
      </c>
      <c r="BF274" t="inlineStr">
        <is>
          <t>Y</t>
        </is>
      </c>
      <c r="BG274" t="inlineStr">
        <is>
          <t>Y</t>
        </is>
      </c>
      <c r="BH274" t="inlineStr">
        <is>
          <t>unknown</t>
        </is>
      </c>
      <c r="BJ274" t="inlineStr">
        <is>
          <t>No public sales figure found</t>
        </is>
      </c>
      <c r="BK274" t="inlineStr">
        <is>
          <t>Y</t>
        </is>
      </c>
      <c r="BL274" t="inlineStr">
        <is>
          <t>Y</t>
        </is>
      </c>
      <c r="BM274" t="inlineStr">
        <is>
          <t>FAQ: 'Ghia keeps you calm, enhances your appetite, and soothe[s]...' (structure or function wording)</t>
        </is>
      </c>
      <c r="BO274" t="inlineStr">
        <is>
          <t>N</t>
        </is>
      </c>
      <c r="BP274" t="n">
        <v>0</v>
      </c>
      <c r="BS274" t="inlineStr">
        <is>
          <t>unknown</t>
        </is>
      </c>
      <c r="BU274" t="inlineStr">
        <is>
          <t>listing</t>
        </is>
      </c>
      <c r="BV274" t="n">
        <v>51</v>
      </c>
      <c r="BX274" t="inlineStr">
        <is>
          <t>Melanie</t>
        </is>
      </c>
      <c r="CF274" t="inlineStr">
        <is>
          <t>none</t>
        </is>
      </c>
      <c r="CK274" t="inlineStr">
        <is>
          <t>none</t>
        </is>
      </c>
      <c r="CL274" t="n">
        <v>33</v>
      </c>
      <c r="CM274" t="n">
        <v>6</v>
      </c>
      <c r="CN274" t="n">
        <v>4</v>
      </c>
      <c r="CO274" t="n">
        <v>8</v>
      </c>
      <c r="CP274" t="n">
        <v>5</v>
      </c>
      <c r="CQ274" t="n">
        <v>7</v>
      </c>
      <c r="CR274" t="n">
        <v>3</v>
      </c>
      <c r="CS274">
        <f>IF(R274="Y",10,0)</f>
        <v/>
      </c>
      <c r="CT274" t="n">
        <v>0</v>
      </c>
      <c r="CU274" t="inlineStr">
        <is>
          <t>https://www.instagram.com/drinkghia</t>
        </is>
      </c>
      <c r="CV274" t="inlineStr">
        <is>
          <t>BR3</t>
        </is>
      </c>
      <c r="CW274" t="inlineStr">
        <is>
          <t>BR3:73</t>
        </is>
      </c>
      <c r="CX274" t="inlineStr">
        <is>
          <t>Recorded so it is not re-researched.</t>
        </is>
      </c>
      <c r="DA274" t="inlineStr">
        <is>
          <t>stage 1 only</t>
        </is>
      </c>
      <c r="DY274">
        <f>IF(ISNUMBER(MATCH(U274,{"queued","contacted","replied","call_booked","call_done","yes_in_principle","materials_sent"},0)),"Y","N")</f>
        <v/>
      </c>
      <c r="DZ274">
        <f>IF(COUNTIFS($AN$2:$AN$1000,AN274,$DY$2:$DY$1000,"Y")+COUNTIFS($AN$2:$AN$1000,AN274,$T$2:$T$1000,"Y")&gt;0,"Y","N")</f>
        <v/>
      </c>
      <c r="EA274">
        <f>IF(AND(U274="new",T274="N",AR274="Y",AQ274="",DZ274="N"),"Y","N")</f>
        <v/>
      </c>
      <c r="EB274">
        <f>IF(EA274&lt;&gt;"Y","N",IF(COUNTIFS($AN$2:$AN$1000,AN274,$EA$2:$EA$1000,"Y",$J$2:$J$1000,"&gt;"&amp;J274)+COUNTIFS($AN$2:$AN$1000,AN274,$EA$2:$EA$1000,"Y",$J$2:$J$1000,J274,$ED$2:$ED$1000,"&lt;"&amp;ED274)=0,"Y","N"))</f>
        <v/>
      </c>
      <c r="EC274">
        <f>IF(Y274="","N",IF(Y274&lt;=10,"Y","N"))</f>
        <v/>
      </c>
      <c r="ED274">
        <f>ROW()-1</f>
        <v/>
      </c>
    </row>
    <row r="275">
      <c r="A275" t="inlineStr">
        <is>
          <t>AB-203</t>
        </is>
      </c>
      <c r="B275" t="inlineStr">
        <is>
          <t>GoodMood Kombucha</t>
        </is>
      </c>
      <c r="C275" t="inlineStr">
        <is>
          <t>Chris</t>
        </is>
      </c>
      <c r="D275" t="inlineStr">
        <is>
          <t>Li</t>
        </is>
      </c>
      <c r="E275" t="inlineStr">
        <is>
          <t>Founder</t>
        </is>
      </c>
      <c r="H275" t="inlineStr">
        <is>
          <t>none</t>
        </is>
      </c>
      <c r="I275" t="inlineStr">
        <is>
          <t>linkedin</t>
        </is>
      </c>
      <c r="J275">
        <f>IF(AU275="pass",CM275+CN275+CO275+CP275+CQ275+CR275+CS275+CT275,0)</f>
        <v/>
      </c>
      <c r="K275" t="inlineStr">
        <is>
          <t>Gated out: not-shelf-stable: Refrigerated: brand says to refrigerate on arrival (living kombucha).</t>
        </is>
      </c>
      <c r="M275" t="inlineStr">
        <is>
          <t>none found within ten blocks</t>
        </is>
      </c>
      <c r="N275" t="inlineStr">
        <is>
          <t>unverified</t>
        </is>
      </c>
      <c r="O275" t="inlineStr">
        <is>
          <t>Exhibited at the 2026 Summer Fancy Food Show (booth 4309A); added to Pop Up Grocer NYC Flagship (2026-09-29)</t>
        </is>
      </c>
      <c r="P275" t="inlineStr">
        <is>
          <t>https://popupgrocer.com/products/goodmood-kombucha-llc</t>
        </is>
      </c>
      <c r="Q275" t="inlineStr">
        <is>
          <t>2026-09-29</t>
        </is>
      </c>
      <c r="R275" t="inlineStr">
        <is>
          <t>N</t>
        </is>
      </c>
      <c r="S275" t="inlineStr">
        <is>
          <t>unknown</t>
        </is>
      </c>
      <c r="T275" t="inlineStr">
        <is>
          <t>N</t>
        </is>
      </c>
      <c r="U275" t="inlineStr">
        <is>
          <t>new</t>
        </is>
      </c>
      <c r="V275" t="inlineStr">
        <is>
          <t>https://goodmoodkombucha.com/pages/about-us</t>
        </is>
      </c>
      <c r="W275" t="inlineStr">
        <is>
          <t>2026-10-23</t>
        </is>
      </c>
      <c r="X275" t="inlineStr">
        <is>
          <t>brand</t>
        </is>
      </c>
      <c r="Y275">
        <f>IF(EB275&lt;&gt;"Y","",COUNTIFS($EB$2:$EB$1000,"Y",$J$2:$J$1000,"&gt;"&amp;J275)+COUNTIFS($EB$2:$EB$1000,"Y",$J$2:$J$1000,J275,$ED$2:$ED$1000,"&lt;"&amp;ED275)+1)</f>
        <v/>
      </c>
      <c r="AA275" t="inlineStr">
        <is>
          <t>N</t>
        </is>
      </c>
      <c r="AC275" t="inlineStr">
        <is>
          <t>founder</t>
        </is>
      </c>
      <c r="AD275" t="inlineStr">
        <is>
          <t>verified-page</t>
        </is>
      </c>
      <c r="AE275" t="inlineStr">
        <is>
          <t>employer's own site</t>
        </is>
      </c>
      <c r="AF275" t="inlineStr">
        <is>
          <t>https://goodmoodkombucha.com/pages/about-us</t>
        </is>
      </c>
      <c r="AG275" t="inlineStr">
        <is>
          <t>2026-10-23</t>
        </is>
      </c>
      <c r="AH275" t="inlineStr">
        <is>
          <t>GoodMood Kombucha Berry Pomegranate, can</t>
        </is>
      </c>
      <c r="AI275" t="inlineStr">
        <is>
          <t>tea-juice</t>
        </is>
      </c>
      <c r="AJ275" t="inlineStr">
        <is>
          <t>Brooklyn</t>
        </is>
      </c>
      <c r="AK275" t="inlineStr">
        <is>
          <t>https://goodmoodkombucha.com</t>
        </is>
      </c>
      <c r="AL275" t="inlineStr">
        <is>
          <t>N</t>
        </is>
      </c>
      <c r="AN275" t="inlineStr">
        <is>
          <t>AB-203</t>
        </is>
      </c>
      <c r="AO275" t="inlineStr">
        <is>
          <t>N</t>
        </is>
      </c>
      <c r="AR275">
        <f>IF(AND(AU275="pass",AO275&lt;&gt;"Y",C275&lt;&gt;""),"Y","N")</f>
        <v/>
      </c>
      <c r="AS275">
        <f>_xlfn.TEXTJOIN("; ",TRUE,IF(AU275&lt;&gt;"pass","gated out",""),IF(AO275="Y","on hold: "&amp;AP275,""),IF(C275="","no contact named on an opened page",""))</f>
        <v/>
      </c>
      <c r="AU275" t="inlineStr">
        <is>
          <t>fail</t>
        </is>
      </c>
      <c r="AV275" t="inlineStr">
        <is>
          <t>not-shelf-stable</t>
        </is>
      </c>
      <c r="AW275" t="inlineStr">
        <is>
          <t>not-shelf-stable: Refrigerated: brand says to refrigerate on arrival (living kombucha)</t>
        </is>
      </c>
      <c r="AY275" t="inlineStr">
        <is>
          <t>https://goodmoodkombucha.com</t>
        </is>
      </c>
      <c r="AZ275" t="inlineStr">
        <is>
          <t>NY</t>
        </is>
      </c>
      <c r="BA275" t="inlineStr">
        <is>
          <t>nyc</t>
        </is>
      </c>
      <c r="BB275" t="inlineStr">
        <is>
          <t>unknown</t>
        </is>
      </c>
      <c r="BD275" t="inlineStr">
        <is>
          <t>N</t>
        </is>
      </c>
      <c r="BE275" t="inlineStr">
        <is>
          <t>FAQ: 'As soon as it arrives, refrigerate it. Kombucha is a living product...' (goodmoodkombucha.com/pages/faq, opened 2026-10-23)</t>
        </is>
      </c>
      <c r="BF275" t="inlineStr">
        <is>
          <t>Y</t>
        </is>
      </c>
      <c r="BG275" t="inlineStr">
        <is>
          <t>Y</t>
        </is>
      </c>
      <c r="BH275" t="inlineStr">
        <is>
          <t>unknown</t>
        </is>
      </c>
      <c r="BJ275" t="inlineStr">
        <is>
          <t>No public sales figure found</t>
        </is>
      </c>
      <c r="BK275" t="inlineStr">
        <is>
          <t>N</t>
        </is>
      </c>
      <c r="BL275" t="inlineStr">
        <is>
          <t>Y</t>
        </is>
      </c>
      <c r="BM275" t="inlineStr">
        <is>
          <t>Refrigerated: brand says to refrigerate on arrival (living kombucha)</t>
        </is>
      </c>
      <c r="BO275" t="inlineStr">
        <is>
          <t>N</t>
        </is>
      </c>
      <c r="BP275" t="n">
        <v>0</v>
      </c>
      <c r="BR275" t="inlineStr">
        <is>
          <t>Pop Up Grocer (brand_claim, unplaced)</t>
        </is>
      </c>
      <c r="BS275" t="inlineStr">
        <is>
          <t>Pop Up Grocer NYC Flagship (directory); Summer Fancy Food Show 2026 exhibitor</t>
        </is>
      </c>
      <c r="BT275" t="inlineStr">
        <is>
          <t>https://popupgrocer.com/products/goodmood-kombucha-llc</t>
        </is>
      </c>
      <c r="BU275" t="inlineStr">
        <is>
          <t>listing</t>
        </is>
      </c>
      <c r="BV275" t="n">
        <v>25</v>
      </c>
      <c r="BX275" t="inlineStr">
        <is>
          <t>Chris Li</t>
        </is>
      </c>
      <c r="CF275" t="inlineStr">
        <is>
          <t>none</t>
        </is>
      </c>
      <c r="CK275" t="inlineStr">
        <is>
          <t>none</t>
        </is>
      </c>
      <c r="CL275" t="n">
        <v>51</v>
      </c>
      <c r="CM275" t="n">
        <v>6</v>
      </c>
      <c r="CN275" t="n">
        <v>20</v>
      </c>
      <c r="CO275" t="n">
        <v>8</v>
      </c>
      <c r="CP275" t="n">
        <v>5</v>
      </c>
      <c r="CQ275" t="n">
        <v>6</v>
      </c>
      <c r="CR275" t="n">
        <v>6</v>
      </c>
      <c r="CS275">
        <f>IF(R275="Y",10,0)</f>
        <v/>
      </c>
      <c r="CT275" t="n">
        <v>0</v>
      </c>
      <c r="CU275" t="inlineStr">
        <is>
          <t>unknown</t>
        </is>
      </c>
      <c r="CV275" t="inlineStr">
        <is>
          <t>BR3</t>
        </is>
      </c>
      <c r="CW275" t="inlineStr">
        <is>
          <t>BR3:77</t>
        </is>
      </c>
      <c r="CX275" t="inlineStr">
        <is>
          <t>About: founded in New York City in 2023; FAQ: brewed and canned in Brooklyn. Fancy Food exhibitor list read via WebFetch (events.specialtyfood.com). Recorded because it is an NYC brand, but fails the refrigeration gate.</t>
        </is>
      </c>
      <c r="DA275" t="inlineStr">
        <is>
          <t>stage 1 only</t>
        </is>
      </c>
      <c r="DY275">
        <f>IF(ISNUMBER(MATCH(U275,{"queued","contacted","replied","call_booked","call_done","yes_in_principle","materials_sent"},0)),"Y","N")</f>
        <v/>
      </c>
      <c r="DZ275">
        <f>IF(COUNTIFS($AN$2:$AN$1000,AN275,$DY$2:$DY$1000,"Y")+COUNTIFS($AN$2:$AN$1000,AN275,$T$2:$T$1000,"Y")&gt;0,"Y","N")</f>
        <v/>
      </c>
      <c r="EA275">
        <f>IF(AND(U275="new",T275="N",AR275="Y",AQ275="",DZ275="N"),"Y","N")</f>
        <v/>
      </c>
      <c r="EB275">
        <f>IF(EA275&lt;&gt;"Y","N",IF(COUNTIFS($AN$2:$AN$1000,AN275,$EA$2:$EA$1000,"Y",$J$2:$J$1000,"&gt;"&amp;J275)+COUNTIFS($AN$2:$AN$1000,AN275,$EA$2:$EA$1000,"Y",$J$2:$J$1000,J275,$ED$2:$ED$1000,"&lt;"&amp;ED275)=0,"Y","N"))</f>
        <v/>
      </c>
      <c r="EC275">
        <f>IF(Y275="","N",IF(Y275&lt;=10,"Y","N"))</f>
        <v/>
      </c>
      <c r="ED275">
        <f>ROW()-1</f>
        <v/>
      </c>
    </row>
    <row r="276">
      <c r="A276" t="inlineStr">
        <is>
          <t>AB-142</t>
        </is>
      </c>
      <c r="B276" t="inlineStr">
        <is>
          <t>Grady's Cold Brew</t>
        </is>
      </c>
      <c r="C276" t="inlineStr">
        <is>
          <t>Grady</t>
        </is>
      </c>
      <c r="D276" t="inlineStr">
        <is>
          <t>unknown</t>
        </is>
      </c>
      <c r="E276" t="inlineStr">
        <is>
          <t>Founder</t>
        </is>
      </c>
      <c r="H276" t="inlineStr">
        <is>
          <t>none</t>
        </is>
      </c>
      <c r="I276" t="inlineStr">
        <is>
          <t>linkedin</t>
        </is>
      </c>
      <c r="J276">
        <f>IF(AU276="pass",CM276+CN276+CO276+CP276+CQ276+CR276+CS276+CT276,0)</f>
        <v/>
      </c>
      <c r="K276" t="inlineStr">
        <is>
          <t>Gated out: excluded-category: Refrigerated concentrate that needs preparation (dilution); not individually packaged.</t>
        </is>
      </c>
      <c r="M276" t="inlineStr">
        <is>
          <t>none found within ten blocks</t>
        </is>
      </c>
      <c r="N276" t="inlineStr">
        <is>
          <t>unverified</t>
        </is>
      </c>
      <c r="O276" t="inlineStr">
        <is>
          <t>New 32 oz Cocoa Mocha concentrate listed on store</t>
        </is>
      </c>
      <c r="P276" t="inlineStr">
        <is>
          <t>https://www.gradyscoldbrew.com/products.json</t>
        </is>
      </c>
      <c r="Q276" t="inlineStr">
        <is>
          <t>2026-06-11</t>
        </is>
      </c>
      <c r="R276" t="inlineStr">
        <is>
          <t>N</t>
        </is>
      </c>
      <c r="S276" t="inlineStr">
        <is>
          <t>unknown</t>
        </is>
      </c>
      <c r="T276" t="inlineStr">
        <is>
          <t>N</t>
        </is>
      </c>
      <c r="U276" t="inlineStr">
        <is>
          <t>new</t>
        </is>
      </c>
      <c r="V276" t="inlineStr">
        <is>
          <t>https://www.gradyscoldbrew.com/pages/about-grady-s</t>
        </is>
      </c>
      <c r="W276" t="inlineStr">
        <is>
          <t>2026-10-23</t>
        </is>
      </c>
      <c r="X276" t="inlineStr">
        <is>
          <t>brand</t>
        </is>
      </c>
      <c r="Y276">
        <f>IF(EB276&lt;&gt;"Y","",COUNTIFS($EB$2:$EB$1000,"Y",$J$2:$J$1000,"&gt;"&amp;J276)+COUNTIFS($EB$2:$EB$1000,"Y",$J$2:$J$1000,J276,$ED$2:$ED$1000,"&lt;"&amp;ED276)+1)</f>
        <v/>
      </c>
      <c r="AA276" t="inlineStr">
        <is>
          <t>N</t>
        </is>
      </c>
      <c r="AC276" t="inlineStr">
        <is>
          <t>founder</t>
        </is>
      </c>
      <c r="AD276" t="inlineStr">
        <is>
          <t>first-name-only</t>
        </is>
      </c>
      <c r="AE276" t="inlineStr">
        <is>
          <t>employer's own site</t>
        </is>
      </c>
      <c r="AF276" t="inlineStr">
        <is>
          <t>https://www.gradyscoldbrew.com/pages/about-grady-s</t>
        </is>
      </c>
      <c r="AG276" t="inlineStr">
        <is>
          <t>2026-10-23</t>
        </is>
      </c>
      <c r="AH276" t="inlineStr">
        <is>
          <t>Grady's 32 oz Cold Brew Concentrate</t>
        </is>
      </c>
      <c r="AI276" t="inlineStr">
        <is>
          <t>coffee-rtd</t>
        </is>
      </c>
      <c r="AJ276" t="inlineStr">
        <is>
          <t>Brooklyn</t>
        </is>
      </c>
      <c r="AK276" t="inlineStr">
        <is>
          <t>https://www.gradyscoldbrew.com</t>
        </is>
      </c>
      <c r="AL276" t="inlineStr">
        <is>
          <t>N</t>
        </is>
      </c>
      <c r="AN276" t="inlineStr">
        <is>
          <t>AB-142</t>
        </is>
      </c>
      <c r="AO276" t="inlineStr">
        <is>
          <t>N</t>
        </is>
      </c>
      <c r="AR276">
        <f>IF(AND(AU276="pass",AO276&lt;&gt;"Y",C276&lt;&gt;""),"Y","N")</f>
        <v/>
      </c>
      <c r="AS276">
        <f>_xlfn.TEXTJOIN("; ",TRUE,IF(AU276&lt;&gt;"pass","gated out",""),IF(AO276="Y","on hold: "&amp;AP276,""),IF(C276="","no contact named on an opened page",""))</f>
        <v/>
      </c>
      <c r="AU276" t="inlineStr">
        <is>
          <t>fail</t>
        </is>
      </c>
      <c r="AV276" t="inlineStr">
        <is>
          <t>excluded-category;not-shelf-stable</t>
        </is>
      </c>
      <c r="AW276" t="inlineStr">
        <is>
          <t>excluded-category: Refrigerated concentrate that needs preparation (dilution); not individually packaged | not-shelf-stable: Refrigerated concentrate that needs preparation (dilution); not individually packaged</t>
        </is>
      </c>
      <c r="AY276" t="inlineStr">
        <is>
          <t>https://www.gradyscoldbrew.com</t>
        </is>
      </c>
      <c r="AZ276" t="inlineStr">
        <is>
          <t>NY</t>
        </is>
      </c>
      <c r="BA276" t="inlineStr">
        <is>
          <t>nyc</t>
        </is>
      </c>
      <c r="BB276" t="inlineStr">
        <is>
          <t>unknown</t>
        </is>
      </c>
      <c r="BD276" t="inlineStr">
        <is>
          <t>N</t>
        </is>
      </c>
      <c r="BE276" t="inlineStr">
        <is>
          <t>Product copy: 'Must be refrigerated before and after opening' (gradyscoldbrew.com/products.json, read 2026-10-23)</t>
        </is>
      </c>
      <c r="BF276" t="inlineStr">
        <is>
          <t>N</t>
        </is>
      </c>
      <c r="BG276" t="inlineStr">
        <is>
          <t>Y</t>
        </is>
      </c>
      <c r="BH276" t="inlineStr">
        <is>
          <t>unknown</t>
        </is>
      </c>
      <c r="BJ276" t="inlineStr">
        <is>
          <t>No public sales figure found</t>
        </is>
      </c>
      <c r="BK276" t="inlineStr">
        <is>
          <t>N</t>
        </is>
      </c>
      <c r="BL276" t="inlineStr">
        <is>
          <t>Y</t>
        </is>
      </c>
      <c r="BM276" t="inlineStr">
        <is>
          <t>Refrigerated concentrate that needs preparation (dilution); not individually packaged</t>
        </is>
      </c>
      <c r="BO276" t="inlineStr">
        <is>
          <t>N</t>
        </is>
      </c>
      <c r="BP276" t="n">
        <v>0</v>
      </c>
      <c r="BS276" t="inlineStr">
        <is>
          <t>unknown (Storemapper locator not queried)</t>
        </is>
      </c>
      <c r="BU276" t="inlineStr">
        <is>
          <t>listing</t>
        </is>
      </c>
      <c r="BV276" t="n">
        <v>135</v>
      </c>
      <c r="BX276" t="inlineStr">
        <is>
          <t>Grady</t>
        </is>
      </c>
      <c r="CF276" t="inlineStr">
        <is>
          <t>none</t>
        </is>
      </c>
      <c r="CK276" t="inlineStr">
        <is>
          <t>none</t>
        </is>
      </c>
      <c r="CL276" t="n">
        <v>45</v>
      </c>
      <c r="CM276" t="n">
        <v>6</v>
      </c>
      <c r="CN276" t="n">
        <v>20</v>
      </c>
      <c r="CO276" t="n">
        <v>8</v>
      </c>
      <c r="CP276" t="n">
        <v>5</v>
      </c>
      <c r="CQ276" t="n">
        <v>3</v>
      </c>
      <c r="CR276" t="n">
        <v>3</v>
      </c>
      <c r="CS276">
        <f>IF(R276="Y",10,0)</f>
        <v/>
      </c>
      <c r="CT276" t="n">
        <v>0</v>
      </c>
      <c r="CU276" t="inlineStr">
        <is>
          <t>https://www.instagram.com/gradyscoldbrew</t>
        </is>
      </c>
      <c r="CV276" t="inlineStr">
        <is>
          <t>BR3</t>
        </is>
      </c>
      <c r="CW276" t="inlineStr">
        <is>
          <t>BR3:16</t>
        </is>
      </c>
      <c r="CX276" t="inlineStr">
        <is>
          <t>About page: started in a Brooklyn kitchen; product copy 'Made in New York City'. Recorded so it is not re-researched.</t>
        </is>
      </c>
      <c r="DA276" t="inlineStr">
        <is>
          <t>stage 1 only</t>
        </is>
      </c>
      <c r="DY276">
        <f>IF(ISNUMBER(MATCH(U276,{"queued","contacted","replied","call_booked","call_done","yes_in_principle","materials_sent"},0)),"Y","N")</f>
        <v/>
      </c>
      <c r="DZ276">
        <f>IF(COUNTIFS($AN$2:$AN$1000,AN276,$DY$2:$DY$1000,"Y")+COUNTIFS($AN$2:$AN$1000,AN276,$T$2:$T$1000,"Y")&gt;0,"Y","N")</f>
        <v/>
      </c>
      <c r="EA276">
        <f>IF(AND(U276="new",T276="N",AR276="Y",AQ276="",DZ276="N"),"Y","N")</f>
        <v/>
      </c>
      <c r="EB276">
        <f>IF(EA276&lt;&gt;"Y","N",IF(COUNTIFS($AN$2:$AN$1000,AN276,$EA$2:$EA$1000,"Y",$J$2:$J$1000,"&gt;"&amp;J276)+COUNTIFS($AN$2:$AN$1000,AN276,$EA$2:$EA$1000,"Y",$J$2:$J$1000,J276,$ED$2:$ED$1000,"&lt;"&amp;ED276)=0,"Y","N"))</f>
        <v/>
      </c>
      <c r="EC276">
        <f>IF(Y276="","N",IF(Y276&lt;=10,"Y","N"))</f>
        <v/>
      </c>
      <c r="ED276">
        <f>ROW()-1</f>
        <v/>
      </c>
    </row>
    <row r="277">
      <c r="A277" t="inlineStr">
        <is>
          <t>AB-227</t>
        </is>
      </c>
      <c r="B277" t="inlineStr">
        <is>
          <t>Hazy Fudge</t>
        </is>
      </c>
      <c r="C277" t="inlineStr">
        <is>
          <t>Carol</t>
        </is>
      </c>
      <c r="D277" t="inlineStr">
        <is>
          <t>Fitzgerald</t>
        </is>
      </c>
      <c r="E277" t="inlineStr">
        <is>
          <t>Founder</t>
        </is>
      </c>
      <c r="H277" t="inlineStr">
        <is>
          <t>none</t>
        </is>
      </c>
      <c r="I277" t="inlineStr">
        <is>
          <t>linkedin</t>
        </is>
      </c>
      <c r="J277">
        <f>IF(AU277="pass",CM277+CN277+CO277+CP277+CQ277+CR277+CS277+CT277,0)</f>
        <v/>
      </c>
      <c r="K277" t="inlineStr">
        <is>
          <t>Gated out: excluded-category: Alcohol: homepage describes the fudge as 'Alcohol Infused' (bourbon and Cabernet Sauvignon).</t>
        </is>
      </c>
      <c r="M277" t="inlineStr">
        <is>
          <t>none found within ten blocks</t>
        </is>
      </c>
      <c r="N277" t="inlineStr">
        <is>
          <t>unverified</t>
        </is>
      </c>
      <c r="O277" t="inlineStr">
        <is>
          <t>Named 2026 sofi Gold Award finalist in Chocolate &amp; Confections</t>
        </is>
      </c>
      <c r="P277" t="inlineStr">
        <is>
          <t>https://startupcpg.com/startup-cpg-newswire-hazy-fudge-named-2026-sofi-gold-finalist-in-chocolate-confections/</t>
        </is>
      </c>
      <c r="Q277" t="inlineStr">
        <is>
          <t>2025-12-19</t>
        </is>
      </c>
      <c r="R277" t="inlineStr">
        <is>
          <t>N</t>
        </is>
      </c>
      <c r="S277" t="inlineStr">
        <is>
          <t>Y</t>
        </is>
      </c>
      <c r="T277" t="inlineStr">
        <is>
          <t>N</t>
        </is>
      </c>
      <c r="U277" t="inlineStr">
        <is>
          <t>new</t>
        </is>
      </c>
      <c r="V277" t="inlineStr">
        <is>
          <t>https://hazyfudge.com/</t>
        </is>
      </c>
      <c r="W277" t="inlineStr">
        <is>
          <t>2026-10-23</t>
        </is>
      </c>
      <c r="X277" t="inlineStr">
        <is>
          <t>brand</t>
        </is>
      </c>
      <c r="Y277">
        <f>IF(EB277&lt;&gt;"Y","",COUNTIFS($EB$2:$EB$1000,"Y",$J$2:$J$1000,"&gt;"&amp;J277)+COUNTIFS($EB$2:$EB$1000,"Y",$J$2:$J$1000,J277,$ED$2:$ED$1000,"&lt;"&amp;ED277)+1)</f>
        <v/>
      </c>
      <c r="AA277" t="inlineStr">
        <is>
          <t>N</t>
        </is>
      </c>
      <c r="AC277" t="inlineStr">
        <is>
          <t>founder</t>
        </is>
      </c>
      <c r="AD277" t="inlineStr">
        <is>
          <t>verified-page</t>
        </is>
      </c>
      <c r="AE277" t="inlineStr">
        <is>
          <t>press, event or podcast page</t>
        </is>
      </c>
      <c r="AF277" t="inlineStr">
        <is>
          <t>https://startupcpg.com/startup-cpg-newswire-hazy-fudge-named-2026-sofi-gold-finalist-in-chocolate-confections/</t>
        </is>
      </c>
      <c r="AG277" t="inlineStr">
        <is>
          <t>2026-10-23</t>
        </is>
      </c>
      <c r="AH277" t="inlineStr">
        <is>
          <t>Cabernet Infused spoonable fudge (2-packs online)</t>
        </is>
      </c>
      <c r="AI277" t="inlineStr">
        <is>
          <t>chocolate-candy</t>
        </is>
      </c>
      <c r="AJ277" t="inlineStr">
        <is>
          <t>Dundee</t>
        </is>
      </c>
      <c r="AK277" t="inlineStr">
        <is>
          <t>https://hazyfudge.com</t>
        </is>
      </c>
      <c r="AL277" t="inlineStr">
        <is>
          <t>Y</t>
        </is>
      </c>
      <c r="AM277" t="inlineStr">
        <is>
          <t>60-day shelf life not stated</t>
        </is>
      </c>
      <c r="AN277" t="inlineStr">
        <is>
          <t>AB-227</t>
        </is>
      </c>
      <c r="AO277" t="inlineStr">
        <is>
          <t>N</t>
        </is>
      </c>
      <c r="AR277">
        <f>IF(AND(AU277="pass",AO277&lt;&gt;"Y",C277&lt;&gt;""),"Y","N")</f>
        <v/>
      </c>
      <c r="AS277">
        <f>_xlfn.TEXTJOIN("; ",TRUE,IF(AU277&lt;&gt;"pass","gated out",""),IF(AO277="Y","on hold: "&amp;AP277,""),IF(C277="","no contact named on an opened page",""))</f>
        <v/>
      </c>
      <c r="AU277" t="inlineStr">
        <is>
          <t>fail</t>
        </is>
      </c>
      <c r="AV277" t="inlineStr">
        <is>
          <t>excluded-category</t>
        </is>
      </c>
      <c r="AW277" t="inlineStr">
        <is>
          <t>excluded-category: Alcohol: homepage describes the fudge as 'Alcohol Infused' (bourbon and Cabernet Sauvignon)</t>
        </is>
      </c>
      <c r="AY277" t="inlineStr">
        <is>
          <t>https://hazyfudge.com</t>
        </is>
      </c>
      <c r="AZ277" t="inlineStr">
        <is>
          <t>NY</t>
        </is>
      </c>
      <c r="BA277" t="inlineStr">
        <is>
          <t>nys</t>
        </is>
      </c>
      <c r="BB277" t="inlineStr">
        <is>
          <t>unknown (2024 Amber Grant winner per homepage)</t>
        </is>
      </c>
      <c r="BD277" t="inlineStr">
        <is>
          <t>unknown</t>
        </is>
      </c>
      <c r="BE277" t="inlineStr">
        <is>
          <t>Made with New York dairy; storage not stated on homepage</t>
        </is>
      </c>
      <c r="BF277" t="inlineStr">
        <is>
          <t>unknown</t>
        </is>
      </c>
      <c r="BG277" t="inlineStr">
        <is>
          <t>Y</t>
        </is>
      </c>
      <c r="BH277" t="inlineStr">
        <is>
          <t>unknown</t>
        </is>
      </c>
      <c r="BJ277" t="inlineStr">
        <is>
          <t>No sales figure published. Commercial sales since June 2024, 25+ NY retail locations (store count not used for band)</t>
        </is>
      </c>
      <c r="BK277" t="inlineStr">
        <is>
          <t>N</t>
        </is>
      </c>
      <c r="BL277" t="inlineStr">
        <is>
          <t>Y</t>
        </is>
      </c>
      <c r="BM277" t="inlineStr">
        <is>
          <t>Alcohol: homepage describes the fudge as 'Alcohol Infused' (bourbon and Cabernet Sauvignon)</t>
        </is>
      </c>
      <c r="BO277" t="inlineStr">
        <is>
          <t>N</t>
        </is>
      </c>
      <c r="BP277" t="n">
        <v>0</v>
      </c>
      <c r="BS277" t="inlineStr">
        <is>
          <t>25+ New York retail locations incl. Official Taste NY stores</t>
        </is>
      </c>
      <c r="BU277" t="inlineStr">
        <is>
          <t>press</t>
        </is>
      </c>
      <c r="BV277" t="n">
        <v>309</v>
      </c>
      <c r="BW277" t="inlineStr">
        <is>
          <t>https://startupcpg.com/startup-cpg-newswire-hazy-fudge-named-2026-sofi-gold-finalist-in-chocolate-confections/</t>
        </is>
      </c>
      <c r="BX277" t="inlineStr">
        <is>
          <t>Carol Fitzgerald</t>
        </is>
      </c>
      <c r="CF277" t="inlineStr">
        <is>
          <t>none</t>
        </is>
      </c>
      <c r="CK277" t="inlineStr">
        <is>
          <t>none</t>
        </is>
      </c>
      <c r="CL277" t="n">
        <v>43</v>
      </c>
      <c r="CM277" t="n">
        <v>6</v>
      </c>
      <c r="CN277" t="n">
        <v>13</v>
      </c>
      <c r="CO277" t="n">
        <v>8</v>
      </c>
      <c r="CP277" t="n">
        <v>5</v>
      </c>
      <c r="CQ277" t="n">
        <v>5</v>
      </c>
      <c r="CR277" t="n">
        <v>6</v>
      </c>
      <c r="CS277">
        <f>IF(R277="Y",10,0)</f>
        <v/>
      </c>
      <c r="CT277" t="n">
        <v>0</v>
      </c>
      <c r="CV277" t="inlineStr">
        <is>
          <t>BR4</t>
        </is>
      </c>
      <c r="CW277" t="inlineStr">
        <is>
          <t>BR4:22</t>
        </is>
      </c>
      <c r="CX277" t="inlineStr">
        <is>
          <t>Recorded so the gate is visible. Finger Lakes (NY State) brand; Cornell Dairy Runway alumna per release.</t>
        </is>
      </c>
      <c r="DA277" t="inlineStr">
        <is>
          <t>stage 1 only</t>
        </is>
      </c>
      <c r="DY277">
        <f>IF(ISNUMBER(MATCH(U277,{"queued","contacted","replied","call_booked","call_done","yes_in_principle","materials_sent"},0)),"Y","N")</f>
        <v/>
      </c>
      <c r="DZ277">
        <f>IF(COUNTIFS($AN$2:$AN$1000,AN277,$DY$2:$DY$1000,"Y")+COUNTIFS($AN$2:$AN$1000,AN277,$T$2:$T$1000,"Y")&gt;0,"Y","N")</f>
        <v/>
      </c>
      <c r="EA277">
        <f>IF(AND(U277="new",T277="N",AR277="Y",AQ277="",DZ277="N"),"Y","N")</f>
        <v/>
      </c>
      <c r="EB277">
        <f>IF(EA277&lt;&gt;"Y","N",IF(COUNTIFS($AN$2:$AN$1000,AN277,$EA$2:$EA$1000,"Y",$J$2:$J$1000,"&gt;"&amp;J277)+COUNTIFS($AN$2:$AN$1000,AN277,$EA$2:$EA$1000,"Y",$J$2:$J$1000,J277,$ED$2:$ED$1000,"&lt;"&amp;ED277)=0,"Y","N"))</f>
        <v/>
      </c>
      <c r="EC277">
        <f>IF(Y277="","N",IF(Y277&lt;=10,"Y","N"))</f>
        <v/>
      </c>
      <c r="ED277">
        <f>ROW()-1</f>
        <v/>
      </c>
    </row>
    <row r="278">
      <c r="A278" t="inlineStr">
        <is>
          <t>AB-103</t>
        </is>
      </c>
      <c r="B278" t="inlineStr">
        <is>
          <t>IQBAR</t>
        </is>
      </c>
      <c r="H278" t="inlineStr">
        <is>
          <t>none</t>
        </is>
      </c>
      <c r="J278">
        <f>IF(AU278="pass",CM278+CN278+CO278+CP278+CQ278+CR278+CS278+CT278,0)</f>
        <v/>
      </c>
      <c r="K278" t="inlineStr">
        <is>
          <t>Gated out: health-claim: Function claims: FAQ says bars 'fuel the brain and body' with '5 functional nutrients'; brand also sells hydration drink sticks.</t>
        </is>
      </c>
      <c r="M278" t="inlineStr">
        <is>
          <t>none found within ten blocks</t>
        </is>
      </c>
      <c r="N278" t="inlineStr">
        <is>
          <t>unverified</t>
        </is>
      </c>
      <c r="O278" t="inlineStr">
        <is>
          <t>Launched IQBAR Bites (10-count) in three flavors, Oct 2026</t>
        </is>
      </c>
      <c r="P278" t="inlineStr">
        <is>
          <t>https://www.eatiqbar.com/</t>
        </is>
      </c>
      <c r="Q278" t="inlineStr">
        <is>
          <t>2026-10-13</t>
        </is>
      </c>
      <c r="R278" t="inlineStr">
        <is>
          <t>N</t>
        </is>
      </c>
      <c r="S278" t="inlineStr">
        <is>
          <t>unknown</t>
        </is>
      </c>
      <c r="T278" t="inlineStr">
        <is>
          <t>N</t>
        </is>
      </c>
      <c r="U278" t="inlineStr">
        <is>
          <t>new</t>
        </is>
      </c>
      <c r="V278" t="inlineStr">
        <is>
          <t>https://www.eatiqbar.com/pages/faq</t>
        </is>
      </c>
      <c r="W278" t="inlineStr">
        <is>
          <t>2026-10-23</t>
        </is>
      </c>
      <c r="X278" t="inlineStr">
        <is>
          <t>brand</t>
        </is>
      </c>
      <c r="Y278">
        <f>IF(EB278&lt;&gt;"Y","",COUNTIFS($EB$2:$EB$1000,"Y",$J$2:$J$1000,"&gt;"&amp;J278)+COUNTIFS($EB$2:$EB$1000,"Y",$J$2:$J$1000,J278,$ED$2:$ED$1000,"&lt;"&amp;ED278)+1)</f>
        <v/>
      </c>
      <c r="AA278" t="inlineStr">
        <is>
          <t>N</t>
        </is>
      </c>
      <c r="AD278" t="inlineStr">
        <is>
          <t>none</t>
        </is>
      </c>
      <c r="AH278" t="inlineStr">
        <is>
          <t>Salted Caramel Chip plant protein bar; IQBAR Bites</t>
        </is>
      </c>
      <c r="AI278" t="inlineStr">
        <is>
          <t>bars</t>
        </is>
      </c>
      <c r="AJ278" t="inlineStr">
        <is>
          <t>unknown</t>
        </is>
      </c>
      <c r="AK278" t="inlineStr">
        <is>
          <t>https://www.eatiqbar.com</t>
        </is>
      </c>
      <c r="AL278" t="inlineStr">
        <is>
          <t>Y</t>
        </is>
      </c>
      <c r="AM278" t="inlineStr">
        <is>
          <t>Confirm whether claims are on pack (structure/function) before final exclusion; 60-day shelf life not stated</t>
        </is>
      </c>
      <c r="AN278" t="inlineStr">
        <is>
          <t>AB-103</t>
        </is>
      </c>
      <c r="AO278" t="inlineStr">
        <is>
          <t>N</t>
        </is>
      </c>
      <c r="AR278">
        <f>IF(AND(AU278="pass",AO278&lt;&gt;"Y",C278&lt;&gt;""),"Y","N")</f>
        <v/>
      </c>
      <c r="AS278">
        <f>_xlfn.TEXTJOIN("; ",TRUE,IF(AU278&lt;&gt;"pass","gated out",""),IF(AO278="Y","on hold: "&amp;AP278,""),IF(C278="","no contact named on an opened page",""))</f>
        <v/>
      </c>
      <c r="AU278" t="inlineStr">
        <is>
          <t>fail</t>
        </is>
      </c>
      <c r="AV278" t="inlineStr">
        <is>
          <t>health-claim</t>
        </is>
      </c>
      <c r="AW278" t="inlineStr">
        <is>
          <t>health-claim: Function claims: FAQ says bars 'fuel the brain and body' with '5 functional nutrients'; brand also sells hydration drink sticks</t>
        </is>
      </c>
      <c r="AX278" t="inlineStr">
        <is>
          <t>claim-borderline</t>
        </is>
      </c>
      <c r="AY278" t="inlineStr">
        <is>
          <t>https://www.eatiqbar.com</t>
        </is>
      </c>
      <c r="AZ278" t="inlineStr">
        <is>
          <t>unknown</t>
        </is>
      </c>
      <c r="BA278" t="inlineStr">
        <is>
          <t>unknown</t>
        </is>
      </c>
      <c r="BB278" t="inlineStr">
        <is>
          <t>unknown</t>
        </is>
      </c>
      <c r="BD278" t="inlineStr">
        <is>
          <t>likely</t>
        </is>
      </c>
      <c r="BE278" t="inlineStr">
        <is>
          <t>Wrapped bars shipped nationally; shelf-life figure not found</t>
        </is>
      </c>
      <c r="BF278" t="inlineStr">
        <is>
          <t>Y</t>
        </is>
      </c>
      <c r="BG278" t="inlineStr">
        <is>
          <t>Y</t>
        </is>
      </c>
      <c r="BH278" t="inlineStr">
        <is>
          <t>unknown</t>
        </is>
      </c>
      <c r="BJ278" t="inlineStr">
        <is>
          <t>unknown</t>
        </is>
      </c>
      <c r="BK278" t="inlineStr">
        <is>
          <t>Y</t>
        </is>
      </c>
      <c r="BL278" t="inlineStr">
        <is>
          <t>Y</t>
        </is>
      </c>
      <c r="BM278" t="inlineStr">
        <is>
          <t>Function claims: FAQ says bars 'fuel the brain and body' with '5 functional nutrients'; brand also sells hydration drink sticks</t>
        </is>
      </c>
      <c r="BO278" t="inlineStr">
        <is>
          <t>N</t>
        </is>
      </c>
      <c r="BP278" t="n">
        <v>0</v>
      </c>
      <c r="BS278" t="inlineStr">
        <is>
          <t>Local stores and online retailers (brand store locator)</t>
        </is>
      </c>
      <c r="BT278" t="inlineStr">
        <is>
          <t>https://www.wholefoodsmarket.com/api/search?text=iqbar&amp;store=10162&amp;limit=60&amp;offset=0</t>
        </is>
      </c>
      <c r="BU278" t="inlineStr">
        <is>
          <t>listing</t>
        </is>
      </c>
      <c r="BV278" t="n">
        <v>11</v>
      </c>
      <c r="CF278" t="inlineStr">
        <is>
          <t>none</t>
        </is>
      </c>
      <c r="CK278" t="inlineStr">
        <is>
          <t>none</t>
        </is>
      </c>
      <c r="CL278" t="n">
        <v>27</v>
      </c>
      <c r="CM278" t="n">
        <v>6</v>
      </c>
      <c r="CN278" t="n">
        <v>4</v>
      </c>
      <c r="CO278" t="n">
        <v>8</v>
      </c>
      <c r="CP278" t="n">
        <v>5</v>
      </c>
      <c r="CQ278" t="n">
        <v>8</v>
      </c>
      <c r="CR278" t="n">
        <v>0</v>
      </c>
      <c r="CS278">
        <f>IF(R278="Y",10,0)</f>
        <v/>
      </c>
      <c r="CT278" t="n">
        <v>-4</v>
      </c>
      <c r="CU278" t="inlineStr">
        <is>
          <t>https://www.instagram.com/iqbar/</t>
        </is>
      </c>
      <c r="CV278" t="inlineStr">
        <is>
          <t>BR2</t>
        </is>
      </c>
      <c r="CW278" t="inlineStr">
        <is>
          <t>BR2:41</t>
        </is>
      </c>
      <c r="CX278" t="inlineStr">
        <is>
          <t>Not in WFM cluster catalogs. Why-now date from Shopify publish date.</t>
        </is>
      </c>
      <c r="DA278" t="inlineStr">
        <is>
          <t>stage 1 only</t>
        </is>
      </c>
      <c r="DY278">
        <f>IF(ISNUMBER(MATCH(U278,{"queued","contacted","replied","call_booked","call_done","yes_in_principle","materials_sent"},0)),"Y","N")</f>
        <v/>
      </c>
      <c r="DZ278">
        <f>IF(COUNTIFS($AN$2:$AN$1000,AN278,$DY$2:$DY$1000,"Y")+COUNTIFS($AN$2:$AN$1000,AN278,$T$2:$T$1000,"Y")&gt;0,"Y","N")</f>
        <v/>
      </c>
      <c r="EA278">
        <f>IF(AND(U278="new",T278="N",AR278="Y",AQ278="",DZ278="N"),"Y","N")</f>
        <v/>
      </c>
      <c r="EB278">
        <f>IF(EA278&lt;&gt;"Y","N",IF(COUNTIFS($AN$2:$AN$1000,AN278,$EA$2:$EA$1000,"Y",$J$2:$J$1000,"&gt;"&amp;J278)+COUNTIFS($AN$2:$AN$1000,AN278,$EA$2:$EA$1000,"Y",$J$2:$J$1000,J278,$ED$2:$ED$1000,"&lt;"&amp;ED278)=0,"Y","N"))</f>
        <v/>
      </c>
      <c r="EC278">
        <f>IF(Y278="","N",IF(Y278&lt;=10,"Y","N"))</f>
        <v/>
      </c>
      <c r="ED278">
        <f>ROW()-1</f>
        <v/>
      </c>
    </row>
    <row r="279">
      <c r="A279" t="inlineStr">
        <is>
          <t>AB-230</t>
        </is>
      </c>
      <c r="B279" t="inlineStr">
        <is>
          <t>KEANU</t>
        </is>
      </c>
      <c r="C279" t="inlineStr">
        <is>
          <t>Alex</t>
        </is>
      </c>
      <c r="D279" t="inlineStr">
        <is>
          <t>Russell</t>
        </is>
      </c>
      <c r="E279" t="inlineStr">
        <is>
          <t>Founder, KEANU / Nothing Special</t>
        </is>
      </c>
      <c r="H279" t="inlineStr">
        <is>
          <t>none</t>
        </is>
      </c>
      <c r="I279" t="inlineStr">
        <is>
          <t>linkedin</t>
        </is>
      </c>
      <c r="J279">
        <f>IF(AU279="pass",CM279+CN279+CO279+CP279+CQ279+CR279+CS279+CT279,0)</f>
        <v/>
      </c>
      <c r="K279" t="inlineStr">
        <is>
          <t>Gated out: excluded-category: Needs preparation (powder to whisk with water); kava is a functional/relaxant product with supplement-like positioning.</t>
        </is>
      </c>
      <c r="M279" t="inlineStr">
        <is>
          <t>none found within ten blocks</t>
        </is>
      </c>
      <c r="N279" t="inlineStr">
        <is>
          <t>unverified</t>
        </is>
      </c>
      <c r="O279" t="inlineStr">
        <is>
          <t>Launched inaugural product (Founder's Kits)</t>
        </is>
      </c>
      <c r="P279" t="inlineStr">
        <is>
          <t>https://startupcpg.com/startup-cpg-newswire-keanu-launches-their-inaugural-product-after-5-years-of-work-on-kava/</t>
        </is>
      </c>
      <c r="Q279" t="inlineStr">
        <is>
          <t>2025-11-14</t>
        </is>
      </c>
      <c r="R279" t="inlineStr">
        <is>
          <t>N</t>
        </is>
      </c>
      <c r="S279" t="inlineStr">
        <is>
          <t>Y</t>
        </is>
      </c>
      <c r="T279" t="inlineStr">
        <is>
          <t>N</t>
        </is>
      </c>
      <c r="U279" t="inlineStr">
        <is>
          <t>new</t>
        </is>
      </c>
      <c r="V279" t="inlineStr">
        <is>
          <t>https://startupcpg.com/startup-cpg-newswire-keanu-launches-their-inaugural-product-after-5-years-of-work-on-kava/</t>
        </is>
      </c>
      <c r="W279" t="inlineStr">
        <is>
          <t>2026-10-23</t>
        </is>
      </c>
      <c r="X279" t="inlineStr">
        <is>
          <t>brand</t>
        </is>
      </c>
      <c r="Y279">
        <f>IF(EB279&lt;&gt;"Y","",COUNTIFS($EB$2:$EB$1000,"Y",$J$2:$J$1000,"&gt;"&amp;J279)+COUNTIFS($EB$2:$EB$1000,"Y",$J$2:$J$1000,J279,$ED$2:$ED$1000,"&lt;"&amp;ED279)+1)</f>
        <v/>
      </c>
      <c r="AA279" t="inlineStr">
        <is>
          <t>N</t>
        </is>
      </c>
      <c r="AC279" t="inlineStr">
        <is>
          <t>founder</t>
        </is>
      </c>
      <c r="AD279" t="inlineStr">
        <is>
          <t>verified-page</t>
        </is>
      </c>
      <c r="AE279" t="inlineStr">
        <is>
          <t>press, event or podcast page</t>
        </is>
      </c>
      <c r="AF279" t="inlineStr">
        <is>
          <t>https://startupcpg.com/startup-cpg-newswire-keanu-launches-their-inaugural-product-after-5-years-of-work-on-kava/</t>
        </is>
      </c>
      <c r="AG279" t="inlineStr">
        <is>
          <t>2026-10-23</t>
        </is>
      </c>
      <c r="AH279" t="inlineStr">
        <is>
          <t>Instant noble kava, 10 g stick packs (Founder's Kit)</t>
        </is>
      </c>
      <c r="AI279" t="inlineStr">
        <is>
          <t>other-drink</t>
        </is>
      </c>
      <c r="AJ279" t="inlineStr">
        <is>
          <t>New York (release datelined New York, NY)</t>
        </is>
      </c>
      <c r="AK279" t="inlineStr">
        <is>
          <t>https://drinkkeanu.com</t>
        </is>
      </c>
      <c r="AL279" t="inlineStr">
        <is>
          <t>N</t>
        </is>
      </c>
      <c r="AN279" t="inlineStr">
        <is>
          <t>AB-230</t>
        </is>
      </c>
      <c r="AO279" t="inlineStr">
        <is>
          <t>N</t>
        </is>
      </c>
      <c r="AR279">
        <f>IF(AND(AU279="pass",AO279&lt;&gt;"Y",C279&lt;&gt;""),"Y","N")</f>
        <v/>
      </c>
      <c r="AS279">
        <f>_xlfn.TEXTJOIN("; ",TRUE,IF(AU279&lt;&gt;"pass","gated out",""),IF(AO279="Y","on hold: "&amp;AP279,""),IF(C279="","no contact named on an opened page",""))</f>
        <v/>
      </c>
      <c r="AU279" t="inlineStr">
        <is>
          <t>fail</t>
        </is>
      </c>
      <c r="AV279" t="inlineStr">
        <is>
          <t>excluded-category;health-claim</t>
        </is>
      </c>
      <c r="AW279" t="inlineStr">
        <is>
          <t>excluded-category: Needs preparation (powder to whisk with water); kava is a functional/relaxant product with supplement-like positioning | health-claim: Needs preparation (powder to whisk with water); kava is a functional/relaxant product with supplement-like positioning</t>
        </is>
      </c>
      <c r="AY279" t="inlineStr">
        <is>
          <t>https://drinkkeanu.com</t>
        </is>
      </c>
      <c r="AZ279" t="inlineStr">
        <is>
          <t>NY</t>
        </is>
      </c>
      <c r="BA279" t="inlineStr">
        <is>
          <t>nyc</t>
        </is>
      </c>
      <c r="BB279" t="inlineStr">
        <is>
          <t>unknown</t>
        </is>
      </c>
      <c r="BD279" t="inlineStr">
        <is>
          <t>Y</t>
        </is>
      </c>
      <c r="BE279" t="inlineStr">
        <is>
          <t>Instant powder stick packs</t>
        </is>
      </c>
      <c r="BF279" t="inlineStr">
        <is>
          <t>Y</t>
        </is>
      </c>
      <c r="BG279" t="inlineStr">
        <is>
          <t>Y</t>
        </is>
      </c>
      <c r="BH279" t="inlineStr">
        <is>
          <t>under-500k</t>
        </is>
      </c>
      <c r="BI279" t="inlineStr">
        <is>
          <t>reported</t>
        </is>
      </c>
      <c r="BJ279" t="inlineStr">
        <is>
          <t>Startup CPG 2025-11-14: launched DTC with only 100 Founder's Kits at $79.99 (sales-volume quote)</t>
        </is>
      </c>
      <c r="BK279" t="inlineStr">
        <is>
          <t>N</t>
        </is>
      </c>
      <c r="BL279" t="inlineStr">
        <is>
          <t>Y</t>
        </is>
      </c>
      <c r="BM279" t="inlineStr">
        <is>
          <t>Needs preparation (powder to whisk with water); kava is a functional/relaxant product with supplement-like positioning</t>
        </is>
      </c>
      <c r="BO279" t="inlineStr">
        <is>
          <t>N</t>
        </is>
      </c>
      <c r="BP279" t="n">
        <v>0</v>
      </c>
      <c r="BS279" t="inlineStr">
        <is>
          <t>DTC only (release)</t>
        </is>
      </c>
      <c r="BU279" t="inlineStr">
        <is>
          <t>press</t>
        </is>
      </c>
      <c r="BV279" t="n">
        <v>344</v>
      </c>
      <c r="BW279" t="inlineStr">
        <is>
          <t>https://startupcpg.com/startup-cpg-newswire-keanu-launches-their-inaugural-product-after-5-years-of-work-on-kava/</t>
        </is>
      </c>
      <c r="BX279" t="inlineStr">
        <is>
          <t>Alex Russell</t>
        </is>
      </c>
      <c r="CF279" t="inlineStr">
        <is>
          <t>none</t>
        </is>
      </c>
      <c r="CK279" t="inlineStr">
        <is>
          <t>none</t>
        </is>
      </c>
      <c r="CL279" t="n">
        <v>52</v>
      </c>
      <c r="CM279" t="n">
        <v>6</v>
      </c>
      <c r="CN279" t="n">
        <v>20</v>
      </c>
      <c r="CO279" t="n">
        <v>8</v>
      </c>
      <c r="CP279" t="n">
        <v>2</v>
      </c>
      <c r="CQ279" t="n">
        <v>10</v>
      </c>
      <c r="CR279" t="n">
        <v>6</v>
      </c>
      <c r="CS279">
        <f>IF(R279="Y",10,0)</f>
        <v/>
      </c>
      <c r="CT279" t="n">
        <v>0</v>
      </c>
      <c r="CV279" t="inlineStr">
        <is>
          <t>BR4</t>
        </is>
      </c>
      <c r="CW279" t="inlineStr">
        <is>
          <t>BR4:25</t>
        </is>
      </c>
      <c r="CX279" t="inlineStr">
        <is>
          <t>Recorded so the gate is visible.</t>
        </is>
      </c>
      <c r="DA279" t="inlineStr">
        <is>
          <t>stage 1 only</t>
        </is>
      </c>
      <c r="DY279">
        <f>IF(ISNUMBER(MATCH(U279,{"queued","contacted","replied","call_booked","call_done","yes_in_principle","materials_sent"},0)),"Y","N")</f>
        <v/>
      </c>
      <c r="DZ279">
        <f>IF(COUNTIFS($AN$2:$AN$1000,AN279,$DY$2:$DY$1000,"Y")+COUNTIFS($AN$2:$AN$1000,AN279,$T$2:$T$1000,"Y")&gt;0,"Y","N")</f>
        <v/>
      </c>
      <c r="EA279">
        <f>IF(AND(U279="new",T279="N",AR279="Y",AQ279="",DZ279="N"),"Y","N")</f>
        <v/>
      </c>
      <c r="EB279">
        <f>IF(EA279&lt;&gt;"Y","N",IF(COUNTIFS($AN$2:$AN$1000,AN279,$EA$2:$EA$1000,"Y",$J$2:$J$1000,"&gt;"&amp;J279)+COUNTIFS($AN$2:$AN$1000,AN279,$EA$2:$EA$1000,"Y",$J$2:$J$1000,J279,$ED$2:$ED$1000,"&lt;"&amp;ED279)=0,"Y","N"))</f>
        <v/>
      </c>
      <c r="EC279">
        <f>IF(Y279="","N",IF(Y279&lt;=10,"Y","N"))</f>
        <v/>
      </c>
      <c r="ED279">
        <f>ROW()-1</f>
        <v/>
      </c>
    </row>
    <row r="280">
      <c r="A280" t="inlineStr">
        <is>
          <t>AB-206</t>
        </is>
      </c>
      <c r="B280" t="inlineStr">
        <is>
          <t>Lantern Beverages</t>
        </is>
      </c>
      <c r="H280" t="inlineStr">
        <is>
          <t>none</t>
        </is>
      </c>
      <c r="J280">
        <f>IF(AU280="pass",CM280+CN280+CO280+CP280+CQ280+CR280+CS280+CT280,0)</f>
        <v/>
      </c>
      <c r="K280" t="inlineStr">
        <is>
          <t>Gated out: no-buy-path: no graded store within ten blocks and no online store shown (online store unknown).</t>
        </is>
      </c>
      <c r="M280" t="inlineStr">
        <is>
          <t>none found within ten blocks</t>
        </is>
      </c>
      <c r="N280" t="inlineStr">
        <is>
          <t>unverified</t>
        </is>
      </c>
      <c r="O280" t="inlineStr">
        <is>
          <t>Added to Pop Up Grocer NYC Flagship directory</t>
        </is>
      </c>
      <c r="P280" t="inlineStr">
        <is>
          <t>https://popupgrocer.com/products/lantern</t>
        </is>
      </c>
      <c r="Q280" t="inlineStr">
        <is>
          <t>2026-07-01</t>
        </is>
      </c>
      <c r="R280" t="inlineStr">
        <is>
          <t>N</t>
        </is>
      </c>
      <c r="S280" t="inlineStr">
        <is>
          <t>unknown</t>
        </is>
      </c>
      <c r="T280" t="inlineStr">
        <is>
          <t>N</t>
        </is>
      </c>
      <c r="U280" t="inlineStr">
        <is>
          <t>new</t>
        </is>
      </c>
      <c r="V280" t="inlineStr">
        <is>
          <t>https://popupgrocer.com/products/lantern</t>
        </is>
      </c>
      <c r="W280" t="inlineStr">
        <is>
          <t>2026-10-23</t>
        </is>
      </c>
      <c r="X280" t="inlineStr">
        <is>
          <t>brand</t>
        </is>
      </c>
      <c r="Y280">
        <f>IF(EB280&lt;&gt;"Y","",COUNTIFS($EB$2:$EB$1000,"Y",$J$2:$J$1000,"&gt;"&amp;J280)+COUNTIFS($EB$2:$EB$1000,"Y",$J$2:$J$1000,J280,$ED$2:$ED$1000,"&lt;"&amp;ED280)+1)</f>
        <v/>
      </c>
      <c r="AA280" t="inlineStr">
        <is>
          <t>N</t>
        </is>
      </c>
      <c r="AD280" t="inlineStr">
        <is>
          <t>none</t>
        </is>
      </c>
      <c r="AH280" t="inlineStr">
        <is>
          <t>Lantern matcha soda (packaged matcha drinks in multiple flavors)</t>
        </is>
      </c>
      <c r="AI280" t="inlineStr">
        <is>
          <t>sparkling-soda</t>
        </is>
      </c>
      <c r="AJ280" t="inlineStr">
        <is>
          <t>unknown</t>
        </is>
      </c>
      <c r="AK280" t="inlineStr">
        <is>
          <t>unknown</t>
        </is>
      </c>
      <c r="AL280" t="inlineStr">
        <is>
          <t>Y</t>
        </is>
      </c>
      <c r="AM280" t="inlineStr">
        <is>
          <t>Almost nothing readable on the brand site (founder, HQ, format, online store unknown); Pop Up Grocer tags it 'Functional', so check the label for claims; contains caffeine (matcha); 60-day shelf life not stated</t>
        </is>
      </c>
      <c r="AN280" t="inlineStr">
        <is>
          <t>AB-206</t>
        </is>
      </c>
      <c r="AO280" t="inlineStr">
        <is>
          <t>N</t>
        </is>
      </c>
      <c r="AR280">
        <f>IF(AND(AU280="pass",AO280&lt;&gt;"Y",C280&lt;&gt;""),"Y","N")</f>
        <v/>
      </c>
      <c r="AS280">
        <f>_xlfn.TEXTJOIN("; ",TRUE,IF(AU280&lt;&gt;"pass","gated out",""),IF(AO280="Y","on hold: "&amp;AP280,""),IF(C280="","no contact named on an opened page",""))</f>
        <v/>
      </c>
      <c r="AU280" t="inlineStr">
        <is>
          <t>fail</t>
        </is>
      </c>
      <c r="AV280" t="inlineStr">
        <is>
          <t>no-buy-path</t>
        </is>
      </c>
      <c r="AW280" t="inlineStr">
        <is>
          <t>no-buy-path: no graded store within ten blocks and no online store shown (online store unknown)</t>
        </is>
      </c>
      <c r="AX280" t="inlineStr">
        <is>
          <t>claim-borderline</t>
        </is>
      </c>
      <c r="AY280" t="inlineStr">
        <is>
          <t>https://www.lanternbeverages.com</t>
        </is>
      </c>
      <c r="AZ280" t="inlineStr">
        <is>
          <t>unknown</t>
        </is>
      </c>
      <c r="BA280" t="inlineStr">
        <is>
          <t>unknown</t>
        </is>
      </c>
      <c r="BB280" t="inlineStr">
        <is>
          <t>unknown</t>
        </is>
      </c>
      <c r="BD280" t="inlineStr">
        <is>
          <t>unknown</t>
        </is>
      </c>
      <c r="BE280" t="inlineStr">
        <is>
          <t>Brand site is script-rendered; no statement readable</t>
        </is>
      </c>
      <c r="BF280" t="inlineStr">
        <is>
          <t>unknown</t>
        </is>
      </c>
      <c r="BG280" t="inlineStr">
        <is>
          <t>unknown</t>
        </is>
      </c>
      <c r="BH280" t="inlineStr">
        <is>
          <t>unknown</t>
        </is>
      </c>
      <c r="BJ280" t="inlineStr">
        <is>
          <t>No public sales figure found</t>
        </is>
      </c>
      <c r="BK280" t="inlineStr">
        <is>
          <t>N</t>
        </is>
      </c>
      <c r="BL280" t="inlineStr">
        <is>
          <t>N</t>
        </is>
      </c>
      <c r="BO280" t="inlineStr">
        <is>
          <t>N</t>
        </is>
      </c>
      <c r="BP280" t="n">
        <v>0</v>
      </c>
      <c r="BR280" t="inlineStr">
        <is>
          <t>Pop Up Grocer (brand_claim, unplaced)</t>
        </is>
      </c>
      <c r="BS280" t="inlineStr">
        <is>
          <t>Pop Up Grocer NYC Flagship, 205 Bleecker St (retailer directory)</t>
        </is>
      </c>
      <c r="BT280" t="inlineStr">
        <is>
          <t>https://popupgrocer.com/products/lantern</t>
        </is>
      </c>
      <c r="BU280" t="inlineStr">
        <is>
          <t>listing</t>
        </is>
      </c>
      <c r="BV280" t="n">
        <v>115</v>
      </c>
      <c r="CF280" t="inlineStr">
        <is>
          <t>none</t>
        </is>
      </c>
      <c r="CK280" t="inlineStr">
        <is>
          <t>none</t>
        </is>
      </c>
      <c r="CL280" t="n">
        <v>16</v>
      </c>
      <c r="CM280" t="n">
        <v>0</v>
      </c>
      <c r="CN280" t="n">
        <v>4</v>
      </c>
      <c r="CO280" t="n">
        <v>8</v>
      </c>
      <c r="CP280" t="n">
        <v>5</v>
      </c>
      <c r="CQ280" t="n">
        <v>3</v>
      </c>
      <c r="CR280" t="n">
        <v>0</v>
      </c>
      <c r="CS280">
        <f>IF(R280="Y",10,0)</f>
        <v/>
      </c>
      <c r="CT280" t="n">
        <v>-4</v>
      </c>
      <c r="CU280" t="inlineStr">
        <is>
          <t>unknown</t>
        </is>
      </c>
      <c r="CV280" t="inlineStr">
        <is>
          <t>BR3</t>
        </is>
      </c>
      <c r="CW280" t="inlineStr">
        <is>
          <t>BR3:80</t>
        </is>
      </c>
      <c r="CX280" t="inlineStr">
        <is>
          <t>Brand site title: 'Lantern Beverages | Matcha Soda Brand' (WebFetch 2026-10-23). Thin record; founder to complete.</t>
        </is>
      </c>
      <c r="DA280" t="inlineStr">
        <is>
          <t>stage 1 only</t>
        </is>
      </c>
      <c r="DY280">
        <f>IF(ISNUMBER(MATCH(U280,{"queued","contacted","replied","call_booked","call_done","yes_in_principle","materials_sent"},0)),"Y","N")</f>
        <v/>
      </c>
      <c r="DZ280">
        <f>IF(COUNTIFS($AN$2:$AN$1000,AN280,$DY$2:$DY$1000,"Y")+COUNTIFS($AN$2:$AN$1000,AN280,$T$2:$T$1000,"Y")&gt;0,"Y","N")</f>
        <v/>
      </c>
      <c r="EA280">
        <f>IF(AND(U280="new",T280="N",AR280="Y",AQ280="",DZ280="N"),"Y","N")</f>
        <v/>
      </c>
      <c r="EB280">
        <f>IF(EA280&lt;&gt;"Y","N",IF(COUNTIFS($AN$2:$AN$1000,AN280,$EA$2:$EA$1000,"Y",$J$2:$J$1000,"&gt;"&amp;J280)+COUNTIFS($AN$2:$AN$1000,AN280,$EA$2:$EA$1000,"Y",$J$2:$J$1000,J280,$ED$2:$ED$1000,"&lt;"&amp;ED280)=0,"Y","N"))</f>
        <v/>
      </c>
      <c r="EC280">
        <f>IF(Y280="","N",IF(Y280&lt;=10,"Y","N"))</f>
        <v/>
      </c>
      <c r="ED280">
        <f>ROW()-1</f>
        <v/>
      </c>
    </row>
    <row r="281">
      <c r="A281" t="inlineStr">
        <is>
          <t>AB-017</t>
        </is>
      </c>
      <c r="B281" t="inlineStr">
        <is>
          <t>MASA Chips</t>
        </is>
      </c>
      <c r="H281" t="inlineStr">
        <is>
          <t>none</t>
        </is>
      </c>
      <c r="J281">
        <f>IF(AU281="pass",CM281+CN281+CO281+CP281+CQ281+CR281+CS281+CT281,0)</f>
        <v/>
      </c>
      <c r="K281" t="inlineStr">
        <is>
          <t>Gated out: health-claim: Brand About page says tallow fats 'have functions for nervous system health, anti-inflammation and anti-bacterial immune function' (structure/func.</t>
        </is>
      </c>
      <c r="M281" t="inlineStr">
        <is>
          <t>Whole Foods Market NoMad, 63 Madison Ave</t>
        </is>
      </c>
      <c r="N281" t="inlineStr">
        <is>
          <t>unverified</t>
        </is>
      </c>
      <c r="O281" t="inlineStr">
        <is>
          <t>Launched Vandy Crisps potato chip line (four flavors) on brand store; Vandy Crisps also in WFM NYC stores</t>
        </is>
      </c>
      <c r="P281" t="inlineStr">
        <is>
          <t>https://www.masachips.com/products/vandy-crisps-original</t>
        </is>
      </c>
      <c r="Q281" t="inlineStr">
        <is>
          <t>2026-07-31</t>
        </is>
      </c>
      <c r="R281" t="inlineStr">
        <is>
          <t>N</t>
        </is>
      </c>
      <c r="S281" t="inlineStr">
        <is>
          <t>unknown</t>
        </is>
      </c>
      <c r="T281" t="inlineStr">
        <is>
          <t>N</t>
        </is>
      </c>
      <c r="U281" t="inlineStr">
        <is>
          <t>new</t>
        </is>
      </c>
      <c r="V281" t="inlineStr">
        <is>
          <t>https://www.masachips.com/pages/about</t>
        </is>
      </c>
      <c r="W281" t="inlineStr">
        <is>
          <t>2026-10-23</t>
        </is>
      </c>
      <c r="X281" t="inlineStr">
        <is>
          <t>brand</t>
        </is>
      </c>
      <c r="Y281">
        <f>IF(EB281&lt;&gt;"Y","",COUNTIFS($EB$2:$EB$1000,"Y",$J$2:$J$1000,"&gt;"&amp;J281)+COUNTIFS($EB$2:$EB$1000,"Y",$J$2:$J$1000,J281,$ED$2:$ED$1000,"&lt;"&amp;ED281)+1)</f>
        <v/>
      </c>
      <c r="AA281" t="inlineStr">
        <is>
          <t>N</t>
        </is>
      </c>
      <c r="AD281" t="inlineStr">
        <is>
          <t>none</t>
        </is>
      </c>
      <c r="AH281" t="inlineStr">
        <is>
          <t>MASA Yellow Corn Tortilla Chips cooked in beef tallow, 5 oz; Vandy Crisps potato chips 5 oz</t>
        </is>
      </c>
      <c r="AI281" t="inlineStr">
        <is>
          <t>chips-crisps</t>
        </is>
      </c>
      <c r="AJ281" t="inlineStr">
        <is>
          <t>unknown</t>
        </is>
      </c>
      <c r="AK281" t="inlineStr">
        <is>
          <t>https://www.masachips.com</t>
        </is>
      </c>
      <c r="AL281" t="inlineStr">
        <is>
          <t>Y</t>
        </is>
      </c>
      <c r="AM281" t="inlineStr">
        <is>
          <t>Health wording is on the About page, not confirmed on pack; founder may clear after checking the bag</t>
        </is>
      </c>
      <c r="AN281" t="inlineStr">
        <is>
          <t>AB-017</t>
        </is>
      </c>
      <c r="AO281" t="inlineStr">
        <is>
          <t>N</t>
        </is>
      </c>
      <c r="AR281">
        <f>IF(AND(AU281="pass",AO281&lt;&gt;"Y",C281&lt;&gt;""),"Y","N")</f>
        <v/>
      </c>
      <c r="AS281">
        <f>_xlfn.TEXTJOIN("; ",TRUE,IF(AU281&lt;&gt;"pass","gated out",""),IF(AO281="Y","on hold: "&amp;AP281,""),IF(C281="","no contact named on an opened page",""))</f>
        <v/>
      </c>
      <c r="AU281" t="inlineStr">
        <is>
          <t>fail</t>
        </is>
      </c>
      <c r="AV281" t="inlineStr">
        <is>
          <t>health-claim</t>
        </is>
      </c>
      <c r="AW281" t="inlineStr">
        <is>
          <t>health-claim: Brand About page says tallow fats 'have functions for nervous system health, anti-inflammation and anti-bacterial immune function' (structure/function health wording)</t>
        </is>
      </c>
      <c r="AX281" t="inlineStr">
        <is>
          <t>claim-borderline</t>
        </is>
      </c>
      <c r="AY281" t="inlineStr">
        <is>
          <t>https://www.masachips.com</t>
        </is>
      </c>
      <c r="AZ281" t="inlineStr">
        <is>
          <t>unknown</t>
        </is>
      </c>
      <c r="BA281" t="inlineStr">
        <is>
          <t>unknown</t>
        </is>
      </c>
      <c r="BB281" t="inlineStr">
        <is>
          <t>unknown</t>
        </is>
      </c>
      <c r="BD281" t="inlineStr">
        <is>
          <t>Y</t>
        </is>
      </c>
      <c r="BE281" t="inlineStr">
        <is>
          <t>Bagged chips sold ambient</t>
        </is>
      </c>
      <c r="BF281" t="inlineStr">
        <is>
          <t>N</t>
        </is>
      </c>
      <c r="BG281" t="inlineStr">
        <is>
          <t>Y</t>
        </is>
      </c>
      <c r="BH281" t="inlineStr">
        <is>
          <t>unknown</t>
        </is>
      </c>
      <c r="BJ281" t="inlineStr">
        <is>
          <t>unknown</t>
        </is>
      </c>
      <c r="BK281" t="inlineStr">
        <is>
          <t>Y</t>
        </is>
      </c>
      <c r="BL281" t="inlineStr">
        <is>
          <t>Y</t>
        </is>
      </c>
      <c r="BM281" t="inlineStr">
        <is>
          <t>Brand About page says tallow fats 'have functions for nervous system health, anti-inflammation and anti-bacterial immune function' (structure/function health wording)</t>
        </is>
      </c>
      <c r="BN281" t="n">
        <v>0</v>
      </c>
      <c r="BO281" t="inlineStr">
        <is>
          <t>Y</t>
        </is>
      </c>
      <c r="BP281" t="n">
        <v>0</v>
      </c>
      <c r="BQ281" t="inlineStr">
        <is>
          <t>Whole Foods Market NoMad, 63 Madison Ave (unverified, inside);Whole Foods Market Union Square, 4 Union Sq S (unverified, inside);Whole Foods Market Chelsea, 250 7th Ave (unverified, 3.0 blocks out)</t>
        </is>
      </c>
      <c r="BS281" t="inlineStr">
        <is>
          <t>Whole Foods Market; PopUp Grocer</t>
        </is>
      </c>
      <c r="BT281" t="inlineStr">
        <is>
          <t>https://www.wholefoodsmarket.com/search?text=masa%20chips (store context Union Square, NoMad, Chelsea; MASA and Vandy Crisps IN_STOCK 2026-10-23)</t>
        </is>
      </c>
      <c r="BU281" t="inlineStr">
        <is>
          <t>listing</t>
        </is>
      </c>
      <c r="BV281" t="n">
        <v>85</v>
      </c>
      <c r="CF281" t="inlineStr">
        <is>
          <t>none</t>
        </is>
      </c>
      <c r="CK281" t="inlineStr">
        <is>
          <t>none</t>
        </is>
      </c>
      <c r="CL281" t="n">
        <v>26</v>
      </c>
      <c r="CM281" t="n">
        <v>6</v>
      </c>
      <c r="CN281" t="n">
        <v>4</v>
      </c>
      <c r="CO281" t="n">
        <v>8</v>
      </c>
      <c r="CP281" t="n">
        <v>5</v>
      </c>
      <c r="CQ281" t="n">
        <v>7</v>
      </c>
      <c r="CR281" t="n">
        <v>0</v>
      </c>
      <c r="CS281">
        <f>IF(R281="Y",10,0)</f>
        <v/>
      </c>
      <c r="CT281" t="n">
        <v>-4</v>
      </c>
      <c r="CU281" t="inlineStr">
        <is>
          <t>https://instagram.com/masa_chips</t>
        </is>
      </c>
      <c r="CV281" t="inlineStr">
        <is>
          <t>BR1</t>
        </is>
      </c>
      <c r="CW281" t="inlineStr">
        <is>
          <t>BR1:18</t>
        </is>
      </c>
      <c r="CX281" t="inlineStr">
        <is>
          <t>WFM lists brand as 'Ancient Crunch'. Strong NYC shelf presence; excluded only on the site health wording.</t>
        </is>
      </c>
      <c r="DA281" t="inlineStr">
        <is>
          <t>stage 1 only</t>
        </is>
      </c>
      <c r="DY281">
        <f>IF(ISNUMBER(MATCH(U281,{"queued","contacted","replied","call_booked","call_done","yes_in_principle","materials_sent"},0)),"Y","N")</f>
        <v/>
      </c>
      <c r="DZ281">
        <f>IF(COUNTIFS($AN$2:$AN$1000,AN281,$DY$2:$DY$1000,"Y")+COUNTIFS($AN$2:$AN$1000,AN281,$T$2:$T$1000,"Y")&gt;0,"Y","N")</f>
        <v/>
      </c>
      <c r="EA281">
        <f>IF(AND(U281="new",T281="N",AR281="Y",AQ281="",DZ281="N"),"Y","N")</f>
        <v/>
      </c>
      <c r="EB281">
        <f>IF(EA281&lt;&gt;"Y","N",IF(COUNTIFS($AN$2:$AN$1000,AN281,$EA$2:$EA$1000,"Y",$J$2:$J$1000,"&gt;"&amp;J281)+COUNTIFS($AN$2:$AN$1000,AN281,$EA$2:$EA$1000,"Y",$J$2:$J$1000,J281,$ED$2:$ED$1000,"&lt;"&amp;ED281)=0,"Y","N"))</f>
        <v/>
      </c>
      <c r="EC281">
        <f>IF(Y281="","N",IF(Y281&lt;=10,"Y","N"))</f>
        <v/>
      </c>
      <c r="ED281">
        <f>ROW()-1</f>
        <v/>
      </c>
    </row>
    <row r="282">
      <c r="A282" t="inlineStr">
        <is>
          <t>AB-229</t>
        </is>
      </c>
      <c r="B282" t="inlineStr">
        <is>
          <t>Pitara Co.</t>
        </is>
      </c>
      <c r="C282" t="inlineStr">
        <is>
          <t>Aditi</t>
        </is>
      </c>
      <c r="D282" t="inlineStr">
        <is>
          <t>Luthra</t>
        </is>
      </c>
      <c r="E282" t="inlineStr">
        <is>
          <t>Founder</t>
        </is>
      </c>
      <c r="H282" t="inlineStr">
        <is>
          <t>none</t>
        </is>
      </c>
      <c r="I282" t="inlineStr">
        <is>
          <t>linkedin</t>
        </is>
      </c>
      <c r="J282">
        <f>IF(AU282="pass",CM282+CN282+CO282+CP282+CQ282+CR282+CS282+CT282,0)</f>
        <v/>
      </c>
      <c r="K282" t="inlineStr">
        <is>
          <t>Gated out: excluded-category: Needs preparation (coffee blends to brew, not ready-to-drink).</t>
        </is>
      </c>
      <c r="M282" t="inlineStr">
        <is>
          <t>none found within ten blocks</t>
        </is>
      </c>
      <c r="N282" t="inlineStr">
        <is>
          <t>unverified</t>
        </is>
      </c>
      <c r="O282" t="inlineStr">
        <is>
          <t>Launched with four signature coffee blends</t>
        </is>
      </c>
      <c r="P282" t="inlineStr">
        <is>
          <t>https://startupcpg.com/startup-cpg-newswire-pitara-co-launches/</t>
        </is>
      </c>
      <c r="Q282" t="inlineStr">
        <is>
          <t>2025-11-06</t>
        </is>
      </c>
      <c r="R282" t="inlineStr">
        <is>
          <t>N</t>
        </is>
      </c>
      <c r="S282" t="inlineStr">
        <is>
          <t>Y</t>
        </is>
      </c>
      <c r="T282" t="inlineStr">
        <is>
          <t>N</t>
        </is>
      </c>
      <c r="U282" t="inlineStr">
        <is>
          <t>new</t>
        </is>
      </c>
      <c r="V282" t="inlineStr">
        <is>
          <t>https://startupcpg.com/startup-cpg-newswire-pitara-co-launches/</t>
        </is>
      </c>
      <c r="W282" t="inlineStr">
        <is>
          <t>2026-10-23</t>
        </is>
      </c>
      <c r="X282" t="inlineStr">
        <is>
          <t>brand</t>
        </is>
      </c>
      <c r="Y282">
        <f>IF(EB282&lt;&gt;"Y","",COUNTIFS($EB$2:$EB$1000,"Y",$J$2:$J$1000,"&gt;"&amp;J282)+COUNTIFS($EB$2:$EB$1000,"Y",$J$2:$J$1000,J282,$ED$2:$ED$1000,"&lt;"&amp;ED282)+1)</f>
        <v/>
      </c>
      <c r="AA282" t="inlineStr">
        <is>
          <t>N</t>
        </is>
      </c>
      <c r="AC282" t="inlineStr">
        <is>
          <t>founder</t>
        </is>
      </c>
      <c r="AD282" t="inlineStr">
        <is>
          <t>verified-page</t>
        </is>
      </c>
      <c r="AE282" t="inlineStr">
        <is>
          <t>press, event or podcast page</t>
        </is>
      </c>
      <c r="AF282" t="inlineStr">
        <is>
          <t>https://startupcpg.com/startup-cpg-newswire-pitara-co-launches/</t>
        </is>
      </c>
      <c r="AG282" t="inlineStr">
        <is>
          <t>2026-10-23</t>
        </is>
      </c>
      <c r="AH282" t="inlineStr">
        <is>
          <t>South Indian filter-style coffee blend (ground or whole coffee)</t>
        </is>
      </c>
      <c r="AI282" t="inlineStr">
        <is>
          <t>other-drink</t>
        </is>
      </c>
      <c r="AJ282" t="inlineStr">
        <is>
          <t>New York (release datelined New York, NY)</t>
        </is>
      </c>
      <c r="AK282" t="inlineStr">
        <is>
          <t>https://pitaraco.com</t>
        </is>
      </c>
      <c r="AL282" t="inlineStr">
        <is>
          <t>N</t>
        </is>
      </c>
      <c r="AN282" t="inlineStr">
        <is>
          <t>AB-229</t>
        </is>
      </c>
      <c r="AO282" t="inlineStr">
        <is>
          <t>N</t>
        </is>
      </c>
      <c r="AR282">
        <f>IF(AND(AU282="pass",AO282&lt;&gt;"Y",C282&lt;&gt;""),"Y","N")</f>
        <v/>
      </c>
      <c r="AS282">
        <f>_xlfn.TEXTJOIN("; ",TRUE,IF(AU282&lt;&gt;"pass","gated out",""),IF(AO282="Y","on hold: "&amp;AP282,""),IF(C282="","no contact named on an opened page",""))</f>
        <v/>
      </c>
      <c r="AU282" t="inlineStr">
        <is>
          <t>fail</t>
        </is>
      </c>
      <c r="AV282" t="inlineStr">
        <is>
          <t>excluded-category</t>
        </is>
      </c>
      <c r="AW282" t="inlineStr">
        <is>
          <t>excluded-category: Needs preparation (coffee blends to brew, not ready-to-drink)</t>
        </is>
      </c>
      <c r="AY282" t="inlineStr">
        <is>
          <t>https://pitaraco.com</t>
        </is>
      </c>
      <c r="AZ282" t="inlineStr">
        <is>
          <t>NY</t>
        </is>
      </c>
      <c r="BA282" t="inlineStr">
        <is>
          <t>nyc</t>
        </is>
      </c>
      <c r="BB282" t="inlineStr">
        <is>
          <t>unknown</t>
        </is>
      </c>
      <c r="BD282" t="inlineStr">
        <is>
          <t>Y</t>
        </is>
      </c>
      <c r="BE282" t="inlineStr">
        <is>
          <t>Packaged coffee</t>
        </is>
      </c>
      <c r="BF282" t="inlineStr">
        <is>
          <t>N</t>
        </is>
      </c>
      <c r="BG282" t="inlineStr">
        <is>
          <t>Y</t>
        </is>
      </c>
      <c r="BH282" t="inlineStr">
        <is>
          <t>unknown</t>
        </is>
      </c>
      <c r="BJ282" t="inlineStr">
        <is>
          <t>No sales figure published. Launched online Nov 2025 (Startup CPG 2025-11-06)</t>
        </is>
      </c>
      <c r="BK282" t="inlineStr">
        <is>
          <t>N</t>
        </is>
      </c>
      <c r="BL282" t="inlineStr">
        <is>
          <t>Y</t>
        </is>
      </c>
      <c r="BM282" t="inlineStr">
        <is>
          <t>Needs preparation (coffee blends to brew, not ready-to-drink)</t>
        </is>
      </c>
      <c r="BO282" t="inlineStr">
        <is>
          <t>N</t>
        </is>
      </c>
      <c r="BP282" t="n">
        <v>0</v>
      </c>
      <c r="BS282" t="inlineStr">
        <is>
          <t>pitaraco.com (DTC)</t>
        </is>
      </c>
      <c r="BU282" t="inlineStr">
        <is>
          <t>press</t>
        </is>
      </c>
      <c r="BV282" t="n">
        <v>352</v>
      </c>
      <c r="BW282" t="inlineStr">
        <is>
          <t>https://startupcpg.com/startup-cpg-newswire-pitara-co-launches/</t>
        </is>
      </c>
      <c r="BX282" t="inlineStr">
        <is>
          <t>Aditi Luthra</t>
        </is>
      </c>
      <c r="CF282" t="inlineStr">
        <is>
          <t>none</t>
        </is>
      </c>
      <c r="CK282" t="inlineStr">
        <is>
          <t>none</t>
        </is>
      </c>
      <c r="CL282" t="n">
        <v>52</v>
      </c>
      <c r="CM282" t="n">
        <v>6</v>
      </c>
      <c r="CN282" t="n">
        <v>20</v>
      </c>
      <c r="CO282" t="n">
        <v>8</v>
      </c>
      <c r="CP282" t="n">
        <v>5</v>
      </c>
      <c r="CQ282" t="n">
        <v>7</v>
      </c>
      <c r="CR282" t="n">
        <v>6</v>
      </c>
      <c r="CS282">
        <f>IF(R282="Y",10,0)</f>
        <v/>
      </c>
      <c r="CT282" t="n">
        <v>0</v>
      </c>
      <c r="CV282" t="inlineStr">
        <is>
          <t>BR4</t>
        </is>
      </c>
      <c r="CW282" t="inlineStr">
        <is>
          <t>BR4:24</t>
        </is>
      </c>
      <c r="CX282" t="inlineStr">
        <is>
          <t>Recorded so the gate is visible; a future RTD line would change the call.</t>
        </is>
      </c>
      <c r="DA282" t="inlineStr">
        <is>
          <t>stage 1 only</t>
        </is>
      </c>
      <c r="DY282">
        <f>IF(ISNUMBER(MATCH(U282,{"queued","contacted","replied","call_booked","call_done","yes_in_principle","materials_sent"},0)),"Y","N")</f>
        <v/>
      </c>
      <c r="DZ282">
        <f>IF(COUNTIFS($AN$2:$AN$1000,AN282,$DY$2:$DY$1000,"Y")+COUNTIFS($AN$2:$AN$1000,AN282,$T$2:$T$1000,"Y")&gt;0,"Y","N")</f>
        <v/>
      </c>
      <c r="EA282">
        <f>IF(AND(U282="new",T282="N",AR282="Y",AQ282="",DZ282="N"),"Y","N")</f>
        <v/>
      </c>
      <c r="EB282">
        <f>IF(EA282&lt;&gt;"Y","N",IF(COUNTIFS($AN$2:$AN$1000,AN282,$EA$2:$EA$1000,"Y",$J$2:$J$1000,"&gt;"&amp;J282)+COUNTIFS($AN$2:$AN$1000,AN282,$EA$2:$EA$1000,"Y",$J$2:$J$1000,J282,$ED$2:$ED$1000,"&lt;"&amp;ED282)=0,"Y","N"))</f>
        <v/>
      </c>
      <c r="EC282">
        <f>IF(Y282="","N",IF(Y282&lt;=10,"Y","N"))</f>
        <v/>
      </c>
      <c r="ED282">
        <f>ROW()-1</f>
        <v/>
      </c>
    </row>
    <row r="283">
      <c r="A283" t="inlineStr">
        <is>
          <t>AB-259</t>
        </is>
      </c>
      <c r="B283" t="inlineStr">
        <is>
          <t>SAYSO</t>
        </is>
      </c>
      <c r="C283" t="inlineStr">
        <is>
          <t>Alison</t>
        </is>
      </c>
      <c r="D283" t="inlineStr">
        <is>
          <t>Evans</t>
        </is>
      </c>
      <c r="E283" t="inlineStr">
        <is>
          <t>Co-founder</t>
        </is>
      </c>
      <c r="H283" t="inlineStr">
        <is>
          <t>none</t>
        </is>
      </c>
      <c r="I283" t="inlineStr">
        <is>
          <t>linkedin</t>
        </is>
      </c>
      <c r="J283">
        <f>IF(AU283="pass",CM283+CN283+CO283+CP283+CQ283+CR283+CS283+CT283,0)</f>
        <v/>
      </c>
      <c r="K283" t="inlineStr">
        <is>
          <t>Gated out: excluded-category: Needs preparation (drink-mix stick packs); cocktail-mixer positioning.</t>
        </is>
      </c>
      <c r="M283" t="inlineStr">
        <is>
          <t>none found within ten blocks</t>
        </is>
      </c>
      <c r="N283" t="inlineStr">
        <is>
          <t>unverified</t>
        </is>
      </c>
      <c r="O283" t="inlineStr">
        <is>
          <t>Launched stick pack line after viral sell-out</t>
        </is>
      </c>
      <c r="P283" t="inlineStr">
        <is>
          <t>https://startupcpg.com/startup-cpg-newswire-sayso-expands-with-launch-of-new-stick-pack-line-after-viral-sell-out/</t>
        </is>
      </c>
      <c r="Q283" t="inlineStr">
        <is>
          <t>2025-10-30</t>
        </is>
      </c>
      <c r="R283" t="inlineStr">
        <is>
          <t>N</t>
        </is>
      </c>
      <c r="S283" t="inlineStr">
        <is>
          <t>Y</t>
        </is>
      </c>
      <c r="T283" t="inlineStr">
        <is>
          <t>N</t>
        </is>
      </c>
      <c r="U283" t="inlineStr">
        <is>
          <t>new</t>
        </is>
      </c>
      <c r="V283" t="inlineStr">
        <is>
          <t>https://startupcpg.com/startup-cpg-newswire-sayso-expands-with-launch-of-new-stick-pack-line-after-viral-sell-out/</t>
        </is>
      </c>
      <c r="W283" t="inlineStr">
        <is>
          <t>2026-10-23</t>
        </is>
      </c>
      <c r="X283" t="inlineStr">
        <is>
          <t>brand</t>
        </is>
      </c>
      <c r="Y283">
        <f>IF(EB283&lt;&gt;"Y","",COUNTIFS($EB$2:$EB$1000,"Y",$J$2:$J$1000,"&gt;"&amp;J283)+COUNTIFS($EB$2:$EB$1000,"Y",$J$2:$J$1000,J283,$ED$2:$ED$1000,"&lt;"&amp;ED283)+1)</f>
        <v/>
      </c>
      <c r="AA283" t="inlineStr">
        <is>
          <t>N</t>
        </is>
      </c>
      <c r="AC283" t="inlineStr">
        <is>
          <t>founder</t>
        </is>
      </c>
      <c r="AD283" t="inlineStr">
        <is>
          <t>verified-page</t>
        </is>
      </c>
      <c r="AE283" t="inlineStr">
        <is>
          <t>press, event or podcast page</t>
        </is>
      </c>
      <c r="AF283" t="inlineStr">
        <is>
          <t>https://startupcpg.com/startup-cpg-newswire-sayso-expands-with-launch-of-new-stick-pack-line-after-viral-sell-out/</t>
        </is>
      </c>
      <c r="AG283" t="inlineStr">
        <is>
          <t>2026-10-23</t>
        </is>
      </c>
      <c r="AH283" t="inlineStr">
        <is>
          <t>Cocktail/mocktail mix stick packs and tea-bag format</t>
        </is>
      </c>
      <c r="AI283" t="inlineStr">
        <is>
          <t>other-drink</t>
        </is>
      </c>
      <c r="AJ283" t="inlineStr">
        <is>
          <t>Brooklyn (release datelined Brooklyn, NY)</t>
        </is>
      </c>
      <c r="AL283" t="inlineStr">
        <is>
          <t>Y</t>
        </is>
      </c>
      <c r="AM283" t="inlineStr">
        <is>
          <t>60-day shelf life not stated</t>
        </is>
      </c>
      <c r="AN283" t="inlineStr">
        <is>
          <t>AB-259</t>
        </is>
      </c>
      <c r="AO283" t="inlineStr">
        <is>
          <t>N</t>
        </is>
      </c>
      <c r="AR283">
        <f>IF(AND(AU283="pass",AO283&lt;&gt;"Y",C283&lt;&gt;""),"Y","N")</f>
        <v/>
      </c>
      <c r="AS283">
        <f>_xlfn.TEXTJOIN("; ",TRUE,IF(AU283&lt;&gt;"pass","gated out",""),IF(AO283="Y","on hold: "&amp;AP283,""),IF(C283="","no contact named on an opened page",""))</f>
        <v/>
      </c>
      <c r="AU283" t="inlineStr">
        <is>
          <t>fail</t>
        </is>
      </c>
      <c r="AV283" t="inlineStr">
        <is>
          <t>excluded-category;no-buy-path</t>
        </is>
      </c>
      <c r="AW283" t="inlineStr">
        <is>
          <t>excluded-category: Needs preparation (drink-mix stick packs); cocktail-mixer positioning | no-buy-path: no graded store within ten blocks and no online store shown (online store unknown)</t>
        </is>
      </c>
      <c r="AY283" t="inlineStr">
        <is>
          <t>https://drinksayso.com</t>
        </is>
      </c>
      <c r="AZ283" t="inlineStr">
        <is>
          <t>NY</t>
        </is>
      </c>
      <c r="BA283" t="inlineStr">
        <is>
          <t>nyc</t>
        </is>
      </c>
      <c r="BB283" t="inlineStr">
        <is>
          <t>unknown</t>
        </is>
      </c>
      <c r="BD283" t="inlineStr">
        <is>
          <t>unknown</t>
        </is>
      </c>
      <c r="BF283" t="inlineStr">
        <is>
          <t>unknown</t>
        </is>
      </c>
      <c r="BG283" t="inlineStr">
        <is>
          <t>unknown</t>
        </is>
      </c>
      <c r="BH283" t="inlineStr">
        <is>
          <t>unknown</t>
        </is>
      </c>
      <c r="BJ283" t="inlineStr">
        <is>
          <t>unknown</t>
        </is>
      </c>
      <c r="BK283" t="inlineStr">
        <is>
          <t>N</t>
        </is>
      </c>
      <c r="BL283" t="inlineStr">
        <is>
          <t>Y</t>
        </is>
      </c>
      <c r="BM283" t="inlineStr">
        <is>
          <t>Needs preparation (drink-mix stick packs); cocktail-mixer positioning</t>
        </is>
      </c>
      <c r="BO283" t="inlineStr">
        <is>
          <t>N</t>
        </is>
      </c>
      <c r="BP283" t="n">
        <v>0</v>
      </c>
      <c r="BU283" t="inlineStr">
        <is>
          <t>press</t>
        </is>
      </c>
      <c r="BV283" t="n">
        <v>359</v>
      </c>
      <c r="BW283" t="inlineStr">
        <is>
          <t>https://startupcpg.com/startup-cpg-newswire-sayso-expands-with-launch-of-new-stick-pack-line-after-viral-sell-out/</t>
        </is>
      </c>
      <c r="BX283" t="inlineStr">
        <is>
          <t>Alison Evans</t>
        </is>
      </c>
      <c r="CF283" t="inlineStr">
        <is>
          <t>none</t>
        </is>
      </c>
      <c r="CK283" t="inlineStr">
        <is>
          <t>none</t>
        </is>
      </c>
      <c r="CL283" t="n">
        <v>42</v>
      </c>
      <c r="CM283" t="n">
        <v>0</v>
      </c>
      <c r="CN283" t="n">
        <v>20</v>
      </c>
      <c r="CO283" t="n">
        <v>8</v>
      </c>
      <c r="CP283" t="n">
        <v>5</v>
      </c>
      <c r="CQ283" t="n">
        <v>3</v>
      </c>
      <c r="CR283" t="n">
        <v>6</v>
      </c>
      <c r="CS283">
        <f>IF(R283="Y",10,0)</f>
        <v/>
      </c>
      <c r="CT283" t="n">
        <v>0</v>
      </c>
      <c r="CV283" t="inlineStr">
        <is>
          <t>BR4</t>
        </is>
      </c>
      <c r="CW283" t="inlineStr">
        <is>
          <t>BR4:54</t>
        </is>
      </c>
      <c r="CX283" t="inlineStr">
        <is>
          <t>Recorded so the gate is visible.</t>
        </is>
      </c>
      <c r="DA283" t="inlineStr">
        <is>
          <t>stage 1 only</t>
        </is>
      </c>
      <c r="DY283">
        <f>IF(ISNUMBER(MATCH(U283,{"queued","contacted","replied","call_booked","call_done","yes_in_principle","materials_sent"},0)),"Y","N")</f>
        <v/>
      </c>
      <c r="DZ283">
        <f>IF(COUNTIFS($AN$2:$AN$1000,AN283,$DY$2:$DY$1000,"Y")+COUNTIFS($AN$2:$AN$1000,AN283,$T$2:$T$1000,"Y")&gt;0,"Y","N")</f>
        <v/>
      </c>
      <c r="EA283">
        <f>IF(AND(U283="new",T283="N",AR283="Y",AQ283="",DZ283="N"),"Y","N")</f>
        <v/>
      </c>
      <c r="EB283">
        <f>IF(EA283&lt;&gt;"Y","N",IF(COUNTIFS($AN$2:$AN$1000,AN283,$EA$2:$EA$1000,"Y",$J$2:$J$1000,"&gt;"&amp;J283)+COUNTIFS($AN$2:$AN$1000,AN283,$EA$2:$EA$1000,"Y",$J$2:$J$1000,J283,$ED$2:$ED$1000,"&lt;"&amp;ED283)=0,"Y","N"))</f>
        <v/>
      </c>
      <c r="EC283">
        <f>IF(Y283="","N",IF(Y283&lt;=10,"Y","N"))</f>
        <v/>
      </c>
      <c r="ED283">
        <f>ROW()-1</f>
        <v/>
      </c>
    </row>
    <row r="284">
      <c r="A284" t="inlineStr">
        <is>
          <t>AB-262</t>
        </is>
      </c>
      <c r="B284" t="inlineStr">
        <is>
          <t>Unrefined Foods</t>
        </is>
      </c>
      <c r="C284" t="inlineStr">
        <is>
          <t>Melissa</t>
        </is>
      </c>
      <c r="D284" t="inlineStr">
        <is>
          <t>Bermudez</t>
        </is>
      </c>
      <c r="E284" t="inlineStr">
        <is>
          <t>Founder and CEO</t>
        </is>
      </c>
      <c r="H284" t="inlineStr">
        <is>
          <t>none</t>
        </is>
      </c>
      <c r="I284" t="inlineStr">
        <is>
          <t>linkedin</t>
        </is>
      </c>
      <c r="J284">
        <f>IF(AU284="pass",CM284+CN284+CO284+CP284+CQ284+CR284+CS284+CT284,0)</f>
        <v/>
      </c>
      <c r="K284" t="inlineStr">
        <is>
          <t>Gated out: not-shelf-stable: Frozen product.</t>
        </is>
      </c>
      <c r="M284" t="inlineStr">
        <is>
          <t>none found within ten blocks</t>
        </is>
      </c>
      <c r="N284" t="inlineStr">
        <is>
          <t>unverified</t>
        </is>
      </c>
      <c r="O284" t="inlineStr">
        <is>
          <t>Reached 15,000-muffin production milestone; raising an angel round</t>
        </is>
      </c>
      <c r="P284" t="inlineStr">
        <is>
          <t>https://startupcpg.com/startup-cpg-newswire-unrefined-foods-reaches-production-milestone-announces-fundraising-round/</t>
        </is>
      </c>
      <c r="Q284" t="inlineStr">
        <is>
          <t>2025-11-14</t>
        </is>
      </c>
      <c r="R284" t="inlineStr">
        <is>
          <t>N</t>
        </is>
      </c>
      <c r="S284" t="inlineStr">
        <is>
          <t>Y</t>
        </is>
      </c>
      <c r="T284" t="inlineStr">
        <is>
          <t>N</t>
        </is>
      </c>
      <c r="U284" t="inlineStr">
        <is>
          <t>new</t>
        </is>
      </c>
      <c r="V284" t="inlineStr">
        <is>
          <t>https://startupcpg.com/startup-cpg-newswire-unrefined-foods-reaches-production-milestone-announces-fundraising-round/</t>
        </is>
      </c>
      <c r="W284" t="inlineStr">
        <is>
          <t>2026-10-23</t>
        </is>
      </c>
      <c r="X284" t="inlineStr">
        <is>
          <t>brand</t>
        </is>
      </c>
      <c r="Y284">
        <f>IF(EB284&lt;&gt;"Y","",COUNTIFS($EB$2:$EB$1000,"Y",$J$2:$J$1000,"&gt;"&amp;J284)+COUNTIFS($EB$2:$EB$1000,"Y",$J$2:$J$1000,J284,$ED$2:$ED$1000,"&lt;"&amp;ED284)+1)</f>
        <v/>
      </c>
      <c r="AA284" t="inlineStr">
        <is>
          <t>N</t>
        </is>
      </c>
      <c r="AC284" t="inlineStr">
        <is>
          <t>founder</t>
        </is>
      </c>
      <c r="AD284" t="inlineStr">
        <is>
          <t>verified-page</t>
        </is>
      </c>
      <c r="AE284" t="inlineStr">
        <is>
          <t>press, event or podcast page</t>
        </is>
      </c>
      <c r="AF284" t="inlineStr">
        <is>
          <t>https://startupcpg.com/startup-cpg-newswire-unrefined-foods-reaches-production-milestone-announces-fundraising-round/</t>
        </is>
      </c>
      <c r="AG284" t="inlineStr">
        <is>
          <t>2026-10-23</t>
        </is>
      </c>
      <c r="AH284" t="inlineStr">
        <is>
          <t>Whole-wheat fruit and vegetable muffins (frozen)</t>
        </is>
      </c>
      <c r="AI284" t="inlineStr">
        <is>
          <t>cookies-baked</t>
        </is>
      </c>
      <c r="AJ284" t="inlineStr">
        <is>
          <t>Amesbury</t>
        </is>
      </c>
      <c r="AL284" t="inlineStr">
        <is>
          <t>N</t>
        </is>
      </c>
      <c r="AN284" t="inlineStr">
        <is>
          <t>AB-262</t>
        </is>
      </c>
      <c r="AO284" t="inlineStr">
        <is>
          <t>N</t>
        </is>
      </c>
      <c r="AR284">
        <f>IF(AND(AU284="pass",AO284&lt;&gt;"Y",C284&lt;&gt;""),"Y","N")</f>
        <v/>
      </c>
      <c r="AS284">
        <f>_xlfn.TEXTJOIN("; ",TRUE,IF(AU284&lt;&gt;"pass","gated out",""),IF(AO284="Y","on hold: "&amp;AP284,""),IF(C284="","no contact named on an opened page",""))</f>
        <v/>
      </c>
      <c r="AU284" t="inlineStr">
        <is>
          <t>fail</t>
        </is>
      </c>
      <c r="AV284" t="inlineStr">
        <is>
          <t>not-shelf-stable;no-buy-path</t>
        </is>
      </c>
      <c r="AW284" t="inlineStr">
        <is>
          <t>not-shelf-stable: Frozen product | no-buy-path: no graded store within ten blocks and no online store shown (online store unknown)</t>
        </is>
      </c>
      <c r="AY284" t="inlineStr">
        <is>
          <t>http://www.unrefinedfoods.com</t>
        </is>
      </c>
      <c r="AZ284" t="inlineStr">
        <is>
          <t>MA</t>
        </is>
      </c>
      <c r="BA284" t="inlineStr">
        <is>
          <t>northeast</t>
        </is>
      </c>
      <c r="BB284" t="inlineStr">
        <is>
          <t>unknown</t>
        </is>
      </c>
      <c r="BD284" t="inlineStr">
        <is>
          <t>N</t>
        </is>
      </c>
      <c r="BE284" t="inlineStr">
        <is>
          <t>Release: 'farm-to-freezer system... the frozen aisle'</t>
        </is>
      </c>
      <c r="BF284" t="inlineStr">
        <is>
          <t>unknown</t>
        </is>
      </c>
      <c r="BG284" t="inlineStr">
        <is>
          <t>unknown</t>
        </is>
      </c>
      <c r="BH284" t="inlineStr">
        <is>
          <t>under-500k</t>
        </is>
      </c>
      <c r="BI284" t="inlineStr">
        <is>
          <t>reported</t>
        </is>
      </c>
      <c r="BJ284" t="inlineStr">
        <is>
          <t>Startup CPG 2025-11-14: six retail locations, 'moving 50 cases monthly' (sales-volume quote)</t>
        </is>
      </c>
      <c r="BK284" t="inlineStr">
        <is>
          <t>N</t>
        </is>
      </c>
      <c r="BL284" t="inlineStr">
        <is>
          <t>Y</t>
        </is>
      </c>
      <c r="BM284" t="inlineStr">
        <is>
          <t>Frozen product</t>
        </is>
      </c>
      <c r="BO284" t="inlineStr">
        <is>
          <t>N</t>
        </is>
      </c>
      <c r="BP284" t="n">
        <v>0</v>
      </c>
      <c r="BU284" t="inlineStr">
        <is>
          <t>press</t>
        </is>
      </c>
      <c r="BV284" t="n">
        <v>344</v>
      </c>
      <c r="BW284" t="inlineStr">
        <is>
          <t>https://startupcpg.com/startup-cpg-newswire-unrefined-foods-reaches-production-milestone-announces-fundraising-round/</t>
        </is>
      </c>
      <c r="BX284" t="inlineStr">
        <is>
          <t>Melissa Bermudez</t>
        </is>
      </c>
      <c r="CF284" t="inlineStr">
        <is>
          <t>none</t>
        </is>
      </c>
      <c r="CK284" t="inlineStr">
        <is>
          <t>none</t>
        </is>
      </c>
      <c r="CL284" t="n">
        <v>26</v>
      </c>
      <c r="CM284" t="n">
        <v>0</v>
      </c>
      <c r="CN284" t="n">
        <v>8</v>
      </c>
      <c r="CO284" t="n">
        <v>8</v>
      </c>
      <c r="CP284" t="n">
        <v>2</v>
      </c>
      <c r="CQ284" t="n">
        <v>2</v>
      </c>
      <c r="CR284" t="n">
        <v>6</v>
      </c>
      <c r="CS284">
        <f>IF(R284="Y",10,0)</f>
        <v/>
      </c>
      <c r="CT284" t="n">
        <v>0</v>
      </c>
      <c r="CV284" t="inlineStr">
        <is>
          <t>BR4</t>
        </is>
      </c>
      <c r="CW284" t="inlineStr">
        <is>
          <t>BR4:57</t>
        </is>
      </c>
      <c r="CX284" t="inlineStr">
        <is>
          <t>Recorded so the gate is visible.</t>
        </is>
      </c>
      <c r="DA284" t="inlineStr">
        <is>
          <t>stage 1 only</t>
        </is>
      </c>
      <c r="DY284">
        <f>IF(ISNUMBER(MATCH(U284,{"queued","contacted","replied","call_booked","call_done","yes_in_principle","materials_sent"},0)),"Y","N")</f>
        <v/>
      </c>
      <c r="DZ284">
        <f>IF(COUNTIFS($AN$2:$AN$1000,AN284,$DY$2:$DY$1000,"Y")+COUNTIFS($AN$2:$AN$1000,AN284,$T$2:$T$1000,"Y")&gt;0,"Y","N")</f>
        <v/>
      </c>
      <c r="EA284">
        <f>IF(AND(U284="new",T284="N",AR284="Y",AQ284="",DZ284="N"),"Y","N")</f>
        <v/>
      </c>
      <c r="EB284">
        <f>IF(EA284&lt;&gt;"Y","N",IF(COUNTIFS($AN$2:$AN$1000,AN284,$EA$2:$EA$1000,"Y",$J$2:$J$1000,"&gt;"&amp;J284)+COUNTIFS($AN$2:$AN$1000,AN284,$EA$2:$EA$1000,"Y",$J$2:$J$1000,J284,$ED$2:$ED$1000,"&lt;"&amp;ED284)=0,"Y","N"))</f>
        <v/>
      </c>
      <c r="EC284">
        <f>IF(Y284="","N",IF(Y284&lt;=10,"Y","N"))</f>
        <v/>
      </c>
      <c r="ED284">
        <f>ROW()-1</f>
        <v/>
      </c>
    </row>
    <row r="285">
      <c r="A285" t="inlineStr">
        <is>
          <t>AB-299</t>
        </is>
      </c>
      <c r="B285" t="inlineStr">
        <is>
          <t>MALAPOP (Taste Department)</t>
        </is>
      </c>
      <c r="H285" t="inlineStr">
        <is>
          <t>none</t>
        </is>
      </c>
      <c r="J285">
        <f>IF(AU285="pass",CM285+CN285+CO285+CP285+CQ285+CR285+CS285+CT285,0)</f>
        <v/>
      </c>
      <c r="K285" t="inlineStr">
        <is>
          <t>Gated out: health-claim: Explicit health claims in the website's ingredient panel: 'lowers blood pressure', 'boosts metabolism, fires up digestion', 'anti-inflammatory, be.</t>
        </is>
      </c>
      <c r="M285" t="inlineStr">
        <is>
          <t>none found within ten blocks</t>
        </is>
      </c>
      <c r="N285" t="inlineStr">
        <is>
          <t>unverified</t>
        </is>
      </c>
      <c r="O285" t="inlineStr">
        <is>
          <t>Launched MALAPOP 3, 5 and 10 packs online and showed it as a new product at SFFS 2026</t>
        </is>
      </c>
      <c r="P285" t="inlineStr">
        <is>
          <t>https://malapop.food/products.json</t>
        </is>
      </c>
      <c r="Q285" t="inlineStr">
        <is>
          <t>2026-04-03</t>
        </is>
      </c>
      <c r="R285" t="inlineStr">
        <is>
          <t>N</t>
        </is>
      </c>
      <c r="S285" t="inlineStr">
        <is>
          <t>unknown</t>
        </is>
      </c>
      <c r="T285" t="inlineStr">
        <is>
          <t>N</t>
        </is>
      </c>
      <c r="U285" t="inlineStr">
        <is>
          <t>new</t>
        </is>
      </c>
      <c r="V285" t="inlineStr">
        <is>
          <t>https://events.specialtyfood.com/event/2026-summer-fancy-food-show/exhibitor/RXhoaWJpdG9yXzI0Njk4NjE=</t>
        </is>
      </c>
      <c r="W285" t="inlineStr">
        <is>
          <t>2026-10-24</t>
        </is>
      </c>
      <c r="X285" t="inlineStr">
        <is>
          <t>brand</t>
        </is>
      </c>
      <c r="Y285">
        <f>IF(EB285&lt;&gt;"Y","",COUNTIFS($EB$2:$EB$1000,"Y",$J$2:$J$1000,"&gt;"&amp;J285)+COUNTIFS($EB$2:$EB$1000,"Y",$J$2:$J$1000,J285,$ED$2:$ED$1000,"&lt;"&amp;ED285)+1)</f>
        <v/>
      </c>
      <c r="AA285" t="inlineStr">
        <is>
          <t>N</t>
        </is>
      </c>
      <c r="AD285" t="inlineStr">
        <is>
          <t>none</t>
        </is>
      </c>
      <c r="AH285" t="inlineStr">
        <is>
          <t>MALAPOP Sichuan flavored popcorn, 3-pack</t>
        </is>
      </c>
      <c r="AI285" t="inlineStr">
        <is>
          <t>popcorn-puffs</t>
        </is>
      </c>
      <c r="AJ285" t="inlineStr">
        <is>
          <t>Brooklyn</t>
        </is>
      </c>
      <c r="AK285" t="inlineStr">
        <is>
          <t>https://tastedepartment.food</t>
        </is>
      </c>
      <c r="AL285" t="inlineStr">
        <is>
          <t>Y</t>
        </is>
      </c>
      <c r="AM285" t="inlineStr">
        <is>
          <t>Claims were seen on the website, not the pack; if the bag carries none, the founder may reconsider</t>
        </is>
      </c>
      <c r="AN285" t="inlineStr">
        <is>
          <t>AB-299</t>
        </is>
      </c>
      <c r="AO285" t="inlineStr">
        <is>
          <t>N</t>
        </is>
      </c>
      <c r="AR285">
        <f>IF(AND(AU285="pass",AO285&lt;&gt;"Y",C285&lt;&gt;""),"Y","N")</f>
        <v/>
      </c>
      <c r="AS285">
        <f>_xlfn.TEXTJOIN("; ",TRUE,IF(AU285&lt;&gt;"pass","gated out",""),IF(AO285="Y","on hold: "&amp;AP285,""),IF(C285="","no contact named on an opened page",""))</f>
        <v/>
      </c>
      <c r="AU285" t="inlineStr">
        <is>
          <t>fail</t>
        </is>
      </c>
      <c r="AV285" t="inlineStr">
        <is>
          <t>health-claim</t>
        </is>
      </c>
      <c r="AW285" t="inlineStr">
        <is>
          <t>health-claim: Explicit health claims in the website's ingredient panel: 'lowers blood pressure', 'boosts metabolism, fires up digestion', 'anti-inflammatory, benefits digestion'</t>
        </is>
      </c>
      <c r="AX285" t="inlineStr">
        <is>
          <t>claim-borderline</t>
        </is>
      </c>
      <c r="AY285" t="inlineStr">
        <is>
          <t>https://malapop.food</t>
        </is>
      </c>
      <c r="AZ285" t="inlineStr">
        <is>
          <t>NY</t>
        </is>
      </c>
      <c r="BA285" t="inlineStr">
        <is>
          <t>nyc</t>
        </is>
      </c>
      <c r="BB285" t="inlineStr">
        <is>
          <t>unknown</t>
        </is>
      </c>
      <c r="BD285" t="inlineStr">
        <is>
          <t>Y</t>
        </is>
      </c>
      <c r="BE285" t="inlineStr">
        <is>
          <t>Bagged popcorn sold ambient online</t>
        </is>
      </c>
      <c r="BF285" t="inlineStr">
        <is>
          <t>Y</t>
        </is>
      </c>
      <c r="BG285" t="inlineStr">
        <is>
          <t>Y</t>
        </is>
      </c>
      <c r="BH285" t="inlineStr">
        <is>
          <t>unknown</t>
        </is>
      </c>
      <c r="BJ285" t="inlineStr">
        <is>
          <t>No sourced sales figure found</t>
        </is>
      </c>
      <c r="BK285" t="inlineStr">
        <is>
          <t>Y</t>
        </is>
      </c>
      <c r="BL285" t="inlineStr">
        <is>
          <t>Y</t>
        </is>
      </c>
      <c r="BM285" t="inlineStr">
        <is>
          <t>Explicit health claims in the website's ingredient panel: 'lowers blood pressure', 'boosts metabolism, fires up digestion', 'anti-inflammatory, benefits digestion'</t>
        </is>
      </c>
      <c r="BO285" t="inlineStr">
        <is>
          <t>N</t>
        </is>
      </c>
      <c r="BP285" t="n">
        <v>0</v>
      </c>
      <c r="BS285" t="inlineStr">
        <is>
          <t>Stockists page is empty</t>
        </is>
      </c>
      <c r="BU285" t="inlineStr">
        <is>
          <t>listing</t>
        </is>
      </c>
      <c r="BV285" t="n">
        <v>204</v>
      </c>
      <c r="CF285" t="inlineStr">
        <is>
          <t>none</t>
        </is>
      </c>
      <c r="CK285" t="inlineStr">
        <is>
          <t>none</t>
        </is>
      </c>
      <c r="CL285" t="n">
        <v>41</v>
      </c>
      <c r="CM285" t="n">
        <v>6</v>
      </c>
      <c r="CN285" t="n">
        <v>20</v>
      </c>
      <c r="CO285" t="n">
        <v>4</v>
      </c>
      <c r="CP285" t="n">
        <v>5</v>
      </c>
      <c r="CQ285" t="n">
        <v>10</v>
      </c>
      <c r="CR285" t="n">
        <v>0</v>
      </c>
      <c r="CS285">
        <f>IF(R285="Y",10,0)</f>
        <v/>
      </c>
      <c r="CT285" t="n">
        <v>-4</v>
      </c>
      <c r="CU285" t="inlineStr">
        <is>
          <t>https://www.instagram.com/tastedeptsnacks</t>
        </is>
      </c>
      <c r="CV285" t="inlineStr">
        <is>
          <t>BR5</t>
        </is>
      </c>
      <c r="CW285" t="inlineStr">
        <is>
          <t>BR5:35</t>
        </is>
      </c>
      <c r="CX285" t="inlineStr">
        <is>
          <t>SFFS 2026 (Taste Department, LLC; State: New York): 'the company behind MALAPOP - Sichuan Flavored Popcorn. Produced in Brooklyn'. malapop.food redirects to tastedepartment.food.</t>
        </is>
      </c>
      <c r="DA285" t="inlineStr">
        <is>
          <t>stage 1 only</t>
        </is>
      </c>
      <c r="DY285">
        <f>IF(ISNUMBER(MATCH(U285,{"queued","contacted","replied","call_booked","call_done","yes_in_principle","materials_sent"},0)),"Y","N")</f>
        <v/>
      </c>
      <c r="DZ285">
        <f>IF(COUNTIFS($AN$2:$AN$1000,AN285,$DY$2:$DY$1000,"Y")+COUNTIFS($AN$2:$AN$1000,AN285,$T$2:$T$1000,"Y")&gt;0,"Y","N")</f>
        <v/>
      </c>
      <c r="EA285">
        <f>IF(AND(U285="new",T285="N",AR285="Y",AQ285="",DZ285="N"),"Y","N")</f>
        <v/>
      </c>
      <c r="EB285">
        <f>IF(EA285&lt;&gt;"Y","N",IF(COUNTIFS($AN$2:$AN$1000,AN285,$EA$2:$EA$1000,"Y",$J$2:$J$1000,"&gt;"&amp;J285)+COUNTIFS($AN$2:$AN$1000,AN285,$EA$2:$EA$1000,"Y",$J$2:$J$1000,J285,$ED$2:$ED$1000,"&lt;"&amp;ED285)=0,"Y","N"))</f>
        <v/>
      </c>
      <c r="EC285">
        <f>IF(Y285="","N",IF(Y285&lt;=10,"Y","N"))</f>
        <v/>
      </c>
      <c r="ED285">
        <f>ROW()-1</f>
        <v/>
      </c>
    </row>
    <row r="286">
      <c r="A286" t="inlineStr">
        <is>
          <t>AB-138</t>
        </is>
      </c>
      <c r="B286" t="inlineStr">
        <is>
          <t>Asarasi</t>
        </is>
      </c>
      <c r="H286" t="inlineStr">
        <is>
          <t>none</t>
        </is>
      </c>
      <c r="J286">
        <f>IF(AU286="pass",CM286+CN286+CO286+CP286+CQ286+CR286+CS286+CT286,0)</f>
        <v/>
      </c>
      <c r="K286" t="inlineStr">
        <is>
          <t>Gated out: health-claim: Explicit health claims: probiotics 'promote digestive wellness, enhance immune support, and foster a healthy gut microbiome'; homepage 'Gut Health.</t>
        </is>
      </c>
      <c r="M286" t="inlineStr">
        <is>
          <t>none found within ten blocks</t>
        </is>
      </c>
      <c r="N286" t="inlineStr">
        <is>
          <t>unverified</t>
        </is>
      </c>
      <c r="R286" t="inlineStr">
        <is>
          <t>N</t>
        </is>
      </c>
      <c r="S286" t="inlineStr">
        <is>
          <t>unknown</t>
        </is>
      </c>
      <c r="T286" t="inlineStr">
        <is>
          <t>N</t>
        </is>
      </c>
      <c r="U286" t="inlineStr">
        <is>
          <t>new</t>
        </is>
      </c>
      <c r="V286" t="inlineStr">
        <is>
          <t>https://asarasi.com/products.json</t>
        </is>
      </c>
      <c r="W286" t="inlineStr">
        <is>
          <t>2026-10-23</t>
        </is>
      </c>
      <c r="X286" t="inlineStr">
        <is>
          <t>brand</t>
        </is>
      </c>
      <c r="Y286">
        <f>IF(EB286&lt;&gt;"Y","",COUNTIFS($EB$2:$EB$1000,"Y",$J$2:$J$1000,"&gt;"&amp;J286)+COUNTIFS($EB$2:$EB$1000,"Y",$J$2:$J$1000,J286,$ED$2:$ED$1000,"&lt;"&amp;ED286)+1)</f>
        <v/>
      </c>
      <c r="AA286" t="inlineStr">
        <is>
          <t>N</t>
        </is>
      </c>
      <c r="AD286" t="inlineStr">
        <is>
          <t>none</t>
        </is>
      </c>
      <c r="AH286" t="inlineStr">
        <is>
          <t>Asarasi Probiotic Seltzer (sparkling tree water), can</t>
        </is>
      </c>
      <c r="AI286" t="inlineStr">
        <is>
          <t>sparkling-soda</t>
        </is>
      </c>
      <c r="AJ286" t="inlineStr">
        <is>
          <t>unknown</t>
        </is>
      </c>
      <c r="AK286" t="inlineStr">
        <is>
          <t>https://asarasi.com</t>
        </is>
      </c>
      <c r="AL286" t="inlineStr">
        <is>
          <t>Y</t>
        </is>
      </c>
      <c r="AM286" t="inlineStr">
        <is>
          <t>60-day shelf life not stated</t>
        </is>
      </c>
      <c r="AN286" t="inlineStr">
        <is>
          <t>AB-138</t>
        </is>
      </c>
      <c r="AO286" t="inlineStr">
        <is>
          <t>N</t>
        </is>
      </c>
      <c r="AR286">
        <f>IF(AND(AU286="pass",AO286&lt;&gt;"Y",C286&lt;&gt;""),"Y","N")</f>
        <v/>
      </c>
      <c r="AS286">
        <f>_xlfn.TEXTJOIN("; ",TRUE,IF(AU286&lt;&gt;"pass","gated out",""),IF(AO286="Y","on hold: "&amp;AP286,""),IF(C286="","no contact named on an opened page",""))</f>
        <v/>
      </c>
      <c r="AU286" t="inlineStr">
        <is>
          <t>fail</t>
        </is>
      </c>
      <c r="AV286" t="inlineStr">
        <is>
          <t>health-claim</t>
        </is>
      </c>
      <c r="AW286" t="inlineStr">
        <is>
          <t>health-claim: Explicit health claims: probiotics 'promote digestive wellness, enhance immune support, and foster a healthy gut microbiome'; homepage 'Gut Healthy'</t>
        </is>
      </c>
      <c r="AY286" t="inlineStr">
        <is>
          <t>https://asarasi.com</t>
        </is>
      </c>
      <c r="AZ286" t="inlineStr">
        <is>
          <t>NY</t>
        </is>
      </c>
      <c r="BA286" t="inlineStr">
        <is>
          <t>nys</t>
        </is>
      </c>
      <c r="BB286" t="inlineStr">
        <is>
          <t>unknown</t>
        </is>
      </c>
      <c r="BD286" t="inlineStr">
        <is>
          <t>unknown</t>
        </is>
      </c>
      <c r="BE286" t="inlineStr">
        <is>
          <t>No statement found</t>
        </is>
      </c>
      <c r="BF286" t="inlineStr">
        <is>
          <t>Y</t>
        </is>
      </c>
      <c r="BG286" t="inlineStr">
        <is>
          <t>Y</t>
        </is>
      </c>
      <c r="BH286" t="inlineStr">
        <is>
          <t>unknown</t>
        </is>
      </c>
      <c r="BJ286" t="inlineStr">
        <is>
          <t>No public sales figure found</t>
        </is>
      </c>
      <c r="BK286" t="inlineStr">
        <is>
          <t>Y</t>
        </is>
      </c>
      <c r="BL286" t="inlineStr">
        <is>
          <t>Y</t>
        </is>
      </c>
      <c r="BM286" t="inlineStr">
        <is>
          <t>Explicit health claims: probiotics 'promote digestive wellness, enhance immune support, and foster a healthy gut microbiome'; homepage 'Gut Healthy'</t>
        </is>
      </c>
      <c r="BO286" t="inlineStr">
        <is>
          <t>N</t>
        </is>
      </c>
      <c r="BP286" t="n">
        <v>0</v>
      </c>
      <c r="BS286" t="inlineStr">
        <is>
          <t>unknown</t>
        </is>
      </c>
      <c r="BU286" t="inlineStr">
        <is>
          <t>none</t>
        </is>
      </c>
      <c r="CF286" t="inlineStr">
        <is>
          <t>none</t>
        </is>
      </c>
      <c r="CK286" t="inlineStr">
        <is>
          <t>none</t>
        </is>
      </c>
      <c r="CL286" t="n">
        <v>31</v>
      </c>
      <c r="CM286" t="n">
        <v>6</v>
      </c>
      <c r="CN286" t="n">
        <v>13</v>
      </c>
      <c r="CO286" t="n">
        <v>0</v>
      </c>
      <c r="CP286" t="n">
        <v>5</v>
      </c>
      <c r="CQ286" t="n">
        <v>7</v>
      </c>
      <c r="CR286" t="n">
        <v>0</v>
      </c>
      <c r="CS286">
        <f>IF(R286="Y",10,0)</f>
        <v/>
      </c>
      <c r="CT286" t="n">
        <v>0</v>
      </c>
      <c r="CU286" t="inlineStr">
        <is>
          <t>https://www.instagram.com/asarasi</t>
        </is>
      </c>
      <c r="CV286" t="inlineStr">
        <is>
          <t>BR3</t>
        </is>
      </c>
      <c r="CW286" t="inlineStr">
        <is>
          <t>BR3:12</t>
        </is>
      </c>
      <c r="CX286" t="inlineStr">
        <is>
          <t>NY state (Adirondack maple tree water) origin is from memory only, so hq_city left unknown. Plain 'Shop Bottles' line may lack probiotics; brand-level claims still exclude it.</t>
        </is>
      </c>
      <c r="DA286" t="inlineStr">
        <is>
          <t>stage 1 only</t>
        </is>
      </c>
      <c r="DY286">
        <f>IF(ISNUMBER(MATCH(U286,{"queued","contacted","replied","call_booked","call_done","yes_in_principle","materials_sent"},0)),"Y","N")</f>
        <v/>
      </c>
      <c r="DZ286">
        <f>IF(COUNTIFS($AN$2:$AN$1000,AN286,$DY$2:$DY$1000,"Y")+COUNTIFS($AN$2:$AN$1000,AN286,$T$2:$T$1000,"Y")&gt;0,"Y","N")</f>
        <v/>
      </c>
      <c r="EA286">
        <f>IF(AND(U286="new",T286="N",AR286="Y",AQ286="",DZ286="N"),"Y","N")</f>
        <v/>
      </c>
      <c r="EB286">
        <f>IF(EA286&lt;&gt;"Y","N",IF(COUNTIFS($AN$2:$AN$1000,AN286,$EA$2:$EA$1000,"Y",$J$2:$J$1000,"&gt;"&amp;J286)+COUNTIFS($AN$2:$AN$1000,AN286,$EA$2:$EA$1000,"Y",$J$2:$J$1000,J286,$ED$2:$ED$1000,"&lt;"&amp;ED286)=0,"Y","N"))</f>
        <v/>
      </c>
      <c r="EC286">
        <f>IF(Y286="","N",IF(Y286&lt;=10,"Y","N"))</f>
        <v/>
      </c>
      <c r="ED286">
        <f>ROW()-1</f>
        <v/>
      </c>
    </row>
    <row r="287">
      <c r="A287" t="inlineStr">
        <is>
          <t>AB-065</t>
        </is>
      </c>
      <c r="B287" t="inlineStr">
        <is>
          <t>Belgian Boys</t>
        </is>
      </c>
      <c r="H287" t="inlineStr">
        <is>
          <t>none</t>
        </is>
      </c>
      <c r="J287">
        <f>IF(AU287="pass",CM287+CN287+CO287+CP287+CQ287+CR287+CS287+CT287,0)</f>
        <v/>
      </c>
      <c r="K287" t="inlineStr">
        <is>
          <t>Gated out: not-shelf-stable: Refrigerated products (brand where-to-buy page: refrigerated aisle).</t>
        </is>
      </c>
      <c r="M287" t="inlineStr">
        <is>
          <t>none found within ten blocks</t>
        </is>
      </c>
      <c r="N287" t="inlineStr">
        <is>
          <t>unverified</t>
        </is>
      </c>
      <c r="O287" t="inlineStr">
        <is>
          <t>Debuted Bite-Sized Waffles at Expo West, Costco launch April 2026 (NOSH press release seen in search results; page blocked, unverified, founder to confirm)</t>
        </is>
      </c>
      <c r="P287" t="inlineStr">
        <is>
          <t>https://www.nosh.com/pr/2026/02/25/belgian-boys-to-debut-new-bitesized-waffles-at-expo-west</t>
        </is>
      </c>
      <c r="Q287" t="inlineStr">
        <is>
          <t>2026-02-25</t>
        </is>
      </c>
      <c r="R287" t="inlineStr">
        <is>
          <t>N</t>
        </is>
      </c>
      <c r="S287" t="inlineStr">
        <is>
          <t>unknown</t>
        </is>
      </c>
      <c r="T287" t="inlineStr">
        <is>
          <t>N</t>
        </is>
      </c>
      <c r="U287" t="inlineStr">
        <is>
          <t>new</t>
        </is>
      </c>
      <c r="V287" t="inlineStr">
        <is>
          <t>https://www.belgianboys.com/pages/where-to-buy</t>
        </is>
      </c>
      <c r="W287" t="inlineStr">
        <is>
          <t>2026-10-23</t>
        </is>
      </c>
      <c r="X287" t="inlineStr">
        <is>
          <t>brand</t>
        </is>
      </c>
      <c r="Y287">
        <f>IF(EB287&lt;&gt;"Y","",COUNTIFS($EB$2:$EB$1000,"Y",$J$2:$J$1000,"&gt;"&amp;J287)+COUNTIFS($EB$2:$EB$1000,"Y",$J$2:$J$1000,J287,$ED$2:$ED$1000,"&lt;"&amp;ED287)+1)</f>
        <v/>
      </c>
      <c r="AA287" t="inlineStr">
        <is>
          <t>N</t>
        </is>
      </c>
      <c r="AC287" t="inlineStr">
        <is>
          <t>founder</t>
        </is>
      </c>
      <c r="AD287" t="inlineStr">
        <is>
          <t>unverified</t>
        </is>
      </c>
      <c r="AE287" t="inlineStr">
        <is>
          <t>employer's own site</t>
        </is>
      </c>
      <c r="AF287" t="inlineStr">
        <is>
          <t>https://www.belgianboys.com/pages/our-story</t>
        </is>
      </c>
      <c r="AG287" t="inlineStr">
        <is>
          <t>2026-10-23</t>
        </is>
      </c>
      <c r="AH287" t="inlineStr">
        <is>
          <t>Bite-Sized Waffles (also pancakes, crepes)</t>
        </is>
      </c>
      <c r="AI287" t="inlineStr">
        <is>
          <t>other-snack</t>
        </is>
      </c>
      <c r="AJ287" t="inlineStr">
        <is>
          <t>New York (founders live in NYC per brand Our Story; HQ address not stated)</t>
        </is>
      </c>
      <c r="AK287" t="inlineStr">
        <is>
          <t>https://www.belgianboys.com</t>
        </is>
      </c>
      <c r="AL287" t="inlineStr">
        <is>
          <t>Y</t>
        </is>
      </c>
      <c r="AM287" t="inlineStr">
        <is>
          <t>scale signal in the why-now ('Costco'): likely above the $10M band; ask at intake</t>
        </is>
      </c>
      <c r="AN287" t="inlineStr">
        <is>
          <t>AB-065</t>
        </is>
      </c>
      <c r="AO287" t="inlineStr">
        <is>
          <t>N</t>
        </is>
      </c>
      <c r="AR287">
        <f>IF(AND(AU287="pass",AO287&lt;&gt;"Y",C287&lt;&gt;""),"Y","N")</f>
        <v/>
      </c>
      <c r="AS287">
        <f>_xlfn.TEXTJOIN("; ",TRUE,IF(AU287&lt;&gt;"pass","gated out",""),IF(AO287="Y","on hold: "&amp;AP287,""),IF(C287="","no contact named on an opened page",""))</f>
        <v/>
      </c>
      <c r="AU287" t="inlineStr">
        <is>
          <t>fail</t>
        </is>
      </c>
      <c r="AV287" t="inlineStr">
        <is>
          <t>not-shelf-stable</t>
        </is>
      </c>
      <c r="AW287" t="inlineStr">
        <is>
          <t>not-shelf-stable: Refrigerated products (brand where-to-buy page: refrigerated aisle)</t>
        </is>
      </c>
      <c r="AX287" t="inlineStr">
        <is>
          <t>scale</t>
        </is>
      </c>
      <c r="AY287" t="inlineStr">
        <is>
          <t>https://www.belgianboys.com</t>
        </is>
      </c>
      <c r="AZ287" t="inlineStr">
        <is>
          <t>NY</t>
        </is>
      </c>
      <c r="BA287" t="inlineStr">
        <is>
          <t>nyc</t>
        </is>
      </c>
      <c r="BB287" t="inlineStr">
        <is>
          <t>unknown</t>
        </is>
      </c>
      <c r="BD287" t="inlineStr">
        <is>
          <t>N</t>
        </is>
      </c>
      <c r="BE287" t="inlineStr">
        <is>
          <t>Brand where-to-buy page says to find products 'in the nearest refrigerated aisle'</t>
        </is>
      </c>
      <c r="BF287" t="inlineStr">
        <is>
          <t>unknown</t>
        </is>
      </c>
      <c r="BG287" t="inlineStr">
        <is>
          <t>Y</t>
        </is>
      </c>
      <c r="BH287" t="inlineStr">
        <is>
          <t>unknown</t>
        </is>
      </c>
      <c r="BJ287" t="inlineStr">
        <is>
          <t>Brand Our Story says 'found in over 12,000 stores' (store count, not used for band)</t>
        </is>
      </c>
      <c r="BK287" t="inlineStr">
        <is>
          <t>N</t>
        </is>
      </c>
      <c r="BL287" t="inlineStr">
        <is>
          <t>Y</t>
        </is>
      </c>
      <c r="BM287" t="inlineStr">
        <is>
          <t>Refrigerated products (brand where-to-buy page: refrigerated aisle)</t>
        </is>
      </c>
      <c r="BO287" t="inlineStr">
        <is>
          <t>N</t>
        </is>
      </c>
      <c r="BP287" t="n">
        <v>0</v>
      </c>
      <c r="BS287" t="inlineStr">
        <is>
          <t>Costco; Target; Publix; Kroger; Walmart</t>
        </is>
      </c>
      <c r="BT287" t="inlineStr">
        <is>
          <t>https://www.belgianboys.com/pages/where-to-buy</t>
        </is>
      </c>
      <c r="BU287" t="inlineStr">
        <is>
          <t>unverified</t>
        </is>
      </c>
      <c r="BV287" t="n">
        <v>241</v>
      </c>
      <c r="BX287" t="inlineStr">
        <is>
          <t>Anouck</t>
        </is>
      </c>
      <c r="BY287" t="inlineStr">
        <is>
          <t>surname Gotlib per DeliMarket News search result, unverified, founder to confirm</t>
        </is>
      </c>
      <c r="CF287" t="inlineStr">
        <is>
          <t>none</t>
        </is>
      </c>
      <c r="CK287" t="inlineStr">
        <is>
          <t>none</t>
        </is>
      </c>
      <c r="CL287" t="n">
        <v>26</v>
      </c>
      <c r="CM287" t="n">
        <v>6</v>
      </c>
      <c r="CN287" t="n">
        <v>20</v>
      </c>
      <c r="CO287" t="n">
        <v>0</v>
      </c>
      <c r="CP287" t="n">
        <v>5</v>
      </c>
      <c r="CQ287" t="n">
        <v>4</v>
      </c>
      <c r="CR287" t="n">
        <v>3</v>
      </c>
      <c r="CS287">
        <f>IF(R287="Y",10,0)</f>
        <v/>
      </c>
      <c r="CT287" t="n">
        <v>-12</v>
      </c>
      <c r="CU287" t="inlineStr">
        <is>
          <t>https://www.instagram.com/belgianboys/</t>
        </is>
      </c>
      <c r="CV287" t="inlineStr">
        <is>
          <t>BR2</t>
        </is>
      </c>
      <c r="CW287" t="inlineStr">
        <is>
          <t>BR2:2</t>
        </is>
      </c>
      <c r="CX287" t="inlineStr">
        <is>
          <t>Breakfast items, not a sweet-snack fit; recorded only so the gate is visible. Pages opened 2026-10-23.</t>
        </is>
      </c>
      <c r="DA287" t="inlineStr">
        <is>
          <t>stage 1 only</t>
        </is>
      </c>
      <c r="DY287">
        <f>IF(ISNUMBER(MATCH(U287,{"queued","contacted","replied","call_booked","call_done","yes_in_principle","materials_sent"},0)),"Y","N")</f>
        <v/>
      </c>
      <c r="DZ287">
        <f>IF(COUNTIFS($AN$2:$AN$1000,AN287,$DY$2:$DY$1000,"Y")+COUNTIFS($AN$2:$AN$1000,AN287,$T$2:$T$1000,"Y")&gt;0,"Y","N")</f>
        <v/>
      </c>
      <c r="EA287">
        <f>IF(AND(U287="new",T287="N",AR287="Y",AQ287="",DZ287="N"),"Y","N")</f>
        <v/>
      </c>
      <c r="EB287">
        <f>IF(EA287&lt;&gt;"Y","N",IF(COUNTIFS($AN$2:$AN$1000,AN287,$EA$2:$EA$1000,"Y",$J$2:$J$1000,"&gt;"&amp;J287)+COUNTIFS($AN$2:$AN$1000,AN287,$EA$2:$EA$1000,"Y",$J$2:$J$1000,J287,$ED$2:$ED$1000,"&lt;"&amp;ED287)=0,"Y","N"))</f>
        <v/>
      </c>
      <c r="EC287">
        <f>IF(Y287="","N",IF(Y287&lt;=10,"Y","N"))</f>
        <v/>
      </c>
      <c r="ED287">
        <f>ROW()-1</f>
        <v/>
      </c>
    </row>
    <row r="288">
      <c r="A288" t="inlineStr">
        <is>
          <t>AB-132</t>
        </is>
      </c>
      <c r="B288" t="inlineStr">
        <is>
          <t>Brooklyn Crafted</t>
        </is>
      </c>
      <c r="C288" t="inlineStr">
        <is>
          <t>Terry</t>
        </is>
      </c>
      <c r="D288" t="inlineStr">
        <is>
          <t>Tang</t>
        </is>
      </c>
      <c r="E288" t="inlineStr">
        <is>
          <t>Owner</t>
        </is>
      </c>
      <c r="H288" t="inlineStr">
        <is>
          <t>none</t>
        </is>
      </c>
      <c r="I288" t="inlineStr">
        <is>
          <t>linkedin</t>
        </is>
      </c>
      <c r="J288">
        <f>IF(AU288="pass",CM288+CN288+CO288+CP288+CQ288+CR288+CS288+CT288,0)</f>
        <v/>
      </c>
      <c r="K288" t="inlineStr">
        <is>
          <t>Gated out: no-buy-path: no graded store within ten blocks and no online store shown.</t>
        </is>
      </c>
      <c r="M288" t="inlineStr">
        <is>
          <t>none found within ten blocks</t>
        </is>
      </c>
      <c r="N288" t="inlineStr">
        <is>
          <t>unverified</t>
        </is>
      </c>
      <c r="R288" t="inlineStr">
        <is>
          <t>N</t>
        </is>
      </c>
      <c r="S288" t="inlineStr">
        <is>
          <t>unknown</t>
        </is>
      </c>
      <c r="T288" t="inlineStr">
        <is>
          <t>N</t>
        </is>
      </c>
      <c r="U288" t="inlineStr">
        <is>
          <t>new</t>
        </is>
      </c>
      <c r="V288" t="inlineStr">
        <is>
          <t>https://www.drinkbrooklyncrafted.com</t>
        </is>
      </c>
      <c r="W288" t="inlineStr">
        <is>
          <t>2026-10-23</t>
        </is>
      </c>
      <c r="X288" t="inlineStr">
        <is>
          <t>brand</t>
        </is>
      </c>
      <c r="Y288">
        <f>IF(EB288&lt;&gt;"Y","",COUNTIFS($EB$2:$EB$1000,"Y",$J$2:$J$1000,"&gt;"&amp;J288)+COUNTIFS($EB$2:$EB$1000,"Y",$J$2:$J$1000,J288,$ED$2:$ED$1000,"&lt;"&amp;ED288)+1)</f>
        <v/>
      </c>
      <c r="AA288" t="inlineStr">
        <is>
          <t>N</t>
        </is>
      </c>
      <c r="AC288" t="inlineStr">
        <is>
          <t>founder</t>
        </is>
      </c>
      <c r="AD288" t="inlineStr">
        <is>
          <t>verified-page</t>
        </is>
      </c>
      <c r="AE288" t="inlineStr">
        <is>
          <t>press, event or podcast page</t>
        </is>
      </c>
      <c r="AF288" t="inlineStr">
        <is>
          <t>https://ediblebrooklyn.com/?p=78713</t>
        </is>
      </c>
      <c r="AG288" t="inlineStr">
        <is>
          <t>2026-10-23</t>
        </is>
      </c>
      <c r="AH288" t="inlineStr">
        <is>
          <t>Brooklyn Crafted Ginger Beer (Traditional, Extra Spicy, Sugar Free), glass bottle</t>
        </is>
      </c>
      <c r="AI288" t="inlineStr">
        <is>
          <t>sparkling-soda</t>
        </is>
      </c>
      <c r="AJ288" t="inlineStr">
        <is>
          <t>Brooklyn</t>
        </is>
      </c>
      <c r="AK288" t="inlineStr">
        <is>
          <t>unknown</t>
        </is>
      </c>
      <c r="AL288" t="inlineStr">
        <is>
          <t>Y</t>
        </is>
      </c>
      <c r="AM288" t="inlineStr">
        <is>
          <t>No online store and no named retailer near the cluster found (may fail buy-path gate); same parent as Moshi and Bruce Cost: contact once, Moshi is the stronger lead; 60-day shelf life not stated</t>
        </is>
      </c>
      <c r="AN288" t="inlineStr">
        <is>
          <t>grp-130-131-132</t>
        </is>
      </c>
      <c r="AO288" t="inlineStr">
        <is>
          <t>N</t>
        </is>
      </c>
      <c r="AR288">
        <f>IF(AND(AU288="pass",AO288&lt;&gt;"Y",C288&lt;&gt;""),"Y","N")</f>
        <v/>
      </c>
      <c r="AS288">
        <f>_xlfn.TEXTJOIN("; ",TRUE,IF(AU288&lt;&gt;"pass","gated out",""),IF(AO288="Y","on hold: "&amp;AP288,""),IF(C288="","no contact named on an opened page",""))</f>
        <v/>
      </c>
      <c r="AU288" t="inlineStr">
        <is>
          <t>fail</t>
        </is>
      </c>
      <c r="AV288" t="inlineStr">
        <is>
          <t>no-buy-path</t>
        </is>
      </c>
      <c r="AW288" t="inlineStr">
        <is>
          <t>no-buy-path: no graded store within ten blocks and no online store shown</t>
        </is>
      </c>
      <c r="AX288" t="inlineStr">
        <is>
          <t>other</t>
        </is>
      </c>
      <c r="AY288" t="inlineStr">
        <is>
          <t>https://www.drinkbrooklyncrafted.com</t>
        </is>
      </c>
      <c r="AZ288" t="inlineStr">
        <is>
          <t>NY</t>
        </is>
      </c>
      <c r="BA288" t="inlineStr">
        <is>
          <t>nyc</t>
        </is>
      </c>
      <c r="BB288" t="inlineStr">
        <is>
          <t>unknown</t>
        </is>
      </c>
      <c r="BD288" t="inlineStr">
        <is>
          <t>unknown</t>
        </is>
      </c>
      <c r="BE288" t="inlineStr">
        <is>
          <t>No shelf-stability statement found on brand site; founder to confirm</t>
        </is>
      </c>
      <c r="BF288" t="inlineStr">
        <is>
          <t>Y</t>
        </is>
      </c>
      <c r="BG288" t="inlineStr">
        <is>
          <t>N</t>
        </is>
      </c>
      <c r="BH288" t="inlineStr">
        <is>
          <t>unknown</t>
        </is>
      </c>
      <c r="BJ288" t="inlineStr">
        <is>
          <t>No public sales figure found</t>
        </is>
      </c>
      <c r="BK288" t="inlineStr">
        <is>
          <t>N</t>
        </is>
      </c>
      <c r="BL288" t="inlineStr">
        <is>
          <t>N</t>
        </is>
      </c>
      <c r="BO288" t="inlineStr">
        <is>
          <t>N</t>
        </is>
      </c>
      <c r="BP288" t="n">
        <v>0</v>
      </c>
      <c r="BS288" t="inlineStr">
        <is>
          <t>supermarkets and delis (Edible Brooklyn 2019, no names)</t>
        </is>
      </c>
      <c r="BU288" t="inlineStr">
        <is>
          <t>none</t>
        </is>
      </c>
      <c r="BX288" t="inlineStr">
        <is>
          <t>Terry Tang</t>
        </is>
      </c>
      <c r="CA288" t="inlineStr">
        <is>
          <t>Horin Yip</t>
        </is>
      </c>
      <c r="CB288" t="inlineStr">
        <is>
          <t>Horin</t>
        </is>
      </c>
      <c r="CC288" t="inlineStr">
        <is>
          <t>Yip</t>
        </is>
      </c>
      <c r="CD288" t="inlineStr">
        <is>
          <t>Brand Marketing Manager, Brooklyn Food &amp; Beverage</t>
        </is>
      </c>
      <c r="CE288" t="inlineStr">
        <is>
          <t>marketing</t>
        </is>
      </c>
      <c r="CF288" t="inlineStr">
        <is>
          <t>verified-page</t>
        </is>
      </c>
      <c r="CK288" t="inlineStr">
        <is>
          <t>none</t>
        </is>
      </c>
      <c r="CL288" t="n">
        <v>37</v>
      </c>
      <c r="CM288" t="n">
        <v>0</v>
      </c>
      <c r="CN288" t="n">
        <v>20</v>
      </c>
      <c r="CO288" t="n">
        <v>0</v>
      </c>
      <c r="CP288" t="n">
        <v>5</v>
      </c>
      <c r="CQ288" t="n">
        <v>4</v>
      </c>
      <c r="CR288" t="n">
        <v>10</v>
      </c>
      <c r="CS288">
        <f>IF(R288="Y",10,0)</f>
        <v/>
      </c>
      <c r="CT288" t="n">
        <v>-2</v>
      </c>
      <c r="CU288" t="inlineStr">
        <is>
          <t>http://instagram.com/bklynfnb</t>
        </is>
      </c>
      <c r="CV288" t="inlineStr">
        <is>
          <t>BR3</t>
        </is>
      </c>
      <c r="CW288" t="inlineStr">
        <is>
          <t>BR3:6</t>
        </is>
      </c>
      <c r="CX288" t="inlineStr">
        <is>
          <t>Site: 'Bottled and brewed in Brooklyn, NY', non-alcoholic, OU kosher. Edible Brooklyn (2019-08-14) describes in-house Brooklyn bottling line and owner Terry Tang. Owner title is from 2019; current role unverified.</t>
        </is>
      </c>
      <c r="CY288"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CZ288" t="inlineStr">
        <is>
          <t>https://attend.expowest.com/event/natural-products-expo-west-2026/exhibitor/RXhoaWJpdG9yXzIzNTgyMzE=</t>
        </is>
      </c>
      <c r="DA288" t="inlineStr">
        <is>
          <t>stage 1 only</t>
        </is>
      </c>
      <c r="DC288" t="inlineStr">
        <is>
          <t>press, event or podcast page</t>
        </is>
      </c>
      <c r="DF288" t="inlineStr">
        <is>
          <t>person 'horin yip' shared with AB-130, AB-131; person 'terry tang' shared with AB-131</t>
        </is>
      </c>
      <c r="DY288">
        <f>IF(ISNUMBER(MATCH(U288,{"queued","contacted","replied","call_booked","call_done","yes_in_principle","materials_sent"},0)),"Y","N")</f>
        <v/>
      </c>
      <c r="DZ288">
        <f>IF(COUNTIFS($AN$2:$AN$1000,AN288,$DY$2:$DY$1000,"Y")+COUNTIFS($AN$2:$AN$1000,AN288,$T$2:$T$1000,"Y")&gt;0,"Y","N")</f>
        <v/>
      </c>
      <c r="EA288">
        <f>IF(AND(U288="new",T288="N",AR288="Y",AQ288="",DZ288="N"),"Y","N")</f>
        <v/>
      </c>
      <c r="EB288">
        <f>IF(EA288&lt;&gt;"Y","N",IF(COUNTIFS($AN$2:$AN$1000,AN288,$EA$2:$EA$1000,"Y",$J$2:$J$1000,"&gt;"&amp;J288)+COUNTIFS($AN$2:$AN$1000,AN288,$EA$2:$EA$1000,"Y",$J$2:$J$1000,J288,$ED$2:$ED$1000,"&lt;"&amp;ED288)=0,"Y","N"))</f>
        <v/>
      </c>
      <c r="EC288">
        <f>IF(Y288="","N",IF(Y288&lt;=10,"Y","N"))</f>
        <v/>
      </c>
      <c r="ED288">
        <f>ROW()-1</f>
        <v/>
      </c>
    </row>
    <row r="289">
      <c r="A289" t="inlineStr">
        <is>
          <t>AB-149</t>
        </is>
      </c>
      <c r="B289" t="inlineStr">
        <is>
          <t>Curious Elixirs</t>
        </is>
      </c>
      <c r="H289" t="inlineStr">
        <is>
          <t>none</t>
        </is>
      </c>
      <c r="J289">
        <f>IF(AU289="pass",CM289+CN289+CO289+CP289+CQ289+CR289+CS289+CT289,0)</f>
        <v/>
      </c>
      <c r="K289" t="inlineStr">
        <is>
          <t>Gated out: health-claim: Adaptogen drinks with structure or function claims ('support your immune system', 'boost mood, promote relaxation'; elderberry 'for immunity').</t>
        </is>
      </c>
      <c r="M289" t="inlineStr">
        <is>
          <t>none found within ten blocks</t>
        </is>
      </c>
      <c r="N289" t="inlineStr">
        <is>
          <t>unverified</t>
        </is>
      </c>
      <c r="R289" t="inlineStr">
        <is>
          <t>N</t>
        </is>
      </c>
      <c r="S289" t="inlineStr">
        <is>
          <t>unknown</t>
        </is>
      </c>
      <c r="T289" t="inlineStr">
        <is>
          <t>N</t>
        </is>
      </c>
      <c r="U289" t="inlineStr">
        <is>
          <t>new</t>
        </is>
      </c>
      <c r="V289" t="inlineStr">
        <is>
          <t>https://curiouselixirs.com/pages/faq-1</t>
        </is>
      </c>
      <c r="W289" t="inlineStr">
        <is>
          <t>2026-10-23</t>
        </is>
      </c>
      <c r="X289" t="inlineStr">
        <is>
          <t>brand</t>
        </is>
      </c>
      <c r="Y289">
        <f>IF(EB289&lt;&gt;"Y","",COUNTIFS($EB$2:$EB$1000,"Y",$J$2:$J$1000,"&gt;"&amp;J289)+COUNTIFS($EB$2:$EB$1000,"Y",$J$2:$J$1000,J289,$ED$2:$ED$1000,"&lt;"&amp;ED289)+1)</f>
        <v/>
      </c>
      <c r="AA289" t="inlineStr">
        <is>
          <t>N</t>
        </is>
      </c>
      <c r="AD289" t="inlineStr">
        <is>
          <t>none</t>
        </is>
      </c>
      <c r="AH289" t="inlineStr">
        <is>
          <t>Curious Elixir No. 1 booze-free cocktail, bottle</t>
        </is>
      </c>
      <c r="AI289" t="inlineStr">
        <is>
          <t>other-drink</t>
        </is>
      </c>
      <c r="AJ289" t="inlineStr">
        <is>
          <t>unknown</t>
        </is>
      </c>
      <c r="AK289" t="inlineStr">
        <is>
          <t>https://curiouselixirs.com</t>
        </is>
      </c>
      <c r="AL289" t="inlineStr">
        <is>
          <t>Y</t>
        </is>
      </c>
      <c r="AM289" t="inlineStr">
        <is>
          <t>60-day shelf life not stated</t>
        </is>
      </c>
      <c r="AN289" t="inlineStr">
        <is>
          <t>AB-149</t>
        </is>
      </c>
      <c r="AO289" t="inlineStr">
        <is>
          <t>N</t>
        </is>
      </c>
      <c r="AR289">
        <f>IF(AND(AU289="pass",AO289&lt;&gt;"Y",C289&lt;&gt;""),"Y","N")</f>
        <v/>
      </c>
      <c r="AS289">
        <f>_xlfn.TEXTJOIN("; ",TRUE,IF(AU289&lt;&gt;"pass","gated out",""),IF(AO289="Y","on hold: "&amp;AP289,""),IF(C289="","no contact named on an opened page",""))</f>
        <v/>
      </c>
      <c r="AU289" t="inlineStr">
        <is>
          <t>fail</t>
        </is>
      </c>
      <c r="AV289" t="inlineStr">
        <is>
          <t>health-claim</t>
        </is>
      </c>
      <c r="AW289" t="inlineStr">
        <is>
          <t>health-claim: Adaptogen drinks with structure or function claims ('support your immune system', 'boost mood, promote relaxation'; elderberry 'for immunity')</t>
        </is>
      </c>
      <c r="AY289" t="inlineStr">
        <is>
          <t>https://curiouselixirs.com</t>
        </is>
      </c>
      <c r="AZ289" t="inlineStr">
        <is>
          <t>unknown</t>
        </is>
      </c>
      <c r="BA289" t="inlineStr">
        <is>
          <t>unknown</t>
        </is>
      </c>
      <c r="BB289" t="inlineStr">
        <is>
          <t>unknown</t>
        </is>
      </c>
      <c r="BD289" t="inlineStr">
        <is>
          <t>unknown</t>
        </is>
      </c>
      <c r="BE289" t="inlineStr">
        <is>
          <t>No statement read</t>
        </is>
      </c>
      <c r="BF289" t="inlineStr">
        <is>
          <t>Y</t>
        </is>
      </c>
      <c r="BG289" t="inlineStr">
        <is>
          <t>Y</t>
        </is>
      </c>
      <c r="BH289" t="inlineStr">
        <is>
          <t>unknown</t>
        </is>
      </c>
      <c r="BJ289" t="inlineStr">
        <is>
          <t>No public sales figure found</t>
        </is>
      </c>
      <c r="BK289" t="inlineStr">
        <is>
          <t>Y</t>
        </is>
      </c>
      <c r="BL289" t="inlineStr">
        <is>
          <t>Y</t>
        </is>
      </c>
      <c r="BM289" t="inlineStr">
        <is>
          <t>Adaptogen drinks with structure or function claims ('support your immune system', 'boost mood, promote relaxation'; elderberry 'for immunity')</t>
        </is>
      </c>
      <c r="BO289" t="inlineStr">
        <is>
          <t>N</t>
        </is>
      </c>
      <c r="BP289" t="n">
        <v>0</v>
      </c>
      <c r="BS289" t="inlineStr">
        <is>
          <t>unknown</t>
        </is>
      </c>
      <c r="BU289" t="inlineStr">
        <is>
          <t>none</t>
        </is>
      </c>
      <c r="CF289" t="inlineStr">
        <is>
          <t>none</t>
        </is>
      </c>
      <c r="CK289" t="inlineStr">
        <is>
          <t>none</t>
        </is>
      </c>
      <c r="CL289" t="n">
        <v>22</v>
      </c>
      <c r="CM289" t="n">
        <v>6</v>
      </c>
      <c r="CN289" t="n">
        <v>4</v>
      </c>
      <c r="CO289" t="n">
        <v>0</v>
      </c>
      <c r="CP289" t="n">
        <v>5</v>
      </c>
      <c r="CQ289" t="n">
        <v>7</v>
      </c>
      <c r="CR289" t="n">
        <v>0</v>
      </c>
      <c r="CS289">
        <f>IF(R289="Y",10,0)</f>
        <v/>
      </c>
      <c r="CT289" t="n">
        <v>0</v>
      </c>
      <c r="CU289" t="inlineStr">
        <is>
          <t>https://www.instagram.com/curiouselixirs</t>
        </is>
      </c>
      <c r="CV289" t="inlineStr">
        <is>
          <t>BR3</t>
        </is>
      </c>
      <c r="CW289" t="inlineStr">
        <is>
          <t>BR3:23</t>
        </is>
      </c>
      <c r="CX289" t="inlineStr">
        <is>
          <t>Checked as a possible NY brand; HQ not confirmed on pages read.</t>
        </is>
      </c>
      <c r="DA289" t="inlineStr">
        <is>
          <t>stage 1 only</t>
        </is>
      </c>
      <c r="DY289">
        <f>IF(ISNUMBER(MATCH(U289,{"queued","contacted","replied","call_booked","call_done","yes_in_principle","materials_sent"},0)),"Y","N")</f>
        <v/>
      </c>
      <c r="DZ289">
        <f>IF(COUNTIFS($AN$2:$AN$1000,AN289,$DY$2:$DY$1000,"Y")+COUNTIFS($AN$2:$AN$1000,AN289,$T$2:$T$1000,"Y")&gt;0,"Y","N")</f>
        <v/>
      </c>
      <c r="EA289">
        <f>IF(AND(U289="new",T289="N",AR289="Y",AQ289="",DZ289="N"),"Y","N")</f>
        <v/>
      </c>
      <c r="EB289">
        <f>IF(EA289&lt;&gt;"Y","N",IF(COUNTIFS($AN$2:$AN$1000,AN289,$EA$2:$EA$1000,"Y",$J$2:$J$1000,"&gt;"&amp;J289)+COUNTIFS($AN$2:$AN$1000,AN289,$EA$2:$EA$1000,"Y",$J$2:$J$1000,J289,$ED$2:$ED$1000,"&lt;"&amp;ED289)=0,"Y","N"))</f>
        <v/>
      </c>
      <c r="EC289">
        <f>IF(Y289="","N",IF(Y289&lt;=10,"Y","N"))</f>
        <v/>
      </c>
      <c r="ED289">
        <f>ROW()-1</f>
        <v/>
      </c>
    </row>
    <row r="290">
      <c r="A290" t="inlineStr">
        <is>
          <t>AB-263</t>
        </is>
      </c>
      <c r="B290" t="inlineStr">
        <is>
          <t>Ginjan Bros</t>
        </is>
      </c>
      <c r="H290" t="inlineStr">
        <is>
          <t>none</t>
        </is>
      </c>
      <c r="J290">
        <f>IF(AU290="pass",CM290+CN290+CO290+CP290+CQ290+CR290+CS290+CT290,0)</f>
        <v/>
      </c>
      <c r="K290" t="inlineStr">
        <is>
          <t>Gated out: not-shelf-stable: Refrigerated cold-pressed juice; 'health juices/elixirs' positioning.</t>
        </is>
      </c>
      <c r="M290" t="inlineStr">
        <is>
          <t>none found within ten blocks</t>
        </is>
      </c>
      <c r="N290" t="inlineStr">
        <is>
          <t>unverified</t>
        </is>
      </c>
      <c r="R290" t="inlineStr">
        <is>
          <t>N</t>
        </is>
      </c>
      <c r="S290" t="inlineStr">
        <is>
          <t>unknown</t>
        </is>
      </c>
      <c r="T290" t="inlineStr">
        <is>
          <t>N</t>
        </is>
      </c>
      <c r="U290" t="inlineStr">
        <is>
          <t>new</t>
        </is>
      </c>
      <c r="V290" t="inlineStr">
        <is>
          <t>https://ginjanbros.com/</t>
        </is>
      </c>
      <c r="W290" t="inlineStr">
        <is>
          <t>2026-10-23</t>
        </is>
      </c>
      <c r="X290" t="inlineStr">
        <is>
          <t>brand</t>
        </is>
      </c>
      <c r="Y290">
        <f>IF(EB290&lt;&gt;"Y","",COUNTIFS($EB$2:$EB$1000,"Y",$J$2:$J$1000,"&gt;"&amp;J290)+COUNTIFS($EB$2:$EB$1000,"Y",$J$2:$J$1000,J290,$ED$2:$ED$1000,"&lt;"&amp;ED290)+1)</f>
        <v/>
      </c>
      <c r="AA290" t="inlineStr">
        <is>
          <t>N</t>
        </is>
      </c>
      <c r="AD290" t="inlineStr">
        <is>
          <t>none</t>
        </is>
      </c>
      <c r="AH290" t="inlineStr">
        <is>
          <t>Ginger cold-pressed juice (Half &amp; Half 12-pack)</t>
        </is>
      </c>
      <c r="AI290" t="inlineStr">
        <is>
          <t>tea-juice</t>
        </is>
      </c>
      <c r="AJ290" t="inlineStr">
        <is>
          <t>New York (homepage: 'Made in New York'; cafes in Harlem and Brooklyn)</t>
        </is>
      </c>
      <c r="AK290" t="inlineStr">
        <is>
          <t>https://ginjanbros.com</t>
        </is>
      </c>
      <c r="AL290" t="inlineStr">
        <is>
          <t>N</t>
        </is>
      </c>
      <c r="AN290" t="inlineStr">
        <is>
          <t>AB-263</t>
        </is>
      </c>
      <c r="AO290" t="inlineStr">
        <is>
          <t>N</t>
        </is>
      </c>
      <c r="AR290">
        <f>IF(AND(AU290="pass",AO290&lt;&gt;"Y",C290&lt;&gt;""),"Y","N")</f>
        <v/>
      </c>
      <c r="AS290">
        <f>_xlfn.TEXTJOIN("; ",TRUE,IF(AU290&lt;&gt;"pass","gated out",""),IF(AO290="Y","on hold: "&amp;AP290,""),IF(C290="","no contact named on an opened page",""))</f>
        <v/>
      </c>
      <c r="AU290" t="inlineStr">
        <is>
          <t>fail</t>
        </is>
      </c>
      <c r="AV290" t="inlineStr">
        <is>
          <t>not-shelf-stable</t>
        </is>
      </c>
      <c r="AW290" t="inlineStr">
        <is>
          <t>not-shelf-stable: Refrigerated cold-pressed juice; 'health juices/elixirs' positioning</t>
        </is>
      </c>
      <c r="AY290" t="inlineStr">
        <is>
          <t>https://ginjanbros.com</t>
        </is>
      </c>
      <c r="AZ290" t="inlineStr">
        <is>
          <t>NY</t>
        </is>
      </c>
      <c r="BA290" t="inlineStr">
        <is>
          <t>nyc</t>
        </is>
      </c>
      <c r="BB290" t="inlineStr">
        <is>
          <t>unknown</t>
        </is>
      </c>
      <c r="BD290" t="inlineStr">
        <is>
          <t>N</t>
        </is>
      </c>
      <c r="BE290" t="inlineStr">
        <is>
          <t>Homepage: 'African-inspired cold-pressed and organic health juices' (cold-pressed juice is refrigerated)</t>
        </is>
      </c>
      <c r="BF290" t="inlineStr">
        <is>
          <t>Y</t>
        </is>
      </c>
      <c r="BG290" t="inlineStr">
        <is>
          <t>Y</t>
        </is>
      </c>
      <c r="BH290" t="inlineStr">
        <is>
          <t>unknown</t>
        </is>
      </c>
      <c r="BJ290" t="inlineStr">
        <is>
          <t>unknown</t>
        </is>
      </c>
      <c r="BK290" t="inlineStr">
        <is>
          <t>N</t>
        </is>
      </c>
      <c r="BL290" t="inlineStr">
        <is>
          <t>Y</t>
        </is>
      </c>
      <c r="BM290" t="inlineStr">
        <is>
          <t>Refrigerated cold-pressed juice; 'health juices/elixirs' positioning</t>
        </is>
      </c>
      <c r="BO290" t="inlineStr">
        <is>
          <t>N</t>
        </is>
      </c>
      <c r="BP290" t="n">
        <v>0</v>
      </c>
      <c r="BS290" t="inlineStr">
        <is>
          <t>Ginjan Cafe (Harlem, Brooklyn); where-to-buy page</t>
        </is>
      </c>
      <c r="BU290" t="inlineStr">
        <is>
          <t>none</t>
        </is>
      </c>
      <c r="CF290" t="inlineStr">
        <is>
          <t>none</t>
        </is>
      </c>
      <c r="CK290" t="inlineStr">
        <is>
          <t>none</t>
        </is>
      </c>
      <c r="CL290" t="n">
        <v>37</v>
      </c>
      <c r="CM290" t="n">
        <v>6</v>
      </c>
      <c r="CN290" t="n">
        <v>20</v>
      </c>
      <c r="CO290" t="n">
        <v>0</v>
      </c>
      <c r="CP290" t="n">
        <v>5</v>
      </c>
      <c r="CQ290" t="n">
        <v>6</v>
      </c>
      <c r="CR290" t="n">
        <v>0</v>
      </c>
      <c r="CS290">
        <f>IF(R290="Y",10,0)</f>
        <v/>
      </c>
      <c r="CT290" t="n">
        <v>0</v>
      </c>
      <c r="CV290" t="inlineStr">
        <is>
          <t>BR4</t>
        </is>
      </c>
      <c r="CW290" t="inlineStr">
        <is>
          <t>BR4:58</t>
        </is>
      </c>
      <c r="CX290" t="inlineStr">
        <is>
          <t>Recorded so the gate is visible. Homepage quotes Howard Schultz saying his foundation is an investor.</t>
        </is>
      </c>
      <c r="DA290" t="inlineStr">
        <is>
          <t>stage 1 only</t>
        </is>
      </c>
      <c r="DY290">
        <f>IF(ISNUMBER(MATCH(U290,{"queued","contacted","replied","call_booked","call_done","yes_in_principle","materials_sent"},0)),"Y","N")</f>
        <v/>
      </c>
      <c r="DZ290">
        <f>IF(COUNTIFS($AN$2:$AN$1000,AN290,$DY$2:$DY$1000,"Y")+COUNTIFS($AN$2:$AN$1000,AN290,$T$2:$T$1000,"Y")&gt;0,"Y","N")</f>
        <v/>
      </c>
      <c r="EA290">
        <f>IF(AND(U290="new",T290="N",AR290="Y",AQ290="",DZ290="N"),"Y","N")</f>
        <v/>
      </c>
      <c r="EB290">
        <f>IF(EA290&lt;&gt;"Y","N",IF(COUNTIFS($AN$2:$AN$1000,AN290,$EA$2:$EA$1000,"Y",$J$2:$J$1000,"&gt;"&amp;J290)+COUNTIFS($AN$2:$AN$1000,AN290,$EA$2:$EA$1000,"Y",$J$2:$J$1000,J290,$ED$2:$ED$1000,"&lt;"&amp;ED290)=0,"Y","N"))</f>
        <v/>
      </c>
      <c r="EC290">
        <f>IF(Y290="","N",IF(Y290&lt;=10,"Y","N"))</f>
        <v/>
      </c>
      <c r="ED290">
        <f>ROW()-1</f>
        <v/>
      </c>
    </row>
    <row r="291">
      <c r="A291" t="inlineStr">
        <is>
          <t>AB-122</t>
        </is>
      </c>
      <c r="B291" t="inlineStr">
        <is>
          <t>Hail Merry</t>
        </is>
      </c>
      <c r="C291" t="inlineStr">
        <is>
          <t>Susan</t>
        </is>
      </c>
      <c r="D291" t="inlineStr">
        <is>
          <t>O'Brien</t>
        </is>
      </c>
      <c r="E291" t="inlineStr">
        <is>
          <t>Founder</t>
        </is>
      </c>
      <c r="H291" t="inlineStr">
        <is>
          <t>none</t>
        </is>
      </c>
      <c r="I291" t="inlineStr">
        <is>
          <t>linkedin</t>
        </is>
      </c>
      <c r="J291">
        <f>IF(AU291="pass",CM291+CN291+CO291+CP291+CQ291+CR291+CS291+CT291,0)</f>
        <v/>
      </c>
      <c r="K291" t="inlineStr">
        <is>
          <t>Gated out: not-shelf-stable: Refrigerated product (brand FAQ).</t>
        </is>
      </c>
      <c r="M291" t="inlineStr">
        <is>
          <t>none found within ten blocks</t>
        </is>
      </c>
      <c r="N291" t="inlineStr">
        <is>
          <t>unverified</t>
        </is>
      </c>
      <c r="R291" t="inlineStr">
        <is>
          <t>N</t>
        </is>
      </c>
      <c r="S291" t="inlineStr">
        <is>
          <t>unknown</t>
        </is>
      </c>
      <c r="T291" t="inlineStr">
        <is>
          <t>N</t>
        </is>
      </c>
      <c r="U291" t="inlineStr">
        <is>
          <t>new</t>
        </is>
      </c>
      <c r="V291" t="inlineStr">
        <is>
          <t>https://hailmerry.com/pages/faqs</t>
        </is>
      </c>
      <c r="W291" t="inlineStr">
        <is>
          <t>2026-10-23</t>
        </is>
      </c>
      <c r="X291" t="inlineStr">
        <is>
          <t>brand</t>
        </is>
      </c>
      <c r="Y291">
        <f>IF(EB291&lt;&gt;"Y","",COUNTIFS($EB$2:$EB$1000,"Y",$J$2:$J$1000,"&gt;"&amp;J291)+COUNTIFS($EB$2:$EB$1000,"Y",$J$2:$J$1000,J291,$ED$2:$ED$1000,"&lt;"&amp;ED291)+1)</f>
        <v/>
      </c>
      <c r="AA291" t="inlineStr">
        <is>
          <t>N</t>
        </is>
      </c>
      <c r="AC291" t="inlineStr">
        <is>
          <t>founder</t>
        </is>
      </c>
      <c r="AD291" t="inlineStr">
        <is>
          <t>verified-page</t>
        </is>
      </c>
      <c r="AE291" t="inlineStr">
        <is>
          <t>employer's own site</t>
        </is>
      </c>
      <c r="AF291" t="inlineStr">
        <is>
          <t>https://hailmerry.com/pages/our-story</t>
        </is>
      </c>
      <c r="AG291" t="inlineStr">
        <is>
          <t>2026-10-23</t>
        </is>
      </c>
      <c r="AH291" t="inlineStr">
        <is>
          <t>Cookies N Creme Cups 1.5 oz</t>
        </is>
      </c>
      <c r="AI291" t="inlineStr">
        <is>
          <t>chocolate-candy</t>
        </is>
      </c>
      <c r="AJ291" t="inlineStr">
        <is>
          <t>unknown</t>
        </is>
      </c>
      <c r="AK291" t="inlineStr">
        <is>
          <t>https://hailmerry.com</t>
        </is>
      </c>
      <c r="AL291" t="inlineStr">
        <is>
          <t>N</t>
        </is>
      </c>
      <c r="AN291" t="inlineStr">
        <is>
          <t>AB-122</t>
        </is>
      </c>
      <c r="AO291" t="inlineStr">
        <is>
          <t>N</t>
        </is>
      </c>
      <c r="AR291">
        <f>IF(AND(AU291="pass",AO291&lt;&gt;"Y",C291&lt;&gt;""),"Y","N")</f>
        <v/>
      </c>
      <c r="AS291">
        <f>_xlfn.TEXTJOIN("; ",TRUE,IF(AU291&lt;&gt;"pass","gated out",""),IF(AO291="Y","on hold: "&amp;AP291,""),IF(C291="","no contact named on an opened page",""))</f>
        <v/>
      </c>
      <c r="AU291" t="inlineStr">
        <is>
          <t>fail</t>
        </is>
      </c>
      <c r="AV291" t="inlineStr">
        <is>
          <t>not-shelf-stable</t>
        </is>
      </c>
      <c r="AW291" t="inlineStr">
        <is>
          <t>not-shelf-stable: Refrigerated product (brand FAQ)</t>
        </is>
      </c>
      <c r="AY291" t="inlineStr">
        <is>
          <t>https://hailmerry.com</t>
        </is>
      </c>
      <c r="AZ291" t="inlineStr">
        <is>
          <t>unknown</t>
        </is>
      </c>
      <c r="BA291" t="inlineStr">
        <is>
          <t>unknown</t>
        </is>
      </c>
      <c r="BB291" t="inlineStr">
        <is>
          <t>unknown</t>
        </is>
      </c>
      <c r="BD291" t="inlineStr">
        <is>
          <t>N</t>
        </is>
      </c>
      <c r="BE291" t="inlineStr">
        <is>
          <t>Brand FAQ: 'all of our products must be kept refrigerated until ready to eat'</t>
        </is>
      </c>
      <c r="BF291" t="inlineStr">
        <is>
          <t>Y</t>
        </is>
      </c>
      <c r="BG291" t="inlineStr">
        <is>
          <t>Y</t>
        </is>
      </c>
      <c r="BH291" t="inlineStr">
        <is>
          <t>unknown</t>
        </is>
      </c>
      <c r="BJ291" t="inlineStr">
        <is>
          <t>unknown</t>
        </is>
      </c>
      <c r="BK291" t="inlineStr">
        <is>
          <t>N</t>
        </is>
      </c>
      <c r="BL291" t="inlineStr">
        <is>
          <t>Y</t>
        </is>
      </c>
      <c r="BM291" t="inlineStr">
        <is>
          <t>Refrigerated product (brand FAQ)</t>
        </is>
      </c>
      <c r="BO291" t="inlineStr">
        <is>
          <t>N</t>
        </is>
      </c>
      <c r="BP291" t="n">
        <v>0</v>
      </c>
      <c r="BS291" t="inlineStr">
        <is>
          <t>Store locator ('Find Us in a Refrigerator Near You')</t>
        </is>
      </c>
      <c r="BT291" t="inlineStr">
        <is>
          <t>https://www.wholefoodsmarket.com/api/search?text=hail%20merry&amp;store=10162&amp;limit=60&amp;offset=0</t>
        </is>
      </c>
      <c r="BU291" t="inlineStr">
        <is>
          <t>none</t>
        </is>
      </c>
      <c r="BX291" t="inlineStr">
        <is>
          <t>Susan O'Brien</t>
        </is>
      </c>
      <c r="CF291" t="inlineStr">
        <is>
          <t>none</t>
        </is>
      </c>
      <c r="CK291" t="inlineStr">
        <is>
          <t>none</t>
        </is>
      </c>
      <c r="CL291" t="n">
        <v>27</v>
      </c>
      <c r="CM291" t="n">
        <v>6</v>
      </c>
      <c r="CN291" t="n">
        <v>4</v>
      </c>
      <c r="CO291" t="n">
        <v>0</v>
      </c>
      <c r="CP291" t="n">
        <v>5</v>
      </c>
      <c r="CQ291" t="n">
        <v>6</v>
      </c>
      <c r="CR291" t="n">
        <v>6</v>
      </c>
      <c r="CS291">
        <f>IF(R291="Y",10,0)</f>
        <v/>
      </c>
      <c r="CT291" t="n">
        <v>0</v>
      </c>
      <c r="CU291" t="inlineStr">
        <is>
          <t>https://www.instagram.com/hailmerrysnacks/</t>
        </is>
      </c>
      <c r="CV291" t="inlineStr">
        <is>
          <t>BR2</t>
        </is>
      </c>
      <c r="CW291" t="inlineStr">
        <is>
          <t>BR2:60</t>
        </is>
      </c>
      <c r="CX291" t="inlineStr">
        <is>
          <t>Recorded so the refrigeration gate is visible.</t>
        </is>
      </c>
      <c r="DA291" t="inlineStr">
        <is>
          <t>stage 1 only</t>
        </is>
      </c>
      <c r="DY291">
        <f>IF(ISNUMBER(MATCH(U291,{"queued","contacted","replied","call_booked","call_done","yes_in_principle","materials_sent"},0)),"Y","N")</f>
        <v/>
      </c>
      <c r="DZ291">
        <f>IF(COUNTIFS($AN$2:$AN$1000,AN291,$DY$2:$DY$1000,"Y")+COUNTIFS($AN$2:$AN$1000,AN291,$T$2:$T$1000,"Y")&gt;0,"Y","N")</f>
        <v/>
      </c>
      <c r="EA291">
        <f>IF(AND(U291="new",T291="N",AR291="Y",AQ291="",DZ291="N"),"Y","N")</f>
        <v/>
      </c>
      <c r="EB291">
        <f>IF(EA291&lt;&gt;"Y","N",IF(COUNTIFS($AN$2:$AN$1000,AN291,$EA$2:$EA$1000,"Y",$J$2:$J$1000,"&gt;"&amp;J291)+COUNTIFS($AN$2:$AN$1000,AN291,$EA$2:$EA$1000,"Y",$J$2:$J$1000,J291,$ED$2:$ED$1000,"&lt;"&amp;ED291)=0,"Y","N"))</f>
        <v/>
      </c>
      <c r="EC291">
        <f>IF(Y291="","N",IF(Y291&lt;=10,"Y","N"))</f>
        <v/>
      </c>
      <c r="ED291">
        <f>ROW()-1</f>
        <v/>
      </c>
    </row>
    <row r="292">
      <c r="A292" t="inlineStr">
        <is>
          <t>AB-121</t>
        </is>
      </c>
      <c r="B292" t="inlineStr">
        <is>
          <t>Honey Mama's</t>
        </is>
      </c>
      <c r="C292" t="inlineStr">
        <is>
          <t>Christy</t>
        </is>
      </c>
      <c r="D292" t="inlineStr">
        <is>
          <t>Goldsby</t>
        </is>
      </c>
      <c r="E292" t="inlineStr">
        <is>
          <t>Founder</t>
        </is>
      </c>
      <c r="H292" t="inlineStr">
        <is>
          <t>none</t>
        </is>
      </c>
      <c r="I292" t="inlineStr">
        <is>
          <t>linkedin</t>
        </is>
      </c>
      <c r="J292">
        <f>IF(AU292="pass",CM292+CN292+CO292+CP292+CQ292+CR292+CS292+CT292,0)</f>
        <v/>
      </c>
      <c r="K292" t="inlineStr">
        <is>
          <t>Gated out: not-shelf-stable: Refrigerated product (brand FAQ).</t>
        </is>
      </c>
      <c r="M292" t="inlineStr">
        <is>
          <t>none found within ten blocks</t>
        </is>
      </c>
      <c r="N292" t="inlineStr">
        <is>
          <t>unverified</t>
        </is>
      </c>
      <c r="R292" t="inlineStr">
        <is>
          <t>N</t>
        </is>
      </c>
      <c r="S292" t="inlineStr">
        <is>
          <t>unknown</t>
        </is>
      </c>
      <c r="T292" t="inlineStr">
        <is>
          <t>N</t>
        </is>
      </c>
      <c r="U292" t="inlineStr">
        <is>
          <t>new</t>
        </is>
      </c>
      <c r="V292" t="inlineStr">
        <is>
          <t>https://honeymamas.com/pages/faqs</t>
        </is>
      </c>
      <c r="W292" t="inlineStr">
        <is>
          <t>2026-10-23</t>
        </is>
      </c>
      <c r="X292" t="inlineStr">
        <is>
          <t>brand</t>
        </is>
      </c>
      <c r="Y292">
        <f>IF(EB292&lt;&gt;"Y","",COUNTIFS($EB$2:$EB$1000,"Y",$J$2:$J$1000,"&gt;"&amp;J292)+COUNTIFS($EB$2:$EB$1000,"Y",$J$2:$J$1000,J292,$ED$2:$ED$1000,"&lt;"&amp;ED292)+1)</f>
        <v/>
      </c>
      <c r="AA292" t="inlineStr">
        <is>
          <t>N</t>
        </is>
      </c>
      <c r="AC292" t="inlineStr">
        <is>
          <t>founder</t>
        </is>
      </c>
      <c r="AD292" t="inlineStr">
        <is>
          <t>verified-page</t>
        </is>
      </c>
      <c r="AE292" t="inlineStr">
        <is>
          <t>employer's own site</t>
        </is>
      </c>
      <c r="AF292" t="inlineStr">
        <is>
          <t>https://honeymamas.com/</t>
        </is>
      </c>
      <c r="AG292" t="inlineStr">
        <is>
          <t>2026-10-23</t>
        </is>
      </c>
      <c r="AH292" t="inlineStr">
        <is>
          <t>Peanut Butter Brownie Crunch Bar 1.25 oz</t>
        </is>
      </c>
      <c r="AI292" t="inlineStr">
        <is>
          <t>chocolate-candy</t>
        </is>
      </c>
      <c r="AJ292" t="inlineStr">
        <is>
          <t>Portland</t>
        </is>
      </c>
      <c r="AK292" t="inlineStr">
        <is>
          <t>https://honeymamas.com</t>
        </is>
      </c>
      <c r="AL292" t="inlineStr">
        <is>
          <t>N</t>
        </is>
      </c>
      <c r="AN292" t="inlineStr">
        <is>
          <t>AB-121</t>
        </is>
      </c>
      <c r="AO292" t="inlineStr">
        <is>
          <t>N</t>
        </is>
      </c>
      <c r="AR292">
        <f>IF(AND(AU292="pass",AO292&lt;&gt;"Y",C292&lt;&gt;""),"Y","N")</f>
        <v/>
      </c>
      <c r="AS292">
        <f>_xlfn.TEXTJOIN("; ",TRUE,IF(AU292&lt;&gt;"pass","gated out",""),IF(AO292="Y","on hold: "&amp;AP292,""),IF(C292="","no contact named on an opened page",""))</f>
        <v/>
      </c>
      <c r="AU292" t="inlineStr">
        <is>
          <t>fail</t>
        </is>
      </c>
      <c r="AV292" t="inlineStr">
        <is>
          <t>not-shelf-stable</t>
        </is>
      </c>
      <c r="AW292" t="inlineStr">
        <is>
          <t>not-shelf-stable: Refrigerated product (brand FAQ)</t>
        </is>
      </c>
      <c r="AY292" t="inlineStr">
        <is>
          <t>https://honeymamas.com</t>
        </is>
      </c>
      <c r="AZ292" t="inlineStr">
        <is>
          <t>OR</t>
        </is>
      </c>
      <c r="BA292" t="inlineStr">
        <is>
          <t>elsewhere</t>
        </is>
      </c>
      <c r="BB292" t="inlineStr">
        <is>
          <t>unknown</t>
        </is>
      </c>
      <c r="BD292" t="inlineStr">
        <is>
          <t>N</t>
        </is>
      </c>
      <c r="BE292" t="inlineStr">
        <is>
          <t>Brand FAQ: 'maker of delicious refrigerated raw honey-sweetened truffle bars'; find-us page: 'in the fridge'</t>
        </is>
      </c>
      <c r="BF292" t="inlineStr">
        <is>
          <t>Y</t>
        </is>
      </c>
      <c r="BG292" t="inlineStr">
        <is>
          <t>Y</t>
        </is>
      </c>
      <c r="BH292" t="inlineStr">
        <is>
          <t>unknown</t>
        </is>
      </c>
      <c r="BJ292" t="inlineStr">
        <is>
          <t>unknown</t>
        </is>
      </c>
      <c r="BK292" t="inlineStr">
        <is>
          <t>N</t>
        </is>
      </c>
      <c r="BL292" t="inlineStr">
        <is>
          <t>Y</t>
        </is>
      </c>
      <c r="BM292" t="inlineStr">
        <is>
          <t>Refrigerated product (brand FAQ)</t>
        </is>
      </c>
      <c r="BO292" t="inlineStr">
        <is>
          <t>N</t>
        </is>
      </c>
      <c r="BP292" t="n">
        <v>0</v>
      </c>
      <c r="BS292" t="inlineStr">
        <is>
          <t>All Whole Foods Market locations (brand home page)</t>
        </is>
      </c>
      <c r="BT292" t="inlineStr">
        <is>
          <t>https://www.wholefoodsmarket.com/api/search?text=honey%20mamas&amp;store=10162&amp;limit=60&amp;offset=0</t>
        </is>
      </c>
      <c r="BU292" t="inlineStr">
        <is>
          <t>none</t>
        </is>
      </c>
      <c r="BX292" t="inlineStr">
        <is>
          <t>Christy Goldsby</t>
        </is>
      </c>
      <c r="CF292" t="inlineStr">
        <is>
          <t>none</t>
        </is>
      </c>
      <c r="CK292" t="inlineStr">
        <is>
          <t>none</t>
        </is>
      </c>
      <c r="CL292" t="n">
        <v>26</v>
      </c>
      <c r="CM292" t="n">
        <v>6</v>
      </c>
      <c r="CN292" t="n">
        <v>3</v>
      </c>
      <c r="CO292" t="n">
        <v>0</v>
      </c>
      <c r="CP292" t="n">
        <v>5</v>
      </c>
      <c r="CQ292" t="n">
        <v>6</v>
      </c>
      <c r="CR292" t="n">
        <v>6</v>
      </c>
      <c r="CS292">
        <f>IF(R292="Y",10,0)</f>
        <v/>
      </c>
      <c r="CT292" t="n">
        <v>0</v>
      </c>
      <c r="CU292" t="inlineStr">
        <is>
          <t>https://www.instagram.com/honeymamas/</t>
        </is>
      </c>
      <c r="CV292" t="inlineStr">
        <is>
          <t>BR2</t>
        </is>
      </c>
      <c r="CW292" t="inlineStr">
        <is>
          <t>BR2:59</t>
        </is>
      </c>
      <c r="CX292" t="inlineStr">
        <is>
          <t>Recorded so the refrigeration gate is visible; WFM cluster catalogs list it but it is refrigerated.</t>
        </is>
      </c>
      <c r="DA292" t="inlineStr">
        <is>
          <t>stage 1 only</t>
        </is>
      </c>
      <c r="DY292">
        <f>IF(ISNUMBER(MATCH(U292,{"queued","contacted","replied","call_booked","call_done","yes_in_principle","materials_sent"},0)),"Y","N")</f>
        <v/>
      </c>
      <c r="DZ292">
        <f>IF(COUNTIFS($AN$2:$AN$1000,AN292,$DY$2:$DY$1000,"Y")+COUNTIFS($AN$2:$AN$1000,AN292,$T$2:$T$1000,"Y")&gt;0,"Y","N")</f>
        <v/>
      </c>
      <c r="EA292">
        <f>IF(AND(U292="new",T292="N",AR292="Y",AQ292="",DZ292="N"),"Y","N")</f>
        <v/>
      </c>
      <c r="EB292">
        <f>IF(EA292&lt;&gt;"Y","N",IF(COUNTIFS($AN$2:$AN$1000,AN292,$EA$2:$EA$1000,"Y",$J$2:$J$1000,"&gt;"&amp;J292)+COUNTIFS($AN$2:$AN$1000,AN292,$EA$2:$EA$1000,"Y",$J$2:$J$1000,J292,$ED$2:$ED$1000,"&lt;"&amp;ED292)=0,"Y","N"))</f>
        <v/>
      </c>
      <c r="EC292">
        <f>IF(Y292="","N",IF(Y292&lt;=10,"Y","N"))</f>
        <v/>
      </c>
      <c r="ED292">
        <f>ROW()-1</f>
        <v/>
      </c>
    </row>
    <row r="293">
      <c r="A293" t="inlineStr">
        <is>
          <t>AB-201</t>
        </is>
      </c>
      <c r="B293" t="inlineStr">
        <is>
          <t>JAS</t>
        </is>
      </c>
      <c r="H293" t="inlineStr">
        <is>
          <t>none</t>
        </is>
      </c>
      <c r="J293">
        <f>IF(AU293="pass",CM293+CN293+CO293+CP293+CQ293+CR293+CS293+CT293,0)</f>
        <v/>
      </c>
      <c r="K293" t="inlineStr">
        <is>
          <t>Gated out: excluded-category: Functional ingredients: 225 mg KSM-66 ashwagandha (Paloma Libre) and lion's mane (Carajillo Tejas); adaptogens are treated as supplement-styl.</t>
        </is>
      </c>
      <c r="M293" t="inlineStr">
        <is>
          <t>none found within ten blocks</t>
        </is>
      </c>
      <c r="N293" t="inlineStr">
        <is>
          <t>unverified</t>
        </is>
      </c>
      <c r="R293" t="inlineStr">
        <is>
          <t>N</t>
        </is>
      </c>
      <c r="S293" t="inlineStr">
        <is>
          <t>unknown</t>
        </is>
      </c>
      <c r="T293" t="inlineStr">
        <is>
          <t>N</t>
        </is>
      </c>
      <c r="U293" t="inlineStr">
        <is>
          <t>new</t>
        </is>
      </c>
      <c r="V293" t="inlineStr">
        <is>
          <t>https://drinkjas.com/pages/mission</t>
        </is>
      </c>
      <c r="W293" t="inlineStr">
        <is>
          <t>2026-10-23</t>
        </is>
      </c>
      <c r="X293" t="inlineStr">
        <is>
          <t>brand</t>
        </is>
      </c>
      <c r="Y293">
        <f>IF(EB293&lt;&gt;"Y","",COUNTIFS($EB$2:$EB$1000,"Y",$J$2:$J$1000,"&gt;"&amp;J293)+COUNTIFS($EB$2:$EB$1000,"Y",$J$2:$J$1000,J293,$ED$2:$ED$1000,"&lt;"&amp;ED293)+1)</f>
        <v/>
      </c>
      <c r="AA293" t="inlineStr">
        <is>
          <t>N</t>
        </is>
      </c>
      <c r="AD293" t="inlineStr">
        <is>
          <t>none</t>
        </is>
      </c>
      <c r="AH293" t="inlineStr">
        <is>
          <t>JAS non-alcoholic canned cocktail (Paloma Libre, Mojito Fresco)</t>
        </is>
      </c>
      <c r="AI293" t="inlineStr">
        <is>
          <t>other-drink</t>
        </is>
      </c>
      <c r="AJ293" t="inlineStr">
        <is>
          <t>unknown</t>
        </is>
      </c>
      <c r="AK293" t="inlineStr">
        <is>
          <t>https://drinkjas.com</t>
        </is>
      </c>
      <c r="AL293" t="inlineStr">
        <is>
          <t>Y</t>
        </is>
      </c>
      <c r="AM293" t="inlineStr">
        <is>
          <t>Exclusion is ingredient-based, not a claim seen; a non-functional SKU might pass. Texas brand</t>
        </is>
      </c>
      <c r="AN293" t="inlineStr">
        <is>
          <t>AB-201</t>
        </is>
      </c>
      <c r="AO293" t="inlineStr">
        <is>
          <t>N</t>
        </is>
      </c>
      <c r="AR293">
        <f>IF(AND(AU293="pass",AO293&lt;&gt;"Y",C293&lt;&gt;""),"Y","N")</f>
        <v/>
      </c>
      <c r="AS293">
        <f>_xlfn.TEXTJOIN("; ",TRUE,IF(AU293&lt;&gt;"pass","gated out",""),IF(AO293="Y","on hold: "&amp;AP293,""),IF(C293="","no contact named on an opened page",""))</f>
        <v/>
      </c>
      <c r="AU293" t="inlineStr">
        <is>
          <t>fail</t>
        </is>
      </c>
      <c r="AV293" t="inlineStr">
        <is>
          <t>excluded-category;health-claim</t>
        </is>
      </c>
      <c r="AW293" t="inlineStr">
        <is>
          <t>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is>
      </c>
      <c r="AX293" t="inlineStr">
        <is>
          <t>claim-borderline</t>
        </is>
      </c>
      <c r="AY293" t="inlineStr">
        <is>
          <t>https://drinkjas.com</t>
        </is>
      </c>
      <c r="AZ293" t="inlineStr">
        <is>
          <t>TX</t>
        </is>
      </c>
      <c r="BA293" t="inlineStr">
        <is>
          <t>elsewhere</t>
        </is>
      </c>
      <c r="BB293" t="inlineStr">
        <is>
          <t>unknown</t>
        </is>
      </c>
      <c r="BD293" t="inlineStr">
        <is>
          <t>Y</t>
        </is>
      </c>
      <c r="BE293" t="inlineStr">
        <is>
          <t>FAQ: 'Our cans are shelf-stable for 24 months' (drinkjas.com/pages/faq, opened 2026-10-23)</t>
        </is>
      </c>
      <c r="BF293" t="inlineStr">
        <is>
          <t>Y</t>
        </is>
      </c>
      <c r="BG293" t="inlineStr">
        <is>
          <t>Y</t>
        </is>
      </c>
      <c r="BH293" t="inlineStr">
        <is>
          <t>unknown</t>
        </is>
      </c>
      <c r="BJ293" t="inlineStr">
        <is>
          <t>No public sales figure found</t>
        </is>
      </c>
      <c r="BK293" t="inlineStr">
        <is>
          <t>Y</t>
        </is>
      </c>
      <c r="BL293" t="inlineStr">
        <is>
          <t>Y</t>
        </is>
      </c>
      <c r="BM293" t="inlineStr">
        <is>
          <t>Functional ingredients: 225 mg KSM-66 ashwagandha (Paloma Libre) and lion's mane (Carajillo Tejas); adaptogens are treated as supplement-style functional drinks</t>
        </is>
      </c>
      <c r="BO293" t="inlineStr">
        <is>
          <t>N</t>
        </is>
      </c>
      <c r="BP293" t="n">
        <v>0</v>
      </c>
      <c r="BS293" t="inlineStr">
        <is>
          <t>Pop Up Grocer (past brand, directory)</t>
        </is>
      </c>
      <c r="BU293" t="inlineStr">
        <is>
          <t>none</t>
        </is>
      </c>
      <c r="CF293" t="inlineStr">
        <is>
          <t>none</t>
        </is>
      </c>
      <c r="CK293" t="inlineStr">
        <is>
          <t>none</t>
        </is>
      </c>
      <c r="CL293" t="n">
        <v>20</v>
      </c>
      <c r="CM293" t="n">
        <v>6</v>
      </c>
      <c r="CN293" t="n">
        <v>3</v>
      </c>
      <c r="CO293" t="n">
        <v>0</v>
      </c>
      <c r="CP293" t="n">
        <v>5</v>
      </c>
      <c r="CQ293" t="n">
        <v>10</v>
      </c>
      <c r="CR293" t="n">
        <v>0</v>
      </c>
      <c r="CS293">
        <f>IF(R293="Y",10,0)</f>
        <v/>
      </c>
      <c r="CT293" t="n">
        <v>-4</v>
      </c>
      <c r="CU293" t="inlineStr">
        <is>
          <t>https://instagram.com/drinkjas</t>
        </is>
      </c>
      <c r="CV293" t="inlineStr">
        <is>
          <t>BR3</t>
        </is>
      </c>
      <c r="CW293" t="inlineStr">
        <is>
          <t>BR3:75</t>
        </is>
      </c>
      <c r="CX293" t="inlineStr">
        <is>
          <t>Mission page: 'Latina-founded. Boldly made in Texas.' (basis for hq_state TX).</t>
        </is>
      </c>
      <c r="DA293" t="inlineStr">
        <is>
          <t>stage 1 only</t>
        </is>
      </c>
      <c r="DY293">
        <f>IF(ISNUMBER(MATCH(U293,{"queued","contacted","replied","call_booked","call_done","yes_in_principle","materials_sent"},0)),"Y","N")</f>
        <v/>
      </c>
      <c r="DZ293">
        <f>IF(COUNTIFS($AN$2:$AN$1000,AN293,$DY$2:$DY$1000,"Y")+COUNTIFS($AN$2:$AN$1000,AN293,$T$2:$T$1000,"Y")&gt;0,"Y","N")</f>
        <v/>
      </c>
      <c r="EA293">
        <f>IF(AND(U293="new",T293="N",AR293="Y",AQ293="",DZ293="N"),"Y","N")</f>
        <v/>
      </c>
      <c r="EB293">
        <f>IF(EA293&lt;&gt;"Y","N",IF(COUNTIFS($AN$2:$AN$1000,AN293,$EA$2:$EA$1000,"Y",$J$2:$J$1000,"&gt;"&amp;J293)+COUNTIFS($AN$2:$AN$1000,AN293,$EA$2:$EA$1000,"Y",$J$2:$J$1000,J293,$ED$2:$ED$1000,"&lt;"&amp;ED293)=0,"Y","N"))</f>
        <v/>
      </c>
      <c r="EC293">
        <f>IF(Y293="","N",IF(Y293&lt;=10,"Y","N"))</f>
        <v/>
      </c>
      <c r="ED293">
        <f>ROW()-1</f>
        <v/>
      </c>
    </row>
    <row r="294">
      <c r="A294" t="inlineStr">
        <is>
          <t>AB-232</t>
        </is>
      </c>
      <c r="B294" t="inlineStr">
        <is>
          <t>Journée</t>
        </is>
      </c>
      <c r="C294" t="inlineStr">
        <is>
          <t>Nicole</t>
        </is>
      </c>
      <c r="D294" t="inlineStr">
        <is>
          <t>Khoury</t>
        </is>
      </c>
      <c r="E294" t="inlineStr">
        <is>
          <t>Co-founder</t>
        </is>
      </c>
      <c r="H294" t="inlineStr">
        <is>
          <t>none</t>
        </is>
      </c>
      <c r="I294" t="inlineStr">
        <is>
          <t>linkedin</t>
        </is>
      </c>
      <c r="J294">
        <f>IF(AU294="pass",CM294+CN294+CO294+CP294+CQ294+CR294+CS294+CT294,0)</f>
        <v/>
      </c>
      <c r="K294" t="inlineStr">
        <is>
          <t>Gated out: health-claim: Explicit health/function positioning: 'Cognitive Wellness', 'caring for your brain' (release); functional mushroom energy drink.</t>
        </is>
      </c>
      <c r="M294" t="inlineStr">
        <is>
          <t>none found within ten blocks</t>
        </is>
      </c>
      <c r="N294" t="inlineStr">
        <is>
          <t>unverified</t>
        </is>
      </c>
      <c r="R294" t="inlineStr">
        <is>
          <t>N</t>
        </is>
      </c>
      <c r="S294" t="inlineStr">
        <is>
          <t>Y</t>
        </is>
      </c>
      <c r="T294" t="inlineStr">
        <is>
          <t>N</t>
        </is>
      </c>
      <c r="U294" t="inlineStr">
        <is>
          <t>new</t>
        </is>
      </c>
      <c r="V294" t="inlineStr">
        <is>
          <t>https://startupcpg.com/startup-cpg-newswire-journee-launches-mushroom-based-drink-for-juicy-energy-cognitive-wellness/</t>
        </is>
      </c>
      <c r="W294" t="inlineStr">
        <is>
          <t>2026-10-23</t>
        </is>
      </c>
      <c r="X294" t="inlineStr">
        <is>
          <t>brand</t>
        </is>
      </c>
      <c r="Y294">
        <f>IF(EB294&lt;&gt;"Y","",COUNTIFS($EB$2:$EB$1000,"Y",$J$2:$J$1000,"&gt;"&amp;J294)+COUNTIFS($EB$2:$EB$1000,"Y",$J$2:$J$1000,J294,$ED$2:$ED$1000,"&lt;"&amp;ED294)+1)</f>
        <v/>
      </c>
      <c r="AA294" t="inlineStr">
        <is>
          <t>N</t>
        </is>
      </c>
      <c r="AC294" t="inlineStr">
        <is>
          <t>founder</t>
        </is>
      </c>
      <c r="AD294" t="inlineStr">
        <is>
          <t>verified-page</t>
        </is>
      </c>
      <c r="AE294" t="inlineStr">
        <is>
          <t>press, event or podcast page</t>
        </is>
      </c>
      <c r="AF294" t="inlineStr">
        <is>
          <t>https://startupcpg.com/startup-cpg-newswire-journee-launches-mushroom-based-drink-for-juicy-energy-cognitive-wellness/</t>
        </is>
      </c>
      <c r="AG294" t="inlineStr">
        <is>
          <t>2026-10-23</t>
        </is>
      </c>
      <c r="AH294" t="inlineStr">
        <is>
          <t>Mushroom-based functional energy drink, 12 oz slim can (Soleil Citrus)</t>
        </is>
      </c>
      <c r="AI294" t="inlineStr">
        <is>
          <t>other-drink</t>
        </is>
      </c>
      <c r="AJ294" t="inlineStr">
        <is>
          <t>Brooklyn (release datelined Brooklyn, NY)</t>
        </is>
      </c>
      <c r="AK294" t="inlineStr">
        <is>
          <t>http://drinkjournee.com</t>
        </is>
      </c>
      <c r="AL294" t="inlineStr">
        <is>
          <t>Y</t>
        </is>
      </c>
      <c r="AM294" t="inlineStr">
        <is>
          <t>60-day shelf life not stated</t>
        </is>
      </c>
      <c r="AN294" t="inlineStr">
        <is>
          <t>AB-232</t>
        </is>
      </c>
      <c r="AO294" t="inlineStr">
        <is>
          <t>N</t>
        </is>
      </c>
      <c r="AR294">
        <f>IF(AND(AU294="pass",AO294&lt;&gt;"Y",C294&lt;&gt;""),"Y","N")</f>
        <v/>
      </c>
      <c r="AS294">
        <f>_xlfn.TEXTJOIN("; ",TRUE,IF(AU294&lt;&gt;"pass","gated out",""),IF(AO294="Y","on hold: "&amp;AP294,""),IF(C294="","no contact named on an opened page",""))</f>
        <v/>
      </c>
      <c r="AU294" t="inlineStr">
        <is>
          <t>fail</t>
        </is>
      </c>
      <c r="AV294" t="inlineStr">
        <is>
          <t>health-claim</t>
        </is>
      </c>
      <c r="AW294" t="inlineStr">
        <is>
          <t>health-claim: Explicit health/function positioning: 'Cognitive Wellness', 'caring for your brain' (release); functional mushroom energy drink</t>
        </is>
      </c>
      <c r="AY294" t="inlineStr">
        <is>
          <t>http://drinkjournee.com</t>
        </is>
      </c>
      <c r="AZ294" t="inlineStr">
        <is>
          <t>NY</t>
        </is>
      </c>
      <c r="BA294" t="inlineStr">
        <is>
          <t>nyc</t>
        </is>
      </c>
      <c r="BB294" t="inlineStr">
        <is>
          <t>unknown</t>
        </is>
      </c>
      <c r="BD294" t="inlineStr">
        <is>
          <t>unknown</t>
        </is>
      </c>
      <c r="BE294" t="inlineStr">
        <is>
          <t>Canned; storage not stated</t>
        </is>
      </c>
      <c r="BF294" t="inlineStr">
        <is>
          <t>Y</t>
        </is>
      </c>
      <c r="BG294" t="inlineStr">
        <is>
          <t>Y</t>
        </is>
      </c>
      <c r="BH294" t="inlineStr">
        <is>
          <t>unknown</t>
        </is>
      </c>
      <c r="BJ294" t="inlineStr">
        <is>
          <t>No sales figure published. Launched July 2025, DTC only (Startup CPG 2025-08-01)</t>
        </is>
      </c>
      <c r="BK294" t="inlineStr">
        <is>
          <t>Y</t>
        </is>
      </c>
      <c r="BL294" t="inlineStr">
        <is>
          <t>Y</t>
        </is>
      </c>
      <c r="BM294" t="inlineStr">
        <is>
          <t>Explicit health/function positioning: 'Cognitive Wellness', 'caring for your brain' (release); functional mushroom energy drink</t>
        </is>
      </c>
      <c r="BO294" t="inlineStr">
        <is>
          <t>N</t>
        </is>
      </c>
      <c r="BP294" t="n">
        <v>0</v>
      </c>
      <c r="BS294" t="inlineStr">
        <is>
          <t>DTC (release)</t>
        </is>
      </c>
      <c r="BU294" t="inlineStr">
        <is>
          <t>none</t>
        </is>
      </c>
      <c r="BW294" t="inlineStr">
        <is>
          <t>https://startupcpg.com/startup-cpg-newswire-journee-launches-mushroom-based-drink-for-juicy-energy-cognitive-wellness/</t>
        </is>
      </c>
      <c r="BX294" t="inlineStr">
        <is>
          <t>Nicole Khoury</t>
        </is>
      </c>
      <c r="CF294" t="inlineStr">
        <is>
          <t>none</t>
        </is>
      </c>
      <c r="CK294" t="inlineStr">
        <is>
          <t>none</t>
        </is>
      </c>
      <c r="CL294" t="n">
        <v>44</v>
      </c>
      <c r="CM294" t="n">
        <v>6</v>
      </c>
      <c r="CN294" t="n">
        <v>20</v>
      </c>
      <c r="CO294" t="n">
        <v>0</v>
      </c>
      <c r="CP294" t="n">
        <v>5</v>
      </c>
      <c r="CQ294" t="n">
        <v>7</v>
      </c>
      <c r="CR294" t="n">
        <v>6</v>
      </c>
      <c r="CS294">
        <f>IF(R294="Y",10,0)</f>
        <v/>
      </c>
      <c r="CT294" t="n">
        <v>0</v>
      </c>
      <c r="CV294" t="inlineStr">
        <is>
          <t>BR4</t>
        </is>
      </c>
      <c r="CW294" t="inlineStr">
        <is>
          <t>BR4:27</t>
        </is>
      </c>
      <c r="CX294" t="inlineStr">
        <is>
          <t>Launch release dated 2025-08-01 is outside the 12-month why-now window. Recorded so the gate is visible.</t>
        </is>
      </c>
      <c r="DA294" t="inlineStr">
        <is>
          <t>stage 1 only</t>
        </is>
      </c>
      <c r="DY294">
        <f>IF(ISNUMBER(MATCH(U294,{"queued","contacted","replied","call_booked","call_done","yes_in_principle","materials_sent"},0)),"Y","N")</f>
        <v/>
      </c>
      <c r="DZ294">
        <f>IF(COUNTIFS($AN$2:$AN$1000,AN294,$DY$2:$DY$1000,"Y")+COUNTIFS($AN$2:$AN$1000,AN294,$T$2:$T$1000,"Y")&gt;0,"Y","N")</f>
        <v/>
      </c>
      <c r="EA294">
        <f>IF(AND(U294="new",T294="N",AR294="Y",AQ294="",DZ294="N"),"Y","N")</f>
        <v/>
      </c>
      <c r="EB294">
        <f>IF(EA294&lt;&gt;"Y","N",IF(COUNTIFS($AN$2:$AN$1000,AN294,$EA$2:$EA$1000,"Y",$J$2:$J$1000,"&gt;"&amp;J294)+COUNTIFS($AN$2:$AN$1000,AN294,$EA$2:$EA$1000,"Y",$J$2:$J$1000,J294,$ED$2:$ED$1000,"&lt;"&amp;ED294)=0,"Y","N"))</f>
        <v/>
      </c>
      <c r="EC294">
        <f>IF(Y294="","N",IF(Y294&lt;=10,"Y","N"))</f>
        <v/>
      </c>
      <c r="ED294">
        <f>ROW()-1</f>
        <v/>
      </c>
    </row>
    <row r="295">
      <c r="A295" t="inlineStr">
        <is>
          <t>AB-005</t>
        </is>
      </c>
      <c r="B295" t="inlineStr">
        <is>
          <t>Kings County Jerky Co.</t>
        </is>
      </c>
      <c r="C295" t="inlineStr">
        <is>
          <t>Chris</t>
        </is>
      </c>
      <c r="D295" t="inlineStr">
        <is>
          <t>Woehrle</t>
        </is>
      </c>
      <c r="E295" t="inlineStr">
        <is>
          <t>Co-founder</t>
        </is>
      </c>
      <c r="H295" t="inlineStr">
        <is>
          <t>none</t>
        </is>
      </c>
      <c r="I295" t="inlineStr">
        <is>
          <t>linkedin</t>
        </is>
      </c>
      <c r="J295">
        <f>IF(AU295="pass",CM295+CN295+CO295+CP295+CQ295+CR295+CS295+CT295,0)</f>
        <v/>
      </c>
      <c r="K295" t="inlineStr">
        <is>
          <t>Gated out: no-buy-path: No working online store (kingscountyjerky.com returned HTTP 521 on 2026-10-23) and no retailer found near cluster; may be inactive.</t>
        </is>
      </c>
      <c r="M295" t="inlineStr">
        <is>
          <t>none found within ten blocks</t>
        </is>
      </c>
      <c r="N295" t="inlineStr">
        <is>
          <t>unverified</t>
        </is>
      </c>
      <c r="R295" t="inlineStr">
        <is>
          <t>N</t>
        </is>
      </c>
      <c r="S295" t="inlineStr">
        <is>
          <t>unknown</t>
        </is>
      </c>
      <c r="T295" t="inlineStr">
        <is>
          <t>N</t>
        </is>
      </c>
      <c r="U295" t="inlineStr">
        <is>
          <t>new</t>
        </is>
      </c>
      <c r="V295" t="inlineStr">
        <is>
          <t>https://www.kingscountyjerky.com</t>
        </is>
      </c>
      <c r="W295" t="inlineStr">
        <is>
          <t>2026-10-23</t>
        </is>
      </c>
      <c r="X295" t="inlineStr">
        <is>
          <t>brand</t>
        </is>
      </c>
      <c r="Y295">
        <f>IF(EB295&lt;&gt;"Y","",COUNTIFS($EB$2:$EB$1000,"Y",$J$2:$J$1000,"&gt;"&amp;J295)+COUNTIFS($EB$2:$EB$1000,"Y",$J$2:$J$1000,J295,$ED$2:$ED$1000,"&lt;"&amp;ED295)+1)</f>
        <v/>
      </c>
      <c r="AA295" t="inlineStr">
        <is>
          <t>N</t>
        </is>
      </c>
      <c r="AC295" t="inlineStr">
        <is>
          <t>founder</t>
        </is>
      </c>
      <c r="AD295" t="inlineStr">
        <is>
          <t>verified-page</t>
        </is>
      </c>
      <c r="AE295" t="inlineStr">
        <is>
          <t>unknown</t>
        </is>
      </c>
      <c r="AG295" t="inlineStr">
        <is>
          <t>2026-10-23</t>
        </is>
      </c>
      <c r="AH295" t="inlineStr">
        <is>
          <t>unknown (site unreachable)</t>
        </is>
      </c>
      <c r="AI295" t="inlineStr">
        <is>
          <t>meat-snacks</t>
        </is>
      </c>
      <c r="AJ295" t="inlineStr">
        <is>
          <t>Brooklyn</t>
        </is>
      </c>
      <c r="AL295" t="inlineStr">
        <is>
          <t>Y</t>
        </is>
      </c>
      <c r="AM295" t="inlineStr">
        <is>
          <t>60-day shelf life not stated</t>
        </is>
      </c>
      <c r="AN295" t="inlineStr">
        <is>
          <t>AB-005</t>
        </is>
      </c>
      <c r="AO295" t="inlineStr">
        <is>
          <t>N</t>
        </is>
      </c>
      <c r="AR295">
        <f>IF(AND(AU295="pass",AO295&lt;&gt;"Y",C295&lt;&gt;""),"Y","N")</f>
        <v/>
      </c>
      <c r="AS295">
        <f>_xlfn.TEXTJOIN("; ",TRUE,IF(AU295&lt;&gt;"pass","gated out",""),IF(AO295="Y","on hold: "&amp;AP295,""),IF(C295="","no contact named on an opened page",""))</f>
        <v/>
      </c>
      <c r="AU295" t="inlineStr">
        <is>
          <t>fail</t>
        </is>
      </c>
      <c r="AV295" t="inlineStr">
        <is>
          <t>no-buy-path</t>
        </is>
      </c>
      <c r="AW295" t="inlineStr">
        <is>
          <t>no-buy-path: No working online store (kingscountyjerky.com returned HTTP 521 on 2026-10-23) and no retailer found near cluster; may be inactive</t>
        </is>
      </c>
      <c r="AY295" t="inlineStr">
        <is>
          <t>https://www.kingscountyjerky.com</t>
        </is>
      </c>
      <c r="AZ295" t="inlineStr">
        <is>
          <t>NY</t>
        </is>
      </c>
      <c r="BA295" t="inlineStr">
        <is>
          <t>nyc</t>
        </is>
      </c>
      <c r="BB295" t="inlineStr">
        <is>
          <t>unknown</t>
        </is>
      </c>
      <c r="BD295" t="inlineStr">
        <is>
          <t>unknown</t>
        </is>
      </c>
      <c r="BF295" t="inlineStr">
        <is>
          <t>unknown</t>
        </is>
      </c>
      <c r="BG295" t="inlineStr">
        <is>
          <t>N</t>
        </is>
      </c>
      <c r="BH295" t="inlineStr">
        <is>
          <t>unknown</t>
        </is>
      </c>
      <c r="BJ295" t="inlineStr">
        <is>
          <t>unknown</t>
        </is>
      </c>
      <c r="BK295" t="inlineStr">
        <is>
          <t>N</t>
        </is>
      </c>
      <c r="BL295" t="inlineStr">
        <is>
          <t>Y</t>
        </is>
      </c>
      <c r="BM295" t="inlineStr">
        <is>
          <t>No working online store (kingscountyjerky.com returned HTTP 521 on 2026-10-23) and no retailer found near cluster; may be inactive</t>
        </is>
      </c>
      <c r="BO295" t="inlineStr">
        <is>
          <t>N</t>
        </is>
      </c>
      <c r="BP295" t="n">
        <v>0</v>
      </c>
      <c r="BT295" t="inlineStr">
        <is>
          <t>https://www.wholefoodsmarket.com/search?text=kings%20county%20jerky (no results for Union Square context, 2026-10-23)</t>
        </is>
      </c>
      <c r="BU295" t="inlineStr">
        <is>
          <t>none</t>
        </is>
      </c>
      <c r="BX295" t="inlineStr">
        <is>
          <t>Chris Woehrle</t>
        </is>
      </c>
      <c r="CA295" t="inlineStr">
        <is>
          <t>Robert Stout</t>
        </is>
      </c>
      <c r="CB295" t="inlineStr">
        <is>
          <t>Robert</t>
        </is>
      </c>
      <c r="CC295" t="inlineStr">
        <is>
          <t>Stout</t>
        </is>
      </c>
      <c r="CD295" t="inlineStr">
        <is>
          <t>Co-founder</t>
        </is>
      </c>
      <c r="CE295" t="inlineStr">
        <is>
          <t>co-founder</t>
        </is>
      </c>
      <c r="CF295" t="inlineStr">
        <is>
          <t>verified-page</t>
        </is>
      </c>
      <c r="CK295" t="inlineStr">
        <is>
          <t>none</t>
        </is>
      </c>
      <c r="CL295" t="n">
        <v>33</v>
      </c>
      <c r="CM295" t="n">
        <v>0</v>
      </c>
      <c r="CN295" t="n">
        <v>20</v>
      </c>
      <c r="CO295" t="n">
        <v>0</v>
      </c>
      <c r="CP295" t="n">
        <v>5</v>
      </c>
      <c r="CQ295" t="n">
        <v>2</v>
      </c>
      <c r="CR295" t="n">
        <v>6</v>
      </c>
      <c r="CS295">
        <f>IF(R295="Y",10,0)</f>
        <v/>
      </c>
      <c r="CT295" t="n">
        <v>0</v>
      </c>
      <c r="CU295" t="inlineStr">
        <is>
          <t>unknown</t>
        </is>
      </c>
      <c r="CV295" t="inlineStr">
        <is>
          <t>BR1</t>
        </is>
      </c>
      <c r="CW295" t="inlineStr">
        <is>
          <t>BR1:6</t>
        </is>
      </c>
      <c r="CX295" t="inlineStr">
        <is>
          <t>Brooklyn craft jerky brand from 2011-era press. Checked and parked; recheck only if founder knows it is active.</t>
        </is>
      </c>
      <c r="DA295" t="inlineStr">
        <is>
          <t>stage 1 only</t>
        </is>
      </c>
      <c r="DC295" t="inlineStr">
        <is>
          <t>unknown</t>
        </is>
      </c>
      <c r="DY295">
        <f>IF(ISNUMBER(MATCH(U295,{"queued","contacted","replied","call_booked","call_done","yes_in_principle","materials_sent"},0)),"Y","N")</f>
        <v/>
      </c>
      <c r="DZ295">
        <f>IF(COUNTIFS($AN$2:$AN$1000,AN295,$DY$2:$DY$1000,"Y")+COUNTIFS($AN$2:$AN$1000,AN295,$T$2:$T$1000,"Y")&gt;0,"Y","N")</f>
        <v/>
      </c>
      <c r="EA295">
        <f>IF(AND(U295="new",T295="N",AR295="Y",AQ295="",DZ295="N"),"Y","N")</f>
        <v/>
      </c>
      <c r="EB295">
        <f>IF(EA295&lt;&gt;"Y","N",IF(COUNTIFS($AN$2:$AN$1000,AN295,$EA$2:$EA$1000,"Y",$J$2:$J$1000,"&gt;"&amp;J295)+COUNTIFS($AN$2:$AN$1000,AN295,$EA$2:$EA$1000,"Y",$J$2:$J$1000,J295,$ED$2:$ED$1000,"&lt;"&amp;ED295)=0,"Y","N"))</f>
        <v/>
      </c>
      <c r="EC295">
        <f>IF(Y295="","N",IF(Y295&lt;=10,"Y","N"))</f>
        <v/>
      </c>
      <c r="ED295">
        <f>ROW()-1</f>
        <v/>
      </c>
    </row>
    <row r="296">
      <c r="A296" t="inlineStr">
        <is>
          <t>AB-198</t>
        </is>
      </c>
      <c r="B296" t="inlineStr">
        <is>
          <t>Lemon Perfect</t>
        </is>
      </c>
      <c r="H296" t="inlineStr">
        <is>
          <t>none</t>
        </is>
      </c>
      <c r="J296">
        <f>IF(AU296="pass",CM296+CN296+CO296+CP296+CQ296+CR296+CS296+CT296,0)</f>
        <v/>
      </c>
      <c r="K296" t="inlineStr">
        <is>
          <t>Gated out: health-claim: Explicit health claim in FAQ: '100% Daily Value vitamin C for immune support'.</t>
        </is>
      </c>
      <c r="M296" t="inlineStr">
        <is>
          <t>none found within ten blocks</t>
        </is>
      </c>
      <c r="N296" t="inlineStr">
        <is>
          <t>unverified</t>
        </is>
      </c>
      <c r="R296" t="inlineStr">
        <is>
          <t>N</t>
        </is>
      </c>
      <c r="S296" t="inlineStr">
        <is>
          <t>unknown</t>
        </is>
      </c>
      <c r="T296" t="inlineStr">
        <is>
          <t>N</t>
        </is>
      </c>
      <c r="U296" t="inlineStr">
        <is>
          <t>new</t>
        </is>
      </c>
      <c r="V296" t="inlineStr">
        <is>
          <t>https://lemonperfect.com/pages/sr-faq</t>
        </is>
      </c>
      <c r="W296" t="inlineStr">
        <is>
          <t>2026-10-23</t>
        </is>
      </c>
      <c r="X296" t="inlineStr">
        <is>
          <t>brand</t>
        </is>
      </c>
      <c r="Y296">
        <f>IF(EB296&lt;&gt;"Y","",COUNTIFS($EB$2:$EB$1000,"Y",$J$2:$J$1000,"&gt;"&amp;J296)+COUNTIFS($EB$2:$EB$1000,"Y",$J$2:$J$1000,J296,$ED$2:$ED$1000,"&lt;"&amp;ED296)+1)</f>
        <v/>
      </c>
      <c r="AA296" t="inlineStr">
        <is>
          <t>N</t>
        </is>
      </c>
      <c r="AD296" t="inlineStr">
        <is>
          <t>none</t>
        </is>
      </c>
      <c r="AH296" t="inlineStr">
        <is>
          <t>Lemon Perfect lemon water, bottle (Original, Dragon Fruit, Peach)</t>
        </is>
      </c>
      <c r="AI296" t="inlineStr">
        <is>
          <t>other-drink</t>
        </is>
      </c>
      <c r="AJ296" t="inlineStr">
        <is>
          <t>unknown</t>
        </is>
      </c>
      <c r="AK296" t="inlineStr">
        <is>
          <t>https://lemonperfect.com</t>
        </is>
      </c>
      <c r="AL296" t="inlineStr">
        <is>
          <t>Y</t>
        </is>
      </c>
      <c r="AM296" t="inlineStr">
        <is>
          <t>60-day shelf life not stated</t>
        </is>
      </c>
      <c r="AN296" t="inlineStr">
        <is>
          <t>AB-198</t>
        </is>
      </c>
      <c r="AO296" t="inlineStr">
        <is>
          <t>N</t>
        </is>
      </c>
      <c r="AR296">
        <f>IF(AND(AU296="pass",AO296&lt;&gt;"Y",C296&lt;&gt;""),"Y","N")</f>
        <v/>
      </c>
      <c r="AS296">
        <f>_xlfn.TEXTJOIN("; ",TRUE,IF(AU296&lt;&gt;"pass","gated out",""),IF(AO296="Y","on hold: "&amp;AP296,""),IF(C296="","no contact named on an opened page",""))</f>
        <v/>
      </c>
      <c r="AU296" t="inlineStr">
        <is>
          <t>fail</t>
        </is>
      </c>
      <c r="AV296" t="inlineStr">
        <is>
          <t>health-claim</t>
        </is>
      </c>
      <c r="AW296" t="inlineStr">
        <is>
          <t>health-claim: Explicit health claim in FAQ: '100% Daily Value vitamin C for immune support'</t>
        </is>
      </c>
      <c r="AY296" t="inlineStr">
        <is>
          <t>https://lemonperfect.com</t>
        </is>
      </c>
      <c r="AZ296" t="inlineStr">
        <is>
          <t>unknown</t>
        </is>
      </c>
      <c r="BA296" t="inlineStr">
        <is>
          <t>unknown</t>
        </is>
      </c>
      <c r="BB296" t="inlineStr">
        <is>
          <t>unknown</t>
        </is>
      </c>
      <c r="BD296" t="inlineStr">
        <is>
          <t>unknown</t>
        </is>
      </c>
      <c r="BE296" t="inlineStr">
        <is>
          <t>No storage statement read</t>
        </is>
      </c>
      <c r="BF296" t="inlineStr">
        <is>
          <t>Y</t>
        </is>
      </c>
      <c r="BG296" t="inlineStr">
        <is>
          <t>Y</t>
        </is>
      </c>
      <c r="BH296" t="inlineStr">
        <is>
          <t>unknown</t>
        </is>
      </c>
      <c r="BJ296" t="inlineStr">
        <is>
          <t>No public sales figure opened</t>
        </is>
      </c>
      <c r="BK296" t="inlineStr">
        <is>
          <t>Y</t>
        </is>
      </c>
      <c r="BL296" t="inlineStr">
        <is>
          <t>Y</t>
        </is>
      </c>
      <c r="BM296" t="inlineStr">
        <is>
          <t>Explicit health claim in FAQ: '100% Daily Value vitamin C for immune support'</t>
        </is>
      </c>
      <c r="BO296" t="inlineStr">
        <is>
          <t>N</t>
        </is>
      </c>
      <c r="BP296" t="n">
        <v>0</v>
      </c>
      <c r="BS296" t="inlineStr">
        <is>
          <t>unknown</t>
        </is>
      </c>
      <c r="BU296" t="inlineStr">
        <is>
          <t>none</t>
        </is>
      </c>
      <c r="CF296" t="inlineStr">
        <is>
          <t>none</t>
        </is>
      </c>
      <c r="CK296" t="inlineStr">
        <is>
          <t>none</t>
        </is>
      </c>
      <c r="CL296" t="n">
        <v>22</v>
      </c>
      <c r="CM296" t="n">
        <v>6</v>
      </c>
      <c r="CN296" t="n">
        <v>4</v>
      </c>
      <c r="CO296" t="n">
        <v>0</v>
      </c>
      <c r="CP296" t="n">
        <v>5</v>
      </c>
      <c r="CQ296" t="n">
        <v>7</v>
      </c>
      <c r="CR296" t="n">
        <v>0</v>
      </c>
      <c r="CS296">
        <f>IF(R296="Y",10,0)</f>
        <v/>
      </c>
      <c r="CT296" t="n">
        <v>0</v>
      </c>
      <c r="CU296" t="inlineStr">
        <is>
          <t>https://www.instagram.com/lemonperfect</t>
        </is>
      </c>
      <c r="CV296" t="inlineStr">
        <is>
          <t>BR3</t>
        </is>
      </c>
      <c r="CW296" t="inlineStr">
        <is>
          <t>BR3:72</t>
        </is>
      </c>
      <c r="CX296" t="inlineStr">
        <is>
          <t>Search snippets (not opened) place HQ in Atlanta and describe a large investor-backed brand; recorded so it is not re-researched.</t>
        </is>
      </c>
      <c r="DA296" t="inlineStr">
        <is>
          <t>stage 1 only</t>
        </is>
      </c>
      <c r="DY296">
        <f>IF(ISNUMBER(MATCH(U296,{"queued","contacted","replied","call_booked","call_done","yes_in_principle","materials_sent"},0)),"Y","N")</f>
        <v/>
      </c>
      <c r="DZ296">
        <f>IF(COUNTIFS($AN$2:$AN$1000,AN296,$DY$2:$DY$1000,"Y")+COUNTIFS($AN$2:$AN$1000,AN296,$T$2:$T$1000,"Y")&gt;0,"Y","N")</f>
        <v/>
      </c>
      <c r="EA296">
        <f>IF(AND(U296="new",T296="N",AR296="Y",AQ296="",DZ296="N"),"Y","N")</f>
        <v/>
      </c>
      <c r="EB296">
        <f>IF(EA296&lt;&gt;"Y","N",IF(COUNTIFS($AN$2:$AN$1000,AN296,$EA$2:$EA$1000,"Y",$J$2:$J$1000,"&gt;"&amp;J296)+COUNTIFS($AN$2:$AN$1000,AN296,$EA$2:$EA$1000,"Y",$J$2:$J$1000,J296,$ED$2:$ED$1000,"&lt;"&amp;ED296)=0,"Y","N"))</f>
        <v/>
      </c>
      <c r="EC296">
        <f>IF(Y296="","N",IF(Y296&lt;=10,"Y","N"))</f>
        <v/>
      </c>
      <c r="ED296">
        <f>ROW()-1</f>
        <v/>
      </c>
    </row>
    <row r="297">
      <c r="A297" t="inlineStr">
        <is>
          <t>AB-030</t>
        </is>
      </c>
      <c r="B297" t="inlineStr">
        <is>
          <t>Maine Crisp Co.</t>
        </is>
      </c>
      <c r="C297" t="inlineStr">
        <is>
          <t>Karen</t>
        </is>
      </c>
      <c r="D297" t="inlineStr">
        <is>
          <t>Getz</t>
        </is>
      </c>
      <c r="E297" t="inlineStr">
        <is>
          <t>Founder</t>
        </is>
      </c>
      <c r="H297" t="inlineStr">
        <is>
          <t>none</t>
        </is>
      </c>
      <c r="I297" t="inlineStr">
        <is>
          <t>linkedin</t>
        </is>
      </c>
      <c r="J297">
        <f>IF(AU297="pass",CM297+CN297+CO297+CP297+CQ297+CR297+CS297+CT297,0)</f>
        <v/>
      </c>
      <c r="K297" t="inlineStr">
        <is>
          <t>Gated out: health-claim: explicit health claim on the brand's homepage (opened 2026-10-24): buckwheat is 'gluten-free, grain-free, low glycemic, anti-inflammatory, rich in.</t>
        </is>
      </c>
      <c r="M297" t="inlineStr">
        <is>
          <t>Whole Foods Market Union Square, 4 Union Sq S</t>
        </is>
      </c>
      <c r="N297" t="inlineStr">
        <is>
          <t>unverified</t>
        </is>
      </c>
      <c r="R297" t="inlineStr">
        <is>
          <t>N</t>
        </is>
      </c>
      <c r="S297" t="inlineStr">
        <is>
          <t>unknown</t>
        </is>
      </c>
      <c r="T297" t="inlineStr">
        <is>
          <t>N</t>
        </is>
      </c>
      <c r="U297" t="inlineStr">
        <is>
          <t>new</t>
        </is>
      </c>
      <c r="V297" t="inlineStr">
        <is>
          <t>https://www.mainecrisp.com/pages/pg-about-2</t>
        </is>
      </c>
      <c r="W297" t="inlineStr">
        <is>
          <t>2026-10-23</t>
        </is>
      </c>
      <c r="X297" t="inlineStr">
        <is>
          <t>brand</t>
        </is>
      </c>
      <c r="Y297">
        <f>IF(EB297&lt;&gt;"Y","",COUNTIFS($EB$2:$EB$1000,"Y",$J$2:$J$1000,"&gt;"&amp;J297)+COUNTIFS($EB$2:$EB$1000,"Y",$J$2:$J$1000,J297,$ED$2:$ED$1000,"&lt;"&amp;ED297)+1)</f>
        <v/>
      </c>
      <c r="AA297" t="inlineStr">
        <is>
          <t>N</t>
        </is>
      </c>
      <c r="AC297" t="inlineStr">
        <is>
          <t>founder</t>
        </is>
      </c>
      <c r="AD297" t="inlineStr">
        <is>
          <t>verified-page</t>
        </is>
      </c>
      <c r="AE297" t="inlineStr">
        <is>
          <t>employer's own site</t>
        </is>
      </c>
      <c r="AF297" t="inlineStr">
        <is>
          <t>https://www.mainecrisp.com/pages/about-us</t>
        </is>
      </c>
      <c r="AG297" t="inlineStr">
        <is>
          <t>2026-10-23</t>
        </is>
      </c>
      <c r="AH297" t="inlineStr">
        <is>
          <t>Maine Crisps Olive &amp; Za'atar buckwheat crisps, 4 oz</t>
        </is>
      </c>
      <c r="AI297" t="inlineStr">
        <is>
          <t>crackers-pretzels</t>
        </is>
      </c>
      <c r="AJ297" t="inlineStr">
        <is>
          <t>Waterville</t>
        </is>
      </c>
      <c r="AK297" t="inlineStr">
        <is>
          <t>https://www.mainecrisp.com</t>
        </is>
      </c>
      <c r="AL297" t="inlineStr">
        <is>
          <t>N</t>
        </is>
      </c>
      <c r="AN297" t="inlineStr">
        <is>
          <t>AB-030</t>
        </is>
      </c>
      <c r="AO297" t="inlineStr">
        <is>
          <t>N</t>
        </is>
      </c>
      <c r="AR297">
        <f>IF(AND(AU297="pass",AO297&lt;&gt;"Y",C297&lt;&gt;""),"Y","N")</f>
        <v/>
      </c>
      <c r="AS297">
        <f>_xlfn.TEXTJOIN("; ",TRUE,IF(AU297&lt;&gt;"pass","gated out",""),IF(AO297="Y","on hold: "&amp;AP297,""),IF(C297="","no contact named on an opened page",""))</f>
        <v/>
      </c>
      <c r="AU297" t="inlineStr">
        <is>
          <t>fail</t>
        </is>
      </c>
      <c r="AV297" t="inlineStr">
        <is>
          <t>health-claim</t>
        </is>
      </c>
      <c r="AW297" t="inlineStr">
        <is>
          <t>health-claim: explicit health claim on the brand's homepage (opened 2026-10-24): buckwheat is 'gluten-free, grain-free, low glycemic, anti-inflammatory, rich in fiber'</t>
        </is>
      </c>
      <c r="AY297" t="inlineStr">
        <is>
          <t>https://www.mainecrisp.com</t>
        </is>
      </c>
      <c r="AZ297" t="inlineStr">
        <is>
          <t>ME</t>
        </is>
      </c>
      <c r="BA297" t="inlineStr">
        <is>
          <t>northeast</t>
        </is>
      </c>
      <c r="BB297" t="inlineStr">
        <is>
          <t>unknown</t>
        </is>
      </c>
      <c r="BD297" t="inlineStr">
        <is>
          <t>Y</t>
        </is>
      </c>
      <c r="BE297" t="inlineStr">
        <is>
          <t>Brand wholesale FAQ: 'Our crisps and crackers are shelf stable for 6-12 months.'</t>
        </is>
      </c>
      <c r="BF297" t="inlineStr">
        <is>
          <t>N</t>
        </is>
      </c>
      <c r="BG297" t="inlineStr">
        <is>
          <t>Y</t>
        </is>
      </c>
      <c r="BH297" t="inlineStr">
        <is>
          <t>unknown</t>
        </is>
      </c>
      <c r="BJ297" t="inlineStr">
        <is>
          <t>unknown</t>
        </is>
      </c>
      <c r="BK297" t="inlineStr">
        <is>
          <t>N</t>
        </is>
      </c>
      <c r="BL297" t="inlineStr">
        <is>
          <t>Y</t>
        </is>
      </c>
      <c r="BM297" t="inlineStr">
        <is>
          <t>explicit health claim on the brand's homepage (opened 2026-10-24): buckwheat is 'gluten-free, grain-free, low glycemic, anti-inflammatory, rich in fiber'</t>
        </is>
      </c>
      <c r="BN297" t="n">
        <v>0</v>
      </c>
      <c r="BO297" t="inlineStr">
        <is>
          <t>Y</t>
        </is>
      </c>
      <c r="BP297" t="n">
        <v>0</v>
      </c>
      <c r="BQ297" t="inlineStr">
        <is>
          <t>Whole Foods Market Union Square, 4 Union Sq S (unverified, inside)</t>
        </is>
      </c>
      <c r="BS297" t="inlineStr">
        <is>
          <t>Whole Foods Market</t>
        </is>
      </c>
      <c r="BT297" t="inlineStr">
        <is>
          <t>https://www.wholefoodsmarket.com/search?text=maine%20crisp (Union Square context: Cranberry Almond and Olive &amp; Za'atar Crisps 4 oz IN_STOCK, from category search 2026-10-23)</t>
        </is>
      </c>
      <c r="BU297" t="inlineStr">
        <is>
          <t>none</t>
        </is>
      </c>
      <c r="BX297" t="inlineStr">
        <is>
          <t>Karen Getz</t>
        </is>
      </c>
      <c r="CF297" t="inlineStr">
        <is>
          <t>none</t>
        </is>
      </c>
      <c r="CK297" t="inlineStr">
        <is>
          <t>none</t>
        </is>
      </c>
      <c r="CL297" t="n">
        <v>32</v>
      </c>
      <c r="CM297" t="n">
        <v>6</v>
      </c>
      <c r="CN297" t="n">
        <v>8</v>
      </c>
      <c r="CO297" t="n">
        <v>0</v>
      </c>
      <c r="CP297" t="n">
        <v>5</v>
      </c>
      <c r="CQ297" t="n">
        <v>7</v>
      </c>
      <c r="CR297" t="n">
        <v>6</v>
      </c>
      <c r="CS297">
        <f>IF(R297="Y",10,0)</f>
        <v/>
      </c>
      <c r="CT297" t="n">
        <v>0</v>
      </c>
      <c r="CU297" t="inlineStr">
        <is>
          <t>unknown</t>
        </is>
      </c>
      <c r="CV297" t="inlineStr">
        <is>
          <t>BR1</t>
        </is>
      </c>
      <c r="CW297" t="inlineStr">
        <is>
          <t>BR1:31</t>
        </is>
      </c>
      <c r="CX297" t="inlineStr">
        <is>
          <t>Handmade in Maine. Union Square evidence from the 'cracker crisps' category search run in store context; not re-run per store.</t>
        </is>
      </c>
      <c r="CY297" t="inlineStr">
        <is>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is>
      </c>
      <c r="DA297" t="inlineStr">
        <is>
          <t>stage 1 only</t>
        </is>
      </c>
      <c r="DY297">
        <f>IF(ISNUMBER(MATCH(U297,{"queued","contacted","replied","call_booked","call_done","yes_in_principle","materials_sent"},0)),"Y","N")</f>
        <v/>
      </c>
      <c r="DZ297">
        <f>IF(COUNTIFS($AN$2:$AN$1000,AN297,$DY$2:$DY$1000,"Y")+COUNTIFS($AN$2:$AN$1000,AN297,$T$2:$T$1000,"Y")&gt;0,"Y","N")</f>
        <v/>
      </c>
      <c r="EA297">
        <f>IF(AND(U297="new",T297="N",AR297="Y",AQ297="",DZ297="N"),"Y","N")</f>
        <v/>
      </c>
      <c r="EB297">
        <f>IF(EA297&lt;&gt;"Y","N",IF(COUNTIFS($AN$2:$AN$1000,AN297,$EA$2:$EA$1000,"Y",$J$2:$J$1000,"&gt;"&amp;J297)+COUNTIFS($AN$2:$AN$1000,AN297,$EA$2:$EA$1000,"Y",$J$2:$J$1000,J297,$ED$2:$ED$1000,"&lt;"&amp;ED297)=0,"Y","N"))</f>
        <v/>
      </c>
      <c r="EC297">
        <f>IF(Y297="","N",IF(Y297&lt;=10,"Y","N"))</f>
        <v/>
      </c>
      <c r="ED297">
        <f>ROW()-1</f>
        <v/>
      </c>
    </row>
    <row r="298">
      <c r="A298" t="inlineStr">
        <is>
          <t>AB-153</t>
        </is>
      </c>
      <c r="B298" t="inlineStr">
        <is>
          <t>Maine Root</t>
        </is>
      </c>
      <c r="H298" t="inlineStr">
        <is>
          <t>none</t>
        </is>
      </c>
      <c r="J298">
        <f>IF(AU298="pass",CM298+CN298+CO298+CP298+CQ298+CR298+CS298+CT298,0)</f>
        <v/>
      </c>
      <c r="K298" t="inlineStr">
        <is>
          <t>Gated out: no-buy-path: no graded store within ten blocks and no online store shown (online store unknown).</t>
        </is>
      </c>
      <c r="M298" t="inlineStr">
        <is>
          <t>none found within ten blocks</t>
        </is>
      </c>
      <c r="N298" t="inlineStr">
        <is>
          <t>unverified</t>
        </is>
      </c>
      <c r="R298" t="inlineStr">
        <is>
          <t>N</t>
        </is>
      </c>
      <c r="S298" t="inlineStr">
        <is>
          <t>unknown</t>
        </is>
      </c>
      <c r="T298" t="inlineStr">
        <is>
          <t>N</t>
        </is>
      </c>
      <c r="U298" t="inlineStr">
        <is>
          <t>new</t>
        </is>
      </c>
      <c r="V298" t="inlineStr">
        <is>
          <t>https://www.maineroot.com/our-roots</t>
        </is>
      </c>
      <c r="W298" t="inlineStr">
        <is>
          <t>2026-10-23</t>
        </is>
      </c>
      <c r="X298" t="inlineStr">
        <is>
          <t>brand</t>
        </is>
      </c>
      <c r="Y298">
        <f>IF(EB298&lt;&gt;"Y","",COUNTIFS($EB$2:$EB$1000,"Y",$J$2:$J$1000,"&gt;"&amp;J298)+COUNTIFS($EB$2:$EB$1000,"Y",$J$2:$J$1000,J298,$ED$2:$ED$1000,"&lt;"&amp;ED298)+1)</f>
        <v/>
      </c>
      <c r="AA298" t="inlineStr">
        <is>
          <t>N</t>
        </is>
      </c>
      <c r="AD298" t="inlineStr">
        <is>
          <t>none</t>
        </is>
      </c>
      <c r="AH298" t="inlineStr">
        <is>
          <t>Maine Root Root Beer (fair trade cane sugar), 12 oz bottle</t>
        </is>
      </c>
      <c r="AI298" t="inlineStr">
        <is>
          <t>sparkling-soda</t>
        </is>
      </c>
      <c r="AJ298" t="inlineStr">
        <is>
          <t>unknown</t>
        </is>
      </c>
      <c r="AK298" t="inlineStr">
        <is>
          <t>unknown</t>
        </is>
      </c>
      <c r="AL298" t="inlineStr">
        <is>
          <t>Y</t>
        </is>
      </c>
      <c r="AM298" t="inlineStr">
        <is>
          <t>Site footer says (c) 2017 and 'Buy Online' link 404s; activity and buy path unclear; 60-day shelf life not stated</t>
        </is>
      </c>
      <c r="AN298" t="inlineStr">
        <is>
          <t>AB-153</t>
        </is>
      </c>
      <c r="AO298" t="inlineStr">
        <is>
          <t>N</t>
        </is>
      </c>
      <c r="AR298">
        <f>IF(AND(AU298="pass",AO298&lt;&gt;"Y",C298&lt;&gt;""),"Y","N")</f>
        <v/>
      </c>
      <c r="AS298">
        <f>_xlfn.TEXTJOIN("; ",TRUE,IF(AU298&lt;&gt;"pass","gated out",""),IF(AO298="Y","on hold: "&amp;AP298,""),IF(C298="","no contact named on an opened page",""))</f>
        <v/>
      </c>
      <c r="AU298" t="inlineStr">
        <is>
          <t>fail</t>
        </is>
      </c>
      <c r="AV298" t="inlineStr">
        <is>
          <t>no-buy-path</t>
        </is>
      </c>
      <c r="AW298" t="inlineStr">
        <is>
          <t>no-buy-path: no graded store within ten blocks and no online store shown (online store unknown)</t>
        </is>
      </c>
      <c r="AX298" t="inlineStr">
        <is>
          <t>other</t>
        </is>
      </c>
      <c r="AY298" t="inlineStr">
        <is>
          <t>https://www.maineroot.com</t>
        </is>
      </c>
      <c r="AZ298" t="inlineStr">
        <is>
          <t>unknown</t>
        </is>
      </c>
      <c r="BA298" t="inlineStr">
        <is>
          <t>unknown</t>
        </is>
      </c>
      <c r="BB298" t="inlineStr">
        <is>
          <t>unknown</t>
        </is>
      </c>
      <c r="BD298" t="inlineStr">
        <is>
          <t>unknown</t>
        </is>
      </c>
      <c r="BE298" t="inlineStr">
        <is>
          <t>No storage statement found</t>
        </is>
      </c>
      <c r="BF298" t="inlineStr">
        <is>
          <t>Y</t>
        </is>
      </c>
      <c r="BG298" t="inlineStr">
        <is>
          <t>unknown</t>
        </is>
      </c>
      <c r="BH298" t="inlineStr">
        <is>
          <t>unknown</t>
        </is>
      </c>
      <c r="BJ298" t="inlineStr">
        <is>
          <t>No public sales figure found</t>
        </is>
      </c>
      <c r="BK298" t="inlineStr">
        <is>
          <t>N</t>
        </is>
      </c>
      <c r="BL298" t="inlineStr">
        <is>
          <t>N</t>
        </is>
      </c>
      <c r="BO298" t="inlineStr">
        <is>
          <t>N</t>
        </is>
      </c>
      <c r="BP298" t="n">
        <v>0</v>
      </c>
      <c r="BS298" t="inlineStr">
        <is>
          <t>unknown (store locator is a contact form)</t>
        </is>
      </c>
      <c r="BU298" t="inlineStr">
        <is>
          <t>none</t>
        </is>
      </c>
      <c r="CF298" t="inlineStr">
        <is>
          <t>none</t>
        </is>
      </c>
      <c r="CK298" t="inlineStr">
        <is>
          <t>none</t>
        </is>
      </c>
      <c r="CL298" t="n">
        <v>12</v>
      </c>
      <c r="CM298" t="n">
        <v>0</v>
      </c>
      <c r="CN298" t="n">
        <v>4</v>
      </c>
      <c r="CO298" t="n">
        <v>0</v>
      </c>
      <c r="CP298" t="n">
        <v>5</v>
      </c>
      <c r="CQ298" t="n">
        <v>5</v>
      </c>
      <c r="CR298" t="n">
        <v>0</v>
      </c>
      <c r="CS298">
        <f>IF(R298="Y",10,0)</f>
        <v/>
      </c>
      <c r="CT298" t="n">
        <v>-2</v>
      </c>
      <c r="CU298" t="inlineStr">
        <is>
          <t>https://www.instagram.com/maineroot</t>
        </is>
      </c>
      <c r="CV298" t="inlineStr">
        <is>
          <t>BR3</t>
        </is>
      </c>
      <c r="CW298" t="inlineStr">
        <is>
          <t>BR3:27</t>
        </is>
      </c>
      <c r="CX298" t="inlineStr">
        <is>
          <t>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is>
      </c>
      <c r="CY298" t="inlineStr">
        <is>
          <t xml:space="preserve">online_store &lt;- https://www.maineroot.com/collections/maine-root (2026-10-24, opened, stage 1); </t>
        </is>
      </c>
      <c r="DA298" t="inlineStr">
        <is>
          <t>stage 1 only</t>
        </is>
      </c>
      <c r="DY298">
        <f>IF(ISNUMBER(MATCH(U298,{"queued","contacted","replied","call_booked","call_done","yes_in_principle","materials_sent"},0)),"Y","N")</f>
        <v/>
      </c>
      <c r="DZ298">
        <f>IF(COUNTIFS($AN$2:$AN$1000,AN298,$DY$2:$DY$1000,"Y")+COUNTIFS($AN$2:$AN$1000,AN298,$T$2:$T$1000,"Y")&gt;0,"Y","N")</f>
        <v/>
      </c>
      <c r="EA298">
        <f>IF(AND(U298="new",T298="N",AR298="Y",AQ298="",DZ298="N"),"Y","N")</f>
        <v/>
      </c>
      <c r="EB298">
        <f>IF(EA298&lt;&gt;"Y","N",IF(COUNTIFS($AN$2:$AN$1000,AN298,$EA$2:$EA$1000,"Y",$J$2:$J$1000,"&gt;"&amp;J298)+COUNTIFS($AN$2:$AN$1000,AN298,$EA$2:$EA$1000,"Y",$J$2:$J$1000,J298,$ED$2:$ED$1000,"&lt;"&amp;ED298)=0,"Y","N"))</f>
        <v/>
      </c>
      <c r="EC298">
        <f>IF(Y298="","N",IF(Y298&lt;=10,"Y","N"))</f>
        <v/>
      </c>
      <c r="ED298">
        <f>ROW()-1</f>
        <v/>
      </c>
    </row>
    <row r="299">
      <c r="A299" t="inlineStr">
        <is>
          <t>AB-139</t>
        </is>
      </c>
      <c r="B299" t="inlineStr">
        <is>
          <t>Moment</t>
        </is>
      </c>
      <c r="C299" t="inlineStr">
        <is>
          <t>Aisha</t>
        </is>
      </c>
      <c r="D299" t="inlineStr">
        <is>
          <t>unknown</t>
        </is>
      </c>
      <c r="E299" t="inlineStr">
        <is>
          <t>Founder</t>
        </is>
      </c>
      <c r="H299" t="inlineStr">
        <is>
          <t>none</t>
        </is>
      </c>
      <c r="I299" t="inlineStr">
        <is>
          <t>linkedin</t>
        </is>
      </c>
      <c r="J299">
        <f>IF(AU299="pass",CM299+CN299+CO299+CP299+CQ299+CR299+CS299+CT299,0)</f>
        <v/>
      </c>
      <c r="K299" t="inlineStr">
        <is>
          <t>Gated out: health-claim: Adaptogen drinks with structure or function claims ('supports your mood and focus', 'Balance meets immunity', sleep blends).</t>
        </is>
      </c>
      <c r="M299" t="inlineStr">
        <is>
          <t>none found within ten blocks</t>
        </is>
      </c>
      <c r="N299" t="inlineStr">
        <is>
          <t>unverified</t>
        </is>
      </c>
      <c r="R299" t="inlineStr">
        <is>
          <t>N</t>
        </is>
      </c>
      <c r="S299" t="inlineStr">
        <is>
          <t>unknown</t>
        </is>
      </c>
      <c r="T299" t="inlineStr">
        <is>
          <t>N</t>
        </is>
      </c>
      <c r="U299" t="inlineStr">
        <is>
          <t>new</t>
        </is>
      </c>
      <c r="V299" t="inlineStr">
        <is>
          <t>https://drinkmoment.com/products.json</t>
        </is>
      </c>
      <c r="W299" t="inlineStr">
        <is>
          <t>2026-10-23</t>
        </is>
      </c>
      <c r="X299" t="inlineStr">
        <is>
          <t>brand</t>
        </is>
      </c>
      <c r="Y299">
        <f>IF(EB299&lt;&gt;"Y","",COUNTIFS($EB$2:$EB$1000,"Y",$J$2:$J$1000,"&gt;"&amp;J299)+COUNTIFS($EB$2:$EB$1000,"Y",$J$2:$J$1000,J299,$ED$2:$ED$1000,"&lt;"&amp;ED299)+1)</f>
        <v/>
      </c>
      <c r="AA299" t="inlineStr">
        <is>
          <t>N</t>
        </is>
      </c>
      <c r="AC299" t="inlineStr">
        <is>
          <t>founder</t>
        </is>
      </c>
      <c r="AD299" t="inlineStr">
        <is>
          <t>first-name-only</t>
        </is>
      </c>
      <c r="AE299" t="inlineStr">
        <is>
          <t>employer's own site</t>
        </is>
      </c>
      <c r="AF299" t="inlineStr">
        <is>
          <t>https://drinkmoment.com/pages/about</t>
        </is>
      </c>
      <c r="AG299" t="inlineStr">
        <is>
          <t>2026-10-23</t>
        </is>
      </c>
      <c r="AH299" t="inlineStr">
        <is>
          <t>Moment sparkling botanical drink with ashwagandha and L-theanine</t>
        </is>
      </c>
      <c r="AI299" t="inlineStr">
        <is>
          <t>sparkling-soda</t>
        </is>
      </c>
      <c r="AJ299" t="inlineStr">
        <is>
          <t>unknown</t>
        </is>
      </c>
      <c r="AK299" t="inlineStr">
        <is>
          <t>https://drinkmoment.com</t>
        </is>
      </c>
      <c r="AL299" t="inlineStr">
        <is>
          <t>Y</t>
        </is>
      </c>
      <c r="AM299" t="inlineStr">
        <is>
          <t>60-day shelf life not stated</t>
        </is>
      </c>
      <c r="AN299" t="inlineStr">
        <is>
          <t>AB-139</t>
        </is>
      </c>
      <c r="AO299" t="inlineStr">
        <is>
          <t>N</t>
        </is>
      </c>
      <c r="AR299">
        <f>IF(AND(AU299="pass",AO299&lt;&gt;"Y",C299&lt;&gt;""),"Y","N")</f>
        <v/>
      </c>
      <c r="AS299">
        <f>_xlfn.TEXTJOIN("; ",TRUE,IF(AU299&lt;&gt;"pass","gated out",""),IF(AO299="Y","on hold: "&amp;AP299,""),IF(C299="","no contact named on an opened page",""))</f>
        <v/>
      </c>
      <c r="AU299" t="inlineStr">
        <is>
          <t>fail</t>
        </is>
      </c>
      <c r="AV299" t="inlineStr">
        <is>
          <t>health-claim</t>
        </is>
      </c>
      <c r="AW299" t="inlineStr">
        <is>
          <t>health-claim: Adaptogen drinks with structure or function claims ('supports your mood and focus', 'Balance meets immunity', sleep blends)</t>
        </is>
      </c>
      <c r="AY299" t="inlineStr">
        <is>
          <t>https://drinkmoment.com</t>
        </is>
      </c>
      <c r="AZ299" t="inlineStr">
        <is>
          <t>unknown</t>
        </is>
      </c>
      <c r="BA299" t="inlineStr">
        <is>
          <t>unknown</t>
        </is>
      </c>
      <c r="BB299" t="inlineStr">
        <is>
          <t>unknown</t>
        </is>
      </c>
      <c r="BD299" t="inlineStr">
        <is>
          <t>unknown</t>
        </is>
      </c>
      <c r="BE299" t="inlineStr">
        <is>
          <t>No statement read</t>
        </is>
      </c>
      <c r="BF299" t="inlineStr">
        <is>
          <t>Y</t>
        </is>
      </c>
      <c r="BG299" t="inlineStr">
        <is>
          <t>Y</t>
        </is>
      </c>
      <c r="BH299" t="inlineStr">
        <is>
          <t>unknown</t>
        </is>
      </c>
      <c r="BJ299" t="inlineStr">
        <is>
          <t>No public sales figure found</t>
        </is>
      </c>
      <c r="BK299" t="inlineStr">
        <is>
          <t>Y</t>
        </is>
      </c>
      <c r="BL299" t="inlineStr">
        <is>
          <t>Y</t>
        </is>
      </c>
      <c r="BM299" t="inlineStr">
        <is>
          <t>Adaptogen drinks with structure or function claims ('supports your mood and focus', 'Balance meets immunity', sleep blends)</t>
        </is>
      </c>
      <c r="BO299" t="inlineStr">
        <is>
          <t>N</t>
        </is>
      </c>
      <c r="BP299" t="n">
        <v>0</v>
      </c>
      <c r="BS299" t="inlineStr">
        <is>
          <t>unknown</t>
        </is>
      </c>
      <c r="BU299" t="inlineStr">
        <is>
          <t>none</t>
        </is>
      </c>
      <c r="BX299" t="inlineStr">
        <is>
          <t>Aisha</t>
        </is>
      </c>
      <c r="CF299" t="inlineStr">
        <is>
          <t>none</t>
        </is>
      </c>
      <c r="CK299" t="inlineStr">
        <is>
          <t>none</t>
        </is>
      </c>
      <c r="CL299" t="n">
        <v>25</v>
      </c>
      <c r="CM299" t="n">
        <v>6</v>
      </c>
      <c r="CN299" t="n">
        <v>4</v>
      </c>
      <c r="CO299" t="n">
        <v>0</v>
      </c>
      <c r="CP299" t="n">
        <v>5</v>
      </c>
      <c r="CQ299" t="n">
        <v>7</v>
      </c>
      <c r="CR299" t="n">
        <v>3</v>
      </c>
      <c r="CS299">
        <f>IF(R299="Y",10,0)</f>
        <v/>
      </c>
      <c r="CT299" t="n">
        <v>0</v>
      </c>
      <c r="CU299" t="inlineStr">
        <is>
          <t>https://www.instagram.com/drinkmoment</t>
        </is>
      </c>
      <c r="CV299" t="inlineStr">
        <is>
          <t>BR3</t>
        </is>
      </c>
      <c r="CW299" t="inlineStr">
        <is>
          <t>BR3:13</t>
        </is>
      </c>
      <c r="CX299" t="inlineStr">
        <is>
          <t>Checked as a possible NYC brand; HQ not confirmed. Excluded on claims.</t>
        </is>
      </c>
      <c r="DA299" t="inlineStr">
        <is>
          <t>stage 1 only</t>
        </is>
      </c>
      <c r="DY299">
        <f>IF(ISNUMBER(MATCH(U299,{"queued","contacted","replied","call_booked","call_done","yes_in_principle","materials_sent"},0)),"Y","N")</f>
        <v/>
      </c>
      <c r="DZ299">
        <f>IF(COUNTIFS($AN$2:$AN$1000,AN299,$DY$2:$DY$1000,"Y")+COUNTIFS($AN$2:$AN$1000,AN299,$T$2:$T$1000,"Y")&gt;0,"Y","N")</f>
        <v/>
      </c>
      <c r="EA299">
        <f>IF(AND(U299="new",T299="N",AR299="Y",AQ299="",DZ299="N"),"Y","N")</f>
        <v/>
      </c>
      <c r="EB299">
        <f>IF(EA299&lt;&gt;"Y","N",IF(COUNTIFS($AN$2:$AN$1000,AN299,$EA$2:$EA$1000,"Y",$J$2:$J$1000,"&gt;"&amp;J299)+COUNTIFS($AN$2:$AN$1000,AN299,$EA$2:$EA$1000,"Y",$J$2:$J$1000,J299,$ED$2:$ED$1000,"&lt;"&amp;ED299)=0,"Y","N"))</f>
        <v/>
      </c>
      <c r="EC299">
        <f>IF(Y299="","N",IF(Y299&lt;=10,"Y","N"))</f>
        <v/>
      </c>
      <c r="ED299">
        <f>ROW()-1</f>
        <v/>
      </c>
    </row>
    <row r="300">
      <c r="A300" t="inlineStr">
        <is>
          <t>AB-100</t>
        </is>
      </c>
      <c r="B300" t="inlineStr">
        <is>
          <t>Munk Pack</t>
        </is>
      </c>
      <c r="C300" t="inlineStr">
        <is>
          <t>Michelle</t>
        </is>
      </c>
      <c r="D300" t="inlineStr">
        <is>
          <t>unknown</t>
        </is>
      </c>
      <c r="E300" t="inlineStr">
        <is>
          <t>Co-founder</t>
        </is>
      </c>
      <c r="H300" t="inlineStr">
        <is>
          <t>none</t>
        </is>
      </c>
      <c r="I300" t="inlineStr">
        <is>
          <t>linkedin</t>
        </is>
      </c>
      <c r="J300">
        <f>IF(AU300="pass",CM300+CN300+CO300+CP300+CQ300+CR300+CS300+CT300,0)</f>
        <v/>
      </c>
      <c r="K300" t="inlineStr">
        <is>
          <t>Gated out: health-claim: Explicit health claims: brand FAQ says probiotics have 'benefits for digestive health' and 'aid in the body's immune response'; 'virtually no impa.</t>
        </is>
      </c>
      <c r="M300" t="inlineStr">
        <is>
          <t>none found within ten blocks</t>
        </is>
      </c>
      <c r="N300" t="inlineStr">
        <is>
          <t>unverified</t>
        </is>
      </c>
      <c r="R300" t="inlineStr">
        <is>
          <t>N</t>
        </is>
      </c>
      <c r="S300" t="inlineStr">
        <is>
          <t>unknown</t>
        </is>
      </c>
      <c r="T300" t="inlineStr">
        <is>
          <t>N</t>
        </is>
      </c>
      <c r="U300" t="inlineStr">
        <is>
          <t>new</t>
        </is>
      </c>
      <c r="V300" t="inlineStr">
        <is>
          <t>https://munkpack.com/pages/faq</t>
        </is>
      </c>
      <c r="W300" t="inlineStr">
        <is>
          <t>2026-10-23</t>
        </is>
      </c>
      <c r="X300" t="inlineStr">
        <is>
          <t>brand</t>
        </is>
      </c>
      <c r="Y300">
        <f>IF(EB300&lt;&gt;"Y","",COUNTIFS($EB$2:$EB$1000,"Y",$J$2:$J$1000,"&gt;"&amp;J300)+COUNTIFS($EB$2:$EB$1000,"Y",$J$2:$J$1000,J300,$ED$2:$ED$1000,"&lt;"&amp;ED300)+1)</f>
        <v/>
      </c>
      <c r="AA300" t="inlineStr">
        <is>
          <t>N</t>
        </is>
      </c>
      <c r="AC300" t="inlineStr">
        <is>
          <t>founder</t>
        </is>
      </c>
      <c r="AD300" t="inlineStr">
        <is>
          <t>first-name-only</t>
        </is>
      </c>
      <c r="AE300" t="inlineStr">
        <is>
          <t>employer's own site</t>
        </is>
      </c>
      <c r="AF300" t="inlineStr">
        <is>
          <t>https://munkpack.com/pages/about-us</t>
        </is>
      </c>
      <c r="AG300" t="inlineStr">
        <is>
          <t>2026-10-23</t>
        </is>
      </c>
      <c r="AH300" t="inlineStr">
        <is>
          <t>Cookie Dough Probiotic Protein Bar; Peanut Butter Dark Chocolate Nut &amp; Seed Bar</t>
        </is>
      </c>
      <c r="AI300" t="inlineStr">
        <is>
          <t>bars</t>
        </is>
      </c>
      <c r="AJ300" t="inlineStr">
        <is>
          <t>unknown</t>
        </is>
      </c>
      <c r="AK300" t="inlineStr">
        <is>
          <t>https://munkpack.com</t>
        </is>
      </c>
      <c r="AL300" t="inlineStr">
        <is>
          <t>Y</t>
        </is>
      </c>
      <c r="AM300" t="inlineStr">
        <is>
          <t>60-day shelf life not stated</t>
        </is>
      </c>
      <c r="AN300" t="inlineStr">
        <is>
          <t>AB-100</t>
        </is>
      </c>
      <c r="AO300" t="inlineStr">
        <is>
          <t>N</t>
        </is>
      </c>
      <c r="AR300">
        <f>IF(AND(AU300="pass",AO300&lt;&gt;"Y",C300&lt;&gt;""),"Y","N")</f>
        <v/>
      </c>
      <c r="AS300">
        <f>_xlfn.TEXTJOIN("; ",TRUE,IF(AU300&lt;&gt;"pass","gated out",""),IF(AO300="Y","on hold: "&amp;AP300,""),IF(C300="","no contact named on an opened page",""))</f>
        <v/>
      </c>
      <c r="AU300" t="inlineStr">
        <is>
          <t>fail</t>
        </is>
      </c>
      <c r="AV300" t="inlineStr">
        <is>
          <t>health-claim</t>
        </is>
      </c>
      <c r="AW300" t="inlineStr">
        <is>
          <t>health-claim: Explicit health claims: brand FAQ says probiotics have 'benefits for digestive health' and 'aid in the body's immune response'; 'virtually no impact on blood sugar'</t>
        </is>
      </c>
      <c r="AY300" t="inlineStr">
        <is>
          <t>https://munkpack.com</t>
        </is>
      </c>
      <c r="AZ300" t="inlineStr">
        <is>
          <t>unknown</t>
        </is>
      </c>
      <c r="BA300" t="inlineStr">
        <is>
          <t>unknown</t>
        </is>
      </c>
      <c r="BB300" t="inlineStr">
        <is>
          <t>unknown</t>
        </is>
      </c>
      <c r="BD300" t="inlineStr">
        <is>
          <t>likely</t>
        </is>
      </c>
      <c r="BE300" t="inlineStr">
        <is>
          <t>Wrapped bars shipped nationally; shelf-life figure not found</t>
        </is>
      </c>
      <c r="BF300" t="inlineStr">
        <is>
          <t>Y</t>
        </is>
      </c>
      <c r="BG300" t="inlineStr">
        <is>
          <t>Y</t>
        </is>
      </c>
      <c r="BH300" t="inlineStr">
        <is>
          <t>unknown</t>
        </is>
      </c>
      <c r="BJ300" t="inlineStr">
        <is>
          <t>unknown</t>
        </is>
      </c>
      <c r="BK300" t="inlineStr">
        <is>
          <t>Y</t>
        </is>
      </c>
      <c r="BL300" t="inlineStr">
        <is>
          <t>Y</t>
        </is>
      </c>
      <c r="BM300" t="inlineStr">
        <is>
          <t>Explicit health claims: brand FAQ says probiotics have 'benefits for digestive health' and 'aid in the body's immune response'; 'virtually no impact on blood sugar'</t>
        </is>
      </c>
      <c r="BO300" t="inlineStr">
        <is>
          <t>N</t>
        </is>
      </c>
      <c r="BP300" t="n">
        <v>0</v>
      </c>
      <c r="BS300" t="inlineStr">
        <is>
          <t>Store locator on brand site (not machine-read)</t>
        </is>
      </c>
      <c r="BT300" t="inlineStr">
        <is>
          <t>https://www.wholefoodsmarket.com/api/search?text=munk%20pack&amp;store=10162&amp;limit=60&amp;offset=0</t>
        </is>
      </c>
      <c r="BU300" t="inlineStr">
        <is>
          <t>none</t>
        </is>
      </c>
      <c r="BX300" t="inlineStr">
        <is>
          <t>Michelle</t>
        </is>
      </c>
      <c r="BY300" t="inlineStr">
        <is>
          <t>first names on brand about page</t>
        </is>
      </c>
      <c r="CA300" t="inlineStr">
        <is>
          <t>Toby</t>
        </is>
      </c>
      <c r="CB300" t="inlineStr">
        <is>
          <t>Toby</t>
        </is>
      </c>
      <c r="CC300" t="inlineStr">
        <is>
          <t>unknown</t>
        </is>
      </c>
      <c r="CD300" t="inlineStr">
        <is>
          <t>Co-founder</t>
        </is>
      </c>
      <c r="CE300" t="inlineStr">
        <is>
          <t>co-founder</t>
        </is>
      </c>
      <c r="CF300" t="inlineStr">
        <is>
          <t>first-name-only</t>
        </is>
      </c>
      <c r="CG300" t="inlineStr">
        <is>
          <t>first names on brand about page</t>
        </is>
      </c>
      <c r="CK300" t="inlineStr">
        <is>
          <t>none</t>
        </is>
      </c>
      <c r="CL300" t="n">
        <v>26</v>
      </c>
      <c r="CM300" t="n">
        <v>6</v>
      </c>
      <c r="CN300" t="n">
        <v>4</v>
      </c>
      <c r="CO300" t="n">
        <v>0</v>
      </c>
      <c r="CP300" t="n">
        <v>5</v>
      </c>
      <c r="CQ300" t="n">
        <v>8</v>
      </c>
      <c r="CR300" t="n">
        <v>3</v>
      </c>
      <c r="CS300">
        <f>IF(R300="Y",10,0)</f>
        <v/>
      </c>
      <c r="CT300" t="n">
        <v>0</v>
      </c>
      <c r="CU300" t="inlineStr">
        <is>
          <t>https://www.instagram.com/munkpack/</t>
        </is>
      </c>
      <c r="CV300" t="inlineStr">
        <is>
          <t>BR2</t>
        </is>
      </c>
      <c r="CW300" t="inlineStr">
        <is>
          <t>BR2:38</t>
        </is>
      </c>
      <c r="CX300" t="inlineStr">
        <is>
          <t>1g sugar positioning. Not in WFM cluster catalogs.</t>
        </is>
      </c>
      <c r="CZ300" t="inlineStr">
        <is>
          <t>https://munkpack.com/pages/about-us</t>
        </is>
      </c>
      <c r="DA300" t="inlineStr">
        <is>
          <t>stage 1 only</t>
        </is>
      </c>
      <c r="DC300" t="inlineStr">
        <is>
          <t>employer's own site</t>
        </is>
      </c>
      <c r="DY300">
        <f>IF(ISNUMBER(MATCH(U300,{"queued","contacted","replied","call_booked","call_done","yes_in_principle","materials_sent"},0)),"Y","N")</f>
        <v/>
      </c>
      <c r="DZ300">
        <f>IF(COUNTIFS($AN$2:$AN$1000,AN300,$DY$2:$DY$1000,"Y")+COUNTIFS($AN$2:$AN$1000,AN300,$T$2:$T$1000,"Y")&gt;0,"Y","N")</f>
        <v/>
      </c>
      <c r="EA300">
        <f>IF(AND(U300="new",T300="N",AR300="Y",AQ300="",DZ300="N"),"Y","N")</f>
        <v/>
      </c>
      <c r="EB300">
        <f>IF(EA300&lt;&gt;"Y","N",IF(COUNTIFS($AN$2:$AN$1000,AN300,$EA$2:$EA$1000,"Y",$J$2:$J$1000,"&gt;"&amp;J300)+COUNTIFS($AN$2:$AN$1000,AN300,$EA$2:$EA$1000,"Y",$J$2:$J$1000,J300,$ED$2:$ED$1000,"&lt;"&amp;ED300)=0,"Y","N"))</f>
        <v/>
      </c>
      <c r="EC300">
        <f>IF(Y300="","N",IF(Y300&lt;=10,"Y","N"))</f>
        <v/>
      </c>
      <c r="ED300">
        <f>ROW()-1</f>
        <v/>
      </c>
    </row>
    <row r="301">
      <c r="A301" t="inlineStr">
        <is>
          <t>AB-204</t>
        </is>
      </c>
      <c r="B301" t="inlineStr">
        <is>
          <t>Mía</t>
        </is>
      </c>
      <c r="H301" t="inlineStr">
        <is>
          <t>none</t>
        </is>
      </c>
      <c r="J301">
        <f>IF(AU301="pass",CM301+CN301+CO301+CP301+CQ301+CR301+CS301+CT301,0)</f>
        <v/>
      </c>
      <c r="K301" t="inlineStr">
        <is>
          <t>Gated out: not-shelf-stable: Refrigerated before and after opening (cold-pressed juice).</t>
        </is>
      </c>
      <c r="M301" t="inlineStr">
        <is>
          <t>none found within ten blocks</t>
        </is>
      </c>
      <c r="N301" t="inlineStr">
        <is>
          <t>unverified</t>
        </is>
      </c>
      <c r="R301" t="inlineStr">
        <is>
          <t>N</t>
        </is>
      </c>
      <c r="S301" t="inlineStr">
        <is>
          <t>unknown</t>
        </is>
      </c>
      <c r="T301" t="inlineStr">
        <is>
          <t>N</t>
        </is>
      </c>
      <c r="U301" t="inlineStr">
        <is>
          <t>new</t>
        </is>
      </c>
      <c r="V301" t="inlineStr">
        <is>
          <t>https://drinkmia.com</t>
        </is>
      </c>
      <c r="W301" t="inlineStr">
        <is>
          <t>2026-10-23</t>
        </is>
      </c>
      <c r="X301" t="inlineStr">
        <is>
          <t>brand</t>
        </is>
      </c>
      <c r="Y301">
        <f>IF(EB301&lt;&gt;"Y","",COUNTIFS($EB$2:$EB$1000,"Y",$J$2:$J$1000,"&gt;"&amp;J301)+COUNTIFS($EB$2:$EB$1000,"Y",$J$2:$J$1000,J301,$ED$2:$ED$1000,"&lt;"&amp;ED301)+1)</f>
        <v/>
      </c>
      <c r="AA301" t="inlineStr">
        <is>
          <t>N</t>
        </is>
      </c>
      <c r="AD301" t="inlineStr">
        <is>
          <t>none</t>
        </is>
      </c>
      <c r="AH301" t="inlineStr">
        <is>
          <t>Mía cold-pressed sugarcane juice (Lime, Yuzu, Passion fruit), bottle</t>
        </is>
      </c>
      <c r="AI301" t="inlineStr">
        <is>
          <t>tea-juice</t>
        </is>
      </c>
      <c r="AJ301" t="inlineStr">
        <is>
          <t>unknown</t>
        </is>
      </c>
      <c r="AK301" t="inlineStr">
        <is>
          <t>unknown</t>
        </is>
      </c>
      <c r="AL301" t="inlineStr">
        <is>
          <t>N</t>
        </is>
      </c>
      <c r="AN301" t="inlineStr">
        <is>
          <t>AB-204</t>
        </is>
      </c>
      <c r="AO301" t="inlineStr">
        <is>
          <t>N</t>
        </is>
      </c>
      <c r="AR301">
        <f>IF(AND(AU301="pass",AO301&lt;&gt;"Y",C301&lt;&gt;""),"Y","N")</f>
        <v/>
      </c>
      <c r="AS301">
        <f>_xlfn.TEXTJOIN("; ",TRUE,IF(AU301&lt;&gt;"pass","gated out",""),IF(AO301="Y","on hold: "&amp;AP301,""),IF(C301="","no contact named on an opened page",""))</f>
        <v/>
      </c>
      <c r="AU301" t="inlineStr">
        <is>
          <t>fail</t>
        </is>
      </c>
      <c r="AV301" t="inlineStr">
        <is>
          <t>not-shelf-stable;no-buy-path</t>
        </is>
      </c>
      <c r="AW301" t="inlineStr">
        <is>
          <t>not-shelf-stable: Refrigerated before and after opening (cold-pressed juice) | no-buy-path: no graded store within ten blocks and no online store shown</t>
        </is>
      </c>
      <c r="AY301" t="inlineStr">
        <is>
          <t>https://drinkmia.com</t>
        </is>
      </c>
      <c r="AZ301" t="inlineStr">
        <is>
          <t>unknown</t>
        </is>
      </c>
      <c r="BA301" t="inlineStr">
        <is>
          <t>unknown</t>
        </is>
      </c>
      <c r="BB301" t="inlineStr">
        <is>
          <t>unknown</t>
        </is>
      </c>
      <c r="BD301" t="inlineStr">
        <is>
          <t>N</t>
        </is>
      </c>
      <c r="BE301" t="inlineStr">
        <is>
          <t>Site FAQ: 'keep it refrigerated before and after opening' (drinkmia.com, opened 2026-10-23)</t>
        </is>
      </c>
      <c r="BF301" t="inlineStr">
        <is>
          <t>Y</t>
        </is>
      </c>
      <c r="BG301" t="inlineStr">
        <is>
          <t>N</t>
        </is>
      </c>
      <c r="BH301" t="inlineStr">
        <is>
          <t>unknown</t>
        </is>
      </c>
      <c r="BJ301" t="inlineStr">
        <is>
          <t>No public sales figure found</t>
        </is>
      </c>
      <c r="BK301" t="inlineStr">
        <is>
          <t>N</t>
        </is>
      </c>
      <c r="BL301" t="inlineStr">
        <is>
          <t>Y</t>
        </is>
      </c>
      <c r="BM301" t="inlineStr">
        <is>
          <t>Refrigerated before and after opening (cold-pressed juice)</t>
        </is>
      </c>
      <c r="BO301" t="inlineStr">
        <is>
          <t>N</t>
        </is>
      </c>
      <c r="BP301" t="n">
        <v>0</v>
      </c>
      <c r="BR301" t="inlineStr">
        <is>
          <t>Pop Up Grocer (brand_claim, unplaced)</t>
        </is>
      </c>
      <c r="BS301" t="inlineStr">
        <is>
          <t>Pop Up Grocer NYC Flagship (directory)</t>
        </is>
      </c>
      <c r="BT301" t="inlineStr">
        <is>
          <t>https://popupgrocer.com/products/m-a</t>
        </is>
      </c>
      <c r="BU301" t="inlineStr">
        <is>
          <t>none</t>
        </is>
      </c>
      <c r="CF301" t="inlineStr">
        <is>
          <t>none</t>
        </is>
      </c>
      <c r="CK301" t="inlineStr">
        <is>
          <t>none</t>
        </is>
      </c>
      <c r="CL301" t="n">
        <v>12</v>
      </c>
      <c r="CM301" t="n">
        <v>0</v>
      </c>
      <c r="CN301" t="n">
        <v>4</v>
      </c>
      <c r="CO301" t="n">
        <v>0</v>
      </c>
      <c r="CP301" t="n">
        <v>5</v>
      </c>
      <c r="CQ301" t="n">
        <v>3</v>
      </c>
      <c r="CR301" t="n">
        <v>0</v>
      </c>
      <c r="CS301">
        <f>IF(R301="Y",10,0)</f>
        <v/>
      </c>
      <c r="CT301" t="n">
        <v>0</v>
      </c>
      <c r="CU301" t="inlineStr">
        <is>
          <t>unknown</t>
        </is>
      </c>
      <c r="CV301" t="inlineStr">
        <is>
          <t>BR3</t>
        </is>
      </c>
      <c r="CW301" t="inlineStr">
        <is>
          <t>BR3:78</t>
        </is>
      </c>
      <c r="CX301" t="inlineStr">
        <is>
          <t>Products listed at $0.00 (no online sales). Recorded so it is not re-researched.</t>
        </is>
      </c>
      <c r="DA301" t="inlineStr">
        <is>
          <t>stage 1 only</t>
        </is>
      </c>
      <c r="DY301">
        <f>IF(ISNUMBER(MATCH(U301,{"queued","contacted","replied","call_booked","call_done","yes_in_principle","materials_sent"},0)),"Y","N")</f>
        <v/>
      </c>
      <c r="DZ301">
        <f>IF(COUNTIFS($AN$2:$AN$1000,AN301,$DY$2:$DY$1000,"Y")+COUNTIFS($AN$2:$AN$1000,AN301,$T$2:$T$1000,"Y")&gt;0,"Y","N")</f>
        <v/>
      </c>
      <c r="EA301">
        <f>IF(AND(U301="new",T301="N",AR301="Y",AQ301="",DZ301="N"),"Y","N")</f>
        <v/>
      </c>
      <c r="EB301">
        <f>IF(EA301&lt;&gt;"Y","N",IF(COUNTIFS($AN$2:$AN$1000,AN301,$EA$2:$EA$1000,"Y",$J$2:$J$1000,"&gt;"&amp;J301)+COUNTIFS($AN$2:$AN$1000,AN301,$EA$2:$EA$1000,"Y",$J$2:$J$1000,J301,$ED$2:$ED$1000,"&lt;"&amp;ED301)=0,"Y","N"))</f>
        <v/>
      </c>
      <c r="EC301">
        <f>IF(Y301="","N",IF(Y301&lt;=10,"Y","N"))</f>
        <v/>
      </c>
      <c r="ED301">
        <f>ROW()-1</f>
        <v/>
      </c>
    </row>
    <row r="302">
      <c r="A302" t="inlineStr">
        <is>
          <t>AB-113</t>
        </is>
      </c>
      <c r="B302" t="inlineStr">
        <is>
          <t>Nelly's Organics</t>
        </is>
      </c>
      <c r="H302" t="inlineStr">
        <is>
          <t>none</t>
        </is>
      </c>
      <c r="J302">
        <f>IF(AU302="pass",CM302+CN302+CO302+CP302+CQ302+CR302+CS302+CT302,0)</f>
        <v/>
      </c>
      <c r="K302" t="inlineStr">
        <is>
          <t>Gated out: not-shelf-stable: Refrigerated product (brand FAQ).</t>
        </is>
      </c>
      <c r="M302" t="inlineStr">
        <is>
          <t>none found within ten blocks</t>
        </is>
      </c>
      <c r="N302" t="inlineStr">
        <is>
          <t>unverified</t>
        </is>
      </c>
      <c r="R302" t="inlineStr">
        <is>
          <t>N</t>
        </is>
      </c>
      <c r="S302" t="inlineStr">
        <is>
          <t>unknown</t>
        </is>
      </c>
      <c r="T302" t="inlineStr">
        <is>
          <t>N</t>
        </is>
      </c>
      <c r="U302" t="inlineStr">
        <is>
          <t>new</t>
        </is>
      </c>
      <c r="V302" t="inlineStr">
        <is>
          <t>https://nellysorganics.com/pages/faq</t>
        </is>
      </c>
      <c r="W302" t="inlineStr">
        <is>
          <t>2026-10-23</t>
        </is>
      </c>
      <c r="X302" t="inlineStr">
        <is>
          <t>brand</t>
        </is>
      </c>
      <c r="Y302">
        <f>IF(EB302&lt;&gt;"Y","",COUNTIFS($EB$2:$EB$1000,"Y",$J$2:$J$1000,"&gt;"&amp;J302)+COUNTIFS($EB$2:$EB$1000,"Y",$J$2:$J$1000,J302,$ED$2:$ED$1000,"&lt;"&amp;ED302)+1)</f>
        <v/>
      </c>
      <c r="AA302" t="inlineStr">
        <is>
          <t>N</t>
        </is>
      </c>
      <c r="AD302" t="inlineStr">
        <is>
          <t>none</t>
        </is>
      </c>
      <c r="AH302" t="inlineStr">
        <is>
          <t>Organic Dark Chocolate Caramel Nougat Bar 1.6 oz; Coconut Bar</t>
        </is>
      </c>
      <c r="AI302" t="inlineStr">
        <is>
          <t>chocolate-candy</t>
        </is>
      </c>
      <c r="AJ302" t="inlineStr">
        <is>
          <t>unknown</t>
        </is>
      </c>
      <c r="AK302" t="inlineStr">
        <is>
          <t>https://nellysorganics.com</t>
        </is>
      </c>
      <c r="AL302" t="inlineStr">
        <is>
          <t>N</t>
        </is>
      </c>
      <c r="AN302" t="inlineStr">
        <is>
          <t>AB-113</t>
        </is>
      </c>
      <c r="AO302" t="inlineStr">
        <is>
          <t>N</t>
        </is>
      </c>
      <c r="AR302">
        <f>IF(AND(AU302="pass",AO302&lt;&gt;"Y",C302&lt;&gt;""),"Y","N")</f>
        <v/>
      </c>
      <c r="AS302">
        <f>_xlfn.TEXTJOIN("; ",TRUE,IF(AU302&lt;&gt;"pass","gated out",""),IF(AO302="Y","on hold: "&amp;AP302,""),IF(C302="","no contact named on an opened page",""))</f>
        <v/>
      </c>
      <c r="AU302" t="inlineStr">
        <is>
          <t>fail</t>
        </is>
      </c>
      <c r="AV302" t="inlineStr">
        <is>
          <t>not-shelf-stable</t>
        </is>
      </c>
      <c r="AW302" t="inlineStr">
        <is>
          <t>not-shelf-stable: Refrigerated product (brand FAQ)</t>
        </is>
      </c>
      <c r="AY302" t="inlineStr">
        <is>
          <t>https://nellysorganics.com</t>
        </is>
      </c>
      <c r="AZ302" t="inlineStr">
        <is>
          <t>unknown</t>
        </is>
      </c>
      <c r="BA302" t="inlineStr">
        <is>
          <t>unknown</t>
        </is>
      </c>
      <c r="BB302" t="inlineStr">
        <is>
          <t>unknown</t>
        </is>
      </c>
      <c r="BD302" t="inlineStr">
        <is>
          <t>N</t>
        </is>
      </c>
      <c r="BE302" t="inlineStr">
        <is>
          <t>Brand FAQ: 'our bars are refrigerated. They are safe outside the fridge for up to 5 days'</t>
        </is>
      </c>
      <c r="BF302" t="inlineStr">
        <is>
          <t>Y</t>
        </is>
      </c>
      <c r="BG302" t="inlineStr">
        <is>
          <t>Y</t>
        </is>
      </c>
      <c r="BH302" t="inlineStr">
        <is>
          <t>unknown</t>
        </is>
      </c>
      <c r="BJ302" t="inlineStr">
        <is>
          <t>unknown</t>
        </is>
      </c>
      <c r="BK302" t="inlineStr">
        <is>
          <t>N</t>
        </is>
      </c>
      <c r="BL302" t="inlineStr">
        <is>
          <t>Y</t>
        </is>
      </c>
      <c r="BM302" t="inlineStr">
        <is>
          <t>Refrigerated product (brand FAQ)</t>
        </is>
      </c>
      <c r="BO302" t="inlineStr">
        <is>
          <t>N</t>
        </is>
      </c>
      <c r="BP302" t="n">
        <v>0</v>
      </c>
      <c r="BS302" t="inlineStr">
        <is>
          <t>Refrigerated section of grocery (brand FAQ); Whole Foods</t>
        </is>
      </c>
      <c r="BU302" t="inlineStr">
        <is>
          <t>none</t>
        </is>
      </c>
      <c r="CF302" t="inlineStr">
        <is>
          <t>none</t>
        </is>
      </c>
      <c r="CK302" t="inlineStr">
        <is>
          <t>none</t>
        </is>
      </c>
      <c r="CL302" t="n">
        <v>21</v>
      </c>
      <c r="CM302" t="n">
        <v>6</v>
      </c>
      <c r="CN302" t="n">
        <v>4</v>
      </c>
      <c r="CO302" t="n">
        <v>0</v>
      </c>
      <c r="CP302" t="n">
        <v>5</v>
      </c>
      <c r="CQ302" t="n">
        <v>6</v>
      </c>
      <c r="CR302" t="n">
        <v>0</v>
      </c>
      <c r="CS302">
        <f>IF(R302="Y",10,0)</f>
        <v/>
      </c>
      <c r="CT302" t="n">
        <v>0</v>
      </c>
      <c r="CU302" t="inlineStr">
        <is>
          <t>https://www.instagram.com/nellysorganicsbars/</t>
        </is>
      </c>
      <c r="CV302" t="inlineStr">
        <is>
          <t>BR2</t>
        </is>
      </c>
      <c r="CW302" t="inlineStr">
        <is>
          <t>BR2:51</t>
        </is>
      </c>
      <c r="CX302" t="inlineStr">
        <is>
          <t>Listed at WFM Union Square in a catalog sweep (Dark Chocolate Caramel Nougat Bar). Excluded on refrigeration.</t>
        </is>
      </c>
      <c r="DA302" t="inlineStr">
        <is>
          <t>stage 1 only</t>
        </is>
      </c>
      <c r="DY302">
        <f>IF(ISNUMBER(MATCH(U302,{"queued","contacted","replied","call_booked","call_done","yes_in_principle","materials_sent"},0)),"Y","N")</f>
        <v/>
      </c>
      <c r="DZ302">
        <f>IF(COUNTIFS($AN$2:$AN$1000,AN302,$DY$2:$DY$1000,"Y")+COUNTIFS($AN$2:$AN$1000,AN302,$T$2:$T$1000,"Y")&gt;0,"Y","N")</f>
        <v/>
      </c>
      <c r="EA302">
        <f>IF(AND(U302="new",T302="N",AR302="Y",AQ302="",DZ302="N"),"Y","N")</f>
        <v/>
      </c>
      <c r="EB302">
        <f>IF(EA302&lt;&gt;"Y","N",IF(COUNTIFS($AN$2:$AN$1000,AN302,$EA$2:$EA$1000,"Y",$J$2:$J$1000,"&gt;"&amp;J302)+COUNTIFS($AN$2:$AN$1000,AN302,$EA$2:$EA$1000,"Y",$J$2:$J$1000,J302,$ED$2:$ED$1000,"&lt;"&amp;ED302)=0,"Y","N"))</f>
        <v/>
      </c>
      <c r="EC302">
        <f>IF(Y302="","N",IF(Y302&lt;=10,"Y","N"))</f>
        <v/>
      </c>
      <c r="ED302">
        <f>ROW()-1</f>
        <v/>
      </c>
    </row>
    <row r="303">
      <c r="A303" t="inlineStr">
        <is>
          <t>AB-166</t>
        </is>
      </c>
      <c r="B303" t="inlineStr">
        <is>
          <t>Phocus</t>
        </is>
      </c>
      <c r="H303" t="inlineStr">
        <is>
          <t>none</t>
        </is>
      </c>
      <c r="J303">
        <f>IF(AU303="pass",CM303+CN303+CO303+CP303+CQ303+CR303+CS303+CT303,0)</f>
        <v/>
      </c>
      <c r="K303" t="inlineStr">
        <is>
          <t>Gated out: health-claim: Structure or function wording: L-theanine 'can lead to improved alertness', 'Phocus helps you stay focused, energized' (FAQ).</t>
        </is>
      </c>
      <c r="M303" t="inlineStr">
        <is>
          <t>none found within ten blocks</t>
        </is>
      </c>
      <c r="N303" t="inlineStr">
        <is>
          <t>unverified</t>
        </is>
      </c>
      <c r="R303" t="inlineStr">
        <is>
          <t>N</t>
        </is>
      </c>
      <c r="S303" t="inlineStr">
        <is>
          <t>unknown</t>
        </is>
      </c>
      <c r="T303" t="inlineStr">
        <is>
          <t>N</t>
        </is>
      </c>
      <c r="U303" t="inlineStr">
        <is>
          <t>new</t>
        </is>
      </c>
      <c r="V303" t="inlineStr">
        <is>
          <t>https://www.phocus.com/pages/faq</t>
        </is>
      </c>
      <c r="W303" t="inlineStr">
        <is>
          <t>2026-10-23</t>
        </is>
      </c>
      <c r="X303" t="inlineStr">
        <is>
          <t>brand</t>
        </is>
      </c>
      <c r="Y303">
        <f>IF(EB303&lt;&gt;"Y","",COUNTIFS($EB$2:$EB$1000,"Y",$J$2:$J$1000,"&gt;"&amp;J303)+COUNTIFS($EB$2:$EB$1000,"Y",$J$2:$J$1000,J303,$ED$2:$ED$1000,"&lt;"&amp;ED303)+1)</f>
        <v/>
      </c>
      <c r="AA303" t="inlineStr">
        <is>
          <t>N</t>
        </is>
      </c>
      <c r="AD303" t="inlineStr">
        <is>
          <t>none</t>
        </is>
      </c>
      <c r="AH303" t="inlineStr">
        <is>
          <t>Phocus caffeinated sparkling water (75 mg tea caffeine plus L-theanine), 12 oz can</t>
        </is>
      </c>
      <c r="AI303" t="inlineStr">
        <is>
          <t>sparkling-soda</t>
        </is>
      </c>
      <c r="AJ303" t="inlineStr">
        <is>
          <t>unknown</t>
        </is>
      </c>
      <c r="AK303" t="inlineStr">
        <is>
          <t>https://www.phocus.com</t>
        </is>
      </c>
      <c r="AL303" t="inlineStr">
        <is>
          <t>Y</t>
        </is>
      </c>
      <c r="AM303" t="inlineStr">
        <is>
          <t>60-day shelf life not stated</t>
        </is>
      </c>
      <c r="AN303" t="inlineStr">
        <is>
          <t>AB-166</t>
        </is>
      </c>
      <c r="AO303" t="inlineStr">
        <is>
          <t>N</t>
        </is>
      </c>
      <c r="AR303">
        <f>IF(AND(AU303="pass",AO303&lt;&gt;"Y",C303&lt;&gt;""),"Y","N")</f>
        <v/>
      </c>
      <c r="AS303">
        <f>_xlfn.TEXTJOIN("; ",TRUE,IF(AU303&lt;&gt;"pass","gated out",""),IF(AO303="Y","on hold: "&amp;AP303,""),IF(C303="","no contact named on an opened page",""))</f>
        <v/>
      </c>
      <c r="AU303" t="inlineStr">
        <is>
          <t>fail</t>
        </is>
      </c>
      <c r="AV303" t="inlineStr">
        <is>
          <t>health-claim</t>
        </is>
      </c>
      <c r="AW303" t="inlineStr">
        <is>
          <t>health-claim: Structure or function wording: L-theanine 'can lead to improved alertness', 'Phocus helps you stay focused, energized' (FAQ)</t>
        </is>
      </c>
      <c r="AY303" t="inlineStr">
        <is>
          <t>https://www.phocus.com</t>
        </is>
      </c>
      <c r="AZ303" t="inlineStr">
        <is>
          <t>unknown</t>
        </is>
      </c>
      <c r="BA303" t="inlineStr">
        <is>
          <t>unknown</t>
        </is>
      </c>
      <c r="BB303" t="inlineStr">
        <is>
          <t>unknown</t>
        </is>
      </c>
      <c r="BD303" t="inlineStr">
        <is>
          <t>unknown</t>
        </is>
      </c>
      <c r="BE303" t="inlineStr">
        <is>
          <t>No storage statement read</t>
        </is>
      </c>
      <c r="BF303" t="inlineStr">
        <is>
          <t>Y</t>
        </is>
      </c>
      <c r="BG303" t="inlineStr">
        <is>
          <t>Y</t>
        </is>
      </c>
      <c r="BH303" t="inlineStr">
        <is>
          <t>unknown</t>
        </is>
      </c>
      <c r="BJ303" t="inlineStr">
        <is>
          <t>No public sales figure found</t>
        </is>
      </c>
      <c r="BK303" t="inlineStr">
        <is>
          <t>Y</t>
        </is>
      </c>
      <c r="BL303" t="inlineStr">
        <is>
          <t>Y</t>
        </is>
      </c>
      <c r="BM303" t="inlineStr">
        <is>
          <t>Structure or function wording: L-theanine 'can lead to improved alertness', 'Phocus helps you stay focused, energized' (FAQ)</t>
        </is>
      </c>
      <c r="BO303" t="inlineStr">
        <is>
          <t>N</t>
        </is>
      </c>
      <c r="BP303" t="n">
        <v>0</v>
      </c>
      <c r="BS303" t="inlineStr">
        <is>
          <t>unknown</t>
        </is>
      </c>
      <c r="BU303" t="inlineStr">
        <is>
          <t>none</t>
        </is>
      </c>
      <c r="CF303" t="inlineStr">
        <is>
          <t>none</t>
        </is>
      </c>
      <c r="CK303" t="inlineStr">
        <is>
          <t>none</t>
        </is>
      </c>
      <c r="CL303" t="n">
        <v>22</v>
      </c>
      <c r="CM303" t="n">
        <v>6</v>
      </c>
      <c r="CN303" t="n">
        <v>4</v>
      </c>
      <c r="CO303" t="n">
        <v>0</v>
      </c>
      <c r="CP303" t="n">
        <v>5</v>
      </c>
      <c r="CQ303" t="n">
        <v>7</v>
      </c>
      <c r="CR303" t="n">
        <v>0</v>
      </c>
      <c r="CS303">
        <f>IF(R303="Y",10,0)</f>
        <v/>
      </c>
      <c r="CT303" t="n">
        <v>0</v>
      </c>
      <c r="CU303" t="inlineStr">
        <is>
          <t>https://www.instagram.com/phocus</t>
        </is>
      </c>
      <c r="CV303" t="inlineStr">
        <is>
          <t>BR3</t>
        </is>
      </c>
      <c r="CW303" t="inlineStr">
        <is>
          <t>BR3:40</t>
        </is>
      </c>
      <c r="CX303" t="inlineStr">
        <is>
          <t>Founded 2017 (our-story page). Gate is borderline: caffeine plus focus wording; founder could reinstate if a non-claim SKU and copy are used.</t>
        </is>
      </c>
      <c r="DA303" t="inlineStr">
        <is>
          <t>stage 1 only</t>
        </is>
      </c>
      <c r="DY303">
        <f>IF(ISNUMBER(MATCH(U303,{"queued","contacted","replied","call_booked","call_done","yes_in_principle","materials_sent"},0)),"Y","N")</f>
        <v/>
      </c>
      <c r="DZ303">
        <f>IF(COUNTIFS($AN$2:$AN$1000,AN303,$DY$2:$DY$1000,"Y")+COUNTIFS($AN$2:$AN$1000,AN303,$T$2:$T$1000,"Y")&gt;0,"Y","N")</f>
        <v/>
      </c>
      <c r="EA303">
        <f>IF(AND(U303="new",T303="N",AR303="Y",AQ303="",DZ303="N"),"Y","N")</f>
        <v/>
      </c>
      <c r="EB303">
        <f>IF(EA303&lt;&gt;"Y","N",IF(COUNTIFS($AN$2:$AN$1000,AN303,$EA$2:$EA$1000,"Y",$J$2:$J$1000,"&gt;"&amp;J303)+COUNTIFS($AN$2:$AN$1000,AN303,$EA$2:$EA$1000,"Y",$J$2:$J$1000,J303,$ED$2:$ED$1000,"&lt;"&amp;ED303)=0,"Y","N"))</f>
        <v/>
      </c>
      <c r="EC303">
        <f>IF(Y303="","N",IF(Y303&lt;=10,"Y","N"))</f>
        <v/>
      </c>
      <c r="ED303">
        <f>ROW()-1</f>
        <v/>
      </c>
    </row>
    <row r="304">
      <c r="A304" t="inlineStr">
        <is>
          <t>AB-167</t>
        </is>
      </c>
      <c r="B304" t="inlineStr">
        <is>
          <t>Proper Wild</t>
        </is>
      </c>
      <c r="H304" t="inlineStr">
        <is>
          <t>none</t>
        </is>
      </c>
      <c r="J304">
        <f>IF(AU304="pass",CM304+CN304+CO304+CP304+CQ304+CR304+CS304+CT304,0)</f>
        <v/>
      </c>
      <c r="K304" t="inlineStr">
        <is>
          <t>Gated out: excluded-category: Supplement-style energy shots and gummies with asterisked structure or function claims ('boost energy, focus and productivity'); now also sel.</t>
        </is>
      </c>
      <c r="M304" t="inlineStr">
        <is>
          <t>none found within ten blocks</t>
        </is>
      </c>
      <c r="N304" t="inlineStr">
        <is>
          <t>unverified</t>
        </is>
      </c>
      <c r="R304" t="inlineStr">
        <is>
          <t>N</t>
        </is>
      </c>
      <c r="S304" t="inlineStr">
        <is>
          <t>unknown</t>
        </is>
      </c>
      <c r="T304" t="inlineStr">
        <is>
          <t>N</t>
        </is>
      </c>
      <c r="U304" t="inlineStr">
        <is>
          <t>new</t>
        </is>
      </c>
      <c r="V304" t="inlineStr">
        <is>
          <t>https://properwild.com/pages/mission</t>
        </is>
      </c>
      <c r="W304" t="inlineStr">
        <is>
          <t>2026-10-23</t>
        </is>
      </c>
      <c r="X304" t="inlineStr">
        <is>
          <t>brand</t>
        </is>
      </c>
      <c r="Y304">
        <f>IF(EB304&lt;&gt;"Y","",COUNTIFS($EB$2:$EB$1000,"Y",$J$2:$J$1000,"&gt;"&amp;J304)+COUNTIFS($EB$2:$EB$1000,"Y",$J$2:$J$1000,J304,$ED$2:$ED$1000,"&lt;"&amp;ED304)+1)</f>
        <v/>
      </c>
      <c r="AA304" t="inlineStr">
        <is>
          <t>N</t>
        </is>
      </c>
      <c r="AD304" t="inlineStr">
        <is>
          <t>none</t>
        </is>
      </c>
      <c r="AH304" t="inlineStr">
        <is>
          <t>Proper Wild Clean Energy Shot (100 mg caffeine plus L-theanine), 2.5 oz bottle</t>
        </is>
      </c>
      <c r="AI304" t="inlineStr">
        <is>
          <t>other-drink</t>
        </is>
      </c>
      <c r="AJ304" t="inlineStr">
        <is>
          <t>New York</t>
        </is>
      </c>
      <c r="AK304" t="inlineStr">
        <is>
          <t>https://properwild.com</t>
        </is>
      </c>
      <c r="AL304" t="inlineStr">
        <is>
          <t>N</t>
        </is>
      </c>
      <c r="AN304" t="inlineStr">
        <is>
          <t>AB-167</t>
        </is>
      </c>
      <c r="AO304" t="inlineStr">
        <is>
          <t>N</t>
        </is>
      </c>
      <c r="AR304">
        <f>IF(AND(AU304="pass",AO304&lt;&gt;"Y",C304&lt;&gt;""),"Y","N")</f>
        <v/>
      </c>
      <c r="AS304">
        <f>_xlfn.TEXTJOIN("; ",TRUE,IF(AU304&lt;&gt;"pass","gated out",""),IF(AO304="Y","on hold: "&amp;AP304,""),IF(C304="","no contact named on an opened page",""))</f>
        <v/>
      </c>
      <c r="AU304" t="inlineStr">
        <is>
          <t>fail</t>
        </is>
      </c>
      <c r="AV304" t="inlineStr">
        <is>
          <t>excluded-category;health-claim</t>
        </is>
      </c>
      <c r="AW304" t="inlineStr">
        <is>
          <t>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is>
      </c>
      <c r="AY304" t="inlineStr">
        <is>
          <t>https://properwild.com</t>
        </is>
      </c>
      <c r="AZ304" t="inlineStr">
        <is>
          <t>NY</t>
        </is>
      </c>
      <c r="BA304" t="inlineStr">
        <is>
          <t>nyc</t>
        </is>
      </c>
      <c r="BB304" t="inlineStr">
        <is>
          <t>unknown</t>
        </is>
      </c>
      <c r="BD304" t="inlineStr">
        <is>
          <t>Y</t>
        </is>
      </c>
      <c r="BE304" t="inlineStr">
        <is>
          <t>FAQ: 'room temperature shelf-life of 18 months at the time of production' (properwild.com/pages/faq, opened 2026-10-23)</t>
        </is>
      </c>
      <c r="BF304" t="inlineStr">
        <is>
          <t>Y</t>
        </is>
      </c>
      <c r="BG304" t="inlineStr">
        <is>
          <t>Y</t>
        </is>
      </c>
      <c r="BH304" t="inlineStr">
        <is>
          <t>unknown</t>
        </is>
      </c>
      <c r="BJ304" t="inlineStr">
        <is>
          <t>No public sales figure found</t>
        </is>
      </c>
      <c r="BK304" t="inlineStr">
        <is>
          <t>Y</t>
        </is>
      </c>
      <c r="BL304" t="inlineStr">
        <is>
          <t>Y</t>
        </is>
      </c>
      <c r="BM304" t="inlineStr">
        <is>
          <t>Supplement-style energy shots and gummies with asterisked structure or function claims ('boost energy, focus and productivity'); now also sells a women's daily multivitamin</t>
        </is>
      </c>
      <c r="BO304" t="inlineStr">
        <is>
          <t>N</t>
        </is>
      </c>
      <c r="BP304" t="n">
        <v>0</v>
      </c>
      <c r="BS304" t="inlineStr">
        <is>
          <t>unknown (Storemapper/GoToAisle locator not read)</t>
        </is>
      </c>
      <c r="BU304" t="inlineStr">
        <is>
          <t>none</t>
        </is>
      </c>
      <c r="CF304" t="inlineStr">
        <is>
          <t>none</t>
        </is>
      </c>
      <c r="CK304" t="inlineStr">
        <is>
          <t>none</t>
        </is>
      </c>
      <c r="CL304" t="n">
        <v>41</v>
      </c>
      <c r="CM304" t="n">
        <v>6</v>
      </c>
      <c r="CN304" t="n">
        <v>20</v>
      </c>
      <c r="CO304" t="n">
        <v>0</v>
      </c>
      <c r="CP304" t="n">
        <v>5</v>
      </c>
      <c r="CQ304" t="n">
        <v>10</v>
      </c>
      <c r="CR304" t="n">
        <v>0</v>
      </c>
      <c r="CS304">
        <f>IF(R304="Y",10,0)</f>
        <v/>
      </c>
      <c r="CT304" t="n">
        <v>0</v>
      </c>
      <c r="CU304" t="inlineStr">
        <is>
          <t>https://www.instagram.com/properwild</t>
        </is>
      </c>
      <c r="CV304" t="inlineStr">
        <is>
          <t>BR3</t>
        </is>
      </c>
      <c r="CW304" t="inlineStr">
        <is>
          <t>BR3:41</t>
        </is>
      </c>
      <c r="CX304" t="inlineStr">
        <is>
          <t>Mission page: team 'based in New York City'. Recorded so it is not re-researched.</t>
        </is>
      </c>
      <c r="DA304" t="inlineStr">
        <is>
          <t>stage 1 only</t>
        </is>
      </c>
      <c r="DY304">
        <f>IF(ISNUMBER(MATCH(U304,{"queued","contacted","replied","call_booked","call_done","yes_in_principle","materials_sent"},0)),"Y","N")</f>
        <v/>
      </c>
      <c r="DZ304">
        <f>IF(COUNTIFS($AN$2:$AN$1000,AN304,$DY$2:$DY$1000,"Y")+COUNTIFS($AN$2:$AN$1000,AN304,$T$2:$T$1000,"Y")&gt;0,"Y","N")</f>
        <v/>
      </c>
      <c r="EA304">
        <f>IF(AND(U304="new",T304="N",AR304="Y",AQ304="",DZ304="N"),"Y","N")</f>
        <v/>
      </c>
      <c r="EB304">
        <f>IF(EA304&lt;&gt;"Y","N",IF(COUNTIFS($AN$2:$AN$1000,AN304,$EA$2:$EA$1000,"Y",$J$2:$J$1000,"&gt;"&amp;J304)+COUNTIFS($AN$2:$AN$1000,AN304,$EA$2:$EA$1000,"Y",$J$2:$J$1000,J304,$ED$2:$ED$1000,"&lt;"&amp;ED304)=0,"Y","N"))</f>
        <v/>
      </c>
      <c r="EC304">
        <f>IF(Y304="","N",IF(Y304&lt;=10,"Y","N"))</f>
        <v/>
      </c>
      <c r="ED304">
        <f>ROW()-1</f>
        <v/>
      </c>
    </row>
    <row r="305">
      <c r="A305" t="inlineStr">
        <is>
          <t>AB-137</t>
        </is>
      </c>
      <c r="B305" t="inlineStr">
        <is>
          <t>Recess</t>
        </is>
      </c>
      <c r="H305" t="inlineStr">
        <is>
          <t>none</t>
        </is>
      </c>
      <c r="J305">
        <f>IF(AU305="pass",CM305+CN305+CO305+CP305+CQ305+CR305+CS305+CT305,0)</f>
        <v/>
      </c>
      <c r="K305" t="inlineStr">
        <is>
          <t>Gated out: excluded-category: Hemp-extract line (cannabis category) and adaptogen/magnesium drinks marketed to 'help you unwind' and feel calm (structure or function claim.</t>
        </is>
      </c>
      <c r="M305" t="inlineStr">
        <is>
          <t>none found within ten blocks</t>
        </is>
      </c>
      <c r="N305" t="inlineStr">
        <is>
          <t>unverified</t>
        </is>
      </c>
      <c r="R305" t="inlineStr">
        <is>
          <t>N</t>
        </is>
      </c>
      <c r="S305" t="inlineStr">
        <is>
          <t>unknown</t>
        </is>
      </c>
      <c r="T305" t="inlineStr">
        <is>
          <t>N</t>
        </is>
      </c>
      <c r="U305" t="inlineStr">
        <is>
          <t>new</t>
        </is>
      </c>
      <c r="V305" t="inlineStr">
        <is>
          <t>https://takearecess.com/faq</t>
        </is>
      </c>
      <c r="W305" t="inlineStr">
        <is>
          <t>2026-10-23</t>
        </is>
      </c>
      <c r="X305" t="inlineStr">
        <is>
          <t>brand</t>
        </is>
      </c>
      <c r="Y305">
        <f>IF(EB305&lt;&gt;"Y","",COUNTIFS($EB$2:$EB$1000,"Y",$J$2:$J$1000,"&gt;"&amp;J305)+COUNTIFS($EB$2:$EB$1000,"Y",$J$2:$J$1000,J305,$ED$2:$ED$1000,"&lt;"&amp;ED305)+1)</f>
        <v/>
      </c>
      <c r="AA305" t="inlineStr">
        <is>
          <t>N</t>
        </is>
      </c>
      <c r="AD305" t="inlineStr">
        <is>
          <t>none</t>
        </is>
      </c>
      <c r="AH305" t="inlineStr">
        <is>
          <t>Recess Mood sparkling water with magnesium and adaptogens</t>
        </is>
      </c>
      <c r="AI305" t="inlineStr">
        <is>
          <t>sparkling-soda</t>
        </is>
      </c>
      <c r="AJ305" t="inlineStr">
        <is>
          <t>New York</t>
        </is>
      </c>
      <c r="AK305" t="inlineStr">
        <is>
          <t>https://takearecess.com</t>
        </is>
      </c>
      <c r="AL305" t="inlineStr">
        <is>
          <t>N</t>
        </is>
      </c>
      <c r="AN305" t="inlineStr">
        <is>
          <t>AB-137</t>
        </is>
      </c>
      <c r="AO305" t="inlineStr">
        <is>
          <t>N</t>
        </is>
      </c>
      <c r="AR305">
        <f>IF(AND(AU305="pass",AO305&lt;&gt;"Y",C305&lt;&gt;""),"Y","N")</f>
        <v/>
      </c>
      <c r="AS305">
        <f>_xlfn.TEXTJOIN("; ",TRUE,IF(AU305&lt;&gt;"pass","gated out",""),IF(AO305="Y","on hold: "&amp;AP305,""),IF(C305="","no contact named on an opened page",""))</f>
        <v/>
      </c>
      <c r="AU305" t="inlineStr">
        <is>
          <t>fail</t>
        </is>
      </c>
      <c r="AV305" t="inlineStr">
        <is>
          <t>excluded-category;health-claim</t>
        </is>
      </c>
      <c r="AW305" t="inlineStr">
        <is>
          <t>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is>
      </c>
      <c r="AY305" t="inlineStr">
        <is>
          <t>https://takearecess.com</t>
        </is>
      </c>
      <c r="AZ305" t="inlineStr">
        <is>
          <t>NY</t>
        </is>
      </c>
      <c r="BA305" t="inlineStr">
        <is>
          <t>nyc</t>
        </is>
      </c>
      <c r="BB305" t="inlineStr">
        <is>
          <t>unknown</t>
        </is>
      </c>
      <c r="BD305" t="inlineStr">
        <is>
          <t>Y</t>
        </is>
      </c>
      <c r="BE305" t="inlineStr">
        <is>
          <t>Brand FAQ: 'all of our products are shelf stable' (takearecess.com/faq, opened 2026-10-23)</t>
        </is>
      </c>
      <c r="BF305" t="inlineStr">
        <is>
          <t>Y</t>
        </is>
      </c>
      <c r="BG305" t="inlineStr">
        <is>
          <t>Y</t>
        </is>
      </c>
      <c r="BH305" t="inlineStr">
        <is>
          <t>unknown</t>
        </is>
      </c>
      <c r="BJ305" t="inlineStr">
        <is>
          <t>No public sales figure found</t>
        </is>
      </c>
      <c r="BK305" t="inlineStr">
        <is>
          <t>Y</t>
        </is>
      </c>
      <c r="BL305" t="inlineStr">
        <is>
          <t>Y</t>
        </is>
      </c>
      <c r="BM305" t="inlineStr">
        <is>
          <t>Hemp-extract line (cannabis category) and adaptogen/magnesium drinks marketed to 'help you unwind' and feel calm (structure or function claims)</t>
        </is>
      </c>
      <c r="BO305" t="inlineStr">
        <is>
          <t>N</t>
        </is>
      </c>
      <c r="BP305" t="n">
        <v>0</v>
      </c>
      <c r="BS305" t="inlineStr">
        <is>
          <t>unknown</t>
        </is>
      </c>
      <c r="BU305" t="inlineStr">
        <is>
          <t>none</t>
        </is>
      </c>
      <c r="CF305" t="inlineStr">
        <is>
          <t>none</t>
        </is>
      </c>
      <c r="CK305" t="inlineStr">
        <is>
          <t>none</t>
        </is>
      </c>
      <c r="CL305" t="n">
        <v>41</v>
      </c>
      <c r="CM305" t="n">
        <v>6</v>
      </c>
      <c r="CN305" t="n">
        <v>20</v>
      </c>
      <c r="CO305" t="n">
        <v>0</v>
      </c>
      <c r="CP305" t="n">
        <v>5</v>
      </c>
      <c r="CQ305" t="n">
        <v>10</v>
      </c>
      <c r="CR305" t="n">
        <v>0</v>
      </c>
      <c r="CS305">
        <f>IF(R305="Y",10,0)</f>
        <v/>
      </c>
      <c r="CT305" t="n">
        <v>0</v>
      </c>
      <c r="CU305" t="inlineStr">
        <is>
          <t>https://www.instagram.com/takearecess</t>
        </is>
      </c>
      <c r="CV305" t="inlineStr">
        <is>
          <t>BR3</t>
        </is>
      </c>
      <c r="CW305" t="inlineStr">
        <is>
          <t>BR3:11</t>
        </is>
      </c>
      <c r="CX305" t="inlineStr">
        <is>
          <t>FAQ: 'NY is our forever home'. Zero Proof mocktail line alone might pass, but the brand is built on calm claims; recorded so it is not re-researched.</t>
        </is>
      </c>
      <c r="DA305" t="inlineStr">
        <is>
          <t>stage 1 only</t>
        </is>
      </c>
      <c r="DY305">
        <f>IF(ISNUMBER(MATCH(U305,{"queued","contacted","replied","call_booked","call_done","yes_in_principle","materials_sent"},0)),"Y","N")</f>
        <v/>
      </c>
      <c r="DZ305">
        <f>IF(COUNTIFS($AN$2:$AN$1000,AN305,$DY$2:$DY$1000,"Y")+COUNTIFS($AN$2:$AN$1000,AN305,$T$2:$T$1000,"Y")&gt;0,"Y","N")</f>
        <v/>
      </c>
      <c r="EA305">
        <f>IF(AND(U305="new",T305="N",AR305="Y",AQ305="",DZ305="N"),"Y","N")</f>
        <v/>
      </c>
      <c r="EB305">
        <f>IF(EA305&lt;&gt;"Y","N",IF(COUNTIFS($AN$2:$AN$1000,AN305,$EA$2:$EA$1000,"Y",$J$2:$J$1000,"&gt;"&amp;J305)+COUNTIFS($AN$2:$AN$1000,AN305,$EA$2:$EA$1000,"Y",$J$2:$J$1000,J305,$ED$2:$ED$1000,"&lt;"&amp;ED305)=0,"Y","N"))</f>
        <v/>
      </c>
      <c r="EC305">
        <f>IF(Y305="","N",IF(Y305&lt;=10,"Y","N"))</f>
        <v/>
      </c>
      <c r="ED305">
        <f>ROW()-1</f>
        <v/>
      </c>
    </row>
    <row r="306">
      <c r="A306" t="inlineStr">
        <is>
          <t>AB-145</t>
        </is>
      </c>
      <c r="B306" t="inlineStr">
        <is>
          <t>Red Jacket Orchards</t>
        </is>
      </c>
      <c r="H306" t="inlineStr">
        <is>
          <t>none</t>
        </is>
      </c>
      <c r="J306">
        <f>IF(AU306="pass",CM306+CN306+CO306+CP306+CQ306+CR306+CS306+CT306,0)</f>
        <v/>
      </c>
      <c r="K306" t="inlineStr">
        <is>
          <t>Gated out: not-shelf-stable: Refrigerated: brand FAQ says all products must be refrigerated before and after opening.</t>
        </is>
      </c>
      <c r="M306" t="inlineStr">
        <is>
          <t>none found within ten blocks</t>
        </is>
      </c>
      <c r="N306" t="inlineStr">
        <is>
          <t>unverified</t>
        </is>
      </c>
      <c r="O306" t="inlineStr">
        <is>
          <t>Joe's NY Style Lemonade was a 2026 sofi Gold finalist, Non-Alcoholic Beverages (listed under Berryfield Bottling); search summaries report it won Gold on 2026-01-13 (Gold page not opened; unverified, founder to confirm)</t>
        </is>
      </c>
      <c r="P306" t="inlineStr">
        <is>
          <t>https://foodindustryexecutive.com/2025/10/specialty-food-association-announces-75-sofi-gold-award-finalists-ahead-of-winter-fancyfaire-2026/</t>
        </is>
      </c>
      <c r="Q306" t="inlineStr">
        <is>
          <t>2025-10</t>
        </is>
      </c>
      <c r="R306" t="inlineStr">
        <is>
          <t>N</t>
        </is>
      </c>
      <c r="S306" t="inlineStr">
        <is>
          <t>unknown</t>
        </is>
      </c>
      <c r="T306" t="inlineStr">
        <is>
          <t>N</t>
        </is>
      </c>
      <c r="U306" t="inlineStr">
        <is>
          <t>new</t>
        </is>
      </c>
      <c r="V306" t="inlineStr">
        <is>
          <t>https://redjacketorchards.com/products/ny-lemonade</t>
        </is>
      </c>
      <c r="W306" t="inlineStr">
        <is>
          <t>2026-10-23</t>
        </is>
      </c>
      <c r="X306" t="inlineStr">
        <is>
          <t>brand</t>
        </is>
      </c>
      <c r="Y306">
        <f>IF(EB306&lt;&gt;"Y","",COUNTIFS($EB$2:$EB$1000,"Y",$J$2:$J$1000,"&gt;"&amp;J306)+COUNTIFS($EB$2:$EB$1000,"Y",$J$2:$J$1000,J306,$ED$2:$ED$1000,"&lt;"&amp;ED306)+1)</f>
        <v/>
      </c>
      <c r="AA306" t="inlineStr">
        <is>
          <t>N</t>
        </is>
      </c>
      <c r="AD306" t="inlineStr">
        <is>
          <t>none</t>
        </is>
      </c>
      <c r="AH306" t="inlineStr">
        <is>
          <t>Joe's NY Style Lemonade, 12 oz bottle (cold-pressed apple and lemon)</t>
        </is>
      </c>
      <c r="AI306" t="inlineStr">
        <is>
          <t>tea-juice</t>
        </is>
      </c>
      <c r="AJ306" t="inlineStr">
        <is>
          <t>unknown</t>
        </is>
      </c>
      <c r="AK306" t="inlineStr">
        <is>
          <t>https://redjacketorchards.com</t>
        </is>
      </c>
      <c r="AL306" t="inlineStr">
        <is>
          <t>Y</t>
        </is>
      </c>
      <c r="AM306" t="inlineStr">
        <is>
          <t>Probably fails the shelf-stable gate (cold-pressed juice); keep only if a shelf-stable SKU exists. Strong NY story and a 2026 sofi Gold</t>
        </is>
      </c>
      <c r="AN306" t="inlineStr">
        <is>
          <t>AB-145</t>
        </is>
      </c>
      <c r="AO306" t="inlineStr">
        <is>
          <t>N</t>
        </is>
      </c>
      <c r="AR306">
        <f>IF(AND(AU306="pass",AO306&lt;&gt;"Y",C306&lt;&gt;""),"Y","N")</f>
        <v/>
      </c>
      <c r="AS306">
        <f>_xlfn.TEXTJOIN("; ",TRUE,IF(AU306&lt;&gt;"pass","gated out",""),IF(AO306="Y","on hold: "&amp;AP306,""),IF(C306="","no contact named on an opened page",""))</f>
        <v/>
      </c>
      <c r="AU306" t="inlineStr">
        <is>
          <t>fail</t>
        </is>
      </c>
      <c r="AV306" t="inlineStr">
        <is>
          <t>not-shelf-stable</t>
        </is>
      </c>
      <c r="AW306" t="inlineStr">
        <is>
          <t>not-shelf-stable: Refrigerated: brand FAQ says all products must be refrigerated before and after opening</t>
        </is>
      </c>
      <c r="AX306" t="inlineStr">
        <is>
          <t>claim-borderline</t>
        </is>
      </c>
      <c r="AY306" t="inlineStr">
        <is>
          <t>https://redjacketorchards.com</t>
        </is>
      </c>
      <c r="AZ306" t="inlineStr">
        <is>
          <t>NY</t>
        </is>
      </c>
      <c r="BA306" t="inlineStr">
        <is>
          <t>nys</t>
        </is>
      </c>
      <c r="BB306" t="inlineStr">
        <is>
          <t>family-owned</t>
        </is>
      </c>
      <c r="BD306" t="inlineStr">
        <is>
          <t>N</t>
        </is>
      </c>
      <c r="BE306" t="inlineStr">
        <is>
          <t>Brand FAQ: All products must be refrigerated before and after they are opened (redjacketorchards.com/pages/faqs, opened 2026-10-24)</t>
        </is>
      </c>
      <c r="BF306" t="inlineStr">
        <is>
          <t>Y</t>
        </is>
      </c>
      <c r="BG306" t="inlineStr">
        <is>
          <t>Y</t>
        </is>
      </c>
      <c r="BH306" t="inlineStr">
        <is>
          <t>unknown</t>
        </is>
      </c>
      <c r="BJ306" t="inlineStr">
        <is>
          <t>No public sales figure found</t>
        </is>
      </c>
      <c r="BK306" t="inlineStr">
        <is>
          <t>N</t>
        </is>
      </c>
      <c r="BL306" t="inlineStr">
        <is>
          <t>Y</t>
        </is>
      </c>
      <c r="BM306" t="inlineStr">
        <is>
          <t>Refrigerated: brand FAQ says all products must be refrigerated before and after opening</t>
        </is>
      </c>
      <c r="BO306" t="inlineStr">
        <is>
          <t>N</t>
        </is>
      </c>
      <c r="BP306" t="n">
        <v>0</v>
      </c>
      <c r="BS306" t="inlineStr">
        <is>
          <t>unknown</t>
        </is>
      </c>
      <c r="BU306" t="inlineStr">
        <is>
          <t>stale (over 12 months)</t>
        </is>
      </c>
      <c r="BV306" t="n">
        <v>388</v>
      </c>
      <c r="CF306" t="inlineStr">
        <is>
          <t>none</t>
        </is>
      </c>
      <c r="CK306" t="inlineStr">
        <is>
          <t>none</t>
        </is>
      </c>
      <c r="CL306" t="n">
        <v>26</v>
      </c>
      <c r="CM306" t="n">
        <v>6</v>
      </c>
      <c r="CN306" t="n">
        <v>13</v>
      </c>
      <c r="CO306" t="n">
        <v>0</v>
      </c>
      <c r="CP306" t="n">
        <v>5</v>
      </c>
      <c r="CQ306" t="n">
        <v>6</v>
      </c>
      <c r="CR306" t="n">
        <v>0</v>
      </c>
      <c r="CS306">
        <f>IF(R306="Y",10,0)</f>
        <v/>
      </c>
      <c r="CT306" t="n">
        <v>-4</v>
      </c>
      <c r="CU306" t="inlineStr">
        <is>
          <t>https://www.instagram.com/redjacketorchards</t>
        </is>
      </c>
      <c r="CV306" t="inlineStr">
        <is>
          <t>BR3</t>
        </is>
      </c>
      <c r="CW306" t="inlineStr">
        <is>
          <t>BR3:19</t>
        </is>
      </c>
      <c r="CX306" t="inlineStr">
        <is>
          <t>Finalist list opened 2026-10-23 (foodindustryexecutive.com): 'Berryfield Bottling - Joe's NY Style Lemonade'. Gold win per NOSH/Prepared Foods search summaries only. Instagram handle redjacketny also appears. HQ not stated on pages read (Finger Lakes NY farm per brand lore; founder to confirm).</t>
        </is>
      </c>
      <c r="CY306" t="inlineStr">
        <is>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is>
      </c>
      <c r="DA306" t="inlineStr">
        <is>
          <t>stage 1 only</t>
        </is>
      </c>
      <c r="DY306">
        <f>IF(ISNUMBER(MATCH(U306,{"queued","contacted","replied","call_booked","call_done","yes_in_principle","materials_sent"},0)),"Y","N")</f>
        <v/>
      </c>
      <c r="DZ306">
        <f>IF(COUNTIFS($AN$2:$AN$1000,AN306,$DY$2:$DY$1000,"Y")+COUNTIFS($AN$2:$AN$1000,AN306,$T$2:$T$1000,"Y")&gt;0,"Y","N")</f>
        <v/>
      </c>
      <c r="EA306">
        <f>IF(AND(U306="new",T306="N",AR306="Y",AQ306="",DZ306="N"),"Y","N")</f>
        <v/>
      </c>
      <c r="EB306">
        <f>IF(EA306&lt;&gt;"Y","N",IF(COUNTIFS($AN$2:$AN$1000,AN306,$EA$2:$EA$1000,"Y",$J$2:$J$1000,"&gt;"&amp;J306)+COUNTIFS($AN$2:$AN$1000,AN306,$EA$2:$EA$1000,"Y",$J$2:$J$1000,J306,$ED$2:$ED$1000,"&lt;"&amp;ED306)=0,"Y","N"))</f>
        <v/>
      </c>
      <c r="EC306">
        <f>IF(Y306="","N",IF(Y306&lt;=10,"Y","N"))</f>
        <v/>
      </c>
      <c r="ED306">
        <f>ROW()-1</f>
        <v/>
      </c>
    </row>
    <row r="307">
      <c r="A307" t="inlineStr">
        <is>
          <t>AB-148</t>
        </is>
      </c>
      <c r="B307" t="inlineStr">
        <is>
          <t>Sap!</t>
        </is>
      </c>
      <c r="C307" t="inlineStr">
        <is>
          <t>Chas</t>
        </is>
      </c>
      <c r="D307" t="inlineStr">
        <is>
          <t>unknown</t>
        </is>
      </c>
      <c r="E307" t="inlineStr">
        <is>
          <t>Co-founder</t>
        </is>
      </c>
      <c r="H307" t="inlineStr">
        <is>
          <t>none</t>
        </is>
      </c>
      <c r="I307" t="inlineStr">
        <is>
          <t>linkedin</t>
        </is>
      </c>
      <c r="J307">
        <f>IF(AU307="pass",CM307+CN307+CO307+CP307+CQ307+CR307+CS307+CT307,0)</f>
        <v/>
      </c>
      <c r="K307" t="inlineStr">
        <is>
          <t>Gated out: health-claim: Explicit health claim on product pages: 'Prebiotics (Good for Gut Health)'.</t>
        </is>
      </c>
      <c r="M307" t="inlineStr">
        <is>
          <t>none found within ten blocks</t>
        </is>
      </c>
      <c r="N307" t="inlineStr">
        <is>
          <t>unverified</t>
        </is>
      </c>
      <c r="R307" t="inlineStr">
        <is>
          <t>N</t>
        </is>
      </c>
      <c r="S307" t="inlineStr">
        <is>
          <t>unknown</t>
        </is>
      </c>
      <c r="T307" t="inlineStr">
        <is>
          <t>N</t>
        </is>
      </c>
      <c r="U307" t="inlineStr">
        <is>
          <t>new</t>
        </is>
      </c>
      <c r="V307" t="inlineStr">
        <is>
          <t>https://sapvt.com/pages/faqs</t>
        </is>
      </c>
      <c r="W307" t="inlineStr">
        <is>
          <t>2026-10-23</t>
        </is>
      </c>
      <c r="X307" t="inlineStr">
        <is>
          <t>brand</t>
        </is>
      </c>
      <c r="Y307">
        <f>IF(EB307&lt;&gt;"Y","",COUNTIFS($EB$2:$EB$1000,"Y",$J$2:$J$1000,"&gt;"&amp;J307)+COUNTIFS($EB$2:$EB$1000,"Y",$J$2:$J$1000,J307,$ED$2:$ED$1000,"&lt;"&amp;ED307)+1)</f>
        <v/>
      </c>
      <c r="AA307" t="inlineStr">
        <is>
          <t>N</t>
        </is>
      </c>
      <c r="AC307" t="inlineStr">
        <is>
          <t>founder</t>
        </is>
      </c>
      <c r="AD307" t="inlineStr">
        <is>
          <t>first-name-only</t>
        </is>
      </c>
      <c r="AE307" t="inlineStr">
        <is>
          <t>employer's own site</t>
        </is>
      </c>
      <c r="AF307" t="inlineStr">
        <is>
          <t>https://sapvt.com/pages/our-story</t>
        </is>
      </c>
      <c r="AG307" t="inlineStr">
        <is>
          <t>2026-10-23</t>
        </is>
      </c>
      <c r="AH307" t="inlineStr">
        <is>
          <t>Sap! Maple Soda / Maple Seltzer, can</t>
        </is>
      </c>
      <c r="AI307" t="inlineStr">
        <is>
          <t>sparkling-soda</t>
        </is>
      </c>
      <c r="AJ307" t="inlineStr">
        <is>
          <t>unknown</t>
        </is>
      </c>
      <c r="AK307" t="inlineStr">
        <is>
          <t>https://sapvt.com</t>
        </is>
      </c>
      <c r="AL307" t="inlineStr">
        <is>
          <t>N</t>
        </is>
      </c>
      <c r="AN307" t="inlineStr">
        <is>
          <t>AB-148</t>
        </is>
      </c>
      <c r="AO307" t="inlineStr">
        <is>
          <t>N</t>
        </is>
      </c>
      <c r="AR307">
        <f>IF(AND(AU307="pass",AO307&lt;&gt;"Y",C307&lt;&gt;""),"Y","N")</f>
        <v/>
      </c>
      <c r="AS307">
        <f>_xlfn.TEXTJOIN("; ",TRUE,IF(AU307&lt;&gt;"pass","gated out",""),IF(AO307="Y","on hold: "&amp;AP307,""),IF(C307="","no contact named on an opened page",""))</f>
        <v/>
      </c>
      <c r="AU307" t="inlineStr">
        <is>
          <t>fail</t>
        </is>
      </c>
      <c r="AV307" t="inlineStr">
        <is>
          <t>health-claim</t>
        </is>
      </c>
      <c r="AW307" t="inlineStr">
        <is>
          <t>health-claim: Explicit health claim on product pages: 'Prebiotics (Good for Gut Health)'</t>
        </is>
      </c>
      <c r="AY307" t="inlineStr">
        <is>
          <t>https://sapvt.com</t>
        </is>
      </c>
      <c r="AZ307" t="inlineStr">
        <is>
          <t>VT</t>
        </is>
      </c>
      <c r="BA307" t="inlineStr">
        <is>
          <t>northeast</t>
        </is>
      </c>
      <c r="BB307" t="inlineStr">
        <is>
          <t>unknown</t>
        </is>
      </c>
      <c r="BD307" t="inlineStr">
        <is>
          <t>Y</t>
        </is>
      </c>
      <c r="BE307" t="inlineStr">
        <is>
          <t>Brand FAQ: 'Sap! does not require refrigeration' (sapvt.com/pages/faqs, opened 2026-10-23)</t>
        </is>
      </c>
      <c r="BF307" t="inlineStr">
        <is>
          <t>Y</t>
        </is>
      </c>
      <c r="BG307" t="inlineStr">
        <is>
          <t>Y</t>
        </is>
      </c>
      <c r="BH307" t="inlineStr">
        <is>
          <t>unknown</t>
        </is>
      </c>
      <c r="BJ307" t="inlineStr">
        <is>
          <t>No public sales figure found</t>
        </is>
      </c>
      <c r="BK307" t="inlineStr">
        <is>
          <t>Y</t>
        </is>
      </c>
      <c r="BL307" t="inlineStr">
        <is>
          <t>Y</t>
        </is>
      </c>
      <c r="BM307" t="inlineStr">
        <is>
          <t>Explicit health claim on product pages: 'Prebiotics (Good for Gut Health)'</t>
        </is>
      </c>
      <c r="BO307" t="inlineStr">
        <is>
          <t>N</t>
        </is>
      </c>
      <c r="BP307" t="n">
        <v>0</v>
      </c>
      <c r="BS307" t="inlineStr">
        <is>
          <t>unknown</t>
        </is>
      </c>
      <c r="BU307" t="inlineStr">
        <is>
          <t>none</t>
        </is>
      </c>
      <c r="BX307" t="inlineStr">
        <is>
          <t>Chas</t>
        </is>
      </c>
      <c r="BY307" t="inlineStr">
        <is>
          <t>first names on story page</t>
        </is>
      </c>
      <c r="CA307" t="inlineStr">
        <is>
          <t>Nikita</t>
        </is>
      </c>
      <c r="CB307" t="inlineStr">
        <is>
          <t>Nikita</t>
        </is>
      </c>
      <c r="CC307" t="inlineStr">
        <is>
          <t>unknown</t>
        </is>
      </c>
      <c r="CD307" t="inlineStr">
        <is>
          <t>Co-founder</t>
        </is>
      </c>
      <c r="CE307" t="inlineStr">
        <is>
          <t>co-founder</t>
        </is>
      </c>
      <c r="CF307" t="inlineStr">
        <is>
          <t>first-name-only</t>
        </is>
      </c>
      <c r="CG307" t="inlineStr">
        <is>
          <t>first names on story page</t>
        </is>
      </c>
      <c r="CK307" t="inlineStr">
        <is>
          <t>none</t>
        </is>
      </c>
      <c r="CL307" t="n">
        <v>32</v>
      </c>
      <c r="CM307" t="n">
        <v>6</v>
      </c>
      <c r="CN307" t="n">
        <v>8</v>
      </c>
      <c r="CO307" t="n">
        <v>0</v>
      </c>
      <c r="CP307" t="n">
        <v>5</v>
      </c>
      <c r="CQ307" t="n">
        <v>10</v>
      </c>
      <c r="CR307" t="n">
        <v>3</v>
      </c>
      <c r="CS307">
        <f>IF(R307="Y",10,0)</f>
        <v/>
      </c>
      <c r="CT307" t="n">
        <v>0</v>
      </c>
      <c r="CU307" t="inlineStr">
        <is>
          <t>https://www.instagram.com/drinksap</t>
        </is>
      </c>
      <c r="CV307" t="inlineStr">
        <is>
          <t>BR3</t>
        </is>
      </c>
      <c r="CW307" t="inlineStr">
        <is>
          <t>BR3:22</t>
        </is>
      </c>
      <c r="CX307" t="inlineStr">
        <is>
          <t>Vermont maple and birch sap drinks. Could pass if the gut-health line were removed from copy; founder may revisit.</t>
        </is>
      </c>
      <c r="CZ307" t="inlineStr">
        <is>
          <t>https://sapvt.com/pages/our-story</t>
        </is>
      </c>
      <c r="DA307" t="inlineStr">
        <is>
          <t>stage 1 only</t>
        </is>
      </c>
      <c r="DC307" t="inlineStr">
        <is>
          <t>employer's own site</t>
        </is>
      </c>
      <c r="DY307">
        <f>IF(ISNUMBER(MATCH(U307,{"queued","contacted","replied","call_booked","call_done","yes_in_principle","materials_sent"},0)),"Y","N")</f>
        <v/>
      </c>
      <c r="DZ307">
        <f>IF(COUNTIFS($AN$2:$AN$1000,AN307,$DY$2:$DY$1000,"Y")+COUNTIFS($AN$2:$AN$1000,AN307,$T$2:$T$1000,"Y")&gt;0,"Y","N")</f>
        <v/>
      </c>
      <c r="EA307">
        <f>IF(AND(U307="new",T307="N",AR307="Y",AQ307="",DZ307="N"),"Y","N")</f>
        <v/>
      </c>
      <c r="EB307">
        <f>IF(EA307&lt;&gt;"Y","N",IF(COUNTIFS($AN$2:$AN$1000,AN307,$EA$2:$EA$1000,"Y",$J$2:$J$1000,"&gt;"&amp;J307)+COUNTIFS($AN$2:$AN$1000,AN307,$EA$2:$EA$1000,"Y",$J$2:$J$1000,J307,$ED$2:$ED$1000,"&lt;"&amp;ED307)=0,"Y","N"))</f>
        <v/>
      </c>
      <c r="EC307">
        <f>IF(Y307="","N",IF(Y307&lt;=10,"Y","N"))</f>
        <v/>
      </c>
      <c r="ED307">
        <f>ROW()-1</f>
        <v/>
      </c>
    </row>
    <row r="308">
      <c r="A308" t="inlineStr">
        <is>
          <t>AB-076</t>
        </is>
      </c>
      <c r="B308" t="inlineStr">
        <is>
          <t>Sour Strips</t>
        </is>
      </c>
      <c r="H308" t="inlineStr">
        <is>
          <t>none</t>
        </is>
      </c>
      <c r="J308">
        <f>IF(AU308="pass",CM308+CN308+CO308+CP308+CQ308+CR308+CS308+CT308,0)</f>
        <v/>
      </c>
      <c r="K308" t="inlineStr">
        <is>
          <t>Gated out: no-buy-path: no graded store within ten blocks and no online store shown (online store unknown).</t>
        </is>
      </c>
      <c r="M308" t="inlineStr">
        <is>
          <t>none found within ten blocks</t>
        </is>
      </c>
      <c r="N308" t="inlineStr">
        <is>
          <t>unverified</t>
        </is>
      </c>
      <c r="R308" t="inlineStr">
        <is>
          <t>N</t>
        </is>
      </c>
      <c r="S308" t="inlineStr">
        <is>
          <t>unknown</t>
        </is>
      </c>
      <c r="T308" t="inlineStr">
        <is>
          <t>N</t>
        </is>
      </c>
      <c r="U308" t="inlineStr">
        <is>
          <t>new</t>
        </is>
      </c>
      <c r="V308" t="inlineStr">
        <is>
          <t>https://www.hersheyland.com/brands/sourstrips/about-us.html</t>
        </is>
      </c>
      <c r="W308" t="inlineStr">
        <is>
          <t>2026-10-23</t>
        </is>
      </c>
      <c r="X308" t="inlineStr">
        <is>
          <t>brand</t>
        </is>
      </c>
      <c r="Y308">
        <f>IF(EB308&lt;&gt;"Y","",COUNTIFS($EB$2:$EB$1000,"Y",$J$2:$J$1000,"&gt;"&amp;J308)+COUNTIFS($EB$2:$EB$1000,"Y",$J$2:$J$1000,J308,$ED$2:$ED$1000,"&lt;"&amp;ED308)+1)</f>
        <v/>
      </c>
      <c r="AA308" t="inlineStr">
        <is>
          <t>N</t>
        </is>
      </c>
      <c r="AD308" t="inlineStr">
        <is>
          <t>none</t>
        </is>
      </c>
      <c r="AH308" t="inlineStr">
        <is>
          <t>SOUR STRIPS sour candy strips</t>
        </is>
      </c>
      <c r="AI308" t="inlineStr">
        <is>
          <t>chocolate-candy</t>
        </is>
      </c>
      <c r="AJ308" t="inlineStr">
        <is>
          <t>unknown</t>
        </is>
      </c>
      <c r="AL308" t="inlineStr">
        <is>
          <t>Y</t>
        </is>
      </c>
      <c r="AM308" t="inlineStr">
        <is>
          <t>Big-brand ownership: now part of The Hershey Company (2025); unlikely to buy a $600 founder-approved campaign; 60-day shelf life not stated</t>
        </is>
      </c>
      <c r="AN308" t="inlineStr">
        <is>
          <t>AB-076</t>
        </is>
      </c>
      <c r="AO308" t="inlineStr">
        <is>
          <t>N</t>
        </is>
      </c>
      <c r="AR308">
        <f>IF(AND(AU308="pass",AO308&lt;&gt;"Y",C308&lt;&gt;""),"Y","N")</f>
        <v/>
      </c>
      <c r="AS308">
        <f>_xlfn.TEXTJOIN("; ",TRUE,IF(AU308&lt;&gt;"pass","gated out",""),IF(AO308="Y","on hold: "&amp;AP308,""),IF(C308="","no contact named on an opened page",""))</f>
        <v/>
      </c>
      <c r="AU308" t="inlineStr">
        <is>
          <t>fail</t>
        </is>
      </c>
      <c r="AV308" t="inlineStr">
        <is>
          <t>no-buy-path</t>
        </is>
      </c>
      <c r="AW308" t="inlineStr">
        <is>
          <t>no-buy-path: no graded store within ten blocks and no online store shown (online store unknown)</t>
        </is>
      </c>
      <c r="AX308" t="inlineStr">
        <is>
          <t>owner</t>
        </is>
      </c>
      <c r="AY308" t="inlineStr">
        <is>
          <t>https://www.hersheyland.com/brands/sourstrips.html</t>
        </is>
      </c>
      <c r="AZ308" t="inlineStr">
        <is>
          <t>unknown</t>
        </is>
      </c>
      <c r="BA308" t="inlineStr">
        <is>
          <t>unknown</t>
        </is>
      </c>
      <c r="BB308" t="inlineStr">
        <is>
          <t>partnered with The Hershey Company in 2025 (brand about page)</t>
        </is>
      </c>
      <c r="BC308" t="inlineStr">
        <is>
          <t>https://www.hersheyland.com/brands/sourstrips/about-us.html</t>
        </is>
      </c>
      <c r="BD308" t="inlineStr">
        <is>
          <t>likely</t>
        </is>
      </c>
      <c r="BE308" t="inlineStr">
        <is>
          <t>Packaged sour candy; no shelf-life figure on brand page</t>
        </is>
      </c>
      <c r="BF308" t="inlineStr">
        <is>
          <t>unknown</t>
        </is>
      </c>
      <c r="BG308" t="inlineStr">
        <is>
          <t>unknown</t>
        </is>
      </c>
      <c r="BH308" t="inlineStr">
        <is>
          <t>unknown</t>
        </is>
      </c>
      <c r="BJ308" t="inlineStr">
        <is>
          <t>unknown</t>
        </is>
      </c>
      <c r="BK308" t="inlineStr">
        <is>
          <t>N</t>
        </is>
      </c>
      <c r="BL308" t="inlineStr">
        <is>
          <t>N</t>
        </is>
      </c>
      <c r="BO308" t="inlineStr">
        <is>
          <t>N</t>
        </is>
      </c>
      <c r="BP308" t="n">
        <v>0</v>
      </c>
      <c r="BS308" t="inlineStr">
        <is>
          <t>The Hershey Store; wherever Hershey's products are sold</t>
        </is>
      </c>
      <c r="BU308" t="inlineStr">
        <is>
          <t>none</t>
        </is>
      </c>
      <c r="CF308" t="inlineStr">
        <is>
          <t>none</t>
        </is>
      </c>
      <c r="CK308" t="inlineStr">
        <is>
          <t>none</t>
        </is>
      </c>
      <c r="CL308" t="n">
        <v>-12</v>
      </c>
      <c r="CM308" t="n">
        <v>0</v>
      </c>
      <c r="CN308" t="n">
        <v>4</v>
      </c>
      <c r="CO308" t="n">
        <v>0</v>
      </c>
      <c r="CP308" t="n">
        <v>5</v>
      </c>
      <c r="CQ308" t="n">
        <v>4</v>
      </c>
      <c r="CR308" t="n">
        <v>0</v>
      </c>
      <c r="CS308">
        <f>IF(R308="Y",10,0)</f>
        <v/>
      </c>
      <c r="CT308" t="n">
        <v>-25</v>
      </c>
      <c r="CV308" t="inlineStr">
        <is>
          <t>BR2</t>
        </is>
      </c>
      <c r="CW308" t="inlineStr">
        <is>
          <t>BR2:13</t>
        </is>
      </c>
      <c r="CX308" t="inlineStr">
        <is>
          <t>sourstrips.com now redirects to hersheyland.com. Recorded so it is not re-researched.</t>
        </is>
      </c>
      <c r="DA308" t="inlineStr">
        <is>
          <t>stage 1 only</t>
        </is>
      </c>
      <c r="DY308">
        <f>IF(ISNUMBER(MATCH(U308,{"queued","contacted","replied","call_booked","call_done","yes_in_principle","materials_sent"},0)),"Y","N")</f>
        <v/>
      </c>
      <c r="DZ308">
        <f>IF(COUNTIFS($AN$2:$AN$1000,AN308,$DY$2:$DY$1000,"Y")+COUNTIFS($AN$2:$AN$1000,AN308,$T$2:$T$1000,"Y")&gt;0,"Y","N")</f>
        <v/>
      </c>
      <c r="EA308">
        <f>IF(AND(U308="new",T308="N",AR308="Y",AQ308="",DZ308="N"),"Y","N")</f>
        <v/>
      </c>
      <c r="EB308">
        <f>IF(EA308&lt;&gt;"Y","N",IF(COUNTIFS($AN$2:$AN$1000,AN308,$EA$2:$EA$1000,"Y",$J$2:$J$1000,"&gt;"&amp;J308)+COUNTIFS($AN$2:$AN$1000,AN308,$EA$2:$EA$1000,"Y",$J$2:$J$1000,J308,$ED$2:$ED$1000,"&lt;"&amp;ED308)=0,"Y","N"))</f>
        <v/>
      </c>
      <c r="EC308">
        <f>IF(Y308="","N",IF(Y308&lt;=10,"Y","N"))</f>
        <v/>
      </c>
      <c r="ED308">
        <f>ROW()-1</f>
        <v/>
      </c>
    </row>
    <row r="309">
      <c r="A309" t="inlineStr">
        <is>
          <t>AB-141</t>
        </is>
      </c>
      <c r="B309" t="inlineStr">
        <is>
          <t>Superfrau</t>
        </is>
      </c>
      <c r="H309" t="inlineStr">
        <is>
          <t>none</t>
        </is>
      </c>
      <c r="J309">
        <f>IF(AU309="pass",CM309+CN309+CO309+CP309+CQ309+CR309+CS309+CT309,0)</f>
        <v/>
      </c>
      <c r="K309" t="inlineStr">
        <is>
          <t>Gated out: health-claim: Explicit health claims on every product: 'Good for gut health', 'Lactic acid for your gut', 'Natural energy'.</t>
        </is>
      </c>
      <c r="M309" t="inlineStr">
        <is>
          <t>none found within ten blocks</t>
        </is>
      </c>
      <c r="N309" t="inlineStr">
        <is>
          <t>unverified</t>
        </is>
      </c>
      <c r="R309" t="inlineStr">
        <is>
          <t>N</t>
        </is>
      </c>
      <c r="S309" t="inlineStr">
        <is>
          <t>unknown</t>
        </is>
      </c>
      <c r="T309" t="inlineStr">
        <is>
          <t>N</t>
        </is>
      </c>
      <c r="U309" t="inlineStr">
        <is>
          <t>new</t>
        </is>
      </c>
      <c r="V309" t="inlineStr">
        <is>
          <t>https://www.drinksuperfrau.com/pages/faq</t>
        </is>
      </c>
      <c r="W309" t="inlineStr">
        <is>
          <t>2026-10-23</t>
        </is>
      </c>
      <c r="X309" t="inlineStr">
        <is>
          <t>brand</t>
        </is>
      </c>
      <c r="Y309">
        <f>IF(EB309&lt;&gt;"Y","",COUNTIFS($EB$2:$EB$1000,"Y",$J$2:$J$1000,"&gt;"&amp;J309)+COUNTIFS($EB$2:$EB$1000,"Y",$J$2:$J$1000,J309,$ED$2:$ED$1000,"&lt;"&amp;ED309)+1)</f>
        <v/>
      </c>
      <c r="AA309" t="inlineStr">
        <is>
          <t>N</t>
        </is>
      </c>
      <c r="AD309" t="inlineStr">
        <is>
          <t>none</t>
        </is>
      </c>
      <c r="AH309" t="inlineStr">
        <is>
          <t>Superfrau sparkling upcycled fresh whey, 12 oz can</t>
        </is>
      </c>
      <c r="AI309" t="inlineStr">
        <is>
          <t>sparkling-soda</t>
        </is>
      </c>
      <c r="AJ309" t="inlineStr">
        <is>
          <t>unknown</t>
        </is>
      </c>
      <c r="AK309" t="inlineStr">
        <is>
          <t>https://www.drinksuperfrau.com</t>
        </is>
      </c>
      <c r="AL309" t="inlineStr">
        <is>
          <t>N</t>
        </is>
      </c>
      <c r="AN309" t="inlineStr">
        <is>
          <t>AB-141</t>
        </is>
      </c>
      <c r="AO309" t="inlineStr">
        <is>
          <t>N</t>
        </is>
      </c>
      <c r="AR309">
        <f>IF(AND(AU309="pass",AO309&lt;&gt;"Y",C309&lt;&gt;""),"Y","N")</f>
        <v/>
      </c>
      <c r="AS309">
        <f>_xlfn.TEXTJOIN("; ",TRUE,IF(AU309&lt;&gt;"pass","gated out",""),IF(AO309="Y","on hold: "&amp;AP309,""),IF(C309="","no contact named on an opened page",""))</f>
        <v/>
      </c>
      <c r="AU309" t="inlineStr">
        <is>
          <t>fail</t>
        </is>
      </c>
      <c r="AV309" t="inlineStr">
        <is>
          <t>health-claim</t>
        </is>
      </c>
      <c r="AW309" t="inlineStr">
        <is>
          <t>health-claim: Explicit health claims on every product: 'Good for gut health', 'Lactic acid for your gut', 'Natural energy'</t>
        </is>
      </c>
      <c r="AY309" t="inlineStr">
        <is>
          <t>https://www.drinksuperfrau.com</t>
        </is>
      </c>
      <c r="AZ309" t="inlineStr">
        <is>
          <t>unknown</t>
        </is>
      </c>
      <c r="BA309" t="inlineStr">
        <is>
          <t>unknown</t>
        </is>
      </c>
      <c r="BB309" t="inlineStr">
        <is>
          <t>unknown</t>
        </is>
      </c>
      <c r="BD309" t="inlineStr">
        <is>
          <t>Y</t>
        </is>
      </c>
      <c r="BE309" t="inlineStr">
        <is>
          <t>Brand FAQ: 'Does Superfrau need to be refrigerated? Nope... until after it's opened' (opened 2026-10-23)</t>
        </is>
      </c>
      <c r="BF309" t="inlineStr">
        <is>
          <t>Y</t>
        </is>
      </c>
      <c r="BG309" t="inlineStr">
        <is>
          <t>Y</t>
        </is>
      </c>
      <c r="BH309" t="inlineStr">
        <is>
          <t>unknown</t>
        </is>
      </c>
      <c r="BJ309" t="inlineStr">
        <is>
          <t>No public sales figure found</t>
        </is>
      </c>
      <c r="BK309" t="inlineStr">
        <is>
          <t>Y</t>
        </is>
      </c>
      <c r="BL309" t="inlineStr">
        <is>
          <t>Y</t>
        </is>
      </c>
      <c r="BM309" t="inlineStr">
        <is>
          <t>Explicit health claims on every product: 'Good for gut health', 'Lactic acid for your gut', 'Natural energy'</t>
        </is>
      </c>
      <c r="BO309" t="inlineStr">
        <is>
          <t>N</t>
        </is>
      </c>
      <c r="BP309" t="n">
        <v>0</v>
      </c>
      <c r="BS309" t="inlineStr">
        <is>
          <t>unknown (Stockist locator tag u11136 not queried)</t>
        </is>
      </c>
      <c r="BU309" t="inlineStr">
        <is>
          <t>none</t>
        </is>
      </c>
      <c r="CF309" t="inlineStr">
        <is>
          <t>none</t>
        </is>
      </c>
      <c r="CK309" t="inlineStr">
        <is>
          <t>none</t>
        </is>
      </c>
      <c r="CL309" t="n">
        <v>25</v>
      </c>
      <c r="CM309" t="n">
        <v>6</v>
      </c>
      <c r="CN309" t="n">
        <v>4</v>
      </c>
      <c r="CO309" t="n">
        <v>0</v>
      </c>
      <c r="CP309" t="n">
        <v>5</v>
      </c>
      <c r="CQ309" t="n">
        <v>10</v>
      </c>
      <c r="CR309" t="n">
        <v>0</v>
      </c>
      <c r="CS309">
        <f>IF(R309="Y",10,0)</f>
        <v/>
      </c>
      <c r="CT309" t="n">
        <v>0</v>
      </c>
      <c r="CU309" t="inlineStr">
        <is>
          <t>https://www.instagram.com/drinksuperfrau</t>
        </is>
      </c>
      <c r="CV309" t="inlineStr">
        <is>
          <t>BR3</t>
        </is>
      </c>
      <c r="CW309" t="inlineStr">
        <is>
          <t>BR3:15</t>
        </is>
      </c>
      <c r="CX309" t="inlineStr">
        <is>
          <t>Sources whey from yogurt makers in New York and Pennsylvania (FAQ). Newest product listing 2022-12, may be low activity.</t>
        </is>
      </c>
      <c r="DA309" t="inlineStr">
        <is>
          <t>stage 1 only</t>
        </is>
      </c>
      <c r="DY309">
        <f>IF(ISNUMBER(MATCH(U309,{"queued","contacted","replied","call_booked","call_done","yes_in_principle","materials_sent"},0)),"Y","N")</f>
        <v/>
      </c>
      <c r="DZ309">
        <f>IF(COUNTIFS($AN$2:$AN$1000,AN309,$DY$2:$DY$1000,"Y")+COUNTIFS($AN$2:$AN$1000,AN309,$T$2:$T$1000,"Y")&gt;0,"Y","N")</f>
        <v/>
      </c>
      <c r="EA309">
        <f>IF(AND(U309="new",T309="N",AR309="Y",AQ309="",DZ309="N"),"Y","N")</f>
        <v/>
      </c>
      <c r="EB309">
        <f>IF(EA309&lt;&gt;"Y","N",IF(COUNTIFS($AN$2:$AN$1000,AN309,$EA$2:$EA$1000,"Y",$J$2:$J$1000,"&gt;"&amp;J309)+COUNTIFS($AN$2:$AN$1000,AN309,$EA$2:$EA$1000,"Y",$J$2:$J$1000,J309,$ED$2:$ED$1000,"&lt;"&amp;ED309)=0,"Y","N"))</f>
        <v/>
      </c>
      <c r="EC309">
        <f>IF(Y309="","N",IF(Y309&lt;=10,"Y","N"))</f>
        <v/>
      </c>
      <c r="ED309">
        <f>ROW()-1</f>
        <v/>
      </c>
    </row>
    <row r="310">
      <c r="A310" t="inlineStr">
        <is>
          <t>AB-194</t>
        </is>
      </c>
      <c r="B310" t="inlineStr">
        <is>
          <t>Twrl Milk Tea</t>
        </is>
      </c>
      <c r="C310" t="inlineStr">
        <is>
          <t>Pauline</t>
        </is>
      </c>
      <c r="D310" t="inlineStr">
        <is>
          <t>unknown</t>
        </is>
      </c>
      <c r="E310" t="inlineStr">
        <is>
          <t>Founder</t>
        </is>
      </c>
      <c r="H310" t="inlineStr">
        <is>
          <t>none</t>
        </is>
      </c>
      <c r="I310" t="inlineStr">
        <is>
          <t>linkedin</t>
        </is>
      </c>
      <c r="J310">
        <f>IF(AU310="pass",CM310+CN310+CO310+CP310+CQ310+CR310+CS310+CT310,0)</f>
        <v/>
      </c>
      <c r="K310" t="inlineStr">
        <is>
          <t>Gated out: health-claim: Structure or function claims on site: antioxidants 'protects cells and supports health'; 'mild caffeine for improved focus with L-theanine'.</t>
        </is>
      </c>
      <c r="M310" t="inlineStr">
        <is>
          <t>none found within ten blocks</t>
        </is>
      </c>
      <c r="N310" t="inlineStr">
        <is>
          <t>unverified</t>
        </is>
      </c>
      <c r="R310" t="inlineStr">
        <is>
          <t>N</t>
        </is>
      </c>
      <c r="S310" t="inlineStr">
        <is>
          <t>unknown</t>
        </is>
      </c>
      <c r="T310" t="inlineStr">
        <is>
          <t>N</t>
        </is>
      </c>
      <c r="U310" t="inlineStr">
        <is>
          <t>new</t>
        </is>
      </c>
      <c r="V310" t="inlineStr">
        <is>
          <t>https://twrl.com/pages/about-milk-tea</t>
        </is>
      </c>
      <c r="W310" t="inlineStr">
        <is>
          <t>2026-10-23</t>
        </is>
      </c>
      <c r="X310" t="inlineStr">
        <is>
          <t>brand</t>
        </is>
      </c>
      <c r="Y310">
        <f>IF(EB310&lt;&gt;"Y","",COUNTIFS($EB$2:$EB$1000,"Y",$J$2:$J$1000,"&gt;"&amp;J310)+COUNTIFS($EB$2:$EB$1000,"Y",$J$2:$J$1000,J310,$ED$2:$ED$1000,"&lt;"&amp;ED310)+1)</f>
        <v/>
      </c>
      <c r="AA310" t="inlineStr">
        <is>
          <t>N</t>
        </is>
      </c>
      <c r="AC310" t="inlineStr">
        <is>
          <t>founder</t>
        </is>
      </c>
      <c r="AD310" t="inlineStr">
        <is>
          <t>first-name-only</t>
        </is>
      </c>
      <c r="AE310" t="inlineStr">
        <is>
          <t>employer's own site</t>
        </is>
      </c>
      <c r="AF310" t="inlineStr">
        <is>
          <t>https://twrl.com/pages/our-story</t>
        </is>
      </c>
      <c r="AG310" t="inlineStr">
        <is>
          <t>2026-10-23</t>
        </is>
      </c>
      <c r="AH310" t="inlineStr">
        <is>
          <t>Twrl Milk Tea (pea-protein milk, whole-leaf tea), 7.5 oz can</t>
        </is>
      </c>
      <c r="AI310" t="inlineStr">
        <is>
          <t>tea-juice</t>
        </is>
      </c>
      <c r="AJ310" t="inlineStr">
        <is>
          <t>unknown</t>
        </is>
      </c>
      <c r="AK310" t="inlineStr">
        <is>
          <t>https://twrl.com</t>
        </is>
      </c>
      <c r="AL310" t="inlineStr">
        <is>
          <t>Y</t>
        </is>
      </c>
      <c r="AM310" t="inlineStr">
        <is>
          <t>60-day shelf life not stated</t>
        </is>
      </c>
      <c r="AN310" t="inlineStr">
        <is>
          <t>AB-194</t>
        </is>
      </c>
      <c r="AO310" t="inlineStr">
        <is>
          <t>N</t>
        </is>
      </c>
      <c r="AR310">
        <f>IF(AND(AU310="pass",AO310&lt;&gt;"Y",C310&lt;&gt;""),"Y","N")</f>
        <v/>
      </c>
      <c r="AS310">
        <f>_xlfn.TEXTJOIN("; ",TRUE,IF(AU310&lt;&gt;"pass","gated out",""),IF(AO310="Y","on hold: "&amp;AP310,""),IF(C310="","no contact named on an opened page",""))</f>
        <v/>
      </c>
      <c r="AU310" t="inlineStr">
        <is>
          <t>fail</t>
        </is>
      </c>
      <c r="AV310" t="inlineStr">
        <is>
          <t>health-claim</t>
        </is>
      </c>
      <c r="AW310" t="inlineStr">
        <is>
          <t>health-claim: Structure or function claims on site: antioxidants 'protects cells and supports health'; 'mild caffeine for improved focus with L-theanine'</t>
        </is>
      </c>
      <c r="AY310" t="inlineStr">
        <is>
          <t>https://twrl.com</t>
        </is>
      </c>
      <c r="AZ310" t="inlineStr">
        <is>
          <t>unknown</t>
        </is>
      </c>
      <c r="BA310" t="inlineStr">
        <is>
          <t>unknown</t>
        </is>
      </c>
      <c r="BB310" t="inlineStr">
        <is>
          <t>unknown</t>
        </is>
      </c>
      <c r="BD310" t="inlineStr">
        <is>
          <t>unknown</t>
        </is>
      </c>
      <c r="BE310" t="inlineStr">
        <is>
          <t>No storage statement read</t>
        </is>
      </c>
      <c r="BF310" t="inlineStr">
        <is>
          <t>Y</t>
        </is>
      </c>
      <c r="BG310" t="inlineStr">
        <is>
          <t>Y</t>
        </is>
      </c>
      <c r="BH310" t="inlineStr">
        <is>
          <t>unknown</t>
        </is>
      </c>
      <c r="BJ310" t="inlineStr">
        <is>
          <t>No public sales figure found</t>
        </is>
      </c>
      <c r="BK310" t="inlineStr">
        <is>
          <t>Y</t>
        </is>
      </c>
      <c r="BL310" t="inlineStr">
        <is>
          <t>Y</t>
        </is>
      </c>
      <c r="BM310" t="inlineStr">
        <is>
          <t>Structure or function claims on site: antioxidants 'protects cells and supports health'; 'mild caffeine for improved focus with L-theanine'</t>
        </is>
      </c>
      <c r="BO310" t="inlineStr">
        <is>
          <t>N</t>
        </is>
      </c>
      <c r="BP310" t="n">
        <v>0</v>
      </c>
      <c r="BS310" t="inlineStr">
        <is>
          <t>Pop Up Grocer (past brand, directory)</t>
        </is>
      </c>
      <c r="BT310" t="inlineStr">
        <is>
          <t>https://popupgrocer.com/products/twrl-milk-tea</t>
        </is>
      </c>
      <c r="BU310" t="inlineStr">
        <is>
          <t>none</t>
        </is>
      </c>
      <c r="BX310" t="inlineStr">
        <is>
          <t>Pauline</t>
        </is>
      </c>
      <c r="CF310" t="inlineStr">
        <is>
          <t>none</t>
        </is>
      </c>
      <c r="CK310" t="inlineStr">
        <is>
          <t>none</t>
        </is>
      </c>
      <c r="CL310" t="n">
        <v>25</v>
      </c>
      <c r="CM310" t="n">
        <v>6</v>
      </c>
      <c r="CN310" t="n">
        <v>4</v>
      </c>
      <c r="CO310" t="n">
        <v>0</v>
      </c>
      <c r="CP310" t="n">
        <v>5</v>
      </c>
      <c r="CQ310" t="n">
        <v>7</v>
      </c>
      <c r="CR310" t="n">
        <v>3</v>
      </c>
      <c r="CS310">
        <f>IF(R310="Y",10,0)</f>
        <v/>
      </c>
      <c r="CT310" t="n">
        <v>0</v>
      </c>
      <c r="CU310" t="inlineStr">
        <is>
          <t>https://instagram.com/twrlmilktea</t>
        </is>
      </c>
      <c r="CV310" t="inlineStr">
        <is>
          <t>BR3</t>
        </is>
      </c>
      <c r="CW310" t="inlineStr">
        <is>
          <t>BR3:68</t>
        </is>
      </c>
      <c r="CX310" t="inlineStr">
        <is>
          <t>twrlmilktea.com redirects to twrl.com. Press page: two mothers, Taiwanese heritage. Product itself (canned milk tea) would otherwise fit.</t>
        </is>
      </c>
      <c r="DA310" t="inlineStr">
        <is>
          <t>stage 1 only</t>
        </is>
      </c>
      <c r="DY310">
        <f>IF(ISNUMBER(MATCH(U310,{"queued","contacted","replied","call_booked","call_done","yes_in_principle","materials_sent"},0)),"Y","N")</f>
        <v/>
      </c>
      <c r="DZ310">
        <f>IF(COUNTIFS($AN$2:$AN$1000,AN310,$DY$2:$DY$1000,"Y")+COUNTIFS($AN$2:$AN$1000,AN310,$T$2:$T$1000,"Y")&gt;0,"Y","N")</f>
        <v/>
      </c>
      <c r="EA310">
        <f>IF(AND(U310="new",T310="N",AR310="Y",AQ310="",DZ310="N"),"Y","N")</f>
        <v/>
      </c>
      <c r="EB310">
        <f>IF(EA310&lt;&gt;"Y","N",IF(COUNTIFS($AN$2:$AN$1000,AN310,$EA$2:$EA$1000,"Y",$J$2:$J$1000,"&gt;"&amp;J310)+COUNTIFS($AN$2:$AN$1000,AN310,$EA$2:$EA$1000,"Y",$J$2:$J$1000,J310,$ED$2:$ED$1000,"&lt;"&amp;ED310)=0,"Y","N"))</f>
        <v/>
      </c>
      <c r="EC310">
        <f>IF(Y310="","N",IF(Y310&lt;=10,"Y","N"))</f>
        <v/>
      </c>
      <c r="ED310">
        <f>ROW()-1</f>
        <v/>
      </c>
    </row>
    <row r="311">
      <c r="A311" t="inlineStr">
        <is>
          <t>AB-037</t>
        </is>
      </c>
      <c r="B311" t="inlineStr">
        <is>
          <t>Unbothered Foods</t>
        </is>
      </c>
      <c r="C311" t="inlineStr">
        <is>
          <t>Morgan</t>
        </is>
      </c>
      <c r="D311" t="inlineStr">
        <is>
          <t>Murdock</t>
        </is>
      </c>
      <c r="E311" t="inlineStr">
        <is>
          <t>Founder, Registered Dietitian</t>
        </is>
      </c>
      <c r="H311" t="inlineStr">
        <is>
          <t>none</t>
        </is>
      </c>
      <c r="I311" t="inlineStr">
        <is>
          <t>linkedin</t>
        </is>
      </c>
      <c r="J311">
        <f>IF(AU311="pass",CM311+CN311+CO311+CP311+CQ311+CR311+CS311+CT311,0)</f>
        <v/>
      </c>
      <c r="K311" t="inlineStr">
        <is>
          <t>Gated out: health-claim: Positioned as 'Gut-Friendly Sourdough Crackers' with 'gut benefit' copy (structure/function wording).</t>
        </is>
      </c>
      <c r="M311" t="inlineStr">
        <is>
          <t>none found within ten blocks</t>
        </is>
      </c>
      <c r="N311" t="inlineStr">
        <is>
          <t>unverified</t>
        </is>
      </c>
      <c r="R311" t="inlineStr">
        <is>
          <t>N</t>
        </is>
      </c>
      <c r="S311" t="inlineStr">
        <is>
          <t>unknown</t>
        </is>
      </c>
      <c r="T311" t="inlineStr">
        <is>
          <t>N</t>
        </is>
      </c>
      <c r="U311" t="inlineStr">
        <is>
          <t>new</t>
        </is>
      </c>
      <c r="V311" t="inlineStr">
        <is>
          <t>https://www.unbotheredfoods.com/</t>
        </is>
      </c>
      <c r="W311" t="inlineStr">
        <is>
          <t>2026-10-23</t>
        </is>
      </c>
      <c r="X311" t="inlineStr">
        <is>
          <t>brand</t>
        </is>
      </c>
      <c r="Y311">
        <f>IF(EB311&lt;&gt;"Y","",COUNTIFS($EB$2:$EB$1000,"Y",$J$2:$J$1000,"&gt;"&amp;J311)+COUNTIFS($EB$2:$EB$1000,"Y",$J$2:$J$1000,J311,$ED$2:$ED$1000,"&lt;"&amp;ED311)+1)</f>
        <v/>
      </c>
      <c r="AA311" t="inlineStr">
        <is>
          <t>N</t>
        </is>
      </c>
      <c r="AC311" t="inlineStr">
        <is>
          <t>founder</t>
        </is>
      </c>
      <c r="AD311" t="inlineStr">
        <is>
          <t>verified-page</t>
        </is>
      </c>
      <c r="AE311" t="inlineStr">
        <is>
          <t>employer's own site</t>
        </is>
      </c>
      <c r="AF311" t="inlineStr">
        <is>
          <t>https://www.unbotheredfoods.com/</t>
        </is>
      </c>
      <c r="AG311" t="inlineStr">
        <is>
          <t>2026-10-23</t>
        </is>
      </c>
      <c r="AH311" t="inlineStr">
        <is>
          <t>Unbothered Foods sourdough crackers</t>
        </is>
      </c>
      <c r="AI311" t="inlineStr">
        <is>
          <t>crackers-pretzels</t>
        </is>
      </c>
      <c r="AJ311" t="inlineStr">
        <is>
          <t>unknown</t>
        </is>
      </c>
      <c r="AK311" t="inlineStr">
        <is>
          <t>https://www.unbotheredfoods.com</t>
        </is>
      </c>
      <c r="AL311" t="inlineStr">
        <is>
          <t>N</t>
        </is>
      </c>
      <c r="AN311" t="inlineStr">
        <is>
          <t>AB-037</t>
        </is>
      </c>
      <c r="AO311" t="inlineStr">
        <is>
          <t>N</t>
        </is>
      </c>
      <c r="AR311">
        <f>IF(AND(AU311="pass",AO311&lt;&gt;"Y",C311&lt;&gt;""),"Y","N")</f>
        <v/>
      </c>
      <c r="AS311">
        <f>_xlfn.TEXTJOIN("; ",TRUE,IF(AU311&lt;&gt;"pass","gated out",""),IF(AO311="Y","on hold: "&amp;AP311,""),IF(C311="","no contact named on an opened page",""))</f>
        <v/>
      </c>
      <c r="AU311" t="inlineStr">
        <is>
          <t>fail</t>
        </is>
      </c>
      <c r="AV311" t="inlineStr">
        <is>
          <t>health-claim</t>
        </is>
      </c>
      <c r="AW311" t="inlineStr">
        <is>
          <t>health-claim: Positioned as 'Gut-Friendly Sourdough Crackers' with 'gut benefit' copy (structure/function wording)</t>
        </is>
      </c>
      <c r="AY311" t="inlineStr">
        <is>
          <t>https://www.unbotheredfoods.com</t>
        </is>
      </c>
      <c r="AZ311" t="inlineStr">
        <is>
          <t>unknown</t>
        </is>
      </c>
      <c r="BA311" t="inlineStr">
        <is>
          <t>unknown</t>
        </is>
      </c>
      <c r="BB311" t="inlineStr">
        <is>
          <t>unknown</t>
        </is>
      </c>
      <c r="BD311" t="inlineStr">
        <is>
          <t>Y</t>
        </is>
      </c>
      <c r="BE311" t="inlineStr">
        <is>
          <t>Baked sourdough crackers sold ambient (PopUp Grocer 'Puffs + Crunch')</t>
        </is>
      </c>
      <c r="BF311" t="inlineStr">
        <is>
          <t>unknown</t>
        </is>
      </c>
      <c r="BG311" t="inlineStr">
        <is>
          <t>Y</t>
        </is>
      </c>
      <c r="BH311" t="inlineStr">
        <is>
          <t>unknown</t>
        </is>
      </c>
      <c r="BJ311" t="inlineStr">
        <is>
          <t>unknown</t>
        </is>
      </c>
      <c r="BK311" t="inlineStr">
        <is>
          <t>Y</t>
        </is>
      </c>
      <c r="BL311" t="inlineStr">
        <is>
          <t>Y</t>
        </is>
      </c>
      <c r="BM311" t="inlineStr">
        <is>
          <t>Positioned as 'Gut-Friendly Sourdough Crackers' with 'gut benefit' copy (structure/function wording)</t>
        </is>
      </c>
      <c r="BO311" t="inlineStr">
        <is>
          <t>N</t>
        </is>
      </c>
      <c r="BP311" t="n">
        <v>0</v>
      </c>
      <c r="BR311" t="inlineStr">
        <is>
          <t>PopUp Grocer (brand_claim, unplaced)</t>
        </is>
      </c>
      <c r="BS311" t="inlineStr">
        <is>
          <t>PopUp Grocer (NYC)</t>
        </is>
      </c>
      <c r="BT311" t="inlineStr">
        <is>
          <t>https://popupgrocer.com/pages/directory (availability 'NYC Flagship', 2026-10-23); https://popupgrocer.com/products/unbothered-foods</t>
        </is>
      </c>
      <c r="BU311" t="inlineStr">
        <is>
          <t>none</t>
        </is>
      </c>
      <c r="BX311" t="inlineStr">
        <is>
          <t>Morgan Murdock</t>
        </is>
      </c>
      <c r="CF311" t="inlineStr">
        <is>
          <t>none</t>
        </is>
      </c>
      <c r="CK311" t="inlineStr">
        <is>
          <t>none</t>
        </is>
      </c>
      <c r="CL311" t="n">
        <v>29</v>
      </c>
      <c r="CM311" t="n">
        <v>6</v>
      </c>
      <c r="CN311" t="n">
        <v>4</v>
      </c>
      <c r="CO311" t="n">
        <v>0</v>
      </c>
      <c r="CP311" t="n">
        <v>5</v>
      </c>
      <c r="CQ311" t="n">
        <v>8</v>
      </c>
      <c r="CR311" t="n">
        <v>6</v>
      </c>
      <c r="CS311">
        <f>IF(R311="Y",10,0)</f>
        <v/>
      </c>
      <c r="CT311" t="n">
        <v>0</v>
      </c>
      <c r="CU311" t="inlineStr">
        <is>
          <t>https://instagram.com/unbotheredfoods</t>
        </is>
      </c>
      <c r="CV311" t="inlineStr">
        <is>
          <t>BR1</t>
        </is>
      </c>
      <c r="CW311" t="inlineStr">
        <is>
          <t>BR1:38</t>
        </is>
      </c>
      <c r="CX311" t="inlineStr">
        <is>
          <t>Recorded for the gate log; excluded on gut-health positioning.</t>
        </is>
      </c>
      <c r="DA311" t="inlineStr">
        <is>
          <t>stage 1 only</t>
        </is>
      </c>
      <c r="DY311">
        <f>IF(ISNUMBER(MATCH(U311,{"queued","contacted","replied","call_booked","call_done","yes_in_principle","materials_sent"},0)),"Y","N")</f>
        <v/>
      </c>
      <c r="DZ311">
        <f>IF(COUNTIFS($AN$2:$AN$1000,AN311,$DY$2:$DY$1000,"Y")+COUNTIFS($AN$2:$AN$1000,AN311,$T$2:$T$1000,"Y")&gt;0,"Y","N")</f>
        <v/>
      </c>
      <c r="EA311">
        <f>IF(AND(U311="new",T311="N",AR311="Y",AQ311="",DZ311="N"),"Y","N")</f>
        <v/>
      </c>
      <c r="EB311">
        <f>IF(EA311&lt;&gt;"Y","N",IF(COUNTIFS($AN$2:$AN$1000,AN311,$EA$2:$EA$1000,"Y",$J$2:$J$1000,"&gt;"&amp;J311)+COUNTIFS($AN$2:$AN$1000,AN311,$EA$2:$EA$1000,"Y",$J$2:$J$1000,J311,$ED$2:$ED$1000,"&lt;"&amp;ED311)=0,"Y","N"))</f>
        <v/>
      </c>
      <c r="EC311">
        <f>IF(Y311="","N",IF(Y311&lt;=10,"Y","N"))</f>
        <v/>
      </c>
      <c r="ED311">
        <f>ROW()-1</f>
        <v/>
      </c>
    </row>
    <row r="312">
      <c r="A312" t="inlineStr">
        <is>
          <t>AB-155</t>
        </is>
      </c>
      <c r="B312" t="inlineStr">
        <is>
          <t>Zest Tea</t>
        </is>
      </c>
      <c r="C312" t="inlineStr">
        <is>
          <t>James</t>
        </is>
      </c>
      <c r="D312" t="inlineStr">
        <is>
          <t>Fayal</t>
        </is>
      </c>
      <c r="E312" t="inlineStr">
        <is>
          <t>Founder</t>
        </is>
      </c>
      <c r="H312" t="inlineStr">
        <is>
          <t>none</t>
        </is>
      </c>
      <c r="I312" t="inlineStr">
        <is>
          <t>linkedin</t>
        </is>
      </c>
      <c r="J312">
        <f>IF(AU312="pass",CM312+CN312+CO312+CP312+CQ312+CR312+CS312+CT312,0)</f>
        <v/>
      </c>
      <c r="K312" t="inlineStr">
        <is>
          <t>Gated out: excluded-category: Functional/supplement positioning: creatine powders, 'sleep, gut health, and immunity blends', energy and focus claims.</t>
        </is>
      </c>
      <c r="M312" t="inlineStr">
        <is>
          <t>none found within ten blocks</t>
        </is>
      </c>
      <c r="N312" t="inlineStr">
        <is>
          <t>unverified</t>
        </is>
      </c>
      <c r="R312" t="inlineStr">
        <is>
          <t>N</t>
        </is>
      </c>
      <c r="S312" t="inlineStr">
        <is>
          <t>unknown</t>
        </is>
      </c>
      <c r="T312" t="inlineStr">
        <is>
          <t>N</t>
        </is>
      </c>
      <c r="U312" t="inlineStr">
        <is>
          <t>new</t>
        </is>
      </c>
      <c r="V312" t="inlineStr">
        <is>
          <t>https://livezesty.com/pages/about-zest</t>
        </is>
      </c>
      <c r="W312" t="inlineStr">
        <is>
          <t>2026-10-23</t>
        </is>
      </c>
      <c r="X312" t="inlineStr">
        <is>
          <t>brand</t>
        </is>
      </c>
      <c r="Y312">
        <f>IF(EB312&lt;&gt;"Y","",COUNTIFS($EB$2:$EB$1000,"Y",$J$2:$J$1000,"&gt;"&amp;J312)+COUNTIFS($EB$2:$EB$1000,"Y",$J$2:$J$1000,J312,$ED$2:$ED$1000,"&lt;"&amp;ED312)+1)</f>
        <v/>
      </c>
      <c r="AA312" t="inlineStr">
        <is>
          <t>N</t>
        </is>
      </c>
      <c r="AC312" t="inlineStr">
        <is>
          <t>founder</t>
        </is>
      </c>
      <c r="AD312" t="inlineStr">
        <is>
          <t>verified-page</t>
        </is>
      </c>
      <c r="AE312" t="inlineStr">
        <is>
          <t>employer's own site</t>
        </is>
      </c>
      <c r="AF312" t="inlineStr">
        <is>
          <t>https://livezesty.com/pages/about-zest</t>
        </is>
      </c>
      <c r="AG312" t="inlineStr">
        <is>
          <t>2026-10-23</t>
        </is>
      </c>
      <c r="AH312" t="inlineStr">
        <is>
          <t>Zest high-caffeine sparkling energy tea, can</t>
        </is>
      </c>
      <c r="AI312" t="inlineStr">
        <is>
          <t>tea-juice</t>
        </is>
      </c>
      <c r="AJ312" t="inlineStr">
        <is>
          <t>unknown</t>
        </is>
      </c>
      <c r="AK312" t="inlineStr">
        <is>
          <t>https://livezesty.com</t>
        </is>
      </c>
      <c r="AL312" t="inlineStr">
        <is>
          <t>Y</t>
        </is>
      </c>
      <c r="AM312" t="inlineStr">
        <is>
          <t>60-day shelf life not stated</t>
        </is>
      </c>
      <c r="AN312" t="inlineStr">
        <is>
          <t>AB-155</t>
        </is>
      </c>
      <c r="AO312" t="inlineStr">
        <is>
          <t>N</t>
        </is>
      </c>
      <c r="AR312">
        <f>IF(AND(AU312="pass",AO312&lt;&gt;"Y",C312&lt;&gt;""),"Y","N")</f>
        <v/>
      </c>
      <c r="AS312">
        <f>_xlfn.TEXTJOIN("; ",TRUE,IF(AU312&lt;&gt;"pass","gated out",""),IF(AO312="Y","on hold: "&amp;AP312,""),IF(C312="","no contact named on an opened page",""))</f>
        <v/>
      </c>
      <c r="AU312" t="inlineStr">
        <is>
          <t>fail</t>
        </is>
      </c>
      <c r="AV312" t="inlineStr">
        <is>
          <t>excluded-category;health-claim</t>
        </is>
      </c>
      <c r="AW312" t="inlineStr">
        <is>
          <t>excluded-category: Functional/supplement positioning: creatine powders, 'sleep, gut health, and immunity blends', energy and focus claims | health-claim: Functional/supplement positioning: creatine powders, 'sleep, gut health, and immunity blends', energy and focus claims</t>
        </is>
      </c>
      <c r="AY312" t="inlineStr">
        <is>
          <t>https://livezesty.com</t>
        </is>
      </c>
      <c r="AZ312" t="inlineStr">
        <is>
          <t>unknown</t>
        </is>
      </c>
      <c r="BA312" t="inlineStr">
        <is>
          <t>unknown</t>
        </is>
      </c>
      <c r="BB312" t="inlineStr">
        <is>
          <t>unknown</t>
        </is>
      </c>
      <c r="BD312" t="inlineStr">
        <is>
          <t>unknown</t>
        </is>
      </c>
      <c r="BE312" t="inlineStr">
        <is>
          <t>No statement read</t>
        </is>
      </c>
      <c r="BF312" t="inlineStr">
        <is>
          <t>Y</t>
        </is>
      </c>
      <c r="BG312" t="inlineStr">
        <is>
          <t>Y</t>
        </is>
      </c>
      <c r="BH312" t="inlineStr">
        <is>
          <t>unknown</t>
        </is>
      </c>
      <c r="BJ312" t="inlineStr">
        <is>
          <t>No public sales figure found</t>
        </is>
      </c>
      <c r="BK312" t="inlineStr">
        <is>
          <t>Y</t>
        </is>
      </c>
      <c r="BL312" t="inlineStr">
        <is>
          <t>Y</t>
        </is>
      </c>
      <c r="BM312" t="inlineStr">
        <is>
          <t>Functional/supplement positioning: creatine powders, 'sleep, gut health, and immunity blends', energy and focus claims</t>
        </is>
      </c>
      <c r="BO312" t="inlineStr">
        <is>
          <t>N</t>
        </is>
      </c>
      <c r="BP312" t="n">
        <v>0</v>
      </c>
      <c r="BS312" t="inlineStr">
        <is>
          <t>unknown</t>
        </is>
      </c>
      <c r="BU312" t="inlineStr">
        <is>
          <t>none</t>
        </is>
      </c>
      <c r="BX312" t="inlineStr">
        <is>
          <t>James Fayal</t>
        </is>
      </c>
      <c r="CF312" t="inlineStr">
        <is>
          <t>none</t>
        </is>
      </c>
      <c r="CK312" t="inlineStr">
        <is>
          <t>none</t>
        </is>
      </c>
      <c r="CL312" t="n">
        <v>28</v>
      </c>
      <c r="CM312" t="n">
        <v>6</v>
      </c>
      <c r="CN312" t="n">
        <v>4</v>
      </c>
      <c r="CO312" t="n">
        <v>0</v>
      </c>
      <c r="CP312" t="n">
        <v>5</v>
      </c>
      <c r="CQ312" t="n">
        <v>7</v>
      </c>
      <c r="CR312" t="n">
        <v>6</v>
      </c>
      <c r="CS312">
        <f>IF(R312="Y",10,0)</f>
        <v/>
      </c>
      <c r="CT312" t="n">
        <v>0</v>
      </c>
      <c r="CU312" t="inlineStr">
        <is>
          <t>https://www.instagram.com/zesthq</t>
        </is>
      </c>
      <c r="CV312" t="inlineStr">
        <is>
          <t>BR3</t>
        </is>
      </c>
      <c r="CW312" t="inlineStr">
        <is>
          <t>BR3:29</t>
        </is>
      </c>
      <c r="CX312" t="inlineStr">
        <is>
          <t>Domain zesttea.com redirects to livezesty.com. Recorded so it is not re-researched.</t>
        </is>
      </c>
      <c r="DA312" t="inlineStr">
        <is>
          <t>stage 1 only</t>
        </is>
      </c>
      <c r="DY312">
        <f>IF(ISNUMBER(MATCH(U312,{"queued","contacted","replied","call_booked","call_done","yes_in_principle","materials_sent"},0)),"Y","N")</f>
        <v/>
      </c>
      <c r="DZ312">
        <f>IF(COUNTIFS($AN$2:$AN$1000,AN312,$DY$2:$DY$1000,"Y")+COUNTIFS($AN$2:$AN$1000,AN312,$T$2:$T$1000,"Y")&gt;0,"Y","N")</f>
        <v/>
      </c>
      <c r="EA312">
        <f>IF(AND(U312="new",T312="N",AR312="Y",AQ312="",DZ312="N"),"Y","N")</f>
        <v/>
      </c>
      <c r="EB312">
        <f>IF(EA312&lt;&gt;"Y","N",IF(COUNTIFS($AN$2:$AN$1000,AN312,$EA$2:$EA$1000,"Y",$J$2:$J$1000,"&gt;"&amp;J312)+COUNTIFS($AN$2:$AN$1000,AN312,$EA$2:$EA$1000,"Y",$J$2:$J$1000,J312,$ED$2:$ED$1000,"&lt;"&amp;ED312)=0,"Y","N"))</f>
        <v/>
      </c>
      <c r="EC312">
        <f>IF(Y312="","N",IF(Y312&lt;=10,"Y","N"))</f>
        <v/>
      </c>
      <c r="ED312">
        <f>ROW()-1</f>
        <v/>
      </c>
    </row>
  </sheetData>
  <autoFilter ref="A1:ED312"/>
  <dataValidations count="7">
    <dataValidation sqref="U2:U312" showDropDown="0" showInputMessage="0" showErrorMessage="0" allowBlank="1" type="list">
      <formula1>"new,queued,contacted,replied,call_booked,call_done,yes_in_principle,materials_sent,paid,not_now,no,wrong_person,do_not_contact"</formula1>
    </dataValidation>
    <dataValidation sqref="T2:T312" showDropDown="0" showInputMessage="0" showErrorMessage="0" allowBlank="1" type="list">
      <formula1>"Y,N"</formula1>
    </dataValidation>
    <dataValidation sqref="R2:R312" showDropDown="0" showInputMessage="0" showErrorMessage="0" allowBlank="1" type="list">
      <formula1>"Y,N"</formula1>
    </dataValidation>
    <dataValidation sqref="AO2:AO312" showDropDown="0" showInputMessage="0" showErrorMessage="0" allowBlank="1" type="list">
      <formula1>"Y,N"</formula1>
    </dataValidation>
    <dataValidation sqref="AT2:AT312" showDropDown="0" showInputMessage="0" showErrorMessage="0" allowBlank="1" type="list">
      <formula1>"Y"</formula1>
    </dataValidation>
    <dataValidation sqref="H2:H312" showDropDown="0" showInputMessage="0" showErrorMessage="0" allowBlank="1" type="list">
      <formula1>"verified,unverified,none"</formula1>
    </dataValidation>
    <dataValidation sqref="I2:I312" showDropDown="0" showInputMessage="0" showErrorMessage="0" allowBlank="1" type="list">
      <formula1>"email,linkedin,warm-intro,walk-in"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top50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title_match</t>
        </is>
      </c>
      <c r="AI1" s="5" t="inlineStr">
        <is>
          <t>street_address</t>
        </is>
      </c>
      <c r="AJ1" s="5" t="inlineStr">
        <is>
          <t>floor</t>
        </is>
      </c>
      <c r="AK1" s="5" t="inlineStr">
        <is>
          <t>lease_status</t>
        </is>
      </c>
      <c r="AL1" s="5" t="inlineStr">
        <is>
          <t>onsite_low</t>
        </is>
      </c>
      <c r="AM1" s="5" t="inlineStr">
        <is>
          <t>onsite_high</t>
        </is>
      </c>
      <c r="AN1" s="5" t="inlineStr">
        <is>
          <t>onsite_confidence</t>
        </is>
      </c>
      <c r="AO1" s="5" t="inlineStr">
        <is>
          <t>attendance_signal</t>
        </is>
      </c>
      <c r="AP1" s="5" t="inlineStr">
        <is>
          <t>company_group</t>
        </is>
      </c>
      <c r="AQ1" s="5" t="inlineStr">
        <is>
          <t>hold_before_outreach</t>
        </is>
      </c>
      <c r="AR1" s="5" t="inlineStr">
        <is>
          <t>hold_reason</t>
        </is>
      </c>
      <c r="AS1" s="5" t="inlineStr">
        <is>
          <t>opt_out_date</t>
        </is>
      </c>
    </row>
    <row r="2">
      <c r="A2">
        <f t="array" ref="A2:AS11">IFERROR(_xlfn._xlws.SORT(_xlfn._xlws.FILTER('Offices'!$A$2:$AS$1000,'Offices'!$EV$2:$EV$1000="Y"),25,TRUE),"No row is ready today: see the Routine tab")</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top60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product_example</t>
        </is>
      </c>
      <c r="AI1" s="5" t="inlineStr">
        <is>
          <t>category</t>
        </is>
      </c>
      <c r="AJ1" s="5" t="inlineStr">
        <is>
          <t>hq_city</t>
        </is>
      </c>
      <c r="AK1" s="5" t="inlineStr">
        <is>
          <t>online_store_url</t>
        </is>
      </c>
      <c r="AL1" s="5" t="inlineStr">
        <is>
          <t>founder_review</t>
        </is>
      </c>
      <c r="AM1" s="5" t="inlineStr">
        <is>
          <t>founder_review_reason</t>
        </is>
      </c>
      <c r="AN1" s="5" t="inlineStr">
        <is>
          <t>company_group</t>
        </is>
      </c>
      <c r="AO1" s="5" t="inlineStr">
        <is>
          <t>hold_before_outreach</t>
        </is>
      </c>
      <c r="AP1" s="5" t="inlineStr">
        <is>
          <t>hold_reason</t>
        </is>
      </c>
      <c r="AQ1" s="5" t="inlineStr">
        <is>
          <t>opt_out_date</t>
        </is>
      </c>
    </row>
    <row r="2">
      <c r="A2">
        <f t="array" ref="A2:AQ11">IFERROR(_xlfn._xlws.SORT(_xlfn._xlws.FILTER('Brands'!$A$2:$AQ$1000,'Brands'!$EC$2:$EC$1000="Y"),25,TRUE),"No row is ready today: see the Routine tab")</f>
        <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202"/>
  <sheetViews>
    <sheetView workbookViewId="0">
      <pane ySplit="1" topLeftCell="A2" activePane="bottomLeft" state="frozen"/>
      <selection pane="bottomLeft" activeCell="A1" sqref="A1"/>
    </sheetView>
  </sheetViews>
  <sheetFormatPr baseColWidth="8" defaultRowHeight="15"/>
  <cols>
    <col width="28" customWidth="1" min="1" max="1"/>
    <col width="9" customWidth="1" min="2" max="2"/>
    <col width="22" customWidth="1" min="3" max="3"/>
    <col width="12" customWidth="1" min="4" max="4"/>
    <col width="40" customWidth="1" min="5" max="5"/>
    <col width="100" customWidth="1" min="6" max="6"/>
  </cols>
  <sheetData>
    <row r="1">
      <c r="A1" s="5" t="inlineStr">
        <is>
          <t>column</t>
        </is>
      </c>
      <c r="B1" s="5" t="inlineStr">
        <is>
          <t>tables</t>
        </is>
      </c>
      <c r="C1" s="5" t="inlineStr">
        <is>
          <t>group</t>
        </is>
      </c>
      <c r="D1" s="5" t="inlineStr">
        <is>
          <t>edited_by</t>
        </is>
      </c>
      <c r="E1" s="6" t="inlineStr">
        <is>
          <t>values</t>
        </is>
      </c>
      <c r="F1" s="6" t="inlineStr">
        <is>
          <t>meaning</t>
        </is>
      </c>
    </row>
    <row r="2">
      <c r="A2" t="inlineStr">
        <is>
          <t>row_id</t>
        </is>
      </c>
      <c r="B2" t="inlineStr">
        <is>
          <t>both</t>
        </is>
      </c>
      <c r="C2" t="inlineStr">
        <is>
          <t>stable (CONTRACTS 6.2)</t>
        </is>
      </c>
      <c r="D2" t="inlineStr">
        <is>
          <t>build</t>
        </is>
      </c>
      <c r="E2" s="7" t="inlineStr">
        <is>
          <t>AO-C-### (B's company), AO-W-### (B's coworking site), AB-### (brand)</t>
        </is>
      </c>
      <c r="F2" s="7" t="inlineStr">
        <is>
          <t>Stable row key. Never reused. Use it as org_id in E's pipeline log.</t>
        </is>
      </c>
    </row>
    <row r="3">
      <c r="A3" t="inlineStr">
        <is>
          <t>company</t>
        </is>
      </c>
      <c r="B3" t="inlineStr">
        <is>
          <t>both</t>
        </is>
      </c>
      <c r="C3" t="inlineStr">
        <is>
          <t>stable (CONTRACTS 6.2)</t>
        </is>
      </c>
      <c r="D3" t="inlineStr">
        <is>
          <t>build</t>
        </is>
      </c>
      <c r="E3" s="7" t="inlineStr">
        <is>
          <t>text</t>
        </is>
      </c>
      <c r="F3" s="7" t="inlineStr">
        <is>
          <t>Company name (offices) or brand name (brands), as the source gives it.</t>
        </is>
      </c>
    </row>
    <row r="4">
      <c r="A4" t="inlineStr">
        <is>
          <t>first_name</t>
        </is>
      </c>
      <c r="B4" t="inlineStr">
        <is>
          <t>both</t>
        </is>
      </c>
      <c r="C4" t="inlineStr">
        <is>
          <t>stable (CONTRACTS 6.2)</t>
        </is>
      </c>
      <c r="D4" t="inlineStr">
        <is>
          <t>build</t>
        </is>
      </c>
      <c r="E4" s="7" t="inlineStr">
        <is>
          <t>text or blank</t>
        </is>
      </c>
      <c r="F4" s="7" t="inlineStr">
        <is>
          <t>Primary contact's first name. Filled only when a page that was opened shows the name; a name seen only in a search snippet stays in contact_name_as_found and this stays blank.</t>
        </is>
      </c>
    </row>
    <row r="5">
      <c r="A5" t="inlineStr">
        <is>
          <t>last_name</t>
        </is>
      </c>
      <c r="B5" t="inlineStr">
        <is>
          <t>both</t>
        </is>
      </c>
      <c r="C5" t="inlineStr">
        <is>
          <t>stable (CONTRACTS 6.2)</t>
        </is>
      </c>
      <c r="D5" t="inlineStr">
        <is>
          <t>build</t>
        </is>
      </c>
      <c r="E5" s="7" t="inlineStr">
        <is>
          <t>text, 'unknown' or blank</t>
        </is>
      </c>
      <c r="F5" s="7" t="inlineStr">
        <is>
          <t>Primary contact's surname as the page spells it; 'unknown' when only a first name is public.</t>
        </is>
      </c>
    </row>
    <row r="6">
      <c r="A6" t="inlineStr">
        <is>
          <t>title</t>
        </is>
      </c>
      <c r="B6" t="inlineStr">
        <is>
          <t>both</t>
        </is>
      </c>
      <c r="C6" t="inlineStr">
        <is>
          <t>stable (CONTRACTS 6.2)</t>
        </is>
      </c>
      <c r="D6" t="inlineStr">
        <is>
          <t>build</t>
        </is>
      </c>
      <c r="E6" s="7" t="inlineStr">
        <is>
          <t>text or blank</t>
        </is>
      </c>
      <c r="F6" s="7" t="inlineStr">
        <is>
          <t>Primary contact's job title as the opened page gives it.</t>
        </is>
      </c>
    </row>
    <row r="7">
      <c r="A7" t="inlineStr">
        <is>
          <t>contact_linkedin_url</t>
        </is>
      </c>
      <c r="B7" t="inlineStr">
        <is>
          <t>both</t>
        </is>
      </c>
      <c r="C7" t="inlineStr">
        <is>
          <t>stable (CONTRACTS 6.2)</t>
        </is>
      </c>
      <c r="D7" t="inlineStr">
        <is>
          <t>founder</t>
        </is>
      </c>
      <c r="E7" s="7" t="inlineStr">
        <is>
          <t>URL or blank</t>
        </is>
      </c>
      <c r="F7" s="7" t="inlineStr">
        <is>
          <t>Primary contact's LinkedIn profile. Agents never open LinkedIn, so it is blank unless a page we opened linked it. The founder pastes it during the daily routine, or Clay's person enrichment fills it.</t>
        </is>
      </c>
    </row>
    <row r="8">
      <c r="A8" t="inlineStr">
        <is>
          <t>work_email</t>
        </is>
      </c>
      <c r="B8" t="inlineStr">
        <is>
          <t>both</t>
        </is>
      </c>
      <c r="C8" t="inlineStr">
        <is>
          <t>stable (CONTRACTS 6.2)</t>
        </is>
      </c>
      <c r="D8" t="inlineStr">
        <is>
          <t>founder</t>
        </is>
      </c>
      <c r="E8" s="7" t="inlineStr">
        <is>
          <t>business address or blank</t>
        </is>
      </c>
      <c r="F8" s="7" t="inlineStr">
        <is>
          <t>Primary contact's work email from the Clay waterfall. Blank on every row today: no waterfall has run. Never guessed from a name pattern.</t>
        </is>
      </c>
    </row>
    <row r="9">
      <c r="A9" t="inlineStr">
        <is>
          <t>email_status</t>
        </is>
      </c>
      <c r="B9" t="inlineStr">
        <is>
          <t>both</t>
        </is>
      </c>
      <c r="C9" t="inlineStr">
        <is>
          <t>stable (CONTRACTS 6.2)</t>
        </is>
      </c>
      <c r="D9" t="inlineStr">
        <is>
          <t>founder</t>
        </is>
      </c>
      <c r="E9" s="7" t="inlineStr">
        <is>
          <t>verified, unverified, none</t>
        </is>
      </c>
      <c r="F9" s="7" t="inlineStr">
        <is>
          <t>verified: the waterfall's validator returned deliverable. unverified: found but catch-all or unknown. none: no email. E emails only verified rows.</t>
        </is>
      </c>
    </row>
    <row r="10">
      <c r="A10" t="inlineStr">
        <is>
          <t>channel</t>
        </is>
      </c>
      <c r="B10" t="inlineStr">
        <is>
          <t>both</t>
        </is>
      </c>
      <c r="C10" t="inlineStr">
        <is>
          <t>stable (CONTRACTS 6.2)</t>
        </is>
      </c>
      <c r="D10" t="inlineStr">
        <is>
          <t>build</t>
        </is>
      </c>
      <c r="E10" s="7" t="inlineStr">
        <is>
          <t>email, linkedin, warm-intro, walk-in, or blank</t>
        </is>
      </c>
      <c r="F10" s="7" t="inlineStr">
        <is>
          <t>How the first touch goes. linkedin for a named contact until a verified email exists (then email); walk-in for a top-50 office with nobody named; warm-intro when known_to_founder = Y; blank for a brand with nobody named (E skips it).</t>
        </is>
      </c>
    </row>
    <row r="11">
      <c r="A11" t="inlineStr">
        <is>
          <t>score</t>
        </is>
      </c>
      <c r="B11" t="inlineStr">
        <is>
          <t>both</t>
        </is>
      </c>
      <c r="C11" t="inlineStr">
        <is>
          <t>stable (CONTRACTS 6.2)</t>
        </is>
      </c>
      <c r="D11" t="inlineStr">
        <is>
          <t>formula</t>
        </is>
      </c>
      <c r="E11" s="7" t="inlineStr">
        <is>
          <t>0 to 100</t>
        </is>
      </c>
      <c r="F11" s="7" t="inlineStr">
        <is>
          <t>Fit score; 0 for a row that failed a hard gate. The sum of the score_ parts (see the Scoring tab). In the workbook it recomputes when known_to_founder or title_match changes.</t>
        </is>
      </c>
    </row>
    <row r="12">
      <c r="A12" t="inlineStr">
        <is>
          <t>score_reason</t>
        </is>
      </c>
      <c r="B12" t="inlineStr">
        <is>
          <t>both</t>
        </is>
      </c>
      <c r="C12" t="inlineStr">
        <is>
          <t>stable (CONTRACTS 6.2)</t>
        </is>
      </c>
      <c r="D12" t="inlineStr">
        <is>
          <t>build</t>
        </is>
      </c>
      <c r="E12" s="7" t="inlineStr">
        <is>
          <t>one sentence</t>
        </is>
      </c>
      <c r="F12" s="7" t="inlineStr">
        <is>
          <t>The score in one plain sentence, built from its parts.</t>
        </is>
      </c>
    </row>
    <row r="13">
      <c r="A13" t="inlineStr">
        <is>
          <t>onsite_band</t>
        </is>
      </c>
      <c r="B13" t="inlineStr">
        <is>
          <t>both</t>
        </is>
      </c>
      <c r="C13" t="inlineStr">
        <is>
          <t>stable (CONTRACTS 6.2)</t>
        </is>
      </c>
      <c r="D13" t="inlineStr">
        <is>
          <t>build</t>
        </is>
      </c>
      <c r="E13" s="7" t="inlineStr">
        <is>
          <t>40-75, 76-150, 151-250, 251-500, under-40, over-500, unknown (offices); blank (brands)</t>
        </is>
      </c>
      <c r="F13" s="7" t="inlineStr">
        <is>
          <t>Offices: the CONTRACTS band holding the central Tuesday onsite estimate. An estimate until intake replaces it. Never printed in copy.</t>
        </is>
      </c>
    </row>
    <row r="14">
      <c r="A14" t="inlineStr">
        <is>
          <t>nearest_stocked_retailer</t>
        </is>
      </c>
      <c r="B14" t="inlineStr">
        <is>
          <t>both</t>
        </is>
      </c>
      <c r="C14" t="inlineStr">
        <is>
          <t>stable (CONTRACTS 6.2)</t>
        </is>
      </c>
      <c r="D14" t="inlineStr">
        <is>
          <t>build</t>
        </is>
      </c>
      <c r="E14" s="7" t="inlineStr">
        <is>
          <t>'Store, street' or 'none found within ten blocks' (brands); blank (offices)</t>
        </is>
      </c>
      <c r="F14" s="7" t="inlineStr">
        <is>
          <t>Brands: the best graded store within ten blocks of the cluster: store_selector before brand_claim, then fewest blocks out; else the nearest unverified store.</t>
        </is>
      </c>
    </row>
    <row r="15">
      <c r="A15" t="inlineStr">
        <is>
          <t>nearest_retailer_grade</t>
        </is>
      </c>
      <c r="B15" t="inlineStr">
        <is>
          <t>both</t>
        </is>
      </c>
      <c r="C15" t="inlineStr">
        <is>
          <t>stable (CONTRACTS 6.2)</t>
        </is>
      </c>
      <c r="D15" t="inlineStr">
        <is>
          <t>build</t>
        </is>
      </c>
      <c r="E15" s="7" t="inlineStr">
        <is>
          <t>seen_on_shelf, store_selector, brand_claim, unverified</t>
        </is>
      </c>
      <c r="F15" s="7" t="inlineStr">
        <is>
          <t>Evidence grade of nearest_stocked_retailer (CONTRACTS section 4). seen_on_shelf is the founder's only; no agent sets it.</t>
        </is>
      </c>
    </row>
    <row r="16">
      <c r="A16" t="inlineStr">
        <is>
          <t>why_now</t>
        </is>
      </c>
      <c r="B16" t="inlineStr">
        <is>
          <t>both</t>
        </is>
      </c>
      <c r="C16" t="inlineStr">
        <is>
          <t>stable (CONTRACTS 6.2)</t>
        </is>
      </c>
      <c r="D16" t="inlineStr">
        <is>
          <t>build</t>
        </is>
      </c>
      <c r="E16" s="7" t="inlineStr">
        <is>
          <t>text or blank</t>
        </is>
      </c>
      <c r="F16" s="7" t="inlineStr">
        <is>
          <t>A dated reason to write now: brands, news or a new listing in the last 12 months; offices, a lease reported since 2025-11 in an article about the company.</t>
        </is>
      </c>
    </row>
    <row r="17">
      <c r="A17" t="inlineStr">
        <is>
          <t>why_now_url</t>
        </is>
      </c>
      <c r="B17" t="inlineStr">
        <is>
          <t>both</t>
        </is>
      </c>
      <c r="C17" t="inlineStr">
        <is>
          <t>stable (CONTRACTS 6.2)</t>
        </is>
      </c>
      <c r="D17" t="inlineStr">
        <is>
          <t>build</t>
        </is>
      </c>
      <c r="E17" s="7" t="inlineStr">
        <is>
          <t>URL or blank</t>
        </is>
      </c>
      <c r="F17" s="7" t="inlineStr">
        <is>
          <t>Source of why_now. E writes a hook only after opening it.</t>
        </is>
      </c>
    </row>
    <row r="18">
      <c r="A18" t="inlineStr">
        <is>
          <t>why_now_date</t>
        </is>
      </c>
      <c r="B18" t="inlineStr">
        <is>
          <t>both</t>
        </is>
      </c>
      <c r="C18" t="inlineStr">
        <is>
          <t>stable (CONTRACTS 6.2)</t>
        </is>
      </c>
      <c r="D18" t="inlineStr">
        <is>
          <t>build</t>
        </is>
      </c>
      <c r="E18" s="7" t="inlineStr">
        <is>
          <t>YYYY-MM-DD or YYYY-MM</t>
        </is>
      </c>
      <c r="F18" s="7" t="inlineStr">
        <is>
          <t>Date of the why_now source.</t>
        </is>
      </c>
    </row>
    <row r="19">
      <c r="A19" t="inlineStr">
        <is>
          <t>known_to_founder</t>
        </is>
      </c>
      <c r="B19" t="inlineStr">
        <is>
          <t>both</t>
        </is>
      </c>
      <c r="C19" t="inlineStr">
        <is>
          <t>stable (CONTRACTS 6.2)</t>
        </is>
      </c>
      <c r="D19" t="inlineStr">
        <is>
          <t>founder</t>
        </is>
      </c>
      <c r="E19" s="6" t="inlineStr">
        <is>
          <t>Y, N</t>
        </is>
      </c>
      <c r="F19" s="7" t="inlineStr">
        <is>
          <t>Y when the founder knows this person. Adds 15 points (offices) or 10 (brands) and makes the channel warm-intro. N everywhere until the founder marks rows.</t>
        </is>
      </c>
    </row>
    <row r="20">
      <c r="A20" t="inlineStr">
        <is>
          <t>startup_cpg_member</t>
        </is>
      </c>
      <c r="B20" t="inlineStr">
        <is>
          <t>both</t>
        </is>
      </c>
      <c r="C20" t="inlineStr">
        <is>
          <t>stable (CONTRACTS 6.2)</t>
        </is>
      </c>
      <c r="D20" t="inlineStr">
        <is>
          <t>build</t>
        </is>
      </c>
      <c r="E20" s="7" t="inlineStr">
        <is>
          <t>Y, N, unknown</t>
        </is>
      </c>
      <c r="F20" s="7" t="inlineStr">
        <is>
          <t>Brands: Y where a public Startup CPG page shows the brand (participation, not proven membership). Never a hook and no points. Offices: unknown.</t>
        </is>
      </c>
    </row>
    <row r="21">
      <c r="A21" t="inlineStr">
        <is>
          <t>do_not_contact</t>
        </is>
      </c>
      <c r="B21" t="inlineStr">
        <is>
          <t>both</t>
        </is>
      </c>
      <c r="C21" t="inlineStr">
        <is>
          <t>stable (CONTRACTS 6.2)</t>
        </is>
      </c>
      <c r="D21" t="inlineStr">
        <is>
          <t>E / founder</t>
        </is>
      </c>
      <c r="E21" s="6" t="inlineStr">
        <is>
          <t>Y, N</t>
        </is>
      </c>
      <c r="F21" s="7" t="inlineStr">
        <is>
          <t>Y the same day anyone opts out, in any words, on any channel. Never reversed. A Y row, and every row in its company_group, never enters a daily view.</t>
        </is>
      </c>
    </row>
    <row r="22">
      <c r="A22" t="inlineStr">
        <is>
          <t>status</t>
        </is>
      </c>
      <c r="B22" t="inlineStr">
        <is>
          <t>both</t>
        </is>
      </c>
      <c r="C22" t="inlineStr">
        <is>
          <t>stable (CONTRACTS 6.2)</t>
        </is>
      </c>
      <c r="D22" t="inlineStr">
        <is>
          <t>E / founder</t>
        </is>
      </c>
      <c r="E22" s="7" t="inlineStr">
        <is>
          <t>new, queued, contacted, replied, call_booked, call_done, yes_in_principle, materials_sent, signed (office) or paid (brand); side states not_now, no, wrong_person, do_not_contact</t>
        </is>
      </c>
      <c r="F22" s="7" t="inlineStr">
        <is>
          <t>Outreach status. Lives in these tables and nowhere else. queued means it is in today's daily view and picked for sending.</t>
        </is>
      </c>
    </row>
    <row r="23">
      <c r="A23" t="inlineStr">
        <is>
          <t>source_url</t>
        </is>
      </c>
      <c r="B23" t="inlineStr">
        <is>
          <t>both</t>
        </is>
      </c>
      <c r="C23" t="inlineStr">
        <is>
          <t>stable (CONTRACTS 6.2)</t>
        </is>
      </c>
      <c r="D23" t="inlineStr">
        <is>
          <t>build</t>
        </is>
      </c>
      <c r="E23" s="6" t="inlineStr">
        <is>
          <t>URL</t>
        </is>
      </c>
      <c r="F23" s="7" t="inlineStr">
        <is>
          <t>Main source for the row: the address source (offices) or the brand's research source (brands).</t>
        </is>
      </c>
    </row>
    <row r="24">
      <c r="A24" t="inlineStr">
        <is>
          <t>found_date</t>
        </is>
      </c>
      <c r="B24" t="inlineStr">
        <is>
          <t>both</t>
        </is>
      </c>
      <c r="C24" t="inlineStr">
        <is>
          <t>stable (CONTRACTS 6.2)</t>
        </is>
      </c>
      <c r="D24" t="inlineStr">
        <is>
          <t>build</t>
        </is>
      </c>
      <c r="E24" s="6" t="inlineStr">
        <is>
          <t>YYYY-MM-DD</t>
        </is>
      </c>
      <c r="F24" s="7" t="inlineStr">
        <is>
          <t>Date the row was first found.</t>
        </is>
      </c>
    </row>
    <row r="25">
      <c r="A25" t="inlineStr">
        <is>
          <t>side</t>
        </is>
      </c>
      <c r="B25" t="inlineStr">
        <is>
          <t>both</t>
        </is>
      </c>
      <c r="C25" t="inlineStr">
        <is>
          <t>daily view</t>
        </is>
      </c>
      <c r="D25" t="inlineStr">
        <is>
          <t>build</t>
        </is>
      </c>
      <c r="E25" s="7" t="inlineStr">
        <is>
          <t>office, brand</t>
        </is>
      </c>
      <c r="F25" s="7" t="inlineStr">
        <is>
          <t>Which table the row is from (E asked for it in merged views).</t>
        </is>
      </c>
    </row>
    <row r="26">
      <c r="A26" t="inlineStr">
        <is>
          <t>daily_view_rank</t>
        </is>
      </c>
      <c r="B26" t="inlineStr">
        <is>
          <t>both</t>
        </is>
      </c>
      <c r="C26" t="inlineStr">
        <is>
          <t>daily view</t>
        </is>
      </c>
      <c r="D26" t="inlineStr">
        <is>
          <t>formula</t>
        </is>
      </c>
      <c r="E26" s="7" t="inlineStr">
        <is>
          <t>1, 2, ... or blank</t>
        </is>
      </c>
      <c r="F26" s="7" t="inlineStr">
        <is>
          <t>Position among rows that can go out today: eligible, best in its company_group, by score (ties by row order). Ranks 1 to 10 form the daily view.</t>
        </is>
      </c>
    </row>
    <row r="27">
      <c r="A27" t="inlineStr">
        <is>
          <t>rank</t>
        </is>
      </c>
      <c r="B27" t="inlineStr">
        <is>
          <t>both</t>
        </is>
      </c>
      <c r="C27" t="inlineStr">
        <is>
          <t>daily view</t>
        </is>
      </c>
      <c r="D27" t="inlineStr">
        <is>
          <t>build</t>
        </is>
      </c>
      <c r="E27" s="7" t="inlineStr">
        <is>
          <t>1 to n, blank when gated out</t>
        </is>
      </c>
      <c r="F27" s="7" t="inlineStr">
        <is>
          <t>Rank by score among rows that passed the gates, as built today.</t>
        </is>
      </c>
    </row>
    <row r="28">
      <c r="A28" t="inlineStr">
        <is>
          <t>top50</t>
        </is>
      </c>
      <c r="B28" t="inlineStr">
        <is>
          <t>offices</t>
        </is>
      </c>
      <c r="C28" t="inlineStr">
        <is>
          <t>daily view</t>
        </is>
      </c>
      <c r="D28" t="inlineStr">
        <is>
          <t>build</t>
        </is>
      </c>
      <c r="E28" s="6" t="inlineStr">
        <is>
          <t>Y, N</t>
        </is>
      </c>
      <c r="F28" s="7" t="inlineStr">
        <is>
          <t>Y for the 50 best-scored offices that passed the gates: the rows whose contacts were researched and that get the email waterfall.</t>
        </is>
      </c>
    </row>
    <row r="29">
      <c r="A29" t="inlineStr">
        <is>
          <t>top60</t>
        </is>
      </c>
      <c r="B29" t="inlineStr">
        <is>
          <t>brands</t>
        </is>
      </c>
      <c r="C29" t="inlineStr">
        <is>
          <t>daily view</t>
        </is>
      </c>
      <c r="D29" t="inlineStr">
        <is>
          <t>build</t>
        </is>
      </c>
      <c r="E29" s="6" t="inlineStr">
        <is>
          <t>Y, N</t>
        </is>
      </c>
      <c r="F29" s="7" t="inlineStr">
        <is>
          <t>Y for the 60 best-scored brands that passed the gates: the rows whose contacts were researched and that get the email waterfall.</t>
        </is>
      </c>
    </row>
    <row r="30">
      <c r="A30" t="inlineStr">
        <is>
          <t>check_before_send</t>
        </is>
      </c>
      <c r="B30" t="inlineStr">
        <is>
          <t>both</t>
        </is>
      </c>
      <c r="C30" t="inlineStr">
        <is>
          <t>daily view</t>
        </is>
      </c>
      <c r="D30" t="inlineStr">
        <is>
          <t>build</t>
        </is>
      </c>
      <c r="E30" s="7" t="inlineStr">
        <is>
          <t>text</t>
        </is>
      </c>
      <c r="F30" s="7" t="inlineStr">
        <is>
          <t>The one-minute checks left for the morning routine: paste the LinkedIn URL, confirm an old record, re-open a store page, read a founder-review note.</t>
        </is>
      </c>
    </row>
    <row r="31">
      <c r="A31" t="inlineStr">
        <is>
          <t>contact_role</t>
        </is>
      </c>
      <c r="B31" t="inlineStr">
        <is>
          <t>both</t>
        </is>
      </c>
      <c r="C31" t="inlineStr">
        <is>
          <t>daily view</t>
        </is>
      </c>
      <c r="D31" t="inlineStr">
        <is>
          <t>build</t>
        </is>
      </c>
      <c r="E31" s="7" t="inlineStr">
        <is>
          <t>text</t>
        </is>
      </c>
      <c r="F31" s="7" t="inlineStr">
        <is>
          <t>Why this person: pantry or office lead (offices); founder, CEO or owner (not shown as a founder), marketing lead, or co-founder or executive (brands).</t>
        </is>
      </c>
    </row>
    <row r="32">
      <c r="A32" t="inlineStr">
        <is>
          <t>contact_status</t>
        </is>
      </c>
      <c r="B32" t="inlineStr">
        <is>
          <t>both</t>
        </is>
      </c>
      <c r="C32" t="inlineStr">
        <is>
          <t>daily view</t>
        </is>
      </c>
      <c r="D32" t="inlineStr">
        <is>
          <t>build</t>
        </is>
      </c>
      <c r="E32" s="7" t="inlineStr">
        <is>
          <t>verified-page, first-name-only, unverified, none</t>
        </is>
      </c>
      <c r="F32" s="7" t="inlineStr">
        <is>
          <t>verified-page: an opened page shows the full name. first-name-only: an opened page shows the first name. unverified: seen only in a search snippet (name not in first_name). none: nobody found.</t>
        </is>
      </c>
    </row>
    <row r="33">
      <c r="A33" t="inlineStr">
        <is>
          <t>contact_evidence</t>
        </is>
      </c>
      <c r="B33" t="inlineStr">
        <is>
          <t>both</t>
        </is>
      </c>
      <c r="C33" t="inlineStr">
        <is>
          <t>daily view</t>
        </is>
      </c>
      <c r="D33" t="inlineStr">
        <is>
          <t>build</t>
        </is>
      </c>
      <c r="E33" s="7" t="inlineStr">
        <is>
          <t>employer's own site, The Org (crowd-edited org chart), press, event or podcast page, LinkedIn (not opened), search snippet only (not opened)</t>
        </is>
      </c>
      <c r="F33" s="7" t="inlineStr">
        <is>
          <t>What kind of page supports the name, so the founder can weigh it.</t>
        </is>
      </c>
    </row>
    <row r="34">
      <c r="A34" t="inlineStr">
        <is>
          <t>contact_source_url</t>
        </is>
      </c>
      <c r="B34" t="inlineStr">
        <is>
          <t>both</t>
        </is>
      </c>
      <c r="C34" t="inlineStr">
        <is>
          <t>daily view</t>
        </is>
      </c>
      <c r="D34" t="inlineStr">
        <is>
          <t>build</t>
        </is>
      </c>
      <c r="E34" s="7" t="inlineStr">
        <is>
          <t>URL or blank</t>
        </is>
      </c>
      <c r="F34" s="7" t="inlineStr">
        <is>
          <t>The opened page that supports the primary contact's name and title.</t>
        </is>
      </c>
    </row>
    <row r="35">
      <c r="A35" t="inlineStr">
        <is>
          <t>contact_source_date</t>
        </is>
      </c>
      <c r="B35" t="inlineStr">
        <is>
          <t>both</t>
        </is>
      </c>
      <c r="C35" t="inlineStr">
        <is>
          <t>daily view</t>
        </is>
      </c>
      <c r="D35" t="inlineStr">
        <is>
          <t>build</t>
        </is>
      </c>
      <c r="E35" s="6" t="inlineStr">
        <is>
          <t>YYYY-MM-DD</t>
        </is>
      </c>
      <c r="F35" s="7" t="inlineStr">
        <is>
          <t>Date that page was opened (or the row's found date for brands whose contact dates from stage 1).</t>
        </is>
      </c>
    </row>
    <row r="36">
      <c r="A36" t="inlineStr">
        <is>
          <t>title_match</t>
        </is>
      </c>
      <c r="B36" t="inlineStr">
        <is>
          <t>offices</t>
        </is>
      </c>
      <c r="C36" t="inlineStr">
        <is>
          <t>daily view</t>
        </is>
      </c>
      <c r="D36" t="inlineStr">
        <is>
          <t>founder</t>
        </is>
      </c>
      <c r="E36" s="7" t="inlineStr">
        <is>
          <t>exact, adjacent, none</t>
        </is>
      </c>
      <c r="F36" s="7" t="inlineStr">
        <is>
          <t>exact: one of the five target titles or its direct form (office manager or coordinator, office services, workplace, facilities, people operations, EA to the CEO), on an opened page, placed in New York: 10 points. adjacent: any other named person, or a target title with no New York base shown, or a snippet-only name: 5. none: 0. Re-set it when you swap the contact; the score follows.</t>
        </is>
      </c>
    </row>
    <row r="37">
      <c r="A37" t="inlineStr">
        <is>
          <t>street_address</t>
        </is>
      </c>
      <c r="B37" t="inlineStr">
        <is>
          <t>offices</t>
        </is>
      </c>
      <c r="C37" t="inlineStr">
        <is>
          <t>daily view</t>
        </is>
      </c>
      <c r="D37" t="inlineStr">
        <is>
          <t>build</t>
        </is>
      </c>
      <c r="E37" s="7" t="inlineStr">
        <is>
          <t>text</t>
        </is>
      </c>
      <c r="F37" s="7" t="inlineStr">
        <is>
          <t>Business street address as the source gives it.</t>
        </is>
      </c>
    </row>
    <row r="38">
      <c r="A38" t="inlineStr">
        <is>
          <t>floor</t>
        </is>
      </c>
      <c r="B38" t="inlineStr">
        <is>
          <t>offices</t>
        </is>
      </c>
      <c r="C38" t="inlineStr">
        <is>
          <t>daily view</t>
        </is>
      </c>
      <c r="D38" t="inlineStr">
        <is>
          <t>build</t>
        </is>
      </c>
      <c r="E38" s="7" t="inlineStr">
        <is>
          <t>text or unknown</t>
        </is>
      </c>
      <c r="F38" s="7" t="inlineStr">
        <is>
          <t>Floor or suite as sourced; 'unknown' when no source names it (never blank).</t>
        </is>
      </c>
    </row>
    <row r="39">
      <c r="A39" t="inlineStr">
        <is>
          <t>lease_status</t>
        </is>
      </c>
      <c r="B39" t="inlineStr">
        <is>
          <t>offices</t>
        </is>
      </c>
      <c r="C39" t="inlineStr">
        <is>
          <t>daily view</t>
        </is>
      </c>
      <c r="D39" t="inlineStr">
        <is>
          <t>build</t>
        </is>
      </c>
      <c r="E39" s="7" t="inlineStr">
        <is>
          <t>occupied, occupancy-unconfirmed, signed-not-occupied, moving-out (companies); open, open-unverified, unverified, possibly-closed (coworking sites)</t>
        </is>
      </c>
      <c r="F39" s="7" t="inlineStr">
        <is>
          <t>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is>
      </c>
    </row>
    <row r="40">
      <c r="A40" t="inlineStr">
        <is>
          <t>onsite_low</t>
        </is>
      </c>
      <c r="B40" t="inlineStr">
        <is>
          <t>offices</t>
        </is>
      </c>
      <c r="C40" t="inlineStr">
        <is>
          <t>daily view</t>
        </is>
      </c>
      <c r="D40" t="inlineStr">
        <is>
          <t>build</t>
        </is>
      </c>
      <c r="E40" s="7" t="inlineStr">
        <is>
          <t>number or unknown</t>
        </is>
      </c>
      <c r="F40" s="7" t="inlineStr">
        <is>
          <t>Low end of the Tuesday onsite estimate (see onsite_basis). An estimate until intake replaces it.</t>
        </is>
      </c>
    </row>
    <row r="41">
      <c r="A41" t="inlineStr">
        <is>
          <t>onsite_high</t>
        </is>
      </c>
      <c r="B41" t="inlineStr">
        <is>
          <t>offices</t>
        </is>
      </c>
      <c r="C41" t="inlineStr">
        <is>
          <t>daily view</t>
        </is>
      </c>
      <c r="D41" t="inlineStr">
        <is>
          <t>build</t>
        </is>
      </c>
      <c r="E41" s="7" t="inlineStr">
        <is>
          <t>number or unknown</t>
        </is>
      </c>
      <c r="F41" s="7" t="inlineStr">
        <is>
          <t>High end of the Tuesday onsite estimate.</t>
        </is>
      </c>
    </row>
    <row r="42">
      <c r="A42" t="inlineStr">
        <is>
          <t>onsite_confidence</t>
        </is>
      </c>
      <c r="B42" t="inlineStr">
        <is>
          <t>offices</t>
        </is>
      </c>
      <c r="C42" t="inlineStr">
        <is>
          <t>daily view</t>
        </is>
      </c>
      <c r="D42" t="inlineStr">
        <is>
          <t>build</t>
        </is>
      </c>
      <c r="E42" s="7" t="inlineStr">
        <is>
          <t>medium, low, none</t>
        </is>
      </c>
      <c r="F42" s="7" t="inlineStr">
        <is>
          <t>medium: the count is for the New York office. low: a company-wide count with an assumed New York share. none: no count.</t>
        </is>
      </c>
    </row>
    <row r="43">
      <c r="A43" t="inlineStr">
        <is>
          <t>attendance_signal</t>
        </is>
      </c>
      <c r="B43" t="inlineStr">
        <is>
          <t>offices</t>
        </is>
      </c>
      <c r="C43" t="inlineStr">
        <is>
          <t>daily view</t>
        </is>
      </c>
      <c r="D43" t="inlineStr">
        <is>
          <t>build</t>
        </is>
      </c>
      <c r="E43" s="7" t="inlineStr">
        <is>
          <t>in-office-5, hybrid-4, hybrid-3, hybrid-unspecified, hybrid-2-or-less, remote, unknown</t>
        </is>
      </c>
      <c r="F43" s="7" t="inlineStr">
        <is>
          <t>Attendance read from the employer's own words (Built In policy text, B's notes). The policy sentence beats the 'typical time on-site' box; a range uses its lower figure.</t>
        </is>
      </c>
    </row>
    <row r="44">
      <c r="A44" t="inlineStr">
        <is>
          <t>company_group</t>
        </is>
      </c>
      <c r="B44" t="inlineStr">
        <is>
          <t>both</t>
        </is>
      </c>
      <c r="C44" t="inlineStr">
        <is>
          <t>daily view</t>
        </is>
      </c>
      <c r="D44" t="inlineStr">
        <is>
          <t>build</t>
        </is>
      </c>
      <c r="E44" s="7" t="inlineStr">
        <is>
          <t>the row_id, or grp-...</t>
        </is>
      </c>
      <c r="F44" s="7" t="inlineStr">
        <is>
          <t>Rows that share a named parent, an operator, a company name or a named person form one group. The daily view takes one row per group and skips a group with anyone in flight or opted out.</t>
        </is>
      </c>
    </row>
    <row r="45">
      <c r="A45" t="inlineStr">
        <is>
          <t>hold_before_outreach</t>
        </is>
      </c>
      <c r="B45" t="inlineStr">
        <is>
          <t>both</t>
        </is>
      </c>
      <c r="C45" t="inlineStr">
        <is>
          <t>daily view</t>
        </is>
      </c>
      <c r="D45" t="inlineStr">
        <is>
          <t>founder</t>
        </is>
      </c>
      <c r="E45" s="6" t="inlineStr">
        <is>
          <t>Y, N</t>
        </is>
      </c>
      <c r="F45" s="7" t="inlineStr">
        <is>
          <t>Y keeps the row out of outreach (B: lease signed but move not confirmed, an address conflict, a tenant still in coworking, a site possibly closed). The founder sets N after the lobby check. Brands: always N today.</t>
        </is>
      </c>
    </row>
    <row r="46">
      <c r="A46" t="inlineStr">
        <is>
          <t>hold_reason</t>
        </is>
      </c>
      <c r="B46" t="inlineStr">
        <is>
          <t>both</t>
        </is>
      </c>
      <c r="C46" t="inlineStr">
        <is>
          <t>daily view</t>
        </is>
      </c>
      <c r="D46" t="inlineStr">
        <is>
          <t>build</t>
        </is>
      </c>
      <c r="E46" s="7" t="inlineStr">
        <is>
          <t>text</t>
        </is>
      </c>
      <c r="F46" s="7" t="inlineStr">
        <is>
          <t>Why the row is held, and what clears it.</t>
        </is>
      </c>
    </row>
    <row r="47">
      <c r="A47" t="inlineStr">
        <is>
          <t>opt_out_date</t>
        </is>
      </c>
      <c r="B47" t="inlineStr">
        <is>
          <t>both</t>
        </is>
      </c>
      <c r="C47" t="inlineStr">
        <is>
          <t>daily view</t>
        </is>
      </c>
      <c r="D47" t="inlineStr">
        <is>
          <t>E / founder</t>
        </is>
      </c>
      <c r="E47" s="7" t="inlineStr">
        <is>
          <t>YYYY-MM-DD or blank</t>
        </is>
      </c>
      <c r="F47" s="7" t="inlineStr">
        <is>
          <t>E's column (CONTRACTS 6.2): the day someone opted out. Filled means never contacted again, whatever do_not_contact says.</t>
        </is>
      </c>
    </row>
    <row r="48">
      <c r="A48" t="inlineStr">
        <is>
          <t>product_example</t>
        </is>
      </c>
      <c r="B48" t="inlineStr">
        <is>
          <t>brands</t>
        </is>
      </c>
      <c r="C48" t="inlineStr">
        <is>
          <t>daily view</t>
        </is>
      </c>
      <c r="D48" t="inlineStr">
        <is>
          <t>build</t>
        </is>
      </c>
      <c r="E48" s="7" t="inlineStr">
        <is>
          <t>text</t>
        </is>
      </c>
      <c r="F48" s="7" t="inlineStr">
        <is>
          <t>A shelf-stable SKU the research found (E's {product} source).</t>
        </is>
      </c>
    </row>
    <row r="49">
      <c r="A49" t="inlineStr">
        <is>
          <t>category</t>
        </is>
      </c>
      <c r="B49" t="inlineStr">
        <is>
          <t>brands</t>
        </is>
      </c>
      <c r="C49" t="inlineStr">
        <is>
          <t>daily view</t>
        </is>
      </c>
      <c r="D49" t="inlineStr">
        <is>
          <t>build</t>
        </is>
      </c>
      <c r="E49" s="7" t="inlineStr">
        <is>
          <t>a CONTRACTS section 4 category key</t>
        </is>
      </c>
      <c r="F49" s="7" t="inlineStr">
        <is>
          <t>Brand category.</t>
        </is>
      </c>
    </row>
    <row r="50">
      <c r="A50" t="inlineStr">
        <is>
          <t>hq_city</t>
        </is>
      </c>
      <c r="B50" t="inlineStr">
        <is>
          <t>both</t>
        </is>
      </c>
      <c r="C50" t="inlineStr">
        <is>
          <t>daily view</t>
        </is>
      </c>
      <c r="D50" t="inlineStr">
        <is>
          <t>build</t>
        </is>
      </c>
      <c r="E50" s="7" t="inlineStr">
        <is>
          <t>text</t>
        </is>
      </c>
      <c r="F50" s="7" t="inlineStr">
        <is>
          <t>Brands: HQ city as researched, with any evidence note. Offices: B's HQ city.</t>
        </is>
      </c>
    </row>
    <row r="51">
      <c r="A51" t="inlineStr">
        <is>
          <t>online_store_url</t>
        </is>
      </c>
      <c r="B51" t="inlineStr">
        <is>
          <t>brands</t>
        </is>
      </c>
      <c r="C51" t="inlineStr">
        <is>
          <t>daily view</t>
        </is>
      </c>
      <c r="D51" t="inlineStr">
        <is>
          <t>build</t>
        </is>
      </c>
      <c r="E51" s="7" t="inlineStr">
        <is>
          <t>URL or blank</t>
        </is>
      </c>
      <c r="F51" s="7" t="inlineStr">
        <is>
          <t>The brand's own online store (buy path for a discount code).</t>
        </is>
      </c>
    </row>
    <row r="52">
      <c r="A52" t="inlineStr">
        <is>
          <t>online_store_note</t>
        </is>
      </c>
      <c r="B52" t="inlineStr">
        <is>
          <t>brands</t>
        </is>
      </c>
      <c r="C52" t="inlineStr">
        <is>
          <t>brand research</t>
        </is>
      </c>
      <c r="D52" t="inlineStr">
        <is>
          <t>build</t>
        </is>
      </c>
      <c r="E52" s="7" t="inlineStr">
        <is>
          <t>text or blank</t>
        </is>
      </c>
      <c r="F52" s="7" t="inlineStr">
        <is>
          <t>What the online store check found when it is not a plain store (for example 'Shop buttons route to Amazon').</t>
        </is>
      </c>
    </row>
    <row r="53">
      <c r="A53" t="inlineStr">
        <is>
          <t>founder_review</t>
        </is>
      </c>
      <c r="B53" t="inlineStr">
        <is>
          <t>brands</t>
        </is>
      </c>
      <c r="C53" t="inlineStr">
        <is>
          <t>daily view</t>
        </is>
      </c>
      <c r="D53" t="inlineStr">
        <is>
          <t>build</t>
        </is>
      </c>
      <c r="E53" s="6" t="inlineStr">
        <is>
          <t>Y, N</t>
        </is>
      </c>
      <c r="F53" s="7" t="inlineStr">
        <is>
          <t>Y for a borderline case the founder should read before outreach (founder_review_reason). Not a gate.</t>
        </is>
      </c>
    </row>
    <row r="54">
      <c r="A54" t="inlineStr">
        <is>
          <t>founder_review_reason</t>
        </is>
      </c>
      <c r="B54" t="inlineStr">
        <is>
          <t>brands</t>
        </is>
      </c>
      <c r="C54" t="inlineStr">
        <is>
          <t>daily view</t>
        </is>
      </c>
      <c r="D54" t="inlineStr">
        <is>
          <t>build</t>
        </is>
      </c>
      <c r="E54" s="7" t="inlineStr">
        <is>
          <t>text</t>
        </is>
      </c>
      <c r="F54" s="7" t="inlineStr">
        <is>
          <t>The researcher's reason plus build notes (shelf life not stated; no online store).</t>
        </is>
      </c>
    </row>
    <row r="55">
      <c r="A55" t="inlineStr">
        <is>
          <t>ready_for_outreach</t>
        </is>
      </c>
      <c r="B55" t="inlineStr">
        <is>
          <t>both</t>
        </is>
      </c>
      <c r="C55" t="inlineStr">
        <is>
          <t>control</t>
        </is>
      </c>
      <c r="D55" t="inlineStr">
        <is>
          <t>formula</t>
        </is>
      </c>
      <c r="E55" s="6" t="inlineStr">
        <is>
          <t>Y, N</t>
        </is>
      </c>
      <c r="F55" s="7" t="inlineStr">
        <is>
          <t>Y when the row passed the gates, is not on hold, has a contact named on an opened page and (offices) its Tuesday band is 40 to 250 or the founder said yes. Only Y rows can enter a daily view.</t>
        </is>
      </c>
    </row>
    <row r="56">
      <c r="A56" t="inlineStr">
        <is>
          <t>ready_reason</t>
        </is>
      </c>
      <c r="B56" t="inlineStr">
        <is>
          <t>both</t>
        </is>
      </c>
      <c r="C56" t="inlineStr">
        <is>
          <t>control</t>
        </is>
      </c>
      <c r="D56" t="inlineStr">
        <is>
          <t>formula</t>
        </is>
      </c>
      <c r="E56" s="7" t="inlineStr">
        <is>
          <t>text</t>
        </is>
      </c>
      <c r="F56" s="7" t="inlineStr">
        <is>
          <t>Why a row is not ready, in words.</t>
        </is>
      </c>
    </row>
    <row r="57">
      <c r="A57" t="inlineStr">
        <is>
          <t>founder_ok_to_queue</t>
        </is>
      </c>
      <c r="B57" t="inlineStr">
        <is>
          <t>both</t>
        </is>
      </c>
      <c r="C57" t="inlineStr">
        <is>
          <t>control</t>
        </is>
      </c>
      <c r="D57" t="inlineStr">
        <is>
          <t>founder</t>
        </is>
      </c>
      <c r="E57" s="7" t="inlineStr">
        <is>
          <t>Y or blank</t>
        </is>
      </c>
      <c r="F57" s="7" t="inlineStr">
        <is>
          <t>Offices: Y lets a row whose Tuesday band is under-40, 251-500 or over-500 into the daily view (the prompt makes 30 to 39 the founder's call). Brands: unused today.</t>
        </is>
      </c>
    </row>
    <row r="58">
      <c r="A58" t="inlineStr">
        <is>
          <t>onsite_founder_call</t>
        </is>
      </c>
      <c r="B58" t="inlineStr">
        <is>
          <t>offices</t>
        </is>
      </c>
      <c r="C58" t="inlineStr">
        <is>
          <t>control</t>
        </is>
      </c>
      <c r="D58" t="inlineStr">
        <is>
          <t>build</t>
        </is>
      </c>
      <c r="E58" s="6" t="inlineStr">
        <is>
          <t>Y, N</t>
        </is>
      </c>
      <c r="F58" s="7" t="inlineStr">
        <is>
          <t>Y when the central Tuesday estimate is outside 40 to 250: the row needs founder_ok_to_queue = Y.</t>
        </is>
      </c>
    </row>
    <row r="59">
      <c r="A59" t="inlineStr">
        <is>
          <t>gate_result</t>
        </is>
      </c>
      <c r="B59" t="inlineStr">
        <is>
          <t>both</t>
        </is>
      </c>
      <c r="C59" t="inlineStr">
        <is>
          <t>gate and score</t>
        </is>
      </c>
      <c r="D59" t="inlineStr">
        <is>
          <t>build</t>
        </is>
      </c>
      <c r="E59" s="7" t="inlineStr">
        <is>
          <t>pass, fail</t>
        </is>
      </c>
      <c r="F59" s="7" t="inlineStr">
        <is>
          <t>Whether the row passed every hard gate (applied before any enrichment spend).</t>
        </is>
      </c>
    </row>
    <row r="60">
      <c r="A60" t="inlineStr">
        <is>
          <t>gate_reason</t>
        </is>
      </c>
      <c r="B60" t="inlineStr">
        <is>
          <t>both</t>
        </is>
      </c>
      <c r="C60" t="inlineStr">
        <is>
          <t>gate and score</t>
        </is>
      </c>
      <c r="D60" t="inlineStr">
        <is>
          <t>build</t>
        </is>
      </c>
      <c r="E60" s="7" t="inlineStr">
        <is>
          <t>text</t>
        </is>
      </c>
      <c r="F60" s="7" t="inlineStr">
        <is>
          <t>Every gate the row failed, or 'passes all hard gates'.</t>
        </is>
      </c>
    </row>
    <row r="61">
      <c r="A61" t="inlineStr">
        <is>
          <t>gate_failed</t>
        </is>
      </c>
      <c r="B61" t="inlineStr">
        <is>
          <t>brands</t>
        </is>
      </c>
      <c r="C61" t="inlineStr">
        <is>
          <t>gate and score</t>
        </is>
      </c>
      <c r="D61" t="inlineStr">
        <is>
          <t>build</t>
        </is>
      </c>
      <c r="E61" s="7" t="inlineStr">
        <is>
          <t>excluded-category, health-claim, not-shelf-stable, no-buy-path</t>
        </is>
      </c>
      <c r="F61" s="7" t="inlineStr">
        <is>
          <t>Machine-readable list of failed brand gates.</t>
        </is>
      </c>
    </row>
    <row r="62">
      <c r="A62" t="inlineStr">
        <is>
          <t>score_raw</t>
        </is>
      </c>
      <c r="B62" t="inlineStr">
        <is>
          <t>both</t>
        </is>
      </c>
      <c r="C62" t="inlineStr">
        <is>
          <t>gate and score</t>
        </is>
      </c>
      <c r="D62" t="inlineStr">
        <is>
          <t>build</t>
        </is>
      </c>
      <c r="E62" s="7" t="inlineStr">
        <is>
          <t>number</t>
        </is>
      </c>
      <c r="F62" s="7" t="inlineStr">
        <is>
          <t>What the row would score if it had passed (gated rows keep it for review).</t>
        </is>
      </c>
    </row>
    <row r="63">
      <c r="A63" t="inlineStr">
        <is>
          <t>score_onsite</t>
        </is>
      </c>
      <c r="B63" t="inlineStr">
        <is>
          <t>offices</t>
        </is>
      </c>
      <c r="C63" t="inlineStr">
        <is>
          <t>gate and score</t>
        </is>
      </c>
      <c r="D63" t="inlineStr">
        <is>
          <t>build</t>
        </is>
      </c>
      <c r="E63" s="7" t="inlineStr">
        <is>
          <t>0 to 30</t>
        </is>
      </c>
      <c r="F63" s="7" t="inlineStr">
        <is>
          <t>25 x the share of the Tuesday range inside 40 to 250 (ratio scale), plus 5 when the count is for the New York office; 7 when headcount is unknown.</t>
        </is>
      </c>
    </row>
    <row r="64">
      <c r="A64" t="inlineStr">
        <is>
          <t>score_size</t>
        </is>
      </c>
      <c r="B64" t="inlineStr">
        <is>
          <t>offices</t>
        </is>
      </c>
      <c r="C64" t="inlineStr">
        <is>
          <t>gate and score</t>
        </is>
      </c>
      <c r="D64" t="inlineStr">
        <is>
          <t>build</t>
        </is>
      </c>
      <c r="E64" s="7" t="inlineStr">
        <is>
          <t>-4 to 15</t>
        </is>
      </c>
      <c r="F64" s="7" t="inlineStr">
        <is>
          <t>Company size: 500 or fewer 15; 501-1,000 6; 1,001-4,999 2; 5,000+ 0; unknown 8; minus 4 when a controlling parent is named.</t>
        </is>
      </c>
    </row>
    <row r="65">
      <c r="A65" t="inlineStr">
        <is>
          <t>score_attendance</t>
        </is>
      </c>
      <c r="B65" t="inlineStr">
        <is>
          <t>offices</t>
        </is>
      </c>
      <c r="C65" t="inlineStr">
        <is>
          <t>gate and score</t>
        </is>
      </c>
      <c r="D65" t="inlineStr">
        <is>
          <t>build</t>
        </is>
      </c>
      <c r="E65" s="7" t="inlineStr">
        <is>
          <t>-5 to 15</t>
        </is>
      </c>
      <c r="F65" s="7" t="inlineStr">
        <is>
          <t>On-site 5 days 15; hybrid 4 days 12; 3 days 10; days not stated 7; 2 or fewer 5; no signal 6; remote -5; plus 3 when the policy names Tuesday (cap 15).</t>
        </is>
      </c>
    </row>
    <row r="66">
      <c r="A66" t="inlineStr">
        <is>
          <t>score_address</t>
        </is>
      </c>
      <c r="B66" t="inlineStr">
        <is>
          <t>offices</t>
        </is>
      </c>
      <c r="C66" t="inlineStr">
        <is>
          <t>gate and score</t>
        </is>
      </c>
      <c r="D66" t="inlineStr">
        <is>
          <t>build</t>
        </is>
      </c>
      <c r="E66" s="7" t="inlineStr">
        <is>
          <t>0 to 15</t>
        </is>
      </c>
      <c r="F66" s="7" t="inlineStr">
        <is>
          <t>Occupied 10, occupancy-unconfirmed 5, signed-not-occupied 2 (coworking site: open 10, open-unverified 5, unverified 2); 0 with an address conflict; plus confidence high 5, medium 3, low 0.</t>
        </is>
      </c>
    </row>
    <row r="67">
      <c r="A67" t="inlineStr">
        <is>
          <t>score_title</t>
        </is>
      </c>
      <c r="B67" t="inlineStr">
        <is>
          <t>offices</t>
        </is>
      </c>
      <c r="C67" t="inlineStr">
        <is>
          <t>gate and score</t>
        </is>
      </c>
      <c r="D67" t="inlineStr">
        <is>
          <t>formula</t>
        </is>
      </c>
      <c r="E67" s="7" t="inlineStr">
        <is>
          <t>0, 5, 10</t>
        </is>
      </c>
      <c r="F67" s="7" t="inlineStr">
        <is>
          <t>From title_match: exact 10, adjacent 5, none 0.</t>
        </is>
      </c>
    </row>
    <row r="68">
      <c r="A68" t="inlineStr">
        <is>
          <t>score_known</t>
        </is>
      </c>
      <c r="B68" t="inlineStr">
        <is>
          <t>both</t>
        </is>
      </c>
      <c r="C68" t="inlineStr">
        <is>
          <t>gate and score</t>
        </is>
      </c>
      <c r="D68" t="inlineStr">
        <is>
          <t>formula</t>
        </is>
      </c>
      <c r="E68" s="7" t="inlineStr">
        <is>
          <t>0, 15 (offices) or 0, 10 (brands)</t>
        </is>
      </c>
      <c r="F68" s="7" t="inlineStr">
        <is>
          <t>From known_to_founder.</t>
        </is>
      </c>
    </row>
    <row r="69">
      <c r="A69" t="inlineStr">
        <is>
          <t>score_buy</t>
        </is>
      </c>
      <c r="B69" t="inlineStr">
        <is>
          <t>brands</t>
        </is>
      </c>
      <c r="C69" t="inlineStr">
        <is>
          <t>gate and score</t>
        </is>
      </c>
      <c r="D69" t="inlineStr">
        <is>
          <t>build</t>
        </is>
      </c>
      <c r="E69" s="7" t="inlineStr">
        <is>
          <t>0 to 25</t>
        </is>
      </c>
      <c r="F69" s="7" t="inlineStr">
        <is>
          <t>Best graded store within ten blocks: store page inside the cluster 25, store page within ten blocks 20, brand locator inside 17, brand locator within ten 13; online store only 6; none 0.</t>
        </is>
      </c>
    </row>
    <row r="70">
      <c r="A70" t="inlineStr">
        <is>
          <t>score_ny</t>
        </is>
      </c>
      <c r="B70" t="inlineStr">
        <is>
          <t>brands</t>
        </is>
      </c>
      <c r="C70" t="inlineStr">
        <is>
          <t>gate and score</t>
        </is>
      </c>
      <c r="D70" t="inlineStr">
        <is>
          <t>build</t>
        </is>
      </c>
      <c r="E70" s="7" t="inlineStr">
        <is>
          <t>0 to 20</t>
        </is>
      </c>
      <c r="F70" s="7" t="inlineStr">
        <is>
          <t>HQ New York City 20, rest of New York State 13, Northeast 8, elsewhere 3, unknown 4; minus 3 when a New York HQ is unverified.</t>
        </is>
      </c>
    </row>
    <row r="71">
      <c r="A71" t="inlineStr">
        <is>
          <t>score_why</t>
        </is>
      </c>
      <c r="B71" t="inlineStr">
        <is>
          <t>brands</t>
        </is>
      </c>
      <c r="C71" t="inlineStr">
        <is>
          <t>gate and score</t>
        </is>
      </c>
      <c r="D71" t="inlineStr">
        <is>
          <t>build</t>
        </is>
      </c>
      <c r="E71" s="7" t="inlineStr">
        <is>
          <t>0 to 15</t>
        </is>
      </c>
      <c r="F71" s="7" t="inlineStr">
        <is>
          <t>Press in the last 180 days 15, 181 to 365 days 8; own listing in 180 days 8, 181 to 365 days 4; none or unverified 0.</t>
        </is>
      </c>
    </row>
    <row r="72">
      <c r="A72" t="inlineStr">
        <is>
          <t>score_rev</t>
        </is>
      </c>
      <c r="B72" t="inlineStr">
        <is>
          <t>brands</t>
        </is>
      </c>
      <c r="C72" t="inlineStr">
        <is>
          <t>gate and score</t>
        </is>
      </c>
      <c r="D72" t="inlineStr">
        <is>
          <t>build</t>
        </is>
      </c>
      <c r="E72" s="7" t="inlineStr">
        <is>
          <t>0 to 10</t>
        </is>
      </c>
      <c r="F72" s="7" t="inlineStr">
        <is>
          <t>Revenue $500k to $10M 10; unknown 5; under $500k 2; over $10M 0.</t>
        </is>
      </c>
    </row>
    <row r="73">
      <c r="A73" t="inlineStr">
        <is>
          <t>score_fit</t>
        </is>
      </c>
      <c r="B73" t="inlineStr">
        <is>
          <t>brands</t>
        </is>
      </c>
      <c r="C73" t="inlineStr">
        <is>
          <t>gate and score</t>
        </is>
      </c>
      <c r="D73" t="inlineStr">
        <is>
          <t>build</t>
        </is>
      </c>
      <c r="E73" s="7" t="inlineStr">
        <is>
          <t>0 to 10</t>
        </is>
      </c>
      <c r="F73" s="7" t="inlineStr">
        <is>
          <t>Shelf-stable Y 4, likely 2, unknown 1; individually packaged Y 3, unknown 1; online store Y 3, unknown 1.</t>
        </is>
      </c>
    </row>
    <row r="74">
      <c r="A74" t="inlineStr">
        <is>
          <t>score_contact</t>
        </is>
      </c>
      <c r="B74" t="inlineStr">
        <is>
          <t>brands</t>
        </is>
      </c>
      <c r="C74" t="inlineStr">
        <is>
          <t>gate and score</t>
        </is>
      </c>
      <c r="D74" t="inlineStr">
        <is>
          <t>build</t>
        </is>
      </c>
      <c r="E74" s="7" t="inlineStr">
        <is>
          <t>0 to 10</t>
        </is>
      </c>
      <c r="F74" s="7" t="inlineStr">
        <is>
          <t>Founder named on an opened page 6 (first name only or snippet 3); marketing lead named on an opened page 4 (snippet 2).</t>
        </is>
      </c>
    </row>
    <row r="75">
      <c r="A75" t="inlineStr">
        <is>
          <t>score_review</t>
        </is>
      </c>
      <c r="B75" t="inlineStr">
        <is>
          <t>brands</t>
        </is>
      </c>
      <c r="C75" t="inlineStr">
        <is>
          <t>gate and score</t>
        </is>
      </c>
      <c r="D75" t="inlineStr">
        <is>
          <t>build</t>
        </is>
      </c>
      <c r="E75" s="7" t="inlineStr">
        <is>
          <t>-35 to 0</t>
        </is>
      </c>
      <c r="F75" s="7" t="inlineStr">
        <is>
          <t>The most severe founder-review type: sourced revenue over $10M -35; large-company owner -25; scale signals -12; dormant -12; heritage -10; perishable risk -8; under $500k -5; alcohol-adjacent -5; borderline claim -4; pack format -4; other -2.</t>
        </is>
      </c>
    </row>
    <row r="76">
      <c r="A76" t="inlineStr">
        <is>
          <t>founder_review_type</t>
        </is>
      </c>
      <c r="B76" t="inlineStr">
        <is>
          <t>brands</t>
        </is>
      </c>
      <c r="C76" t="inlineStr">
        <is>
          <t>gate and score</t>
        </is>
      </c>
      <c r="D76" t="inlineStr">
        <is>
          <t>build</t>
        </is>
      </c>
      <c r="E76" s="7" t="inlineStr">
        <is>
          <t>owner, scale-reported, scale, dormant, not-emerging, perishable-risk, under-floor, alcohol-adjacent, format, claim-borderline, other</t>
        </is>
      </c>
      <c r="F76" s="7" t="inlineStr">
        <is>
          <t>The founder-review reason sorted into types; the most severe sets score_review.</t>
        </is>
      </c>
    </row>
    <row r="77">
      <c r="A77" t="inlineStr">
        <is>
          <t>size_class</t>
        </is>
      </c>
      <c r="B77" t="inlineStr">
        <is>
          <t>offices</t>
        </is>
      </c>
      <c r="C77" t="inlineStr">
        <is>
          <t>gate and score</t>
        </is>
      </c>
      <c r="D77" t="inlineStr">
        <is>
          <t>build</t>
        </is>
      </c>
      <c r="E77" s="7" t="inlineStr">
        <is>
          <t>le500, 501-1000, 1001-4999, 5000+, unknown</t>
        </is>
      </c>
      <c r="F77" s="7" t="inlineStr">
        <is>
          <t>Company-wide size class used by score_size.</t>
        </is>
      </c>
    </row>
    <row r="78">
      <c r="A78" t="inlineStr">
        <is>
          <t>onsite_central</t>
        </is>
      </c>
      <c r="B78" t="inlineStr">
        <is>
          <t>offices</t>
        </is>
      </c>
      <c r="C78" t="inlineStr">
        <is>
          <t>gate and score</t>
        </is>
      </c>
      <c r="D78" t="inlineStr">
        <is>
          <t>build</t>
        </is>
      </c>
      <c r="E78" s="7" t="inlineStr">
        <is>
          <t>number or unknown</t>
        </is>
      </c>
      <c r="F78" s="7" t="inlineStr">
        <is>
          <t>Middle of the Tuesday range on a ratio scale (square root of low x high).</t>
        </is>
      </c>
    </row>
    <row r="79">
      <c r="A79" t="inlineStr">
        <is>
          <t>onsite_flags</t>
        </is>
      </c>
      <c r="B79" t="inlineStr">
        <is>
          <t>offices</t>
        </is>
      </c>
      <c r="C79" t="inlineStr">
        <is>
          <t>gate and score</t>
        </is>
      </c>
      <c r="D79" t="inlineStr">
        <is>
          <t>build</t>
        </is>
      </c>
      <c r="E79" s="7" t="inlineStr">
        <is>
          <t>text</t>
        </is>
      </c>
      <c r="F79" s="7" t="inlineStr">
        <is>
          <t>may be under 30, may exceed 250, 30 to 39 is the founder's call, central estimate under 30; under-30 and over-250 mean the row failed the gate.</t>
        </is>
      </c>
    </row>
    <row r="80">
      <c r="A80" t="inlineStr">
        <is>
          <t>onsite_basis</t>
        </is>
      </c>
      <c r="B80" t="inlineStr">
        <is>
          <t>offices</t>
        </is>
      </c>
      <c r="C80" t="inlineStr">
        <is>
          <t>gate and score</t>
        </is>
      </c>
      <c r="D80" t="inlineStr">
        <is>
          <t>build</t>
        </is>
      </c>
      <c r="E80" s="7" t="inlineStr">
        <is>
          <t>text</t>
        </is>
      </c>
      <c r="F80" s="7" t="inlineStr">
        <is>
          <t>The Tuesday estimate's arithmetic in words: count x New York share x in-office rate.</t>
        </is>
      </c>
    </row>
    <row r="81">
      <c r="A81" t="inlineStr">
        <is>
          <t>onsite_label</t>
        </is>
      </c>
      <c r="B81" t="inlineStr">
        <is>
          <t>offices</t>
        </is>
      </c>
      <c r="C81" t="inlineStr">
        <is>
          <t>gate and score</t>
        </is>
      </c>
      <c r="D81" t="inlineStr">
        <is>
          <t>build</t>
        </is>
      </c>
      <c r="E81" s="7" t="inlineStr">
        <is>
          <t>text</t>
        </is>
      </c>
      <c r="F81" s="7" t="inlineStr">
        <is>
          <t>Always 'estimate until intake replaces it'.</t>
        </is>
      </c>
    </row>
    <row r="82">
      <c r="A82" t="inlineStr">
        <is>
          <t>onsite_fit_share</t>
        </is>
      </c>
      <c r="B82" t="inlineStr">
        <is>
          <t>offices</t>
        </is>
      </c>
      <c r="C82" t="inlineStr">
        <is>
          <t>gate and score</t>
        </is>
      </c>
      <c r="D82" t="inlineStr">
        <is>
          <t>build</t>
        </is>
      </c>
      <c r="E82" s="7" t="inlineStr">
        <is>
          <t>0 to 1 or unknown</t>
        </is>
      </c>
      <c r="F82" s="7" t="inlineStr">
        <is>
          <t>Share of the Tuesday range inside 40 to 250 (ratio scale); the first tie-break.</t>
        </is>
      </c>
    </row>
    <row r="83">
      <c r="A83" t="inlineStr">
        <is>
          <t>contact_name_as_found</t>
        </is>
      </c>
      <c r="B83" t="inlineStr">
        <is>
          <t>both</t>
        </is>
      </c>
      <c r="C83" t="inlineStr">
        <is>
          <t>contact</t>
        </is>
      </c>
      <c r="D83" t="inlineStr">
        <is>
          <t>build</t>
        </is>
      </c>
      <c r="E83" s="7" t="inlineStr">
        <is>
          <t>text</t>
        </is>
      </c>
      <c r="F83" s="7" t="inlineStr">
        <is>
          <t>The primary contact's name as found, even when it is not verified enough for first_name.</t>
        </is>
      </c>
    </row>
    <row r="84">
      <c r="A84" t="inlineStr">
        <is>
          <t>contact_record_date</t>
        </is>
      </c>
      <c r="B84" t="inlineStr">
        <is>
          <t>both</t>
        </is>
      </c>
      <c r="C84" t="inlineStr">
        <is>
          <t>contact</t>
        </is>
      </c>
      <c r="D84" t="inlineStr">
        <is>
          <t>build</t>
        </is>
      </c>
      <c r="E84" s="7" t="inlineStr">
        <is>
          <t>YYYY-MM-DD, YYYY or blank</t>
        </is>
      </c>
      <c r="F84" s="7" t="inlineStr">
        <is>
          <t>The source's own date for the contact (The Org 'updated' date, article date). Older than 12 months adds a check to check_before_send.</t>
        </is>
      </c>
    </row>
    <row r="85">
      <c r="A85" t="inlineStr">
        <is>
          <t>contact_note</t>
        </is>
      </c>
      <c r="B85" t="inlineStr">
        <is>
          <t>both</t>
        </is>
      </c>
      <c r="C85" t="inlineStr">
        <is>
          <t>contact</t>
        </is>
      </c>
      <c r="D85" t="inlineStr">
        <is>
          <t>build</t>
        </is>
      </c>
      <c r="E85" s="7" t="inlineStr">
        <is>
          <t>text</t>
        </is>
      </c>
      <c r="F85" s="7" t="inlineStr">
        <is>
          <t>What the page said, where it was found and any doubt.</t>
        </is>
      </c>
    </row>
    <row r="86">
      <c r="A86" t="inlineStr">
        <is>
          <t>contact_ny_base</t>
        </is>
      </c>
      <c r="B86" t="inlineStr">
        <is>
          <t>offices</t>
        </is>
      </c>
      <c r="C86" t="inlineStr">
        <is>
          <t>contact</t>
        </is>
      </c>
      <c r="D86" t="inlineStr">
        <is>
          <t>build</t>
        </is>
      </c>
      <c r="E86" s="7" t="inlineStr">
        <is>
          <t>confirmed, likely, unconfirmed</t>
        </is>
      </c>
      <c r="F86" s="7" t="inlineStr">
        <is>
          <t>Whether the contact works from the New York office: confirmed (the employer's page or The Org's office record), likely (New York area or a New York firm's page with no city), unconfirmed.</t>
        </is>
      </c>
    </row>
    <row r="87">
      <c r="A87" t="inlineStr">
        <is>
          <t>linkedin_status</t>
        </is>
      </c>
      <c r="B87" t="inlineStr">
        <is>
          <t>both</t>
        </is>
      </c>
      <c r="C87" t="inlineStr">
        <is>
          <t>contact</t>
        </is>
      </c>
      <c r="D87" t="inlineStr">
        <is>
          <t>build</t>
        </is>
      </c>
      <c r="E87" s="7" t="inlineStr">
        <is>
          <t>text</t>
        </is>
      </c>
      <c r="F87" s="7" t="inlineStr">
        <is>
          <t>Where a LinkedIn URL came from. LinkedIn itself was never opened.</t>
        </is>
      </c>
    </row>
    <row r="88">
      <c r="A88" t="inlineStr">
        <is>
          <t>contacts_researched</t>
        </is>
      </c>
      <c r="B88" t="inlineStr">
        <is>
          <t>both</t>
        </is>
      </c>
      <c r="C88" t="inlineStr">
        <is>
          <t>contact</t>
        </is>
      </c>
      <c r="D88" t="inlineStr">
        <is>
          <t>build</t>
        </is>
      </c>
      <c r="E88" s="7" t="inlineStr">
        <is>
          <t>Y, N (offices); stage 2, stage 3, stage 1 only (brands)</t>
        </is>
      </c>
      <c r="F88" s="7" t="inlineStr">
        <is>
          <t>Whether stage 2 or 3 researched this row's contacts (the top 50 offices and top 60 brands).</t>
        </is>
      </c>
    </row>
    <row r="89">
      <c r="A89" t="inlineStr">
        <is>
          <t>backup_first_name</t>
        </is>
      </c>
      <c r="B89" t="inlineStr">
        <is>
          <t>both</t>
        </is>
      </c>
      <c r="C89" t="inlineStr">
        <is>
          <t>contact</t>
        </is>
      </c>
      <c r="D89" t="inlineStr">
        <is>
          <t>build</t>
        </is>
      </c>
      <c r="E89" s="7" t="inlineStr">
        <is>
          <t>text or blank</t>
        </is>
      </c>
      <c r="F89" s="7" t="inlineStr">
        <is>
          <t>Backup contact's first name (opened page only).</t>
        </is>
      </c>
    </row>
    <row r="90">
      <c r="A90" t="inlineStr">
        <is>
          <t>backup_last_name</t>
        </is>
      </c>
      <c r="B90" t="inlineStr">
        <is>
          <t>both</t>
        </is>
      </c>
      <c r="C90" t="inlineStr">
        <is>
          <t>contact</t>
        </is>
      </c>
      <c r="D90" t="inlineStr">
        <is>
          <t>build</t>
        </is>
      </c>
      <c r="E90" s="7" t="inlineStr">
        <is>
          <t>text, unknown or blank</t>
        </is>
      </c>
      <c r="F90" s="7" t="inlineStr">
        <is>
          <t>Backup contact's surname.</t>
        </is>
      </c>
    </row>
    <row r="91">
      <c r="A91" t="inlineStr">
        <is>
          <t>backup_title</t>
        </is>
      </c>
      <c r="B91" t="inlineStr">
        <is>
          <t>both</t>
        </is>
      </c>
      <c r="C91" t="inlineStr">
        <is>
          <t>contact</t>
        </is>
      </c>
      <c r="D91" t="inlineStr">
        <is>
          <t>build</t>
        </is>
      </c>
      <c r="E91" s="7" t="inlineStr">
        <is>
          <t>text or blank</t>
        </is>
      </c>
      <c r="F91" s="7" t="inlineStr">
        <is>
          <t>Backup contact's title.</t>
        </is>
      </c>
    </row>
    <row r="92">
      <c r="A92" t="inlineStr">
        <is>
          <t>backup_linkedin_url</t>
        </is>
      </c>
      <c r="B92" t="inlineStr">
        <is>
          <t>both</t>
        </is>
      </c>
      <c r="C92" t="inlineStr">
        <is>
          <t>contact</t>
        </is>
      </c>
      <c r="D92" t="inlineStr">
        <is>
          <t>founder</t>
        </is>
      </c>
      <c r="E92" s="7" t="inlineStr">
        <is>
          <t>URL or blank</t>
        </is>
      </c>
      <c r="F92" s="7" t="inlineStr">
        <is>
          <t>Backup contact's LinkedIn profile, if linked from an opened page.</t>
        </is>
      </c>
    </row>
    <row r="93">
      <c r="A93" t="inlineStr">
        <is>
          <t>backup_work_email</t>
        </is>
      </c>
      <c r="B93" t="inlineStr">
        <is>
          <t>both</t>
        </is>
      </c>
      <c r="C93" t="inlineStr">
        <is>
          <t>contact</t>
        </is>
      </c>
      <c r="D93" t="inlineStr">
        <is>
          <t>founder</t>
        </is>
      </c>
      <c r="E93" s="7" t="inlineStr">
        <is>
          <t>business address or blank</t>
        </is>
      </c>
      <c r="F93" s="7" t="inlineStr">
        <is>
          <t>Backup's work email (waterfall); blank today.</t>
        </is>
      </c>
    </row>
    <row r="94">
      <c r="A94" t="inlineStr">
        <is>
          <t>backup_email_status</t>
        </is>
      </c>
      <c r="B94" t="inlineStr">
        <is>
          <t>both</t>
        </is>
      </c>
      <c r="C94" t="inlineStr">
        <is>
          <t>contact</t>
        </is>
      </c>
      <c r="D94" t="inlineStr">
        <is>
          <t>founder</t>
        </is>
      </c>
      <c r="E94" s="7" t="inlineStr">
        <is>
          <t>verified, unverified, none</t>
        </is>
      </c>
      <c r="F94" s="7" t="inlineStr">
        <is>
          <t>As email_status, for the backup.</t>
        </is>
      </c>
    </row>
    <row r="95">
      <c r="A95" t="inlineStr">
        <is>
          <t>backup_contact_role</t>
        </is>
      </c>
      <c r="B95" t="inlineStr">
        <is>
          <t>both</t>
        </is>
      </c>
      <c r="C95" t="inlineStr">
        <is>
          <t>contact</t>
        </is>
      </c>
      <c r="D95" t="inlineStr">
        <is>
          <t>build</t>
        </is>
      </c>
      <c r="E95" s="7" t="inlineStr">
        <is>
          <t>text</t>
        </is>
      </c>
      <c r="F95" s="7" t="inlineStr">
        <is>
          <t>Why the backup: pantry or office lead (offices); marketing lead or co-founder or executive (brands).</t>
        </is>
      </c>
    </row>
    <row r="96">
      <c r="A96" t="inlineStr">
        <is>
          <t>backup_contact_name_as_found</t>
        </is>
      </c>
      <c r="B96" t="inlineStr">
        <is>
          <t>both</t>
        </is>
      </c>
      <c r="C96" t="inlineStr">
        <is>
          <t>contact</t>
        </is>
      </c>
      <c r="D96" t="inlineStr">
        <is>
          <t>build</t>
        </is>
      </c>
      <c r="E96" s="7" t="inlineStr">
        <is>
          <t>text</t>
        </is>
      </c>
      <c r="F96" s="7" t="inlineStr">
        <is>
          <t>Backup's name as found.</t>
        </is>
      </c>
    </row>
    <row r="97">
      <c r="A97" t="inlineStr">
        <is>
          <t>backup_contact_status</t>
        </is>
      </c>
      <c r="B97" t="inlineStr">
        <is>
          <t>both</t>
        </is>
      </c>
      <c r="C97" t="inlineStr">
        <is>
          <t>contact</t>
        </is>
      </c>
      <c r="D97" t="inlineStr">
        <is>
          <t>build</t>
        </is>
      </c>
      <c r="E97" s="7" t="inlineStr">
        <is>
          <t>verified-page, first-name-only, unverified, none</t>
        </is>
      </c>
      <c r="F97" s="7" t="inlineStr">
        <is>
          <t>As contact_status, for the backup.</t>
        </is>
      </c>
    </row>
    <row r="98">
      <c r="A98" t="inlineStr">
        <is>
          <t>backup_contact_evidence</t>
        </is>
      </c>
      <c r="B98" t="inlineStr">
        <is>
          <t>both</t>
        </is>
      </c>
      <c r="C98" t="inlineStr">
        <is>
          <t>contact</t>
        </is>
      </c>
      <c r="D98" t="inlineStr">
        <is>
          <t>build</t>
        </is>
      </c>
      <c r="E98" s="7" t="inlineStr">
        <is>
          <t>as contact_evidence</t>
        </is>
      </c>
      <c r="F98" s="7" t="inlineStr">
        <is>
          <t>What kind of page supports the backup.</t>
        </is>
      </c>
    </row>
    <row r="99">
      <c r="A99" t="inlineStr">
        <is>
          <t>backup_contact_source_url</t>
        </is>
      </c>
      <c r="B99" t="inlineStr">
        <is>
          <t>both</t>
        </is>
      </c>
      <c r="C99" t="inlineStr">
        <is>
          <t>contact</t>
        </is>
      </c>
      <c r="D99" t="inlineStr">
        <is>
          <t>build</t>
        </is>
      </c>
      <c r="E99" s="7" t="inlineStr">
        <is>
          <t>URL or blank</t>
        </is>
      </c>
      <c r="F99" s="7" t="inlineStr">
        <is>
          <t>The page that supports the backup.</t>
        </is>
      </c>
    </row>
    <row r="100">
      <c r="A100" t="inlineStr">
        <is>
          <t>backup_contact_record_date</t>
        </is>
      </c>
      <c r="B100" t="inlineStr">
        <is>
          <t>both</t>
        </is>
      </c>
      <c r="C100" t="inlineStr">
        <is>
          <t>contact</t>
        </is>
      </c>
      <c r="D100" t="inlineStr">
        <is>
          <t>build</t>
        </is>
      </c>
      <c r="E100" s="7" t="inlineStr">
        <is>
          <t>date or blank</t>
        </is>
      </c>
      <c r="F100" s="7" t="inlineStr">
        <is>
          <t>The backup source's own date.</t>
        </is>
      </c>
    </row>
    <row r="101">
      <c r="A101" t="inlineStr">
        <is>
          <t>backup_contact_note</t>
        </is>
      </c>
      <c r="B101" t="inlineStr">
        <is>
          <t>both</t>
        </is>
      </c>
      <c r="C101" t="inlineStr">
        <is>
          <t>contact</t>
        </is>
      </c>
      <c r="D101" t="inlineStr">
        <is>
          <t>build</t>
        </is>
      </c>
      <c r="E101" s="7" t="inlineStr">
        <is>
          <t>text</t>
        </is>
      </c>
      <c r="F101" s="7" t="inlineStr">
        <is>
          <t>Notes on the backup.</t>
        </is>
      </c>
    </row>
    <row r="102">
      <c r="A102" t="inlineStr">
        <is>
          <t>backup_linkedin_status</t>
        </is>
      </c>
      <c r="B102" t="inlineStr">
        <is>
          <t>brands</t>
        </is>
      </c>
      <c r="C102" t="inlineStr">
        <is>
          <t>contact</t>
        </is>
      </c>
      <c r="D102" t="inlineStr">
        <is>
          <t>build</t>
        </is>
      </c>
      <c r="E102" s="7" t="inlineStr">
        <is>
          <t>text</t>
        </is>
      </c>
      <c r="F102" s="7" t="inlineStr">
        <is>
          <t>Where the backup's LinkedIn URL came from (stage-1 rows).</t>
        </is>
      </c>
    </row>
    <row r="103">
      <c r="A103" t="inlineStr">
        <is>
          <t>company_group_reason</t>
        </is>
      </c>
      <c r="B103" t="inlineStr">
        <is>
          <t>both</t>
        </is>
      </c>
      <c r="C103" t="inlineStr">
        <is>
          <t>contact</t>
        </is>
      </c>
      <c r="D103" t="inlineStr">
        <is>
          <t>build</t>
        </is>
      </c>
      <c r="E103" s="7" t="inlineStr">
        <is>
          <t>text</t>
        </is>
      </c>
      <c r="F103" s="7" t="inlineStr">
        <is>
          <t>What the group's rows share (parent, operator, name or person).</t>
        </is>
      </c>
    </row>
    <row r="104">
      <c r="A104" t="inlineStr">
        <is>
          <t>org_type</t>
        </is>
      </c>
      <c r="B104" t="inlineStr">
        <is>
          <t>offices</t>
        </is>
      </c>
      <c r="C104" t="inlineStr">
        <is>
          <t>office research</t>
        </is>
      </c>
      <c r="D104" t="inlineStr">
        <is>
          <t>build</t>
        </is>
      </c>
      <c r="E104" s="7" t="inlineStr">
        <is>
          <t>company, coworking-operator</t>
        </is>
      </c>
      <c r="F104" s="7" t="inlineStr">
        <is>
          <t>A company office, or a coworking site that may join as one office if the operator controls the pantry.</t>
        </is>
      </c>
    </row>
    <row r="105">
      <c r="A105" t="inlineStr">
        <is>
          <t>b_id</t>
        </is>
      </c>
      <c r="B105" t="inlineStr">
        <is>
          <t>offices</t>
        </is>
      </c>
      <c r="C105" t="inlineStr">
        <is>
          <t>office research</t>
        </is>
      </c>
      <c r="D105" t="inlineStr">
        <is>
          <t>build</t>
        </is>
      </c>
      <c r="E105" s="7" t="inlineStr">
        <is>
          <t>B-C-### or B-W-###</t>
        </is>
      </c>
      <c r="F105" s="7" t="inlineStr">
        <is>
          <t>The row's ID in B's files.</t>
        </is>
      </c>
    </row>
    <row r="106">
      <c r="A106" t="inlineStr">
        <is>
          <t>website</t>
        </is>
      </c>
      <c r="B106" t="inlineStr">
        <is>
          <t>both</t>
        </is>
      </c>
      <c r="C106" t="inlineStr">
        <is>
          <t>office research</t>
        </is>
      </c>
      <c r="D106" t="inlineStr">
        <is>
          <t>build</t>
        </is>
      </c>
      <c r="E106" s="7" t="inlineStr">
        <is>
          <t>URL or unknown</t>
        </is>
      </c>
      <c r="F106" s="7" t="inlineStr">
        <is>
          <t>Company or brand website (the domain the email waterfall uses).</t>
        </is>
      </c>
    </row>
    <row r="107">
      <c r="A107" t="inlineStr">
        <is>
          <t>industry</t>
        </is>
      </c>
      <c r="B107" t="inlineStr">
        <is>
          <t>offices</t>
        </is>
      </c>
      <c r="C107" t="inlineStr">
        <is>
          <t>office research</t>
        </is>
      </c>
      <c r="D107" t="inlineStr">
        <is>
          <t>build</t>
        </is>
      </c>
      <c r="E107" s="7" t="inlineStr">
        <is>
          <t>text</t>
        </is>
      </c>
      <c r="F107" s="7" t="inlineStr">
        <is>
          <t>Short industry label from the research slice.</t>
        </is>
      </c>
    </row>
    <row r="108">
      <c r="A108" t="inlineStr">
        <is>
          <t>employee_count</t>
        </is>
      </c>
      <c r="B108" t="inlineStr">
        <is>
          <t>offices</t>
        </is>
      </c>
      <c r="C108" t="inlineStr">
        <is>
          <t>office research</t>
        </is>
      </c>
      <c r="D108" t="inlineStr">
        <is>
          <t>build</t>
        </is>
      </c>
      <c r="E108" s="7" t="inlineStr">
        <is>
          <t>number as sourced or unknown</t>
        </is>
      </c>
      <c r="F108" s="7" t="inlineStr">
        <is>
          <t>The sourced headcount the estimate starts from (B's headcount_count, else the company-wide count cited).</t>
        </is>
      </c>
    </row>
    <row r="109">
      <c r="A109" t="inlineStr">
        <is>
          <t>employee_count_second</t>
        </is>
      </c>
      <c r="B109" t="inlineStr">
        <is>
          <t>offices</t>
        </is>
      </c>
      <c r="C109" t="inlineStr">
        <is>
          <t>office research</t>
        </is>
      </c>
      <c r="D109" t="inlineStr">
        <is>
          <t>build</t>
        </is>
      </c>
      <c r="E109" s="7" t="inlineStr">
        <is>
          <t>number or blank</t>
        </is>
      </c>
      <c r="F109" s="7" t="inlineStr">
        <is>
          <t>B's second, independent count.</t>
        </is>
      </c>
    </row>
    <row r="110">
      <c r="A110" t="inlineStr">
        <is>
          <t>headcount_band</t>
        </is>
      </c>
      <c r="B110" t="inlineStr">
        <is>
          <t>offices</t>
        </is>
      </c>
      <c r="C110" t="inlineStr">
        <is>
          <t>office research</t>
        </is>
      </c>
      <c r="D110" t="inlineStr">
        <is>
          <t>build</t>
        </is>
      </c>
      <c r="E110" s="7" t="inlineStr">
        <is>
          <t>CONTRACTS band</t>
        </is>
      </c>
      <c r="F110" s="7" t="inlineStr">
        <is>
          <t>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is>
      </c>
    </row>
    <row r="111">
      <c r="A111" t="inlineStr">
        <is>
          <t>headcount_scope</t>
        </is>
      </c>
      <c r="B111" t="inlineStr">
        <is>
          <t>offices</t>
        </is>
      </c>
      <c r="C111" t="inlineStr">
        <is>
          <t>office research</t>
        </is>
      </c>
      <c r="D111" t="inlineStr">
        <is>
          <t>build</t>
        </is>
      </c>
      <c r="E111" s="7" t="inlineStr">
        <is>
          <t>whole-company, nyc-office, unknown</t>
        </is>
      </c>
      <c r="F111" s="7" t="inlineStr">
        <is>
          <t>whole-company (the count covers the whole firm), nyc-office (the source counts the New York office), or unknown.</t>
        </is>
      </c>
    </row>
    <row r="112">
      <c r="A112" t="inlineStr">
        <is>
          <t>headcount_check</t>
        </is>
      </c>
      <c r="B112" t="inlineStr">
        <is>
          <t>offices</t>
        </is>
      </c>
      <c r="C112" t="inlineStr">
        <is>
          <t>office research</t>
        </is>
      </c>
      <c r="D112" t="inlineStr">
        <is>
          <t>build</t>
        </is>
      </c>
      <c r="E112" s="7" t="inlineStr">
        <is>
          <t>agree, disagree, single-source, scope-differs, no-count, over-500-second-source</t>
        </is>
      </c>
      <c r="F112" s="7" t="inlineStr">
        <is>
          <t>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is>
      </c>
    </row>
    <row r="113">
      <c r="A113" t="inlineStr">
        <is>
          <t>headcount_source_url</t>
        </is>
      </c>
      <c r="B113" t="inlineStr">
        <is>
          <t>offices</t>
        </is>
      </c>
      <c r="C113" t="inlineStr">
        <is>
          <t>office research</t>
        </is>
      </c>
      <c r="D113" t="inlineStr">
        <is>
          <t>build</t>
        </is>
      </c>
      <c r="E113" s="6" t="inlineStr">
        <is>
          <t>URL</t>
        </is>
      </c>
      <c r="F113" s="7" t="inlineStr">
        <is>
          <t>Where the count came from.</t>
        </is>
      </c>
    </row>
    <row r="114">
      <c r="A114" t="inlineStr">
        <is>
          <t>headcount_second_source_url</t>
        </is>
      </c>
      <c r="B114" t="inlineStr">
        <is>
          <t>offices</t>
        </is>
      </c>
      <c r="C114" t="inlineStr">
        <is>
          <t>office research</t>
        </is>
      </c>
      <c r="D114" t="inlineStr">
        <is>
          <t>build</t>
        </is>
      </c>
      <c r="E114" s="6" t="inlineStr">
        <is>
          <t>URL</t>
        </is>
      </c>
      <c r="F114" s="7" t="inlineStr">
        <is>
          <t>Source of headcount_second_count: a Revelio Labs public page (reveliolabs.com/companies/&lt;slug&gt;/employees, matched on legal name and description), the company's own page, or for swapped rows the original Built In page.</t>
        </is>
      </c>
    </row>
    <row r="115">
      <c r="A115" t="inlineStr">
        <is>
          <t>hq_in_nyc</t>
        </is>
      </c>
      <c r="B115" t="inlineStr">
        <is>
          <t>offices</t>
        </is>
      </c>
      <c r="C115" t="inlineStr">
        <is>
          <t>office research</t>
        </is>
      </c>
      <c r="D115" t="inlineStr">
        <is>
          <t>build</t>
        </is>
      </c>
      <c r="E115" s="7" t="inlineStr">
        <is>
          <t>Y, N, unknown</t>
        </is>
      </c>
      <c r="F115" s="7" t="inlineStr">
        <is>
          <t>Y if hq_city is New York, N if elsewhere, unknown. A whole-company band for an N row can be far larger than the New York office.</t>
        </is>
      </c>
    </row>
    <row r="116">
      <c r="A116" t="inlineStr">
        <is>
          <t>parent_company</t>
        </is>
      </c>
      <c r="B116" t="inlineStr">
        <is>
          <t>offices</t>
        </is>
      </c>
      <c r="C116" t="inlineStr">
        <is>
          <t>office research</t>
        </is>
      </c>
      <c r="D116" t="inlineStr">
        <is>
          <t>build</t>
        </is>
      </c>
      <c r="E116" s="7" t="inlineStr">
        <is>
          <t>text or unknown</t>
        </is>
      </c>
      <c r="F116" s="7" t="inlineStr">
        <is>
          <t>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is>
      </c>
    </row>
    <row r="117">
      <c r="A117" t="inlineStr">
        <is>
          <t>linkedin_company_url</t>
        </is>
      </c>
      <c r="B117" t="inlineStr">
        <is>
          <t>offices</t>
        </is>
      </c>
      <c r="C117" t="inlineStr">
        <is>
          <t>office research</t>
        </is>
      </c>
      <c r="D117" t="inlineStr">
        <is>
          <t>build</t>
        </is>
      </c>
      <c r="E117" s="7" t="inlineStr">
        <is>
          <t>URL or unknown</t>
        </is>
      </c>
      <c r="F117" s="7" t="inlineStr">
        <is>
          <t>Company LinkedIn page: unknown on every row (LinkedIn not opened).</t>
        </is>
      </c>
    </row>
    <row r="118">
      <c r="A118" t="inlineStr">
        <is>
          <t>zip</t>
        </is>
      </c>
      <c r="B118" t="inlineStr">
        <is>
          <t>offices</t>
        </is>
      </c>
      <c r="C118" t="inlineStr">
        <is>
          <t>office research</t>
        </is>
      </c>
      <c r="D118" t="inlineStr">
        <is>
          <t>build</t>
        </is>
      </c>
      <c r="E118" s="7" t="inlineStr">
        <is>
          <t>5 digits</t>
        </is>
      </c>
      <c r="F118" s="7" t="inlineStr">
        <is>
          <t>ZIP code from a source for the building, else from NYC PLUTO (2026 v2) for the tax lot.</t>
        </is>
      </c>
    </row>
    <row r="119">
      <c r="A119" t="inlineStr">
        <is>
          <t>lat</t>
        </is>
      </c>
      <c r="B119" t="inlineStr">
        <is>
          <t>offices</t>
        </is>
      </c>
      <c r="C119" t="inlineStr">
        <is>
          <t>office research</t>
        </is>
      </c>
      <c r="D119" t="inlineStr">
        <is>
          <t>build</t>
        </is>
      </c>
      <c r="E119" s="7" t="inlineStr">
        <is>
          <t>decimal degrees</t>
        </is>
      </c>
      <c r="F119" s="7" t="inlineStr">
        <is>
          <t>Latitude, WGS84 decimal degrees. From the project geocoder (_shared/geocode.py: NYC Planning GeoSearch, the city's own address database). A pin that landed on the far side of its tax lot was moved to the addressed block face; that row's notes say so.</t>
        </is>
      </c>
    </row>
    <row r="120">
      <c r="A120" t="inlineStr">
        <is>
          <t>lon</t>
        </is>
      </c>
      <c r="B120" t="inlineStr">
        <is>
          <t>offices</t>
        </is>
      </c>
      <c r="C120" t="inlineStr">
        <is>
          <t>office research</t>
        </is>
      </c>
      <c r="D120" t="inlineStr">
        <is>
          <t>build</t>
        </is>
      </c>
      <c r="E120" s="7" t="inlineStr">
        <is>
          <t>decimal degrees</t>
        </is>
      </c>
      <c r="F120" s="7" t="inlineStr">
        <is>
          <t>Longitude, WGS84 decimal degrees. Same source as lat.</t>
        </is>
      </c>
    </row>
    <row r="121">
      <c r="A121" t="inlineStr">
        <is>
          <t>in_boundary</t>
        </is>
      </c>
      <c r="B121" t="inlineStr">
        <is>
          <t>offices</t>
        </is>
      </c>
      <c r="C121" t="inlineStr">
        <is>
          <t>office research</t>
        </is>
      </c>
      <c r="D121" t="inlineStr">
        <is>
          <t>build</t>
        </is>
      </c>
      <c r="E121" s="6" t="inlineStr">
        <is>
          <t>Y, N</t>
        </is>
      </c>
      <c r="F121" s="7" t="inlineStr">
        <is>
          <t>Y if the pin is inside boundary.geojson, else N (computed, not judged).</t>
        </is>
      </c>
    </row>
    <row r="122">
      <c r="A122" t="inlineStr">
        <is>
          <t>blocks_outside</t>
        </is>
      </c>
      <c r="B122" t="inlineStr">
        <is>
          <t>offices</t>
        </is>
      </c>
      <c r="C122" t="inlineStr">
        <is>
          <t>office research</t>
        </is>
      </c>
      <c r="D122" t="inlineStr">
        <is>
          <t>build</t>
        </is>
      </c>
      <c r="E122" s="7" t="inlineStr">
        <is>
          <t>number</t>
        </is>
      </c>
      <c r="F122" s="7" t="inlineStr">
        <is>
          <t>Walking distance from the boundary on the street grid, in street blocks (79.4 m each); 0 inside. Crosstown metres count at their length, so the Sixth-to-Fifth block counts as about 3.9.</t>
        </is>
      </c>
    </row>
    <row r="123">
      <c r="A123" t="inlineStr">
        <is>
          <t>building_id</t>
        </is>
      </c>
      <c r="B123" t="inlineStr">
        <is>
          <t>offices</t>
        </is>
      </c>
      <c r="C123" t="inlineStr">
        <is>
          <t>office research</t>
        </is>
      </c>
      <c r="D123" t="inlineStr">
        <is>
          <t>build</t>
        </is>
      </c>
      <c r="E123" s="7" t="inlineStr">
        <is>
          <t>B-B-### or blank</t>
        </is>
      </c>
      <c r="F123" s="7" t="inlineStr">
        <is>
          <t>B-B-### of the building row in the Buildings tab; blank if the building is not in that tab (near-miss rows outside the line).</t>
        </is>
      </c>
    </row>
    <row r="124">
      <c r="A124" t="inlineStr">
        <is>
          <t>building_name</t>
        </is>
      </c>
      <c r="B124" t="inlineStr">
        <is>
          <t>offices</t>
        </is>
      </c>
      <c r="C124" t="inlineStr">
        <is>
          <t>office research</t>
        </is>
      </c>
      <c r="D124" t="inlineStr">
        <is>
          <t>build</t>
        </is>
      </c>
      <c r="E124" s="7" t="inlineStr">
        <is>
          <t>text or unknown</t>
        </is>
      </c>
      <c r="F124" s="7" t="inlineStr">
        <is>
          <t>Building name from research (landlord or common name).</t>
        </is>
      </c>
    </row>
    <row r="125">
      <c r="A125" t="inlineStr">
        <is>
          <t>address_source_url</t>
        </is>
      </c>
      <c r="B125" t="inlineStr">
        <is>
          <t>offices</t>
        </is>
      </c>
      <c r="C125" t="inlineStr">
        <is>
          <t>office research</t>
        </is>
      </c>
      <c r="D125" t="inlineStr">
        <is>
          <t>build</t>
        </is>
      </c>
      <c r="E125" s="6" t="inlineStr">
        <is>
          <t>URL</t>
        </is>
      </c>
      <c r="F125" s="7" t="inlineStr">
        <is>
          <t>Source that places the company at the address.</t>
        </is>
      </c>
    </row>
    <row r="126">
      <c r="A126" t="inlineStr">
        <is>
          <t>address_source_date</t>
        </is>
      </c>
      <c r="B126" t="inlineStr">
        <is>
          <t>offices</t>
        </is>
      </c>
      <c r="C126" t="inlineStr">
        <is>
          <t>office research</t>
        </is>
      </c>
      <c r="D126" t="inlineStr">
        <is>
          <t>build</t>
        </is>
      </c>
      <c r="E126" s="7" t="inlineStr">
        <is>
          <t>date</t>
        </is>
      </c>
      <c r="F126" s="7" t="inlineStr">
        <is>
          <t>Date of that source (publication date, or the date a live page was opened).</t>
        </is>
      </c>
    </row>
    <row r="127">
      <c r="A127" t="inlineStr">
        <is>
          <t>address_source_type</t>
        </is>
      </c>
      <c r="B127" t="inlineStr">
        <is>
          <t>offices</t>
        </is>
      </c>
      <c r="C127" t="inlineStr">
        <is>
          <t>office research</t>
        </is>
      </c>
      <c r="D127" t="inlineStr">
        <is>
          <t>build</t>
        </is>
      </c>
      <c r="E127" s="7" t="inlineStr">
        <is>
          <t>company-site, leasing-press, builtin, building-site, press-release, wikipedia, other, operator-site</t>
        </is>
      </c>
      <c r="F127" s="7" t="inlineStr">
        <is>
          <t>company-site, leasing-press, builtin, building-site, press-release, wikipedia or other.</t>
        </is>
      </c>
    </row>
    <row r="128">
      <c r="A128" t="inlineStr">
        <is>
          <t>second_source_url</t>
        </is>
      </c>
      <c r="B128" t="inlineStr">
        <is>
          <t>offices</t>
        </is>
      </c>
      <c r="C128" t="inlineStr">
        <is>
          <t>office research</t>
        </is>
      </c>
      <c r="D128" t="inlineStr">
        <is>
          <t>build</t>
        </is>
      </c>
      <c r="E128" s="7" t="inlineStr">
        <is>
          <t>URL or blank</t>
        </is>
      </c>
      <c r="F128" s="7" t="inlineStr">
        <is>
          <t>Independent confirmation, if any: press, a landlord or broker release, a filing or an encyclopedia. On a high row it is never an employer-editable profile when the first source is the company's own page (review round 3).</t>
        </is>
      </c>
    </row>
    <row r="129">
      <c r="A129" t="inlineStr">
        <is>
          <t>second_source_date</t>
        </is>
      </c>
      <c r="B129" t="inlineStr">
        <is>
          <t>offices</t>
        </is>
      </c>
      <c r="C129" t="inlineStr">
        <is>
          <t>office research</t>
        </is>
      </c>
      <c r="D129" t="inlineStr">
        <is>
          <t>build</t>
        </is>
      </c>
      <c r="E129" s="7" t="inlineStr">
        <is>
          <t>date or blank</t>
        </is>
      </c>
      <c r="F129" s="7" t="inlineStr">
        <is>
          <t>Date of the second source.</t>
        </is>
      </c>
    </row>
    <row r="130">
      <c r="A130" t="inlineStr">
        <is>
          <t>source_note</t>
        </is>
      </c>
      <c r="B130" t="inlineStr">
        <is>
          <t>offices</t>
        </is>
      </c>
      <c r="C130" t="inlineStr">
        <is>
          <t>office research</t>
        </is>
      </c>
      <c r="D130" t="inlineStr">
        <is>
          <t>build</t>
        </is>
      </c>
      <c r="E130" s="7" t="inlineStr">
        <is>
          <t>text</t>
        </is>
      </c>
      <c r="F130" s="7" t="inlineStr">
        <is>
          <t>Set when a source is a sec.gov filing agents do not open (the founder may open it in a browser).</t>
        </is>
      </c>
    </row>
    <row r="131">
      <c r="A131" t="inlineStr">
        <is>
          <t>confidence</t>
        </is>
      </c>
      <c r="B131" t="inlineStr">
        <is>
          <t>offices</t>
        </is>
      </c>
      <c r="C131" t="inlineStr">
        <is>
          <t>office research</t>
        </is>
      </c>
      <c r="D131" t="inlineStr">
        <is>
          <t>build</t>
        </is>
      </c>
      <c r="E131" s="7" t="inlineStr">
        <is>
          <t>high, medium, low</t>
        </is>
      </c>
      <c r="F131" s="7" t="inlineStr">
        <is>
          <t>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is>
      </c>
    </row>
    <row r="132">
      <c r="A132" t="inlineStr">
        <is>
          <t>move_in_date</t>
        </is>
      </c>
      <c r="B132" t="inlineStr">
        <is>
          <t>offices</t>
        </is>
      </c>
      <c r="C132" t="inlineStr">
        <is>
          <t>office research</t>
        </is>
      </c>
      <c r="D132" t="inlineStr">
        <is>
          <t>build</t>
        </is>
      </c>
      <c r="E132" s="7" t="inlineStr">
        <is>
          <t>YYYY-MM, unknown or blank</t>
        </is>
      </c>
      <c r="F132" s="7" t="inlineStr">
        <is>
          <t>For signed-not-occupied and moving-out rows: YYYY-MM if a source states the month, else 'unknown' (a planned season is written in notes). Blank when the row is occupied or occupancy-unconfirmed.</t>
        </is>
      </c>
    </row>
    <row r="133">
      <c r="A133" t="inlineStr">
        <is>
          <t>in_coworking</t>
        </is>
      </c>
      <c r="B133" t="inlineStr">
        <is>
          <t>offices</t>
        </is>
      </c>
      <c r="C133" t="inlineStr">
        <is>
          <t>office research</t>
        </is>
      </c>
      <c r="D133" t="inlineStr">
        <is>
          <t>build</t>
        </is>
      </c>
      <c r="E133" s="6" t="inlineStr">
        <is>
          <t>Y, N</t>
        </is>
      </c>
      <c r="F133" s="7" t="inlineStr">
        <is>
          <t>Y if the company is inside a coworking or serviced-office space (listed as a resident, or on a floor the operator holds), else N. Y rows are excluded as offices.</t>
        </is>
      </c>
    </row>
    <row r="134">
      <c r="A134" t="inlineStr">
        <is>
          <t>coworking_id</t>
        </is>
      </c>
      <c r="B134" t="inlineStr">
        <is>
          <t>offices</t>
        </is>
      </c>
      <c r="C134" t="inlineStr">
        <is>
          <t>office research</t>
        </is>
      </c>
      <c r="D134" t="inlineStr">
        <is>
          <t>build</t>
        </is>
      </c>
      <c r="E134" s="7" t="inlineStr">
        <is>
          <t>B-W-### or blank</t>
        </is>
      </c>
      <c r="F134" s="7" t="inlineStr">
        <is>
          <t>B-W-### of the coworking site the company is inside (only when in_coworking = Y). For a company that merely shares a building with a coworking site, see coworking_check and the building's coworking_ids.</t>
        </is>
      </c>
    </row>
    <row r="135">
      <c r="A135" t="inlineStr">
        <is>
          <t>pantry_control</t>
        </is>
      </c>
      <c r="B135" t="inlineStr">
        <is>
          <t>offices</t>
        </is>
      </c>
      <c r="C135" t="inlineStr">
        <is>
          <t>office research</t>
        </is>
      </c>
      <c r="D135" t="inlineStr">
        <is>
          <t>build</t>
        </is>
      </c>
      <c r="E135" s="7" t="inlineStr">
        <is>
          <t>operator, tenant, unknown (coworking rows)</t>
        </is>
      </c>
      <c r="F135" s="7" t="inlineStr">
        <is>
          <t>operator (the operator's own page or listing says it supplies coffee, drinks or snacks), tenant, or unknown.</t>
        </is>
      </c>
    </row>
    <row r="136">
      <c r="A136" t="inlineStr">
        <is>
          <t>lobby_type</t>
        </is>
      </c>
      <c r="B136" t="inlineStr">
        <is>
          <t>offices</t>
        </is>
      </c>
      <c r="C136" t="inlineStr">
        <is>
          <t>office research</t>
        </is>
      </c>
      <c r="D136" t="inlineStr">
        <is>
          <t>build</t>
        </is>
      </c>
      <c r="E136" s="7" t="inlineStr">
        <is>
          <t>walk-up, security desk, loading dock, unknown</t>
        </is>
      </c>
      <c r="F136" s="7" t="inlineStr">
        <is>
          <t>walk-up, security desk, loading dock or unknown. Set only from an opened source (broker page, building site, press); undated broker pages are a starting point for the walk, not a verification.</t>
        </is>
      </c>
    </row>
    <row r="137">
      <c r="A137" t="inlineStr">
        <is>
          <t>lobby_source_url</t>
        </is>
      </c>
      <c r="B137" t="inlineStr">
        <is>
          <t>offices</t>
        </is>
      </c>
      <c r="C137" t="inlineStr">
        <is>
          <t>office research</t>
        </is>
      </c>
      <c r="D137" t="inlineStr">
        <is>
          <t>build</t>
        </is>
      </c>
      <c r="E137" s="7" t="inlineStr">
        <is>
          <t>URL or blank</t>
        </is>
      </c>
      <c r="F137" s="7" t="inlineStr">
        <is>
          <t>Source for lobby_type.</t>
        </is>
      </c>
    </row>
    <row r="138">
      <c r="A138" t="inlineStr">
        <is>
          <t>coi_required</t>
        </is>
      </c>
      <c r="B138" t="inlineStr">
        <is>
          <t>offices</t>
        </is>
      </c>
      <c r="C138" t="inlineStr">
        <is>
          <t>office research</t>
        </is>
      </c>
      <c r="D138" t="inlineStr">
        <is>
          <t>build</t>
        </is>
      </c>
      <c r="E138" s="7" t="inlineStr">
        <is>
          <t>yes, no, unknown</t>
        </is>
      </c>
      <c r="F138" s="7" t="inlineStr">
        <is>
          <t>yes, no or unknown: whether the building requires a certificate of insurance for deliveries. No opened source states a delivery rule, so every row is unknown.</t>
        </is>
      </c>
    </row>
    <row r="139">
      <c r="A139" t="inlineStr">
        <is>
          <t>tuesday_named_in_policy</t>
        </is>
      </c>
      <c r="B139" t="inlineStr">
        <is>
          <t>offices</t>
        </is>
      </c>
      <c r="C139" t="inlineStr">
        <is>
          <t>office research</t>
        </is>
      </c>
      <c r="D139" t="inlineStr">
        <is>
          <t>build</t>
        </is>
      </c>
      <c r="E139" s="6" t="inlineStr">
        <is>
          <t>Y, N</t>
        </is>
      </c>
      <c r="F139" s="7" t="inlineStr">
        <is>
          <t>Y when the employer's own policy text names Tuesday as an office day.</t>
        </is>
      </c>
    </row>
    <row r="140">
      <c r="A140" t="inlineStr">
        <is>
          <t>attendance_evidence</t>
        </is>
      </c>
      <c r="B140" t="inlineStr">
        <is>
          <t>offices</t>
        </is>
      </c>
      <c r="C140" t="inlineStr">
        <is>
          <t>office research</t>
        </is>
      </c>
      <c r="D140" t="inlineStr">
        <is>
          <t>build</t>
        </is>
      </c>
      <c r="E140" s="7" t="inlineStr">
        <is>
          <t>text</t>
        </is>
      </c>
      <c r="F140" s="7" t="inlineStr">
        <is>
          <t>The words the attendance signal rests on.</t>
        </is>
      </c>
    </row>
    <row r="141">
      <c r="A141" t="inlineStr">
        <is>
          <t>attendance_source_url</t>
        </is>
      </c>
      <c r="B141" t="inlineStr">
        <is>
          <t>offices</t>
        </is>
      </c>
      <c r="C141" t="inlineStr">
        <is>
          <t>office research</t>
        </is>
      </c>
      <c r="D141" t="inlineStr">
        <is>
          <t>build</t>
        </is>
      </c>
      <c r="E141" s="6" t="inlineStr">
        <is>
          <t>URL</t>
        </is>
      </c>
      <c r="F141" s="7" t="inlineStr">
        <is>
          <t>Page the attendance signal comes from (Built In offices page, opened 2026-10-24, or B's source).</t>
        </is>
      </c>
    </row>
    <row r="142">
      <c r="A142" t="inlineStr">
        <is>
          <t>attendance_source_date</t>
        </is>
      </c>
      <c r="B142" t="inlineStr">
        <is>
          <t>offices</t>
        </is>
      </c>
      <c r="C142" t="inlineStr">
        <is>
          <t>office research</t>
        </is>
      </c>
      <c r="D142" t="inlineStr">
        <is>
          <t>build</t>
        </is>
      </c>
      <c r="E142" s="7" t="inlineStr">
        <is>
          <t>date</t>
        </is>
      </c>
      <c r="F142" s="7" t="inlineStr">
        <is>
          <t>Date that page was opened.</t>
        </is>
      </c>
    </row>
    <row r="143">
      <c r="A143" t="inlineStr">
        <is>
          <t>b_candidate_status</t>
        </is>
      </c>
      <c r="B143" t="inlineStr">
        <is>
          <t>offices</t>
        </is>
      </c>
      <c r="C143" t="inlineStr">
        <is>
          <t>office research</t>
        </is>
      </c>
      <c r="D143" t="inlineStr">
        <is>
          <t>build</t>
        </is>
      </c>
      <c r="E143" s="7" t="inlineStr">
        <is>
          <t>candidate, excluded-coworking, excluded-not-office, near-miss, coworking-operator</t>
        </is>
      </c>
      <c r="F143" s="7" t="inlineStr">
        <is>
          <t>candidate (in the boundary, 40-500 or unknown band, not in coworking); excluded-coworking; excluded-not-office (for example a mailbox suite); near-miss-over-500; near-miss-outside.</t>
        </is>
      </c>
    </row>
    <row r="144">
      <c r="A144" t="inlineStr">
        <is>
          <t>near_miss_class</t>
        </is>
      </c>
      <c r="B144" t="inlineStr">
        <is>
          <t>offices</t>
        </is>
      </c>
      <c r="C144" t="inlineStr">
        <is>
          <t>office research</t>
        </is>
      </c>
      <c r="D144" t="inlineStr">
        <is>
          <t>build</t>
        </is>
      </c>
      <c r="E144" s="7" t="inlineStr">
        <is>
          <t>text or blank</t>
        </is>
      </c>
      <c r="F144" s="7" t="inlineStr">
        <is>
          <t>Near-miss tab only: just-over-500 (501 to 1,000, the brief's 'just over 500'), over-1,000 (1,001 to 4,999), not-near (5,000 or more), over-500-count-not-cited, or outside-line (past the boundary).</t>
        </is>
      </c>
    </row>
    <row r="145">
      <c r="A145" t="inlineStr">
        <is>
          <t>nyc_office_may_fit</t>
        </is>
      </c>
      <c r="B145" t="inlineStr">
        <is>
          <t>offices</t>
        </is>
      </c>
      <c r="C145" t="inlineStr">
        <is>
          <t>office research</t>
        </is>
      </c>
      <c r="D145" t="inlineStr">
        <is>
          <t>build</t>
        </is>
      </c>
      <c r="E145" s="7" t="inlineStr">
        <is>
          <t>Y or blank</t>
        </is>
      </c>
      <c r="F145" s="7" t="inlineStr">
        <is>
          <t>Near-miss tab only: Y where a source suggests the New York office alone could fit the 40-250 band (a small NYC lease against an HQ elsewhere, or the source says so). A flag for a founder look, not a size estimate.</t>
        </is>
      </c>
    </row>
    <row r="146">
      <c r="A146" t="inlineStr">
        <is>
          <t>leased_sf_mentioned</t>
        </is>
      </c>
      <c r="B146" t="inlineStr">
        <is>
          <t>offices</t>
        </is>
      </c>
      <c r="C146" t="inlineStr">
        <is>
          <t>office research</t>
        </is>
      </c>
      <c r="D146" t="inlineStr">
        <is>
          <t>build</t>
        </is>
      </c>
      <c r="E146" s="7" t="inlineStr">
        <is>
          <t>numbers</t>
        </is>
      </c>
      <c r="F146" s="7" t="inlineStr">
        <is>
          <t>Office sizes (square feet) that appear in the sourced notes. A fact from the source, not a headcount.</t>
        </is>
      </c>
    </row>
    <row r="147">
      <c r="A147" t="inlineStr">
        <is>
          <t>b_notes</t>
        </is>
      </c>
      <c r="B147" t="inlineStr">
        <is>
          <t>offices</t>
        </is>
      </c>
      <c r="C147" t="inlineStr">
        <is>
          <t>office research</t>
        </is>
      </c>
      <c r="D147" t="inlineStr">
        <is>
          <t>build</t>
        </is>
      </c>
      <c r="E147" s="7" t="inlineStr">
        <is>
          <t>text</t>
        </is>
      </c>
      <c r="F147" s="7" t="inlineStr">
        <is>
          <t>B's research notes for the row, with sources.</t>
        </is>
      </c>
    </row>
    <row r="148">
      <c r="A148" t="inlineStr">
        <is>
          <t>a_corrections</t>
        </is>
      </c>
      <c r="B148" t="inlineStr">
        <is>
          <t>offices</t>
        </is>
      </c>
      <c r="C148" t="inlineStr">
        <is>
          <t>office research</t>
        </is>
      </c>
      <c r="D148" t="inlineStr">
        <is>
          <t>build</t>
        </is>
      </c>
      <c r="E148" s="7" t="inlineStr">
        <is>
          <t>text</t>
        </is>
      </c>
      <c r="F148" s="7" t="inlineStr">
        <is>
          <t>Facts this workstream changed after B, each with its source and date (_work/stage3_corrections.csv).</t>
        </is>
      </c>
    </row>
    <row r="149">
      <c r="A149" t="inlineStr">
        <is>
          <t>hq_state</t>
        </is>
      </c>
      <c r="B149" t="inlineStr">
        <is>
          <t>brands</t>
        </is>
      </c>
      <c r="C149" t="inlineStr">
        <is>
          <t>brand research</t>
        </is>
      </c>
      <c r="D149" t="inlineStr">
        <is>
          <t>build</t>
        </is>
      </c>
      <c r="E149" s="7" t="inlineStr">
        <is>
          <t>two-letter state, country or unknown</t>
        </is>
      </c>
      <c r="F149" s="7" t="inlineStr">
        <is>
          <t>Brand HQ state.</t>
        </is>
      </c>
    </row>
    <row r="150">
      <c r="A150" t="inlineStr">
        <is>
          <t>hq_class</t>
        </is>
      </c>
      <c r="B150" t="inlineStr">
        <is>
          <t>brands</t>
        </is>
      </c>
      <c r="C150" t="inlineStr">
        <is>
          <t>brand research</t>
        </is>
      </c>
      <c r="D150" t="inlineStr">
        <is>
          <t>build</t>
        </is>
      </c>
      <c r="E150" s="7" t="inlineStr">
        <is>
          <t>nyc, nys, northeast, elsewhere, unknown, with '(unverified)'</t>
        </is>
      </c>
      <c r="F150" s="7" t="inlineStr">
        <is>
          <t>HQ class used by score_ny (New York brands come first).</t>
        </is>
      </c>
    </row>
    <row r="151">
      <c r="A151" t="inlineStr">
        <is>
          <t>funding_stage</t>
        </is>
      </c>
      <c r="B151" t="inlineStr">
        <is>
          <t>brands</t>
        </is>
      </c>
      <c r="C151" t="inlineStr">
        <is>
          <t>brand research</t>
        </is>
      </c>
      <c r="D151" t="inlineStr">
        <is>
          <t>build</t>
        </is>
      </c>
      <c r="E151" s="7" t="inlineStr">
        <is>
          <t>text or unknown</t>
        </is>
      </c>
      <c r="F151" s="7" t="inlineStr">
        <is>
          <t>Funding stage as researched.</t>
        </is>
      </c>
    </row>
    <row r="152">
      <c r="A152" t="inlineStr">
        <is>
          <t>funding_source_url</t>
        </is>
      </c>
      <c r="B152" t="inlineStr">
        <is>
          <t>brands</t>
        </is>
      </c>
      <c r="C152" t="inlineStr">
        <is>
          <t>brand research</t>
        </is>
      </c>
      <c r="D152" t="inlineStr">
        <is>
          <t>build</t>
        </is>
      </c>
      <c r="E152" s="7" t="inlineStr">
        <is>
          <t>URL or blank</t>
        </is>
      </c>
      <c r="F152" s="7" t="inlineStr">
        <is>
          <t>Source of funding_stage.</t>
        </is>
      </c>
    </row>
    <row r="153">
      <c r="A153" t="inlineStr">
        <is>
          <t>shelf_stable</t>
        </is>
      </c>
      <c r="B153" t="inlineStr">
        <is>
          <t>brands</t>
        </is>
      </c>
      <c r="C153" t="inlineStr">
        <is>
          <t>brand research</t>
        </is>
      </c>
      <c r="D153" t="inlineStr">
        <is>
          <t>build</t>
        </is>
      </c>
      <c r="E153" s="7" t="inlineStr">
        <is>
          <t>Y, likely, unknown, N</t>
        </is>
      </c>
      <c r="F153" s="7" t="inlineStr">
        <is>
          <t>Sealed and shelf-stable; N fails the gate; likely or unknown pass with founder_review (the 60-day shelf life is asked at intake, q1).</t>
        </is>
      </c>
    </row>
    <row r="154">
      <c r="A154" t="inlineStr">
        <is>
          <t>shelf_stable_basis</t>
        </is>
      </c>
      <c r="B154" t="inlineStr">
        <is>
          <t>brands</t>
        </is>
      </c>
      <c r="C154" t="inlineStr">
        <is>
          <t>brand research</t>
        </is>
      </c>
      <c r="D154" t="inlineStr">
        <is>
          <t>build</t>
        </is>
      </c>
      <c r="E154" s="7" t="inlineStr">
        <is>
          <t>text</t>
        </is>
      </c>
      <c r="F154" s="7" t="inlineStr">
        <is>
          <t>The page and words shelf_stable rests on.</t>
        </is>
      </c>
    </row>
    <row r="155">
      <c r="A155" t="inlineStr">
        <is>
          <t>individually_packaged</t>
        </is>
      </c>
      <c r="B155" t="inlineStr">
        <is>
          <t>brands</t>
        </is>
      </c>
      <c r="C155" t="inlineStr">
        <is>
          <t>brand research</t>
        </is>
      </c>
      <c r="D155" t="inlineStr">
        <is>
          <t>build</t>
        </is>
      </c>
      <c r="E155" s="7" t="inlineStr">
        <is>
          <t>Y, unknown, N</t>
        </is>
      </c>
      <c r="F155" s="7" t="inlineStr">
        <is>
          <t>Single-serve, individually packaged SKU.</t>
        </is>
      </c>
    </row>
    <row r="156">
      <c r="A156" t="inlineStr">
        <is>
          <t>online_store</t>
        </is>
      </c>
      <c r="B156" t="inlineStr">
        <is>
          <t>brands</t>
        </is>
      </c>
      <c r="C156" t="inlineStr">
        <is>
          <t>brand research</t>
        </is>
      </c>
      <c r="D156" t="inlineStr">
        <is>
          <t>build</t>
        </is>
      </c>
      <c r="E156" s="7" t="inlineStr">
        <is>
          <t>Y, N, unknown</t>
        </is>
      </c>
      <c r="F156" s="7" t="inlineStr">
        <is>
          <t>The brand sells online (its own store, or Amazon linked from its site).</t>
        </is>
      </c>
    </row>
    <row r="157">
      <c r="A157" t="inlineStr">
        <is>
          <t>revenue_band</t>
        </is>
      </c>
      <c r="B157" t="inlineStr">
        <is>
          <t>brands</t>
        </is>
      </c>
      <c r="C157" t="inlineStr">
        <is>
          <t>brand research</t>
        </is>
      </c>
      <c r="D157" t="inlineStr">
        <is>
          <t>build</t>
        </is>
      </c>
      <c r="E157" s="7" t="inlineStr">
        <is>
          <t>under-500k, 500k-10m, over-10m, unknown</t>
        </is>
      </c>
      <c r="F157" s="7" t="inlineStr">
        <is>
          <t>Revenue band with basis, or unknown. Over $10M sets the -35 review penalty.</t>
        </is>
      </c>
    </row>
    <row r="158">
      <c r="A158" t="inlineStr">
        <is>
          <t>revenue_band_type</t>
        </is>
      </c>
      <c r="B158" t="inlineStr">
        <is>
          <t>brands</t>
        </is>
      </c>
      <c r="C158" t="inlineStr">
        <is>
          <t>brand research</t>
        </is>
      </c>
      <c r="D158" t="inlineStr">
        <is>
          <t>build</t>
        </is>
      </c>
      <c r="E158" s="7" t="inlineStr">
        <is>
          <t>text</t>
        </is>
      </c>
      <c r="F158" s="7" t="inlineStr">
        <is>
          <t>reported, company projection, press quote, and its age.</t>
        </is>
      </c>
    </row>
    <row r="159">
      <c r="A159" t="inlineStr">
        <is>
          <t>revenue_basis</t>
        </is>
      </c>
      <c r="B159" t="inlineStr">
        <is>
          <t>brands</t>
        </is>
      </c>
      <c r="C159" t="inlineStr">
        <is>
          <t>brand research</t>
        </is>
      </c>
      <c r="D159" t="inlineStr">
        <is>
          <t>build</t>
        </is>
      </c>
      <c r="E159" s="7" t="inlineStr">
        <is>
          <t>text</t>
        </is>
      </c>
      <c r="F159" s="7" t="inlineStr">
        <is>
          <t>The figure and its source, or unknown.</t>
        </is>
      </c>
    </row>
    <row r="160">
      <c r="A160" t="inlineStr">
        <is>
          <t>health_claim_flag</t>
        </is>
      </c>
      <c r="B160" t="inlineStr">
        <is>
          <t>brands</t>
        </is>
      </c>
      <c r="C160" t="inlineStr">
        <is>
          <t>brand research</t>
        </is>
      </c>
      <c r="D160" t="inlineStr">
        <is>
          <t>build</t>
        </is>
      </c>
      <c r="E160" s="7" t="inlineStr">
        <is>
          <t>text</t>
        </is>
      </c>
      <c r="F160" s="7" t="inlineStr">
        <is>
          <t>Researcher's note on claims (nutrient-content claims are allowed with founder_review; structure or function claims fail the gate).</t>
        </is>
      </c>
    </row>
    <row r="161">
      <c r="A161" t="inlineStr">
        <is>
          <t>research_excluded</t>
        </is>
      </c>
      <c r="B161" t="inlineStr">
        <is>
          <t>brands</t>
        </is>
      </c>
      <c r="C161" t="inlineStr">
        <is>
          <t>brand research</t>
        </is>
      </c>
      <c r="D161" t="inlineStr">
        <is>
          <t>build</t>
        </is>
      </c>
      <c r="E161" s="6" t="inlineStr">
        <is>
          <t>Y, N</t>
        </is>
      </c>
      <c r="F161" s="7" t="inlineStr">
        <is>
          <t>The researcher's own exclusion call.</t>
        </is>
      </c>
    </row>
    <row r="162">
      <c r="A162" t="inlineStr">
        <is>
          <t>research_exclusion_reason</t>
        </is>
      </c>
      <c r="B162" t="inlineStr">
        <is>
          <t>brands</t>
        </is>
      </c>
      <c r="C162" t="inlineStr">
        <is>
          <t>brand research</t>
        </is>
      </c>
      <c r="D162" t="inlineStr">
        <is>
          <t>build</t>
        </is>
      </c>
      <c r="E162" s="7" t="inlineStr">
        <is>
          <t>text</t>
        </is>
      </c>
      <c r="F162" s="7" t="inlineStr">
        <is>
          <t>Why the researcher excluded it.</t>
        </is>
      </c>
    </row>
    <row r="163">
      <c r="A163" t="inlineStr">
        <is>
          <t>nearest_retailer_blocks_outside</t>
        </is>
      </c>
      <c r="B163" t="inlineStr">
        <is>
          <t>brands</t>
        </is>
      </c>
      <c r="C163" t="inlineStr">
        <is>
          <t>brand research</t>
        </is>
      </c>
      <c r="D163" t="inlineStr">
        <is>
          <t>build</t>
        </is>
      </c>
      <c r="E163" s="7" t="inlineStr">
        <is>
          <t>number or blank</t>
        </is>
      </c>
      <c r="F163" s="7" t="inlineStr">
        <is>
          <t>Street blocks from the boundary to nearest_stocked_retailer (B's grid measure); 0 is inside.</t>
        </is>
      </c>
    </row>
    <row r="164">
      <c r="A164" t="inlineStr">
        <is>
          <t>nearest_retailer_inside_cluster</t>
        </is>
      </c>
      <c r="B164" t="inlineStr">
        <is>
          <t>brands</t>
        </is>
      </c>
      <c r="C164" t="inlineStr">
        <is>
          <t>brand research</t>
        </is>
      </c>
      <c r="D164" t="inlineStr">
        <is>
          <t>build</t>
        </is>
      </c>
      <c r="E164" s="6" t="inlineStr">
        <is>
          <t>Y, N</t>
        </is>
      </c>
      <c r="F164" s="7" t="inlineStr">
        <is>
          <t>The nearest graded store is inside the line.</t>
        </is>
      </c>
    </row>
    <row r="165">
      <c r="A165" t="inlineStr">
        <is>
          <t>graded_retailer_count_within_ten</t>
        </is>
      </c>
      <c r="B165" t="inlineStr">
        <is>
          <t>brands</t>
        </is>
      </c>
      <c r="C165" t="inlineStr">
        <is>
          <t>brand research</t>
        </is>
      </c>
      <c r="D165" t="inlineStr">
        <is>
          <t>build</t>
        </is>
      </c>
      <c r="E165" s="7" t="inlineStr">
        <is>
          <t>number</t>
        </is>
      </c>
      <c r="F165" s="7" t="inlineStr">
        <is>
          <t>Stores within ten blocks graded store_selector or brand_claim.</t>
        </is>
      </c>
    </row>
    <row r="166">
      <c r="A166" t="inlineStr">
        <is>
          <t>retailers_within_ten_blocks</t>
        </is>
      </c>
      <c r="B166" t="inlineStr">
        <is>
          <t>brands</t>
        </is>
      </c>
      <c r="C166" t="inlineStr">
        <is>
          <t>brand research</t>
        </is>
      </c>
      <c r="D166" t="inlineStr">
        <is>
          <t>build</t>
        </is>
      </c>
      <c r="E166" s="7" t="inlineStr">
        <is>
          <t>list</t>
        </is>
      </c>
      <c r="F166" s="7" t="inlineStr">
        <is>
          <t>Every store within ten blocks with grade and distance.</t>
        </is>
      </c>
    </row>
    <row r="167">
      <c r="A167" t="inlineStr">
        <is>
          <t>stores_beyond_ten_or_unplaced</t>
        </is>
      </c>
      <c r="B167" t="inlineStr">
        <is>
          <t>brands</t>
        </is>
      </c>
      <c r="C167" t="inlineStr">
        <is>
          <t>brand research</t>
        </is>
      </c>
      <c r="D167" t="inlineStr">
        <is>
          <t>build</t>
        </is>
      </c>
      <c r="E167" s="7" t="inlineStr">
        <is>
          <t>list</t>
        </is>
      </c>
      <c r="F167" s="7" t="inlineStr">
        <is>
          <t>Stores further out or with no address.</t>
        </is>
      </c>
    </row>
    <row r="168">
      <c r="A168" t="inlineStr">
        <is>
          <t>retailers_claimed</t>
        </is>
      </c>
      <c r="B168" t="inlineStr">
        <is>
          <t>brands</t>
        </is>
      </c>
      <c r="C168" t="inlineStr">
        <is>
          <t>brand research</t>
        </is>
      </c>
      <c r="D168" t="inlineStr">
        <is>
          <t>build</t>
        </is>
      </c>
      <c r="E168" s="7" t="inlineStr">
        <is>
          <t>text</t>
        </is>
      </c>
      <c r="F168" s="7" t="inlineStr">
        <is>
          <t>Retailers the researcher found (any distance).</t>
        </is>
      </c>
    </row>
    <row r="169">
      <c r="A169" t="inlineStr">
        <is>
          <t>retailer_evidence_urls</t>
        </is>
      </c>
      <c r="B169" t="inlineStr">
        <is>
          <t>brands</t>
        </is>
      </c>
      <c r="C169" t="inlineStr">
        <is>
          <t>brand research</t>
        </is>
      </c>
      <c r="D169" t="inlineStr">
        <is>
          <t>build</t>
        </is>
      </c>
      <c r="E169" s="7" t="inlineStr">
        <is>
          <t>URLs</t>
        </is>
      </c>
      <c r="F169" s="7" t="inlineStr">
        <is>
          <t>Pages behind the store links (store catalog, locator).</t>
        </is>
      </c>
    </row>
    <row r="170">
      <c r="A170" t="inlineStr">
        <is>
          <t>why_now_type</t>
        </is>
      </c>
      <c r="B170" t="inlineStr">
        <is>
          <t>brands</t>
        </is>
      </c>
      <c r="C170" t="inlineStr">
        <is>
          <t>brand research</t>
        </is>
      </c>
      <c r="D170" t="inlineStr">
        <is>
          <t>build</t>
        </is>
      </c>
      <c r="E170" s="7" t="inlineStr">
        <is>
          <t>press, listing, unverified, none, stale (over 12 months)</t>
        </is>
      </c>
      <c r="F170" s="7" t="inlineStr">
        <is>
          <t>press: a third party; listing: the brand's own site or store feed; unverified earns nothing.</t>
        </is>
      </c>
    </row>
    <row r="171">
      <c r="A171" t="inlineStr">
        <is>
          <t>why_now_age_days</t>
        </is>
      </c>
      <c r="B171" t="inlineStr">
        <is>
          <t>brands</t>
        </is>
      </c>
      <c r="C171" t="inlineStr">
        <is>
          <t>brand research</t>
        </is>
      </c>
      <c r="D171" t="inlineStr">
        <is>
          <t>build</t>
        </is>
      </c>
      <c r="E171" s="7" t="inlineStr">
        <is>
          <t>number</t>
        </is>
      </c>
      <c r="F171" s="7" t="inlineStr">
        <is>
          <t>Days from why_now_date to 2026-10-24.</t>
        </is>
      </c>
    </row>
    <row r="172">
      <c r="A172" t="inlineStr">
        <is>
          <t>startup_cpg_evidence_url</t>
        </is>
      </c>
      <c r="B172" t="inlineStr">
        <is>
          <t>brands</t>
        </is>
      </c>
      <c r="C172" t="inlineStr">
        <is>
          <t>brand research</t>
        </is>
      </c>
      <c r="D172" t="inlineStr">
        <is>
          <t>build</t>
        </is>
      </c>
      <c r="E172" s="7" t="inlineStr">
        <is>
          <t>URL or blank</t>
        </is>
      </c>
      <c r="F172" s="7" t="inlineStr">
        <is>
          <t>The public Startup CPG page behind startup_cpg_member = Y.</t>
        </is>
      </c>
    </row>
    <row r="173">
      <c r="A173" t="inlineStr">
        <is>
          <t>instagram_url</t>
        </is>
      </c>
      <c r="B173" t="inlineStr">
        <is>
          <t>brands</t>
        </is>
      </c>
      <c r="C173" t="inlineStr">
        <is>
          <t>brand research</t>
        </is>
      </c>
      <c r="D173" t="inlineStr">
        <is>
          <t>build</t>
        </is>
      </c>
      <c r="E173" s="7" t="inlineStr">
        <is>
          <t>URL or blank</t>
        </is>
      </c>
      <c r="F173" s="7" t="inlineStr">
        <is>
          <t>Brand Instagram (not opened).</t>
        </is>
      </c>
    </row>
    <row r="174">
      <c r="A174" t="inlineStr">
        <is>
          <t>research_slice</t>
        </is>
      </c>
      <c r="B174" t="inlineStr">
        <is>
          <t>brands</t>
        </is>
      </c>
      <c r="C174" t="inlineStr">
        <is>
          <t>brand research</t>
        </is>
      </c>
      <c r="D174" t="inlineStr">
        <is>
          <t>build</t>
        </is>
      </c>
      <c r="E174" s="7" t="inlineStr">
        <is>
          <t>BR1 to BR5</t>
        </is>
      </c>
      <c r="F174" s="7" t="inlineStr">
        <is>
          <t>Which research slice found the brand.</t>
        </is>
      </c>
    </row>
    <row r="175">
      <c r="A175" t="inlineStr">
        <is>
          <t>slice_row</t>
        </is>
      </c>
      <c r="B175" t="inlineStr">
        <is>
          <t>brands</t>
        </is>
      </c>
      <c r="C175" t="inlineStr">
        <is>
          <t>brand research</t>
        </is>
      </c>
      <c r="D175" t="inlineStr">
        <is>
          <t>build</t>
        </is>
      </c>
      <c r="E175" s="7" t="inlineStr">
        <is>
          <t>BRn:line</t>
        </is>
      </c>
      <c r="F175" s="7" t="inlineStr">
        <is>
          <t>The line in that slice file.</t>
        </is>
      </c>
    </row>
    <row r="176">
      <c r="A176" t="inlineStr">
        <is>
          <t>notes</t>
        </is>
      </c>
      <c r="B176" t="inlineStr">
        <is>
          <t>brands</t>
        </is>
      </c>
      <c r="C176" t="inlineStr">
        <is>
          <t>brand research</t>
        </is>
      </c>
      <c r="D176" t="inlineStr">
        <is>
          <t>build</t>
        </is>
      </c>
      <c r="E176" s="7" t="inlineStr">
        <is>
          <t>text</t>
        </is>
      </c>
      <c r="F176" s="7" t="inlineStr">
        <is>
          <t>Research notes with sources, then build notes after ' | '.</t>
        </is>
      </c>
    </row>
    <row r="177">
      <c r="A177" t="inlineStr">
        <is>
          <t>enrichment_log</t>
        </is>
      </c>
      <c r="B177" t="inlineStr">
        <is>
          <t>brands</t>
        </is>
      </c>
      <c r="C177" t="inlineStr">
        <is>
          <t>brand research</t>
        </is>
      </c>
      <c r="D177" t="inlineStr">
        <is>
          <t>build</t>
        </is>
      </c>
      <c r="E177" s="7" t="inlineStr">
        <is>
          <t>text</t>
        </is>
      </c>
      <c r="F177" s="7" t="inlineStr">
        <is>
          <t>Every field update applied to the row, with source, date and confidence.</t>
        </is>
      </c>
    </row>
    <row r="178">
      <c r="A178" t="inlineStr">
        <is>
          <t>sequence</t>
        </is>
      </c>
      <c r="B178" t="inlineStr">
        <is>
          <t>both</t>
        </is>
      </c>
      <c r="C178" t="inlineStr">
        <is>
          <t>outreach tracking (E)</t>
        </is>
      </c>
      <c r="D178" t="inlineStr">
        <is>
          <t>E / founder</t>
        </is>
      </c>
      <c r="E178" s="7" t="inlineStr">
        <is>
          <t>&lt;side&gt;-&lt;stage&gt;-&lt;variant&gt;, e.g. office-discovery-A</t>
        </is>
      </c>
      <c r="F178" s="7" t="inlineStr">
        <is>
          <t>E: the sequence started (desk-drop-outreach/tracking/csv/clay_tracking_columns.csv).</t>
        </is>
      </c>
    </row>
    <row r="179">
      <c r="A179" t="inlineStr">
        <is>
          <t>touch_1_date</t>
        </is>
      </c>
      <c r="B179" t="inlineStr">
        <is>
          <t>both</t>
        </is>
      </c>
      <c r="C179" t="inlineStr">
        <is>
          <t>outreach tracking (E)</t>
        </is>
      </c>
      <c r="D179" t="inlineStr">
        <is>
          <t>E / founder</t>
        </is>
      </c>
      <c r="E179" s="6" t="inlineStr">
        <is>
          <t>YYYY-MM-DD</t>
        </is>
      </c>
      <c r="F179" s="7" t="inlineStr">
        <is>
          <t>E: day the first message with the ask was sent.</t>
        </is>
      </c>
    </row>
    <row r="180">
      <c r="A180" t="inlineStr">
        <is>
          <t>touch_2_date</t>
        </is>
      </c>
      <c r="B180" t="inlineStr">
        <is>
          <t>both</t>
        </is>
      </c>
      <c r="C180" t="inlineStr">
        <is>
          <t>outreach tracking (E)</t>
        </is>
      </c>
      <c r="D180" t="inlineStr">
        <is>
          <t>E / founder</t>
        </is>
      </c>
      <c r="E180" s="6" t="inlineStr">
        <is>
          <t>YYYY-MM-DD</t>
        </is>
      </c>
      <c r="F180" s="7" t="inlineStr">
        <is>
          <t>E: day touch 2 was sent.</t>
        </is>
      </c>
    </row>
    <row r="181">
      <c r="A181" t="inlineStr">
        <is>
          <t>touch_3_date</t>
        </is>
      </c>
      <c r="B181" t="inlineStr">
        <is>
          <t>both</t>
        </is>
      </c>
      <c r="C181" t="inlineStr">
        <is>
          <t>outreach tracking (E)</t>
        </is>
      </c>
      <c r="D181" t="inlineStr">
        <is>
          <t>E / founder</t>
        </is>
      </c>
      <c r="E181" s="6" t="inlineStr">
        <is>
          <t>YYYY-MM-DD</t>
        </is>
      </c>
      <c r="F181" s="7" t="inlineStr">
        <is>
          <t>E: day touch 3 was sent (last touch).</t>
        </is>
      </c>
    </row>
    <row r="182">
      <c r="A182" t="inlineStr">
        <is>
          <t>last_reply_date</t>
        </is>
      </c>
      <c r="B182" t="inlineStr">
        <is>
          <t>both</t>
        </is>
      </c>
      <c r="C182" t="inlineStr">
        <is>
          <t>outreach tracking (E)</t>
        </is>
      </c>
      <c r="D182" t="inlineStr">
        <is>
          <t>E / founder</t>
        </is>
      </c>
      <c r="E182" s="6" t="inlineStr">
        <is>
          <t>YYYY-MM-DD</t>
        </is>
      </c>
      <c r="F182" s="7" t="inlineStr">
        <is>
          <t>E: the latest reply.</t>
        </is>
      </c>
    </row>
    <row r="183">
      <c r="A183" t="inlineStr">
        <is>
          <t>reply_type</t>
        </is>
      </c>
      <c r="B183" t="inlineStr">
        <is>
          <t>both</t>
        </is>
      </c>
      <c r="C183" t="inlineStr">
        <is>
          <t>outreach tracking (E)</t>
        </is>
      </c>
      <c r="D183" t="inlineStr">
        <is>
          <t>E / founder</t>
        </is>
      </c>
      <c r="E183" s="7" t="inlineStr">
        <is>
          <t>E's list</t>
        </is>
      </c>
      <c r="F183" s="7" t="inlineStr">
        <is>
          <t>E: the latest meaningful reply type.</t>
        </is>
      </c>
    </row>
    <row r="184">
      <c r="A184" t="inlineStr">
        <is>
          <t>call_date</t>
        </is>
      </c>
      <c r="B184" t="inlineStr">
        <is>
          <t>both</t>
        </is>
      </c>
      <c r="C184" t="inlineStr">
        <is>
          <t>outreach tracking (E)</t>
        </is>
      </c>
      <c r="D184" t="inlineStr">
        <is>
          <t>E / founder</t>
        </is>
      </c>
      <c r="E184" s="6" t="inlineStr">
        <is>
          <t>YYYY-MM-DD</t>
        </is>
      </c>
      <c r="F184" s="7" t="inlineStr">
        <is>
          <t>E: the latest conversation.</t>
        </is>
      </c>
    </row>
    <row r="185">
      <c r="A185" t="inlineStr">
        <is>
          <t>call_notes</t>
        </is>
      </c>
      <c r="B185" t="inlineStr">
        <is>
          <t>both</t>
        </is>
      </c>
      <c r="C185" t="inlineStr">
        <is>
          <t>outreach tracking (E)</t>
        </is>
      </c>
      <c r="D185" t="inlineStr">
        <is>
          <t>E / founder</t>
        </is>
      </c>
      <c r="E185" s="7" t="inlineStr">
        <is>
          <t>one line</t>
        </is>
      </c>
      <c r="F185" s="7" t="inlineStr">
        <is>
          <t>E: one line plus 'see tracker &lt;call_date&gt;'.</t>
        </is>
      </c>
    </row>
    <row r="186">
      <c r="A186" t="inlineStr">
        <is>
          <t>yes_in_principle</t>
        </is>
      </c>
      <c r="B186" t="inlineStr">
        <is>
          <t>both</t>
        </is>
      </c>
      <c r="C186" t="inlineStr">
        <is>
          <t>outreach tracking (E)</t>
        </is>
      </c>
      <c r="D186" t="inlineStr">
        <is>
          <t>E / founder</t>
        </is>
      </c>
      <c r="E186" s="6" t="inlineStr">
        <is>
          <t>Y, N</t>
        </is>
      </c>
      <c r="F186" s="7" t="inlineStr">
        <is>
          <t>E: Y if any conversation said yes in principle.</t>
        </is>
      </c>
    </row>
    <row r="187">
      <c r="A187" t="inlineStr">
        <is>
          <t>next_action</t>
        </is>
      </c>
      <c r="B187" t="inlineStr">
        <is>
          <t>both</t>
        </is>
      </c>
      <c r="C187" t="inlineStr">
        <is>
          <t>outreach tracking (E)</t>
        </is>
      </c>
      <c r="D187" t="inlineStr">
        <is>
          <t>E / founder</t>
        </is>
      </c>
      <c r="E187" s="7" t="inlineStr">
        <is>
          <t>E's list</t>
        </is>
      </c>
      <c r="F187" s="7" t="inlineStr">
        <is>
          <t>E: the next step (drives the follow-up view).</t>
        </is>
      </c>
    </row>
    <row r="188">
      <c r="A188" t="inlineStr">
        <is>
          <t>next_action_date</t>
        </is>
      </c>
      <c r="B188" t="inlineStr">
        <is>
          <t>both</t>
        </is>
      </c>
      <c r="C188" t="inlineStr">
        <is>
          <t>outreach tracking (E)</t>
        </is>
      </c>
      <c r="D188" t="inlineStr">
        <is>
          <t>E / founder</t>
        </is>
      </c>
      <c r="E188" s="6" t="inlineStr">
        <is>
          <t>YYYY-MM-DD</t>
        </is>
      </c>
      <c r="F188" s="7" t="inlineStr">
        <is>
          <t>E: when the next step is due.</t>
        </is>
      </c>
    </row>
    <row r="189">
      <c r="A189" t="inlineStr">
        <is>
          <t>referral_from</t>
        </is>
      </c>
      <c r="B189" t="inlineStr">
        <is>
          <t>both</t>
        </is>
      </c>
      <c r="C189" t="inlineStr">
        <is>
          <t>outreach tracking (E)</t>
        </is>
      </c>
      <c r="D189" t="inlineStr">
        <is>
          <t>E / founder</t>
        </is>
      </c>
      <c r="E189" s="7" t="inlineStr">
        <is>
          <t>row_id</t>
        </is>
      </c>
      <c r="F189" s="7" t="inlineStr">
        <is>
          <t>E: the row that referred this person (a new row E adds).</t>
        </is>
      </c>
    </row>
    <row r="190">
      <c r="A190" t="inlineStr">
        <is>
          <t>street_short</t>
        </is>
      </c>
      <c r="B190" t="inlineStr">
        <is>
          <t>offices</t>
        </is>
      </c>
      <c r="C190" t="inlineStr">
        <is>
          <t>outreach tracking (E)</t>
        </is>
      </c>
      <c r="D190" t="inlineStr">
        <is>
          <t>E / founder</t>
        </is>
      </c>
      <c r="E190" s="7" t="inlineStr">
        <is>
          <t>text</t>
        </is>
      </c>
      <c r="F190" s="7" t="inlineStr">
        <is>
          <t>E: the street name with no number, for {area}.</t>
        </is>
      </c>
    </row>
    <row r="191">
      <c r="A191" t="inlineStr">
        <is>
          <t>why_now_hook</t>
        </is>
      </c>
      <c r="B191" t="inlineStr">
        <is>
          <t>both</t>
        </is>
      </c>
      <c r="C191" t="inlineStr">
        <is>
          <t>outreach tracking (E)</t>
        </is>
      </c>
      <c r="D191" t="inlineStr">
        <is>
          <t>E / founder</t>
        </is>
      </c>
      <c r="E191" s="7" t="inlineStr">
        <is>
          <t>one sentence</t>
        </is>
      </c>
      <c r="F191" s="7" t="inlineStr">
        <is>
          <t>E: the hook written after opening why_now_url.</t>
        </is>
      </c>
    </row>
    <row r="192">
      <c r="A192" t="inlineStr">
        <is>
          <t>product_short</t>
        </is>
      </c>
      <c r="B192" t="inlineStr">
        <is>
          <t>brands</t>
        </is>
      </c>
      <c r="C192" t="inlineStr">
        <is>
          <t>outreach tracking (E)</t>
        </is>
      </c>
      <c r="D192" t="inlineStr">
        <is>
          <t>E / founder</t>
        </is>
      </c>
      <c r="E192" s="7" t="inlineStr">
        <is>
          <t>two to four words</t>
        </is>
      </c>
      <c r="F192" s="7" t="inlineStr">
        <is>
          <t>E: the product's own name for {product}.</t>
        </is>
      </c>
    </row>
    <row r="193">
      <c r="A193" t="inlineStr">
        <is>
          <t>call_note_hook</t>
        </is>
      </c>
      <c r="B193" t="inlineStr">
        <is>
          <t>both</t>
        </is>
      </c>
      <c r="C193" t="inlineStr">
        <is>
          <t>outreach tracking (E)</t>
        </is>
      </c>
      <c r="D193" t="inlineStr">
        <is>
          <t>E / founder</t>
        </is>
      </c>
      <c r="E193" s="7" t="inlineStr">
        <is>
          <t>twelve words or fewer</t>
        </is>
      </c>
      <c r="F193" s="7" t="inlineStr">
        <is>
          <t>E: what they said on the call.</t>
        </is>
      </c>
    </row>
    <row r="194">
      <c r="A194" t="inlineStr">
        <is>
          <t>how_we_know</t>
        </is>
      </c>
      <c r="B194" t="inlineStr">
        <is>
          <t>both</t>
        </is>
      </c>
      <c r="C194" t="inlineStr">
        <is>
          <t>outreach tracking (E)</t>
        </is>
      </c>
      <c r="D194" t="inlineStr">
        <is>
          <t>E / founder</t>
        </is>
      </c>
      <c r="E194" s="7" t="inlineStr">
        <is>
          <t>fifteen words or fewer</t>
        </is>
      </c>
      <c r="F194" s="7" t="inlineStr">
        <is>
          <t>E: how the founder knows them (warm templates).</t>
        </is>
      </c>
    </row>
    <row r="195">
      <c r="A195" t="inlineStr">
        <is>
          <t>referrer_ok_to_name</t>
        </is>
      </c>
      <c r="B195" t="inlineStr">
        <is>
          <t>both</t>
        </is>
      </c>
      <c r="C195" t="inlineStr">
        <is>
          <t>outreach tracking (E)</t>
        </is>
      </c>
      <c r="D195" t="inlineStr">
        <is>
          <t>E / founder</t>
        </is>
      </c>
      <c r="E195" s="6" t="inlineStr">
        <is>
          <t>Y, N</t>
        </is>
      </c>
      <c r="F195" s="7" t="inlineStr">
        <is>
          <t>E: the referrer agreed to be named.</t>
        </is>
      </c>
    </row>
    <row r="196">
      <c r="A196" t="inlineStr">
        <is>
          <t>office_approvals_complete</t>
        </is>
      </c>
      <c r="B196" t="inlineStr">
        <is>
          <t>brands</t>
        </is>
      </c>
      <c r="C196" t="inlineStr">
        <is>
          <t>outreach tracking (E)</t>
        </is>
      </c>
      <c r="D196" t="inlineStr">
        <is>
          <t>E / founder</t>
        </is>
      </c>
      <c r="E196" s="6" t="inlineStr">
        <is>
          <t>Y, N</t>
        </is>
      </c>
      <c r="F196" s="7" t="inlineStr">
        <is>
          <t>E: every office on the brand's route said yes (gates the agreement and invoice).</t>
        </is>
      </c>
    </row>
    <row r="197">
      <c r="A197" t="inlineStr">
        <is>
          <t>in_flight</t>
        </is>
      </c>
      <c r="B197" t="inlineStr">
        <is>
          <t>both</t>
        </is>
      </c>
      <c r="C197" t="inlineStr">
        <is>
          <t>view helper</t>
        </is>
      </c>
      <c r="D197" t="inlineStr">
        <is>
          <t>formula</t>
        </is>
      </c>
      <c r="E197" s="6" t="inlineStr">
        <is>
          <t>Y, N</t>
        </is>
      </c>
      <c r="F197" s="7" t="inlineStr">
        <is>
          <t>Y when status is queued, contacted, replied, call_booked, call_done, yes_in_principle or materials_sent.</t>
        </is>
      </c>
    </row>
    <row r="198">
      <c r="A198" t="inlineStr">
        <is>
          <t>group_blocked</t>
        </is>
      </c>
      <c r="B198" t="inlineStr">
        <is>
          <t>both</t>
        </is>
      </c>
      <c r="C198" t="inlineStr">
        <is>
          <t>view helper</t>
        </is>
      </c>
      <c r="D198" t="inlineStr">
        <is>
          <t>formula</t>
        </is>
      </c>
      <c r="E198" s="6" t="inlineStr">
        <is>
          <t>Y, N</t>
        </is>
      </c>
      <c r="F198" s="7" t="inlineStr">
        <is>
          <t>Y when any row in the company_group is in flight or do_not_contact.</t>
        </is>
      </c>
    </row>
    <row r="199">
      <c r="A199" t="inlineStr">
        <is>
          <t>eligible</t>
        </is>
      </c>
      <c r="B199" t="inlineStr">
        <is>
          <t>both</t>
        </is>
      </c>
      <c r="C199" t="inlineStr">
        <is>
          <t>view helper</t>
        </is>
      </c>
      <c r="D199" t="inlineStr">
        <is>
          <t>formula</t>
        </is>
      </c>
      <c r="E199" s="6" t="inlineStr">
        <is>
          <t>Y, N</t>
        </is>
      </c>
      <c r="F199" s="7" t="inlineStr">
        <is>
          <t>Y when status = new, do_not_contact = N, ready_for_outreach = Y, opt_out_date blank and the group is not blocked.</t>
        </is>
      </c>
    </row>
    <row r="200">
      <c r="A200" t="inlineStr">
        <is>
          <t>view_pick</t>
        </is>
      </c>
      <c r="B200" t="inlineStr">
        <is>
          <t>both</t>
        </is>
      </c>
      <c r="C200" t="inlineStr">
        <is>
          <t>view helper</t>
        </is>
      </c>
      <c r="D200" t="inlineStr">
        <is>
          <t>formula</t>
        </is>
      </c>
      <c r="E200" s="6" t="inlineStr">
        <is>
          <t>Y, N</t>
        </is>
      </c>
      <c r="F200" s="7" t="inlineStr">
        <is>
          <t>Y for the best-scored eligible row of its group (one contact per company).</t>
        </is>
      </c>
    </row>
    <row r="201">
      <c r="A201" t="inlineStr">
        <is>
          <t>in_daily_view</t>
        </is>
      </c>
      <c r="B201" t="inlineStr">
        <is>
          <t>both</t>
        </is>
      </c>
      <c r="C201" t="inlineStr">
        <is>
          <t>view helper</t>
        </is>
      </c>
      <c r="D201" t="inlineStr">
        <is>
          <t>formula</t>
        </is>
      </c>
      <c r="E201" s="6" t="inlineStr">
        <is>
          <t>Y, N</t>
        </is>
      </c>
      <c r="F201" s="7" t="inlineStr">
        <is>
          <t>Y for daily_view_rank 1 to 10.</t>
        </is>
      </c>
    </row>
    <row r="202">
      <c r="A202" t="inlineStr">
        <is>
          <t>row_order</t>
        </is>
      </c>
      <c r="B202" t="inlineStr">
        <is>
          <t>both</t>
        </is>
      </c>
      <c r="C202" t="inlineStr">
        <is>
          <t>view helper</t>
        </is>
      </c>
      <c r="D202" t="inlineStr">
        <is>
          <t>formula</t>
        </is>
      </c>
      <c r="E202" s="7" t="inlineStr">
        <is>
          <t>number</t>
        </is>
      </c>
      <c r="F202" s="7" t="inlineStr">
        <is>
          <t>The row's position (the workbook uses ROW()); the last tie-break.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10" customWidth="1" min="3" max="3"/>
    <col width="140" customWidth="1" min="4" max="4"/>
  </cols>
  <sheetData>
    <row r="1">
      <c r="A1" s="5" t="inlineStr">
        <is>
          <t>table</t>
        </is>
      </c>
      <c r="B1" s="5" t="inlineStr">
        <is>
          <t>part</t>
        </is>
      </c>
      <c r="C1" s="5" t="inlineStr">
        <is>
          <t>points</t>
        </is>
      </c>
      <c r="D1" s="6" t="inlineStr">
        <is>
          <t>rule in plain words</t>
        </is>
      </c>
    </row>
    <row r="2">
      <c r="A2" t="inlineStr">
        <is>
          <t>Offices</t>
        </is>
      </c>
      <c r="B2" s="5" t="inlineStr">
        <is>
          <t>HARD GATES</t>
        </is>
      </c>
      <c r="D2" s="7" t="inlineStr">
        <is>
          <t>Applied before any enrichment spend. A row fails if any one holds; a failed row scores 0.</t>
        </is>
      </c>
    </row>
    <row r="3">
      <c r="A3" t="inlineStr">
        <is>
          <t>Offices</t>
        </is>
      </c>
      <c r="B3" t="inlineStr">
        <is>
          <t>gate</t>
        </is>
      </c>
      <c r="C3" t="inlineStr">
        <is>
          <t>fail</t>
        </is>
      </c>
      <c r="D3" s="7" t="inlineStr">
        <is>
          <t>Outside the cluster: B's in_boundary = N against cluster-1-flatiron/boundary.geojson.</t>
        </is>
      </c>
    </row>
    <row r="4">
      <c r="A4" t="inlineStr">
        <is>
          <t>Offices</t>
        </is>
      </c>
      <c r="B4" t="inlineStr">
        <is>
          <t>gate</t>
        </is>
      </c>
      <c r="C4" t="inlineStr">
        <is>
          <t>fail</t>
        </is>
      </c>
      <c r="D4" s="7" t="inlineStr">
        <is>
          <t>Inside a coworking space (B's in_coworking = Y), or no staffed office at the address.</t>
        </is>
      </c>
    </row>
    <row r="5">
      <c r="A5" t="inlineStr">
        <is>
          <t>Offices</t>
        </is>
      </c>
      <c r="B5" t="inlineStr">
        <is>
          <t>gate</t>
        </is>
      </c>
      <c r="C5" t="inlineStr">
        <is>
          <t>fail</t>
        </is>
      </c>
      <c r="D5" s="7" t="inlineStr">
        <is>
          <t>Tuesday estimate wholly under 30 or wholly over 250. A range that crosses 30 or 250 passes with a flag.</t>
        </is>
      </c>
    </row>
    <row r="6">
      <c r="A6" t="inlineStr">
        <is>
          <t>Offices</t>
        </is>
      </c>
      <c r="B6" t="inlineStr">
        <is>
          <t>gate</t>
        </is>
      </c>
      <c r="C6" t="inlineStr">
        <is>
          <t>fail</t>
        </is>
      </c>
      <c r="D6" s="7" t="inlineStr">
        <is>
          <t>Coworking site whose operator is not shown to control the pantry, or a site possibly closed.</t>
        </is>
      </c>
    </row>
    <row r="7">
      <c r="A7" t="inlineStr">
        <is>
          <t>Offices</t>
        </is>
      </c>
      <c r="B7" s="5" t="inlineStr">
        <is>
          <t>SCORE</t>
        </is>
      </c>
      <c r="C7" t="inlineStr">
        <is>
          <t>0 to 100</t>
        </is>
      </c>
      <c r="D7" s="7" t="inlineStr">
        <is>
          <t>How likely this office fits the drop and can say yes, from what is known today.</t>
        </is>
      </c>
    </row>
    <row r="8">
      <c r="A8" t="inlineStr">
        <is>
          <t>Offices</t>
        </is>
      </c>
      <c r="B8" t="inlineStr">
        <is>
          <t>score_onsite</t>
        </is>
      </c>
      <c r="C8" t="inlineStr">
        <is>
          <t>0 to 30</t>
        </is>
      </c>
      <c r="D8" s="7" t="inlineStr">
        <is>
          <t>25 x the share of the Tuesday range inside 40 to 250 (ratio scale), plus 5 when the count is for the New York office; unknown headcount 7.</t>
        </is>
      </c>
    </row>
    <row r="9">
      <c r="A9" t="inlineStr">
        <is>
          <t>Offices</t>
        </is>
      </c>
      <c r="B9" t="inlineStr">
        <is>
          <t>score_size</t>
        </is>
      </c>
      <c r="C9" t="inlineStr">
        <is>
          <t>-4 to 15</t>
        </is>
      </c>
      <c r="D9" s="7" t="inlineStr">
        <is>
          <t>500 or fewer staff 15; 501 to 1,000 6; 1,001 to 4,999 2; 5,000+ 0; unknown 8; minus 4 when a controlling parent is named.</t>
        </is>
      </c>
    </row>
    <row r="10">
      <c r="A10" t="inlineStr">
        <is>
          <t>Offices</t>
        </is>
      </c>
      <c r="B10" t="inlineStr">
        <is>
          <t>score_attendance</t>
        </is>
      </c>
      <c r="C10" t="inlineStr">
        <is>
          <t>-5 to 15</t>
        </is>
      </c>
      <c r="D10" s="7" t="inlineStr">
        <is>
          <t>On-site 5 days 15; hybrid 4 days 12; 3 days 10; days not stated 7; 2 or fewer 5; no signal 6; remote -5; plus 3 when the policy names Tuesday (cap 15).</t>
        </is>
      </c>
    </row>
    <row r="11">
      <c r="A11" t="inlineStr">
        <is>
          <t>Offices</t>
        </is>
      </c>
      <c r="B11" t="inlineStr">
        <is>
          <t>score_address</t>
        </is>
      </c>
      <c r="C11" t="inlineStr">
        <is>
          <t>0 to 15</t>
        </is>
      </c>
      <c r="D11" s="7" t="inlineStr">
        <is>
          <t>Occupied 10, occupancy-unconfirmed 5, signed-not-occupied 2; 0 with an address conflict; plus source confidence high 5, medium 3, low 0.</t>
        </is>
      </c>
    </row>
    <row r="12">
      <c r="A12" t="inlineStr">
        <is>
          <t>Offices</t>
        </is>
      </c>
      <c r="B12" t="inlineStr">
        <is>
          <t>score_title</t>
        </is>
      </c>
      <c r="C12" t="inlineStr">
        <is>
          <t>0 to 10</t>
        </is>
      </c>
      <c r="D12" s="7" t="inlineStr">
        <is>
          <t>Primary contact in the five target titles (or their direct forms), on an opened page, in New York: 10. Any other named person: 5. Nobody: 0.</t>
        </is>
      </c>
    </row>
    <row r="13">
      <c r="A13" t="inlineStr">
        <is>
          <t>Offices</t>
        </is>
      </c>
      <c r="B13" t="inlineStr">
        <is>
          <t>score_known</t>
        </is>
      </c>
      <c r="C13" t="inlineStr">
        <is>
          <t>0 or 15</t>
        </is>
      </c>
      <c r="D13" s="7" t="inlineStr">
        <is>
          <t>known_to_founder = Y.</t>
        </is>
      </c>
    </row>
    <row r="14">
      <c r="A14" t="inlineStr">
        <is>
          <t>Offices</t>
        </is>
      </c>
      <c r="B14" t="inlineStr">
        <is>
          <t>ties</t>
        </is>
      </c>
      <c r="D14" s="7" t="inlineStr">
        <is>
          <t>Share of the range inside 40 to 250, then source confidence, then name.</t>
        </is>
      </c>
    </row>
    <row r="15">
      <c r="A15" t="inlineStr">
        <is>
          <t>Offices</t>
        </is>
      </c>
      <c r="B15" t="inlineStr">
        <is>
          <t>Tuesday estimate</t>
        </is>
      </c>
      <c r="D15" s="7" t="inlineStr">
        <is>
          <t>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 An estimate until intake replaces it.</t>
        </is>
      </c>
    </row>
    <row r="16">
      <c r="A16" t="inlineStr">
        <is>
          <t>Brands</t>
        </is>
      </c>
      <c r="B16" s="5" t="inlineStr">
        <is>
          <t>HARD GATES</t>
        </is>
      </c>
      <c r="D16" s="7" t="inlineStr">
        <is>
          <t>A row fails if any one holds; a failed row scores 0.</t>
        </is>
      </c>
    </row>
    <row r="17">
      <c r="A17" t="inlineStr">
        <is>
          <t>Brands</t>
        </is>
      </c>
      <c r="B17" t="inlineStr">
        <is>
          <t>gate</t>
        </is>
      </c>
      <c r="C17" t="inlineStr">
        <is>
          <t>fail</t>
        </is>
      </c>
      <c r="D17" s="7" t="inlineStr">
        <is>
          <t>Excluded category: alcohol, cannabis or hemp, supplements, anything needing preparation.</t>
        </is>
      </c>
    </row>
    <row r="18">
      <c r="A18" t="inlineStr">
        <is>
          <t>Brands</t>
        </is>
      </c>
      <c r="B18" t="inlineStr">
        <is>
          <t>gate</t>
        </is>
      </c>
      <c r="C18" t="inlineStr">
        <is>
          <t>fail</t>
        </is>
      </c>
      <c r="D18" s="7" t="inlineStr">
        <is>
          <t>An explicit health claim (structure or function wording such as 'supports gut health'). Nutrient-content claims such as '10g protein' pass with founder_review = Y.</t>
        </is>
      </c>
    </row>
    <row r="19">
      <c r="A19" t="inlineStr">
        <is>
          <t>Brands</t>
        </is>
      </c>
      <c r="B19" t="inlineStr">
        <is>
          <t>gate</t>
        </is>
      </c>
      <c r="C19" t="inlineStr">
        <is>
          <t>fail</t>
        </is>
      </c>
      <c r="D19" s="7" t="inlineStr">
        <is>
          <t>Not shelf-stable: refrigerated, frozen, under 60 days, or shelf_stable = N.</t>
        </is>
      </c>
    </row>
    <row r="20">
      <c r="A20" t="inlineStr">
        <is>
          <t>Brands</t>
        </is>
      </c>
      <c r="B20" t="inlineStr">
        <is>
          <t>gate</t>
        </is>
      </c>
      <c r="C20" t="inlineStr">
        <is>
          <t>fail</t>
        </is>
      </c>
      <c r="D20" s="7" t="inlineStr">
        <is>
          <t>No buy path: no graded store (store_selector or brand_claim) within ten blocks of the cluster and no online store.</t>
        </is>
      </c>
    </row>
    <row r="21">
      <c r="A21" t="inlineStr">
        <is>
          <t>Brands</t>
        </is>
      </c>
      <c r="B21" s="5" t="inlineStr">
        <is>
          <t>SCORE</t>
        </is>
      </c>
      <c r="C21" t="inlineStr">
        <is>
          <t>0 to 100</t>
        </is>
      </c>
      <c r="D21" s="7" t="inlineStr">
        <is>
          <t>How likely this brand fits a founding campaign now: buyable near the offices, New York first, with a reason to sample now and a reachable owner.</t>
        </is>
      </c>
    </row>
    <row r="22">
      <c r="A22" t="inlineStr">
        <is>
          <t>Brands</t>
        </is>
      </c>
      <c r="B22" t="inlineStr">
        <is>
          <t>score_buy</t>
        </is>
      </c>
      <c r="C22" t="inlineStr">
        <is>
          <t>0 to 25</t>
        </is>
      </c>
      <c r="D22" s="7" t="inlineStr">
        <is>
          <t>Store page inside the cluster 25; store page within ten blocks 20; brand locator inside 17; brand locator within ten 13; online store only 6; none 0.</t>
        </is>
      </c>
    </row>
    <row r="23">
      <c r="A23" t="inlineStr">
        <is>
          <t>Brands</t>
        </is>
      </c>
      <c r="B23" t="inlineStr">
        <is>
          <t>score_ny</t>
        </is>
      </c>
      <c r="C23" t="inlineStr">
        <is>
          <t>0 to 20</t>
        </is>
      </c>
      <c r="D23" s="7" t="inlineStr">
        <is>
          <t>HQ New York City 20; rest of New York State 13; Northeast 8; elsewhere 3; unknown 4; minus 3 when a New York HQ is unverified.</t>
        </is>
      </c>
    </row>
    <row r="24">
      <c r="A24" t="inlineStr">
        <is>
          <t>Brands</t>
        </is>
      </c>
      <c r="B24" t="inlineStr">
        <is>
          <t>score_why</t>
        </is>
      </c>
      <c r="C24" t="inlineStr">
        <is>
          <t>0 to 15</t>
        </is>
      </c>
      <c r="D24" s="7" t="inlineStr">
        <is>
          <t>Press in the last 180 days 15, 181 to 365 days 8; own new listing in 180 days 8, 181 to 365 days 4; none or unverified 0.</t>
        </is>
      </c>
    </row>
    <row r="25">
      <c r="A25" t="inlineStr">
        <is>
          <t>Brands</t>
        </is>
      </c>
      <c r="B25" t="inlineStr">
        <is>
          <t>score_rev</t>
        </is>
      </c>
      <c r="C25" t="inlineStr">
        <is>
          <t>0 to 10</t>
        </is>
      </c>
      <c r="D25" s="7" t="inlineStr">
        <is>
          <t>$500k to $10M 10; unknown 5; under $500k 2; over $10M 0.</t>
        </is>
      </c>
    </row>
    <row r="26">
      <c r="A26" t="inlineStr">
        <is>
          <t>Brands</t>
        </is>
      </c>
      <c r="B26" t="inlineStr">
        <is>
          <t>score_fit</t>
        </is>
      </c>
      <c r="C26" t="inlineStr">
        <is>
          <t>0 to 10</t>
        </is>
      </c>
      <c r="D26" s="7" t="inlineStr">
        <is>
          <t>Shelf-stable Y 4, likely 2, unknown 1; individually packaged Y 3, unknown 1; online store Y 3, unknown 1.</t>
        </is>
      </c>
    </row>
    <row r="27">
      <c r="A27" t="inlineStr">
        <is>
          <t>Brands</t>
        </is>
      </c>
      <c r="B27" t="inlineStr">
        <is>
          <t>score_contact</t>
        </is>
      </c>
      <c r="C27" t="inlineStr">
        <is>
          <t>0 to 10</t>
        </is>
      </c>
      <c r="D27" s="7" t="inlineStr">
        <is>
          <t>Founder named on an opened page 6 (first name only or snippet 3); marketing lead on an opened page 4 (snippet 2).</t>
        </is>
      </c>
    </row>
    <row r="28">
      <c r="A28" t="inlineStr">
        <is>
          <t>Brands</t>
        </is>
      </c>
      <c r="B28" t="inlineStr">
        <is>
          <t>score_known</t>
        </is>
      </c>
      <c r="C28" t="inlineStr">
        <is>
          <t>0 or 10</t>
        </is>
      </c>
      <c r="D28" s="7" t="inlineStr">
        <is>
          <t>known_to_founder = Y.</t>
        </is>
      </c>
    </row>
    <row r="29">
      <c r="A29" t="inlineStr">
        <is>
          <t>Brands</t>
        </is>
      </c>
      <c r="B29" t="inlineStr">
        <is>
          <t>score_review</t>
        </is>
      </c>
      <c r="C29" t="inlineStr">
        <is>
          <t>-35 to 0</t>
        </is>
      </c>
      <c r="D29" s="7" t="inlineStr">
        <is>
          <t>The most severe founder-review type: revenue over $10M sourced -35; owned by a large company -25; scale signals -12; dormant -12; heritage -10; perishable risk -8; under $500k -5; alcohol-adjacent -5; borderline claim -4; pack format -4; other -2.</t>
        </is>
      </c>
    </row>
    <row r="30">
      <c r="A30" t="inlineStr">
        <is>
          <t>Brands</t>
        </is>
      </c>
      <c r="B30" t="inlineStr">
        <is>
          <t>ties</t>
        </is>
      </c>
      <c r="D30" s="7" t="inlineStr">
        <is>
          <t>Store grade, then why-now points, then name.</t>
        </is>
      </c>
    </row>
    <row r="31">
      <c r="A31" t="inlineStr">
        <is>
          <t>Both</t>
        </is>
      </c>
      <c r="B31" s="5" t="inlineStr">
        <is>
          <t>DAILY VIEW</t>
        </is>
      </c>
      <c r="D31" s="7" t="inlineStr">
        <is>
          <t>The ten best-scored rows with status = new, do_not_contact = N, ready_for_outreach = Y and no opt_out_date, taking one row per company_group and skipping any group with a row in flight (queued to materials_sent) or a do-not-contact row.</t>
        </is>
      </c>
    </row>
    <row r="32">
      <c r="A32" t="inlineStr">
        <is>
          <t>Both</t>
        </is>
      </c>
      <c r="B32" t="inlineStr">
        <is>
          <t>ready_for_outreach</t>
        </is>
      </c>
      <c r="C32" s="5" t="inlineStr">
        <is>
          <t>Y/N</t>
        </is>
      </c>
      <c r="D32" s="7" t="inlineStr">
        <is>
          <t>Passed the gates, not on hold, a contact named on an opened page, and (offices) a Tuesday band of 40 to 250 or founder_ok_to_queue = 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selection pane="bottomLeft" activeCell="A1" sqref="A1"/>
    </sheetView>
  </sheetViews>
  <sheetFormatPr baseColWidth="8" defaultRowHeight="15"/>
  <cols>
    <col width="16" customWidth="1" min="1" max="1"/>
    <col width="30" customWidth="1" min="2" max="2"/>
    <col width="34" customWidth="1" min="3" max="3"/>
    <col width="120" customWidth="1" min="4" max="4"/>
  </cols>
  <sheetData>
    <row r="1">
      <c r="A1" s="5" t="inlineStr">
        <is>
          <t>company_name</t>
        </is>
      </c>
      <c r="B1" s="5" t="inlineStr">
        <is>
          <t>Desk Drop</t>
        </is>
      </c>
      <c r="C1" s="5" t="inlineStr"/>
      <c r="D1" s="6" t="inlineStr">
        <is>
          <t>The working name lives in this one cell.</t>
        </is>
      </c>
    </row>
    <row r="2">
      <c r="A2" s="5" t="inlineStr">
        <is>
          <t>TAGLINE</t>
        </is>
      </c>
      <c r="B2" t="inlineStr">
        <is>
          <t>Emerging brands. Delivered to your workday.</t>
        </is>
      </c>
      <c r="D2" s="7" t="inlineStr"/>
    </row>
    <row r="3">
      <c r="D3" s="7" t="inlineStr"/>
    </row>
    <row r="4">
      <c r="A4" s="5">
        <f>"15-minute morning routine, "&amp;B1&amp;" outreach tables"</f>
        <v/>
      </c>
      <c r="D4" s="7" t="n"/>
    </row>
    <row r="5">
      <c r="A5" s="5" t="inlineStr">
        <is>
          <t>minute</t>
        </is>
      </c>
      <c r="B5" s="5" t="inlineStr">
        <is>
          <t>step</t>
        </is>
      </c>
      <c r="C5" s="5" t="inlineStr">
        <is>
          <t>where</t>
        </is>
      </c>
      <c r="D5" s="6" t="inlineStr">
        <is>
          <t>what to do</t>
        </is>
      </c>
    </row>
    <row r="6">
      <c r="A6" t="inlineStr">
        <is>
          <t>0:00-2:00</t>
        </is>
      </c>
      <c r="B6" t="inlineStr">
        <is>
          <t>1. Log yesterday</t>
        </is>
      </c>
      <c r="C6" t="inlineStr">
        <is>
          <t>Offices and Brands tabs (or Clay)</t>
        </is>
      </c>
      <c r="D6" s="7" t="inlineStr">
        <is>
          <t>For every reply, bounce and opt-out since yesterday set status (CONTRACTS section 4 words) and E's columns. Any opt-out in any words: do_not_contact = Y, status = do_not_contact, opt_out_date = today. Never reverse it. A wrong_person reply: copy the backup_ contact into the primary columns, reset title_match, set status = new.</t>
        </is>
      </c>
    </row>
    <row r="7">
      <c r="A7" t="inlineStr">
        <is>
          <t>2:00-3:00</t>
        </is>
      </c>
      <c r="B7" t="inlineStr">
        <is>
          <t>2. Clear holds you checked</t>
        </is>
      </c>
      <c r="C7" t="inlineStr">
        <is>
          <t>Offices tab</t>
        </is>
      </c>
      <c r="D7" s="7" t="inlineStr">
        <is>
          <t>If a walk-by showed a held company on the lobby directory, set hold_before_outreach = N (it may then enter the view). If you want an under-40 or over-250 estimate in anyway, set founder_ok_to_queue = Y.</t>
        </is>
      </c>
    </row>
    <row r="8">
      <c r="A8" t="inlineStr">
        <is>
          <t>3:00-4:00</t>
        </is>
      </c>
      <c r="B8" t="inlineStr">
        <is>
          <t>3. Open both daily views</t>
        </is>
      </c>
      <c r="C8" t="inlineStr">
        <is>
          <t>Daily view - Offices, Daily view - Brands</t>
        </is>
      </c>
      <c r="D8" s="7" t="inlineStr">
        <is>
          <t>They have already updated. Take the top five of each (ten a day, the plan's pace). Rows 6 to 10 are spares for any row that fails step 4.</t>
        </is>
      </c>
    </row>
    <row r="9">
      <c r="A9" t="inlineStr">
        <is>
          <t>4:00-13:00</t>
        </is>
      </c>
      <c r="B9" t="inlineStr">
        <is>
          <t>4. One minute per row, ten rows</t>
        </is>
      </c>
      <c r="C9" t="inlineStr">
        <is>
          <t>check_before_send column</t>
        </is>
      </c>
      <c r="D9" s="7" t="inlineStr">
        <is>
          <t>Read score_reason and check_before_send. Do what it says and nothing more: find the person on LinkedIn and paste contact_linkedin_url (this confirms the name and role); confirm an old record; for a brand, re-open the store page before using the retailer line; read a founder-review note. If the person has left or the row is wrong, set status = wrong_person (offices: try the backup) or no, and take the next spare.</t>
        </is>
      </c>
    </row>
    <row r="10">
      <c r="A10" t="inlineStr">
        <is>
          <t>13:00-14:00</t>
        </is>
      </c>
      <c r="B10" t="inlineStr">
        <is>
          <t>5. Export</t>
        </is>
      </c>
      <c r="C10" t="inlineStr">
        <is>
          <t>File &gt; Download &gt; CSV (each daily view tab)</t>
        </is>
      </c>
      <c r="D10" s="7" t="inlineStr">
        <is>
          <t>Save the two tabs as daily-view-offices.csv and daily-view-brands.csv for E's draft maker (desk-drop-outreach/messages/_render/fill.py drafts --daily; it accepts status new or queued for a first touch). Export before step 6: a queued row leaves the live view at once. Sending is E's routine, not this one.</t>
        </is>
      </c>
    </row>
    <row r="11">
      <c r="A11" t="inlineStr">
        <is>
          <t>14:00-15:00</t>
        </is>
      </c>
      <c r="B11" t="inlineStr">
        <is>
          <t>6. Queue</t>
        </is>
      </c>
      <c r="C11" t="inlineStr">
        <is>
          <t>status column</t>
        </is>
      </c>
      <c r="D11" s="7" t="inlineStr">
        <is>
          <t>Set status = queued on the rows you will send today (about five per side). They leave the daily view and their company_group is blocked, so no second person from the same company is in flight. Rows you skipped stay new for tomorrow.</t>
        </is>
      </c>
    </row>
    <row r="12">
      <c r="D12" s="7" t="inlineStr"/>
    </row>
    <row r="13">
      <c r="A13" s="5" t="inlineStr">
        <is>
          <t>WEEKLY</t>
        </is>
      </c>
      <c r="D13" s="7" t="inlineStr"/>
    </row>
    <row r="14">
      <c r="A14" t="inlineStr">
        <is>
          <t>Friday, 10 min</t>
        </is>
      </c>
      <c r="B14" t="inlineStr">
        <is>
          <t>Refresh</t>
        </is>
      </c>
      <c r="C14" t="inlineStr">
        <is>
          <t>Offices and Brands tabs</t>
        </is>
      </c>
      <c r="D14" s="7" t="inlineStr">
        <is>
          <t>Copy B's walk notes into hold_before_outreach (N once the lobby directory shows the company); mark known_to_founder for anyone you know; add a row for each referral (status = new, referral_from = the referrer's row_id). Before anyone rebuilds the files, save these two tabs as CSV in clay-icp-tables/live/ so status carries over (clay-build-sheet.md, section 4).</t>
        </is>
      </c>
    </row>
    <row r="15">
      <c r="D15" s="7" t="inlineStr"/>
    </row>
    <row r="16">
      <c r="A16" s="5" t="inlineStr">
        <is>
          <t>COLOR KEY</t>
        </is>
      </c>
      <c r="D16" s="7" t="inlineStr"/>
    </row>
    <row r="17">
      <c r="A17" t="inlineStr">
        <is>
          <t>yellow header</t>
        </is>
      </c>
      <c r="B17" t="inlineStr">
        <is>
          <t>you edit</t>
        </is>
      </c>
      <c r="D17" s="7" t="inlineStr">
        <is>
          <t>status-side columns the founder sets (known_to_founder, hold_before_outreach, founder_ok_to_queue, title_match, contact_linkedin_url, work_email)</t>
        </is>
      </c>
    </row>
    <row r="18">
      <c r="A18" t="inlineStr">
        <is>
          <t>blue header</t>
        </is>
      </c>
      <c r="B18" t="inlineStr">
        <is>
          <t>outreach edits</t>
        </is>
      </c>
      <c r="D18" s="7" t="inlineStr">
        <is>
          <t>status, do_not_contact and E's tracking columns, written the same day</t>
        </is>
      </c>
    </row>
    <row r="19">
      <c r="A19" t="inlineStr">
        <is>
          <t>grey header</t>
        </is>
      </c>
      <c r="B19" t="inlineStr">
        <is>
          <t>formula</t>
        </is>
      </c>
      <c r="D19" s="7" t="inlineStr">
        <is>
          <t>never type here: score, readiness and the view helpers</t>
        </is>
      </c>
    </row>
    <row r="20">
      <c r="A20" t="inlineStr">
        <is>
          <t>white header</t>
        </is>
      </c>
      <c r="B20" t="inlineStr">
        <is>
          <t>build</t>
        </is>
      </c>
      <c r="D20" s="7" t="inlineStr">
        <is>
          <t>researched facts; change them by fixing the source in _build/ and rebuilding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2026-10-24T09:27:53Z</dcterms:created>
  <dcterms:modified xmlns:dcterms="http://purl.org/dc/terms/" xmlns:xsi="http://www.w3.org/2001/XMLSchema-instance" xsi:type="dcterms:W3CDTF">2026-10-24T09:47:45Z</dcterms:modified>
</cp:coreProperties>
</file>